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TC - P&amp;L" sheetId="2" r:id="rId6"/>
    <sheet state="visible" name="App - P&amp;L" sheetId="3" r:id="rId7"/>
    <sheet state="visible" name="AMAZON - P&amp;L" sheetId="4" r:id="rId8"/>
    <sheet state="visible" name="Digital Marketplaces - P &amp; L" sheetId="5" r:id="rId9"/>
    <sheet state="visible" name="PP - Results" sheetId="6" r:id="rId10"/>
    <sheet state="visible" name="Data - P&amp;L" sheetId="7" r:id="rId11"/>
    <sheet state="hidden" name="Working Copy B2B - P&amp;L" sheetId="8" r:id="rId12"/>
    <sheet state="hidden" name="OLDB2B - P&amp;L" sheetId="9" r:id="rId13"/>
    <sheet state="visible" name="PP - Data" sheetId="10" r:id="rId14"/>
    <sheet state="hidden" name="SupermetricsQueries" sheetId="11" r:id="rId15"/>
    <sheet state="hidden" name="DTC - Forecast" sheetId="12" r:id="rId16"/>
    <sheet state="hidden" name="Ziga - TEST by prod." sheetId="13" r:id="rId17"/>
  </sheets>
  <definedNames>
    <definedName name="zsupermetrics_ru0GDtbZzDLHQOQtJJ6K08MvUDyyp7">#REF!</definedName>
    <definedName localSheetId="6" name="zsupermetrics_DQl8lUbpTRu3fayaJJi7lVfOGKjNU4">'Data - P&amp;L'!$A$3:$A$4</definedName>
    <definedName localSheetId="6"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6"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6" name="zsupermetrics_xwoIpANxRm908eDp5oKTwQpEI8gvD4">#REF!</definedName>
    <definedName localSheetId="6" name="zsupermetrics_n3GtLgiKpTmd2pYmQNMuq6TPD0qE0b">'Data - P&amp;L'!$B$4:$B$5</definedName>
    <definedName localSheetId="6" name="rdataslayer_42b112e4e4be4305bb4c1be75e2dd549">'Data - P&amp;L'!$B$2:$C$3</definedName>
    <definedName name="zsupermetrics_9i4W4hgd80uRpQLMeX0eRnESN8gjyv">#REF!</definedName>
    <definedName name="zsupermetrics_5bmwtOpHUbSYmDMeuCPkrxaojTprPP">#REF!</definedName>
    <definedName localSheetId="6" name="rdataslayer_3753ddf3234e496aa261974a0222e193">'Data - P&amp;L'!$H$2:$I$2</definedName>
    <definedName name="zsupermetrics_SGBxROnInO9rFyh3H7j2Lldx0Bdc5v">#REF!</definedName>
    <definedName name="zsupermetrics_pxuhRTEmIU93xSgKclyxajD0fCZ6rF">#REF!</definedName>
    <definedName localSheetId="6" name="zsupermetrics_ru0GDtbZzDLHQOQtJJ6K08MvUDyyp7">'Data - P&amp;L'!$B$4:$B$5</definedName>
    <definedName localSheetId="6" name="zsupermetrics_qWp7V908pNEYMtfv8QZvSTeDnBAHOU">'Data - P&amp;L'!$B$5:$C$13</definedName>
    <definedName name="rdataslayer_4a0f150f4f2f4e4f85c890c75b7a1fa4">#REF!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6" name="zsupermetrics_9i4W4hgd80uRpQLMeX0eRnESN8gjyv">'Data - P&amp;L'!$C$13</definedName>
    <definedName name="zsupermetrics_lx4cNai7gT6tH4j08ZRkI21Qlpjioi">#REF!</definedName>
    <definedName name="rdataslayer_d70e473bcafe40a3aa834ce157fb2ba3">#REF!</definedName>
    <definedName localSheetId="6" name="zsupermetrics_NugLlrQxlKiqhxQae8EFpITBm1pLCj">'Data - P&amp;L'!$B$6:$C$13</definedName>
    <definedName name="zsupermetrics_8xojRjNDjo2jWHGDWjFEhflhyIq3Hq">Summary!$K$8:$K$30</definedName>
    <definedName name="rdataslayer_3753ddf3234e496aa261974a0222e193">#REF!</definedName>
    <definedName localSheetId="6" name="zsupermetrics_iNpyVy90bWCI0yUaFQpxOtzWMa6sW4">'Data - P&amp;L'!$A$2:$A$3</definedName>
    <definedName localSheetId="6" name="rdataslayer_4a0f150f4f2f4e4f85c890c75b7a1fa4">'Data - P&amp;L'!$D$2:$E$3</definedName>
    <definedName name="zsupermetrics_BioPyGBzcBsy60UCQmPcTuFReEmghI">#REF!</definedName>
    <definedName name="zsupermetrics_qWp7V908pNEYMtfv8QZvSTeDnBAHOU">#REF!</definedName>
    <definedName localSheetId="5" name="zsupermetrics_8xojRjNDjo2jWHGDWjFEhflhyIq3Hq">#REF!</definedName>
    <definedName localSheetId="6" name="zsupermetrics_wbYMmT0YL9bAN0yhimW0ziPFnia9Dx">'Data - P&amp;L'!$A$2:$A$3</definedName>
    <definedName localSheetId="6" name="zsupermetrics_4VkB7ij7WO0JjKBEgvjB2GHjSy2Egm">'Data - P&amp;L'!$B$4:$C$10</definedName>
    <definedName localSheetId="6" name="zsupermetrics_lx4cNai7gT6tH4j08ZRkI21Qlpjioi">'Data - P&amp;L'!$B$4:$C$13</definedName>
    <definedName name="rdataslayer_42b112e4e4be4305bb4c1be75e2dd549">#REF!</definedName>
    <definedName name="rdataslayer_adf57e64065742daa5b4161161b1c3ca">#REF!</definedName>
    <definedName localSheetId="6" name="rdataslayer_adf57e64065742daa5b4161161b1c3ca">'Data - P&amp;L'!$B$4:$D$5</definedName>
    <definedName name="zsupermetrics_NugLlrQxlKiqhxQae8EFpITBm1pLCj">#REF!</definedName>
    <definedName name="zsupermetrics_xwoIpANxRm908eDp5oKTwQpEI8gvD4">#REF!</definedName>
    <definedName localSheetId="6" name="zsupermetrics_YsFuuYtr8vOdNXCCPiFJIO38NP4b2T">'Data - P&amp;L'!$B$4:$C$13</definedName>
    <definedName localSheetId="6" name="rdataslayer_d70e473bcafe40a3aa834ce157fb2ba3">'Data - P&amp;L'!$C$8:$D$9</definedName>
    <definedName localSheetId="6"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tc={39199919-c840-4909-a7fa-3116af25323b}</author>
    <author>tc={54254be4-2f8e-4a19-a154-5b44846355a1}</author>
    <author>tc={6180b7b5-0f48-4238-9044-16efcd751ddf}</author>
    <author>tc={6fb37aeb-eec8-45b4-9d7a-e212611a7ae0}</author>
    <author>tc={7bfb8442-4192-429b-ae7b-a70a0bb5d255}</author>
    <author>tc={b41d2393-5fbb-48d6-aa30-329e0bf72682}</author>
    <author>tc={b68129b4-72d4-46a4-8c7b-bd6944bd425e}</author>
    <author>tc={bb27d740-dd48-441e-82c1-6f70bef33322}</author>
    <author>tc={c417eb33-7111-49d9-bd45-32463ef9adcd}</author>
    <author>tc={c482c4ee-6c23-4dd2-a8b9-cdf32839faf0}</author>
    <author>tc={cc1bedc1-f826-465a-9f45-d2176e37b703}</author>
    <author>tc={da6323b4-9e6c-4531-bc4f-83bafa0735e5}</author>
    <author>tc={e8086b27-4cd5-4fae-9f79-331621ddecf0}</author>
    <author>tc={f79c9301-9ef4-45f5-b3b8-85fab02dcd34}</author>
  </authors>
  <commentList>
    <comment authorId="0" xr:uid="{39199919-c840-4909-a7fa-3116af25323b}" ref="A80">
      <text>
        <t xml:space="preserve">[Threaded comment]
 Your version of Excel allows you to read this threaded comment; however, any edits to it will get removed if the file is opened in a newer version of Excel. Learn more: https://go.microsoft.com/fwlink/?linkid=870924
Comment:
	Dejan primopredaja, check, pogledamo prodajo in skalkuliramo 20 % feejev od prodaje
</t>
      </text>
    </comment>
    <comment authorId="1" xr:uid="{54254be4-2f8e-4a19-a154-5b44846355a1}" ref="B112">
      <text>
        <t xml:space="preserve">[Threaded comment]
 Your version of Excel allows you to read this threaded comment; however, any edits to it will get removed if the file is opened in a newer version of Excel. Learn more: https://go.microsoft.com/fwlink/?linkid=870924
Comment:
	@benjamin@mybirdbuddy.com @ziga.skrabl@mybirdbuddy.com 
bug v enačbi, bi moralo pisat
=SUM(B30:AF30)+SUM(B48:AF48)
poglej če je tudi v drugih sheetih
Assigned to benjamin@mybirdbuddy.com
Reply:
	@tom@mybirdbuddy.com hvala za opozorilo. Bug odpravljen povsod kjer je bilo potrebno in ročno dodan prefix SUM pri dodajanju app revenue-ja v enačbo.
</t>
      </text>
    </comment>
    <comment authorId="2" xr:uid="{6180b7b5-0f48-4238-9044-16efcd751ddf}" ref="A1">
      <text>
        <t xml:space="preserve">[Threaded comment]
 Your version of Excel allows you to read this threaded comment; however, any edits to it will get removed if the file is opened in a newer version of Excel. Learn more: https://go.microsoft.com/fwlink/?linkid=870924
Comment:
	DTC breakdown
</t>
      </text>
    </comment>
    <comment authorId="3" xr:uid="{6fb37aeb-eec8-45b4-9d7a-e212611a7ae0}" ref="A46">
      <text>
        <t xml:space="preserve">[Threaded comment]
 Your version of Excel allows you to read this threaded comment; however, any edits to it will get removed if the file is opened in a newer version of Excel. Learn more: https://go.microsoft.com/fwlink/?linkid=870924
Comment:
	@ziga.skrabl@mybirdbuddy.com breakdown commission/tax/
</t>
      </text>
    </comment>
    <comment authorId="4" xr:uid="{7bfb8442-4192-429b-ae7b-a70a0bb5d255}" ref="A41">
      <text>
        <t xml:space="preserve">[Threaded comment]
 Your version of Excel allows you to read this threaded comment; however, any edits to it will get removed if the file is opened in a newer version of Excel. Learn more: https://go.microsoft.com/fwlink/?linkid=870924
Comment:
	@ziga.skrabl@mybirdbuddy.com - Apply the same structure as other line items. cc: @peter@mybirdbuddy.com
Assigned to ziga.skrabl@mybirdbuddy.com
</t>
      </text>
    </comment>
    <comment authorId="5" xr:uid="{b41d2393-5fbb-48d6-aa30-329e0bf72682}" ref="A67">
      <text>
        <t xml:space="preserve">[Threaded comment]
 Your version of Excel allows you to read this threaded comment; however, any edits to it will get removed if the file is opened in a newer version of Excel. Learn more: https://go.microsoft.com/fwlink/?linkid=870924
Comment:
	@ziga.skrabl@mybirdbuddy.com - Apply the same structure as other line items. cc: @peter@mybirdbuddy.com
Assigned to ziga.skrabl@mybirdbuddy.com
</t>
      </text>
    </comment>
    <comment authorId="6" xr:uid="{b68129b4-72d4-46a4-8c7b-bd6944bd425e}" ref="B121">
      <text>
        <t xml:space="preserve">[Threaded comment]
 Your version of Excel allows you to read this threaded comment; however, any edits to it will get removed if the file is opened in a newer version of Excel. Learn more: https://go.microsoft.com/fwlink/?linkid=870924
Comment:
	add digital marketplaces
Reply:
	This is inflated?
</t>
      </text>
    </comment>
    <comment authorId="7" xr:uid="{bb27d740-dd48-441e-82c1-6f70bef33322}" ref="A63">
      <text>
        <t xml:space="preserve">[Threaded comment]
 Your version of Excel allows you to read this threaded comment; however, any edits to it will get removed if the file is opened in a newer version of Excel. Learn more: https://go.microsoft.com/fwlink/?linkid=870924
Comment:
	@peter@mybirdbuddy.com - Add Target.
</t>
      </text>
    </comment>
    <comment authorId="8" xr:uid="{c417eb33-7111-49d9-bd45-32463ef9adcd}" ref="I46">
      <text>
        <t xml:space="preserve">[Threaded comment]
 Your version of Excel allows you to read this threaded comment; however, any edits to it will get removed if the file is opened in a newer version of Excel. Learn more: https://go.microsoft.com/fwlink/?linkid=870924
Comment:
	App Revenue za včeraj prazen?
@peter@mybirdbuddy.com
</t>
      </text>
    </comment>
    <comment authorId="9" xr:uid="{c482c4ee-6c23-4dd2-a8b9-cdf32839faf0}" ref="R34">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Is this correct number? Number of orders for Best Buy is 6 but revenue number is much higher.
</t>
      </text>
    </comment>
    <comment authorId="10" xr:uid="{cc1bedc1-f826-465a-9f45-d2176e37b703}" ref="A53">
      <text>
        <t xml:space="preserve">[Threaded comment]
 Your version of Excel allows you to read this threaded comment; however, any edits to it will get removed if the file is opened in a newer version of Excel. Learn more: https://go.microsoft.com/fwlink/?linkid=870924
Comment:
	@ziga.skrabl@mybirdbuddy.com - Check numbers
Reply:
	checked and corrected.
</t>
      </text>
    </comment>
    <comment authorId="11" xr:uid="{da6323b4-9e6c-4531-bc4f-83bafa0735e5}" ref="B121">
      <text>
        <t xml:space="preserve">[Threaded comment]
 Your version of Excel allows you to read this threaded comment; however, any edits to it will get removed if the file is opened in a newer version of Excel. Learn more: https://go.microsoft.com/fwlink/?linkid=870924
Comment:
	@ziga.skrabl@mybirdbuddy.com - Check formula (Manjka DM ?) ali trenutna formula bere pravi source za AMZN in DTC?
Assigned to ziga.skrabl@mybirdbuddy.com
Reply:
	BB units source-a za Amazon in DTC sta pravilna, dodana še Rachio in Weatherflow BB units source-a iz DM.
</t>
      </text>
    </comment>
    <comment authorId="12" xr:uid="{e8086b27-4cd5-4fae-9f79-331621ddecf0}" ref="A12">
      <text>
        <t xml:space="preserve">[Threaded comment]
 Your version of Excel allows you to read this threaded comment; however, any edits to it will get removed if the file is opened in a newer version of Excel. Learn more: https://go.microsoft.com/fwlink/?linkid=870924
Comment:
	check sales export --&gt; are there all variants of seeds in?
</t>
      </text>
    </comment>
    <comment authorId="13" xr:uid="{f79c9301-9ef4-45f5-b3b8-85fab02dcd34}" ref="A12">
      <text>
        <t xml:space="preserve">[Threaded comment]
 Your version of Excel allows you to read this threaded comment; however, any edits to it will get removed if the file is opened in a newer version of Excel. Learn more: https://go.microsoft.com/fwlink/?linkid=870924
Comment:
	@ziga.skrabl@mybirdbuddy.com - Check numbers
Reply:
	checked and corrected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tc={7bad22bd-4b77-42d3-bf6e-b6e4f1246efd}</author>
    <author>tc={8eadafed-3bea-4548-aa17-26fc1154a88a}</author>
  </authors>
  <commentList>
    <comment authorId="0" xr:uid="{7bad22bd-4b77-42d3-bf6e-b6e4f1246efd}" ref="A5">
      <text>
        <t xml:space="preserve">[Threaded comment]
 Your version of Excel allows you to read this threaded comment; however, any edits to it will get removed if the file is opened in a newer version of Excel. Learn more: https://go.microsoft.com/fwlink/?linkid=870924
Comment:
	From platform, META 7+1 attribution
</t>
      </text>
    </comment>
    <comment authorId="1" xr:uid="{8eadafed-3bea-4548-aa17-26fc1154a88a}" ref="A127">
      <text>
        <t xml:space="preserve">[Threaded comment]
 Your version of Excel allows you to read this threaded comment; however, any edits to it will get removed if the file is opened in a newer version of Excel. Learn more: https://go.microsoft.com/fwlink/?linkid=870924
Comment:
	@peter@mybirdbuddy.com - Do we need this?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<sst xmlns="http://schemas.openxmlformats.org/spreadsheetml/2006/main" count="2630" uniqueCount="1313">
  <si>
    <t>MON</t>
  </si>
  <si>
    <t xml:space="preserve">TUE </t>
  </si>
  <si>
    <t>WED</t>
  </si>
  <si>
    <t>THU</t>
  </si>
  <si>
    <t>FRI</t>
  </si>
  <si>
    <t>SAT</t>
  </si>
  <si>
    <t>SUN</t>
  </si>
  <si>
    <t>TUE</t>
  </si>
  <si>
    <t>Weekend Work</t>
  </si>
  <si>
    <t>Peter</t>
  </si>
  <si>
    <t>Peco</t>
  </si>
  <si>
    <t>Notes</t>
  </si>
  <si>
    <t>Increased SKU4 stock by 50</t>
  </si>
  <si>
    <t>13:20 - SKU1 Amazon button, SKU2 updated to 194 stock, SKU3 back in stock with 393, SKU4 updated to 200 stock. On shop page, we show SKU3 instead of SKU4.</t>
  </si>
  <si>
    <t>11:00 - SKU4 out of stock / Pro Bundle, yellow out of stock
13:27 - "20% off" promo ending / Reduced pricing for add-ons</t>
  </si>
  <si>
    <t>- First order with new A/B test prices: #131667 (12:31)</t>
  </si>
  <si>
    <t>- All yellow units option out of stock (15:37)</t>
  </si>
  <si>
    <t>Seeds Launch</t>
  </si>
  <si>
    <t>Pricing A/B Test</t>
  </si>
  <si>
    <t>DTC Revenue</t>
  </si>
  <si>
    <t xml:space="preserve">   - Hardware</t>
  </si>
  <si>
    <t xml:space="preserve">   - Add-ons</t>
  </si>
  <si>
    <t xml:space="preserve">   - Merch</t>
  </si>
  <si>
    <t xml:space="preserve">   - Seeds</t>
  </si>
  <si>
    <t xml:space="preserve">   - Taxes</t>
  </si>
  <si>
    <t xml:space="preserve">   - Shipping</t>
  </si>
  <si>
    <t>Amazon Revenue</t>
  </si>
  <si>
    <t xml:space="preserve">   - Tax</t>
  </si>
  <si>
    <t xml:space="preserve">   - Gift Wrap</t>
  </si>
  <si>
    <t>Digital Marketplaces Revenue</t>
  </si>
  <si>
    <t>Rachio</t>
  </si>
  <si>
    <t>Weatherflow</t>
  </si>
  <si>
    <t>Total Revenue</t>
  </si>
  <si>
    <t>B2B Revenue</t>
  </si>
  <si>
    <t>Best Buy</t>
  </si>
  <si>
    <t>Target</t>
  </si>
  <si>
    <t>App Revenue</t>
  </si>
  <si>
    <t xml:space="preserve">  - Google Store</t>
  </si>
  <si>
    <t xml:space="preserve">  - Apple Store</t>
  </si>
  <si>
    <t xml:space="preserve">  - Comission</t>
  </si>
  <si>
    <t xml:space="preserve">  - Tax</t>
  </si>
  <si>
    <t>DTC Orders</t>
  </si>
  <si>
    <t xml:space="preserve">   - Hardware (units sold)</t>
  </si>
  <si>
    <t xml:space="preserve">   - Add-ons (units sold)</t>
  </si>
  <si>
    <t xml:space="preserve">   - Merch (units sold)</t>
  </si>
  <si>
    <t xml:space="preserve">   - Seeds (units sold)</t>
  </si>
  <si>
    <t>Amazon Orders</t>
  </si>
  <si>
    <t>Digital Marketplaces Orders</t>
  </si>
  <si>
    <t>Rachio Orders</t>
  </si>
  <si>
    <t>Weatherflow Orders</t>
  </si>
  <si>
    <t>Total Orders</t>
  </si>
  <si>
    <t>B2B Orders</t>
  </si>
  <si>
    <t>App Orders</t>
  </si>
  <si>
    <t>Meta Spend EUR</t>
  </si>
  <si>
    <t>Currency rate</t>
  </si>
  <si>
    <t>Meta Spend</t>
  </si>
  <si>
    <t>Google Spend</t>
  </si>
  <si>
    <t>Bing Spend</t>
  </si>
  <si>
    <t>TikTok Spend</t>
  </si>
  <si>
    <t>Amazon Spend</t>
  </si>
  <si>
    <t>Nextdoor Spend</t>
  </si>
  <si>
    <t>IndieGoGo Spend</t>
  </si>
  <si>
    <t>Affiliate Fees</t>
  </si>
  <si>
    <t>Rachio Fees</t>
  </si>
  <si>
    <t>Weatherflow Fees</t>
  </si>
  <si>
    <t>Total DTC Spend</t>
  </si>
  <si>
    <t>Total Spend</t>
  </si>
  <si>
    <t>App Spend</t>
  </si>
  <si>
    <t>Apple Spend</t>
  </si>
  <si>
    <t>Total APP Spend</t>
  </si>
  <si>
    <t>Blended ROAS</t>
  </si>
  <si>
    <t>wROAS</t>
  </si>
  <si>
    <t>aROAS</t>
  </si>
  <si>
    <t>appROAS</t>
  </si>
  <si>
    <t>Blended Spend per Unit</t>
  </si>
  <si>
    <t>wSPU</t>
  </si>
  <si>
    <t>aSPU</t>
  </si>
  <si>
    <t>appCAC</t>
  </si>
  <si>
    <t>Web CR</t>
  </si>
  <si>
    <t>Web AOV</t>
  </si>
  <si>
    <t>fAOV</t>
  </si>
  <si>
    <t>rAOV</t>
  </si>
  <si>
    <t>Customers</t>
  </si>
  <si>
    <t>Returning</t>
  </si>
  <si>
    <t>First-time</t>
  </si>
  <si>
    <t>Goal</t>
  </si>
  <si>
    <t>% of Goal</t>
  </si>
  <si>
    <t>Revenue</t>
  </si>
  <si>
    <t>Spend</t>
  </si>
  <si>
    <t>ROAS</t>
  </si>
  <si>
    <t>Spend per Unit</t>
  </si>
  <si>
    <t xml:space="preserve"> </t>
  </si>
  <si>
    <t>CR</t>
  </si>
  <si>
    <t>AOV</t>
  </si>
  <si>
    <t>Orders</t>
  </si>
  <si>
    <t>Units Sold</t>
  </si>
  <si>
    <t>CAC per Unit</t>
  </si>
  <si>
    <t>First-time customers</t>
  </si>
  <si>
    <t>Returning customers</t>
  </si>
  <si>
    <t>JANUARY</t>
  </si>
  <si>
    <t>DAY</t>
  </si>
  <si>
    <t>COMMENT</t>
  </si>
  <si>
    <t>Meta</t>
  </si>
  <si>
    <t>Google</t>
  </si>
  <si>
    <t>TikTok</t>
  </si>
  <si>
    <t>Bing</t>
  </si>
  <si>
    <t>Nextdoor</t>
  </si>
  <si>
    <t>Affiliates (Refersion)</t>
  </si>
  <si>
    <t>Email</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</si>
  <si>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</si>
  <si>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</si>
  <si>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</si>
  <si>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</si>
  <si>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</si>
  <si>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</si>
  <si>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</si>
  <si>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</si>
  <si>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</si>
  <si>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</si>
  <si>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</si>
  <si>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</si>
  <si>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</si>
  <si>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</si>
  <si>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</si>
  <si>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</si>
  <si>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</si>
  <si>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</si>
  <si>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</si>
  <si>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</si>
  <si>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</si>
  <si>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</si>
  <si>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</si>
  <si>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</si>
  <si>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</si>
  <si>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</si>
  <si>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</si>
  <si>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</si>
  <si>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</si>
  <si>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</si>
  <si>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</si>
  <si>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</si>
  <si>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</si>
  <si>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</si>
  <si>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</si>
  <si>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</si>
  <si>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</si>
  <si>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</si>
  <si>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</si>
  <si>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</si>
  <si>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</si>
  <si>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</si>
  <si>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</si>
  <si>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</si>
  <si>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</si>
  <si>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</si>
  <si>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</si>
  <si>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</si>
  <si>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</si>
  <si>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</si>
  <si>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</si>
  <si>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</si>
  <si>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</si>
  <si>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</si>
  <si>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</si>
  <si>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</si>
  <si>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</si>
  <si>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</si>
  <si>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</si>
  <si>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</si>
  <si>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</si>
  <si>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</si>
  <si>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</si>
  <si>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</si>
  <si>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</si>
  <si>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</si>
  <si>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</si>
  <si>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</si>
  <si>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</si>
  <si>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</si>
  <si>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</si>
  <si>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</si>
  <si>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</si>
  <si>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</si>
  <si>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</si>
  <si>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</si>
  <si>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</si>
  <si>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</si>
  <si>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</si>
  <si>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</si>
  <si>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</si>
  <si>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</si>
  <si>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</si>
  <si>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</si>
  <si>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</si>
  <si>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</si>
  <si>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</si>
  <si>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</si>
  <si>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</si>
  <si>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</si>
  <si>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</si>
  <si>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</si>
  <si>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</si>
  <si>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</si>
  <si>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</si>
  <si>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</si>
  <si>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</si>
  <si>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</si>
  <si>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</si>
  <si>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</si>
  <si>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</si>
  <si>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</si>
  <si>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</si>
  <si>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</si>
  <si>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</si>
  <si>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</si>
  <si>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</si>
  <si>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</si>
  <si>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</si>
  <si>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</si>
  <si>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</si>
  <si>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</si>
  <si>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</si>
  <si>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</si>
  <si>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</si>
  <si>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</si>
  <si>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</si>
  <si>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</si>
  <si>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</si>
  <si>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</si>
  <si>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</si>
  <si>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</si>
  <si>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</si>
  <si>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</si>
  <si>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</si>
  <si>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</si>
  <si>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</si>
  <si>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</si>
  <si>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</si>
  <si>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</si>
  <si>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</si>
  <si>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</si>
  <si>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</si>
  <si>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</si>
  <si>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</si>
  <si>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</si>
  <si>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</si>
  <si>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</si>
  <si>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</si>
  <si>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</si>
  <si>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</si>
  <si>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</si>
  <si>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</si>
  <si>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</si>
  <si>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</si>
  <si>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</si>
  <si>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</si>
  <si>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</si>
  <si>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</si>
  <si>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</si>
  <si>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</si>
  <si>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</si>
  <si>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</si>
  <si>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</si>
  <si>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</si>
  <si>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</si>
  <si>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</si>
  <si>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</si>
  <si>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</si>
  <si>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</si>
  <si>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</si>
  <si>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</si>
  <si>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</si>
  <si>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</si>
  <si>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</si>
  <si>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</si>
  <si>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</si>
  <si>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</si>
  <si>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</si>
  <si>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</si>
  <si>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</si>
  <si>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</si>
  <si>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</si>
  <si>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</si>
  <si>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</si>
  <si>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</si>
  <si>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</si>
  <si>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</si>
  <si>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</si>
  <si>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</si>
  <si>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</si>
  <si>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</si>
  <si>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</si>
  <si>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</si>
  <si>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</si>
  <si>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</si>
  <si>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</si>
  <si>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</si>
  <si>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</si>
  <si>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</si>
  <si>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</si>
  <si>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</si>
  <si>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</si>
  <si>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</si>
  <si>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</si>
  <si>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</si>
  <si>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</si>
  <si>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</si>
  <si>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</si>
  <si>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</si>
  <si>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</si>
  <si>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</si>
  <si>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</si>
  <si>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</si>
  <si>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</si>
  <si>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</si>
  <si>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</si>
  <si>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</si>
  <si>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</si>
  <si>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</si>
  <si>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</si>
  <si>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</si>
  <si>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</si>
  <si>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</si>
  <si>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</si>
  <si>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</si>
  <si>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</si>
  <si>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</si>
  <si>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</si>
  <si>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</si>
  <si>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</si>
  <si>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</si>
  <si>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</si>
  <si>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</si>
  <si>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</si>
  <si>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</si>
  <si>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</si>
  <si>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</si>
  <si>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</si>
  <si>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</si>
  <si>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</si>
  <si>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</si>
  <si>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</si>
  <si>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</si>
  <si>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</si>
  <si>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</si>
  <si>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</si>
  <si>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</si>
  <si>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</si>
  <si>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</si>
  <si>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</si>
  <si>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</si>
  <si>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</si>
  <si>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</si>
  <si>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</si>
  <si>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</si>
  <si>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</si>
  <si>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</si>
  <si>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</si>
  <si>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</si>
  <si>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</si>
  <si>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</si>
  <si>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</si>
  <si>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</si>
  <si>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</si>
  <si>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</si>
  <si>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</si>
  <si>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</si>
  <si>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</si>
  <si>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</si>
  <si>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</si>
  <si>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</si>
  <si>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</si>
  <si>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</si>
  <si>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</si>
  <si>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</si>
  <si>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</si>
  <si>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</si>
  <si>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</si>
  <si>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</si>
  <si>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</si>
  <si>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</si>
  <si>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</si>
  <si>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</si>
  <si>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</si>
  <si>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</si>
  <si>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</si>
  <si>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</si>
  <si>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</si>
  <si>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</si>
  <si>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</si>
  <si>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</si>
  <si>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</si>
  <si>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</si>
  <si>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</si>
  <si>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</si>
  <si>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</si>
  <si>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</si>
  <si>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</si>
  <si>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</si>
  <si>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</si>
  <si>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</si>
  <si>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</si>
  <si>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</si>
  <si>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</si>
  <si>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</si>
  <si>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</si>
  <si>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</si>
  <si>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</si>
  <si>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</si>
  <si>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</si>
  <si>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</si>
  <si>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</si>
  <si>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</si>
  <si>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</si>
  <si>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</si>
  <si>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</si>
  <si>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</si>
  <si>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</si>
  <si>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</si>
  <si>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</si>
  <si>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</si>
  <si>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</si>
  <si>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</si>
  <si>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</si>
  <si>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</si>
  <si>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</si>
  <si>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</si>
  <si>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</si>
  <si>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</si>
  <si>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</si>
  <si>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</si>
  <si>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</si>
  <si>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</si>
  <si>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</si>
  <si>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</si>
  <si>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</si>
  <si>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</si>
  <si>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</si>
  <si>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</si>
  <si>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</si>
  <si>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</si>
  <si>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</si>
  <si>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</si>
  <si>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</si>
  <si>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</si>
  <si>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</si>
  <si>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</si>
  <si>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</si>
  <si>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</si>
  <si>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</si>
  <si>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</si>
  <si>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</si>
  <si>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</si>
  <si>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</si>
  <si>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</si>
  <si>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</si>
  <si>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</si>
  <si>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</si>
  <si>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</si>
  <si>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</si>
  <si>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</si>
  <si>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</si>
  <si>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</si>
  <si>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</si>
  <si>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</si>
  <si>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</si>
  <si>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</si>
  <si>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</si>
  <si>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</si>
  <si>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</si>
  <si>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</si>
  <si>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</si>
  <si>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</si>
  <si>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</si>
  <si>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</si>
  <si>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</si>
  <si>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</si>
  <si>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</si>
  <si>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</si>
  <si>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</si>
  <si>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</si>
  <si>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</si>
  <si>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</si>
  <si>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</si>
  <si>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</si>
  <si>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</si>
  <si>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</si>
  <si>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</si>
  <si>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</si>
  <si>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</si>
  <si>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</si>
  <si>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</si>
  <si>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</si>
  <si>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</si>
  <si>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</si>
  <si>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</si>
  <si>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</si>
  <si>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</si>
  <si>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</si>
  <si>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</si>
  <si>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</si>
  <si>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</si>
  <si>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</si>
  <si>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</si>
  <si>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</si>
  <si>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</si>
  <si>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</si>
  <si>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</si>
  <si>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</si>
  <si>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</si>
  <si>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t>Hardware - AMAZON.US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</si>
  <si>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</si>
  <si>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</si>
  <si>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</si>
  <si>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</si>
  <si>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</si>
  <si>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</si>
  <si>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</si>
  <si>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</si>
  <si>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</si>
  <si>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</si>
  <si>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</si>
  <si>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</si>
  <si>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</si>
  <si>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</si>
  <si>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</si>
  <si>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</si>
  <si>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</si>
  <si>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</si>
  <si>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</si>
  <si>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</si>
  <si>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</si>
  <si>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</si>
  <si>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</si>
  <si>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</si>
  <si>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</si>
  <si>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</si>
  <si>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</si>
  <si>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</si>
  <si>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</si>
  <si>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</si>
  <si>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</si>
  <si>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</si>
  <si>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</si>
  <si>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</si>
  <si>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</si>
  <si>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</si>
  <si>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</si>
  <si>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</si>
  <si>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</si>
  <si>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</si>
  <si>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</si>
  <si>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</si>
  <si>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</si>
  <si>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</si>
  <si>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 xml:space="preserve">Rachio (Shopify) </t>
  </si>
  <si>
    <t xml:space="preserve">  - Shipping</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</si>
  <si>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</si>
  <si>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</si>
  <si>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</si>
  <si>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</si>
  <si>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</si>
  <si>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</si>
  <si>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</si>
  <si>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</si>
  <si>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</si>
  <si>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</si>
  <si>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</si>
  <si>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</si>
  <si>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</si>
  <si>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</si>
  <si>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</si>
  <si>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</si>
  <si>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</si>
  <si>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</si>
  <si>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</si>
  <si>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</si>
  <si>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</si>
  <si>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</si>
  <si>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</si>
  <si>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</si>
  <si>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</si>
  <si>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 xml:space="preserve">Hardware </t>
  </si>
  <si>
    <t xml:space="preserve">Taxes </t>
  </si>
  <si>
    <t>All NA</t>
  </si>
  <si>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</si>
  <si>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</si>
  <si>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</si>
  <si>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</si>
  <si>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</si>
  <si>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</si>
  <si>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</si>
  <si>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</si>
  <si>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</si>
  <si>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</si>
  <si>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</si>
  <si>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</si>
  <si>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</si>
  <si>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</si>
  <si>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</si>
  <si>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</si>
  <si>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</si>
  <si>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</si>
  <si>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</si>
  <si>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</si>
  <si>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</si>
  <si>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</si>
  <si>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</si>
  <si>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</si>
  <si>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</si>
  <si>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1 undeliverable</t>
  </si>
  <si>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</si>
  <si>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</si>
  <si>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</si>
  <si>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</si>
  <si>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</si>
  <si>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</si>
  <si>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</si>
  <si>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</si>
  <si>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</si>
  <si>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</si>
  <si>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</si>
  <si>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</si>
  <si>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</si>
  <si>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</si>
  <si>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</si>
  <si>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</si>
  <si>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</si>
  <si>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</si>
  <si>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</si>
  <si>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</si>
  <si>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</si>
  <si>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</si>
  <si>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</si>
  <si>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</si>
  <si>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</si>
  <si>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</si>
  <si>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</si>
  <si>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</si>
  <si>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</si>
  <si>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</si>
  <si>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</si>
  <si>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</si>
  <si>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</si>
  <si>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</si>
  <si>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</si>
  <si>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</si>
  <si>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</si>
  <si>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</si>
  <si>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</si>
  <si>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</si>
  <si>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</si>
  <si>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</si>
  <si>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</si>
  <si>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</si>
  <si>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</si>
  <si>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</si>
  <si>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</si>
  <si>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</si>
  <si>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</si>
  <si>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</si>
  <si>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</si>
  <si>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</si>
  <si>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</si>
  <si>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</si>
  <si>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</si>
  <si>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</si>
  <si>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</si>
  <si>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</si>
  <si>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</si>
  <si>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</si>
  <si>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</si>
  <si>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</si>
  <si>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</si>
  <si>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</si>
  <si>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</si>
  <si>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</si>
  <si>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</si>
  <si>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</si>
  <si>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</si>
  <si>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</si>
  <si>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</si>
  <si>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</si>
  <si>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</si>
  <si>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</si>
  <si>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</si>
  <si>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</si>
  <si>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</si>
  <si>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</si>
  <si>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</si>
  <si>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</si>
  <si>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</si>
  <si>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</si>
  <si>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</si>
  <si>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</si>
  <si>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</si>
  <si>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</si>
  <si>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</si>
  <si>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</si>
  <si>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</si>
  <si>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</si>
  <si>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</si>
  <si>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Number of participants</t>
  </si>
  <si>
    <t>Engagement Rate</t>
  </si>
  <si>
    <t>Post-purchase Survey</t>
  </si>
  <si>
    <t>Facebook / Instagram</t>
  </si>
  <si>
    <t>Where on Facebook/Instagram have you heard about Bird Buddy?</t>
  </si>
  <si>
    <t>I saw an ad</t>
  </si>
  <si>
    <t>I saw a post about Bird Buddy on my friend's feed</t>
  </si>
  <si>
    <t>I saw an organic post from Bird Buddy</t>
  </si>
  <si>
    <t>Friends / Family</t>
  </si>
  <si>
    <t>TV / Radio</t>
  </si>
  <si>
    <t>Blog / Article</t>
  </si>
  <si>
    <t>Reddit</t>
  </si>
  <si>
    <t>Google, Youtube</t>
  </si>
  <si>
    <t>Yahoo, Bing</t>
  </si>
  <si>
    <t>Who is this for? (sub-question 3)</t>
  </si>
  <si>
    <t>Just me</t>
  </si>
  <si>
    <t>Did you compare us with other smart bird feeders before purchasing?</t>
  </si>
  <si>
    <t>Yes, I did extensive research</t>
  </si>
  <si>
    <t>Yes, but very briefly</t>
  </si>
  <si>
    <t>No, not at all</t>
  </si>
  <si>
    <t>I will use with my family</t>
  </si>
  <si>
    <t>My parents</t>
  </si>
  <si>
    <t>Spouse</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</si>
  <si>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</si>
  <si>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</si>
  <si>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</si>
  <si>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</si>
  <si>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</si>
  <si>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</si>
  <si>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</si>
  <si>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</si>
  <si>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</si>
  <si>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</si>
  <si>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</si>
  <si>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</si>
  <si>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</si>
  <si>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</si>
  <si>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</si>
  <si>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</si>
  <si>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</si>
  <si>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</si>
  <si>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</si>
  <si>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</si>
  <si>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</si>
  <si>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</si>
  <si>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</si>
  <si>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</si>
  <si>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</si>
  <si>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</si>
  <si>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</si>
  <si>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</si>
  <si>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</si>
  <si>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</si>
  <si>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</si>
  <si>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</si>
  <si>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</si>
  <si>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</si>
  <si>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</si>
  <si>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</si>
  <si>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</si>
  <si>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</si>
  <si>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</si>
  <si>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</si>
  <si>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</si>
  <si>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</si>
  <si>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</si>
  <si>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</si>
  <si>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</si>
  <si>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</si>
  <si>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</si>
  <si>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</si>
  <si>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</si>
  <si>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</si>
  <si>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</si>
  <si>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</si>
  <si>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</si>
  <si>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Affirm transaction fee</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</si>
  <si>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</si>
  <si>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</si>
  <si>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</si>
  <si>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</si>
  <si>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</si>
  <si>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</si>
  <si>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</si>
  <si>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</si>
  <si>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</si>
  <si>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</si>
  <si>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</si>
  <si>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</si>
  <si>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</si>
  <si>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</si>
  <si>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</si>
  <si>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</si>
  <si>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</si>
  <si>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</si>
  <si>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</si>
  <si>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</si>
  <si>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</si>
  <si>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</si>
  <si>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</si>
  <si>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</si>
  <si>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</si>
  <si>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</si>
  <si>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</si>
  <si>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</si>
  <si>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</si>
  <si>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</si>
  <si>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</si>
  <si>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</si>
  <si>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</si>
  <si>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</si>
  <si>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</si>
  <si>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</si>
  <si>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</si>
  <si>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</si>
  <si>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</si>
  <si>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</si>
  <si>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</si>
  <si>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</si>
  <si>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</si>
  <si>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</si>
  <si>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</si>
  <si>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</si>
  <si>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</si>
  <si>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t>Full Price Template for cancelled orders</t>
  </si>
  <si>
    <t>item-tax</t>
  </si>
  <si>
    <t>shipping-price</t>
  </si>
  <si>
    <t>shipping-tax</t>
  </si>
  <si>
    <t>gift-wrap-price</t>
  </si>
  <si>
    <t>gift-wrap-tax</t>
  </si>
  <si>
    <t>item-promotion-discount</t>
  </si>
  <si>
    <t>ship-promotion-discount</t>
  </si>
  <si>
    <t>B2B</t>
  </si>
  <si>
    <t>Agency Fee</t>
  </si>
  <si>
    <t>NET NET</t>
  </si>
  <si>
    <t>Agency transportation best buy</t>
  </si>
  <si>
    <t>*Dejan sporoči</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</si>
  <si>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</si>
  <si>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</si>
  <si>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</si>
  <si>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</si>
  <si>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</si>
  <si>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</si>
  <si>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</si>
  <si>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</si>
  <si>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</si>
  <si>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</si>
  <si>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</si>
  <si>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</si>
  <si>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</si>
  <si>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</si>
  <si>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</si>
  <si>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</si>
  <si>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</si>
  <si>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</si>
  <si>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</si>
  <si>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</si>
  <si>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</si>
  <si>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</si>
  <si>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</si>
  <si>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</si>
  <si>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</si>
  <si>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</si>
  <si>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</si>
  <si>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</si>
  <si>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</si>
  <si>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</si>
  <si>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</si>
  <si>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</si>
  <si>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</si>
  <si>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</si>
  <si>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</si>
  <si>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</si>
  <si>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</si>
  <si>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</si>
  <si>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</si>
  <si>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</si>
  <si>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</si>
  <si>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</si>
  <si>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</si>
  <si>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</si>
  <si>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</si>
  <si>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</si>
  <si>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</si>
  <si>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</si>
  <si>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</si>
  <si>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</si>
  <si>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</si>
  <si>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</si>
  <si>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</si>
  <si>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</si>
  <si>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</si>
  <si>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</si>
  <si>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</si>
  <si>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</si>
  <si>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</si>
  <si>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</si>
  <si>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</si>
  <si>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</si>
  <si>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</si>
  <si>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</si>
  <si>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</si>
  <si>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</si>
  <si>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</si>
  <si>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</si>
  <si>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</si>
  <si>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</si>
  <si>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</si>
  <si>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</si>
  <si>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</si>
  <si>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</si>
  <si>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</si>
  <si>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</si>
  <si>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</si>
  <si>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</si>
  <si>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</si>
  <si>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</si>
  <si>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</si>
  <si>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</si>
  <si>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</si>
  <si>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</si>
  <si>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</si>
  <si>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</si>
  <si>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</si>
  <si>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</si>
  <si>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</si>
  <si>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</si>
  <si>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</si>
  <si>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</si>
  <si>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</si>
  <si>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</si>
  <si>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</si>
  <si>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</si>
  <si>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</si>
  <si>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</si>
  <si>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</si>
  <si>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</si>
  <si>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</si>
  <si>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</si>
  <si>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</si>
  <si>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</si>
  <si>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</si>
  <si>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</si>
  <si>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</si>
  <si>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</si>
  <si>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</si>
  <si>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</si>
  <si>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</si>
  <si>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</si>
  <si>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</si>
  <si>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</si>
  <si>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</si>
  <si>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</si>
  <si>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</si>
  <si>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</si>
  <si>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</si>
  <si>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</si>
  <si>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</si>
  <si>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</si>
  <si>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</si>
  <si>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</si>
  <si>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</si>
  <si>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</si>
  <si>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</si>
  <si>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</si>
  <si>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</si>
  <si>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</si>
  <si>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</si>
  <si>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</si>
  <si>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</si>
  <si>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</si>
  <si>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</si>
  <si>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</si>
  <si>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</si>
  <si>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</si>
  <si>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</si>
  <si>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</si>
  <si>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</si>
  <si>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</si>
  <si>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</si>
  <si>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</si>
  <si>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</si>
  <si>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</si>
  <si>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</si>
  <si>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</si>
  <si>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</si>
  <si>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</si>
  <si>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</si>
  <si>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</si>
  <si>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</si>
  <si>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</si>
  <si>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</si>
  <si>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</si>
  <si>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</si>
  <si>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</si>
  <si>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</si>
  <si>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</si>
  <si>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</si>
  <si>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</si>
  <si>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</si>
  <si>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</si>
  <si>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</si>
  <si>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</si>
  <si>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</si>
  <si>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</si>
  <si>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</si>
  <si>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</si>
  <si>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</si>
  <si>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</si>
  <si>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</si>
  <si>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</si>
  <si>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</si>
  <si>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</si>
  <si>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</si>
  <si>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</si>
  <si>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</si>
  <si>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</si>
  <si>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</si>
  <si>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</si>
  <si>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</si>
  <si>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</si>
  <si>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</si>
  <si>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</si>
  <si>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</si>
  <si>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</si>
  <si>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</si>
  <si>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</si>
  <si>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</si>
  <si>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</si>
  <si>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</si>
  <si>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</si>
  <si>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</si>
  <si>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</si>
  <si>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</si>
  <si>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</si>
  <si>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</si>
  <si>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</si>
  <si>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</si>
  <si>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</si>
  <si>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</si>
  <si>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</si>
  <si>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</si>
  <si>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</si>
  <si>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</si>
  <si>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</si>
  <si>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</si>
  <si>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</si>
  <si>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</si>
  <si>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</si>
  <si>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</si>
  <si>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</si>
  <si>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</si>
  <si>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</si>
  <si>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</si>
  <si>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</si>
  <si>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</si>
  <si>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</si>
  <si>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</si>
  <si>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</si>
  <si>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</si>
  <si>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</si>
  <si>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</si>
  <si>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</si>
  <si>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</si>
  <si>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</si>
  <si>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</si>
  <si>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</si>
  <si>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</si>
  <si>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</si>
  <si>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</si>
  <si>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</si>
  <si>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</si>
  <si>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</si>
  <si>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</si>
  <si>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</si>
  <si>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</si>
  <si>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</si>
  <si>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</si>
  <si>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</si>
  <si>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</si>
  <si>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</si>
  <si>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</si>
  <si>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</si>
  <si>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</si>
  <si>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</si>
  <si>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</si>
  <si>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</si>
  <si>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t>
  </si>
  <si>
    <t>%</t>
  </si>
  <si>
    <t>Total submissions:</t>
  </si>
  <si>
    <t>Post-purchase Survey Percentage</t>
  </si>
  <si>
    <t>Where on FB/IG have you heard about Bird Buddy?</t>
  </si>
  <si>
    <t>% Where on FB/IG have you heard about Bird Buddy?</t>
  </si>
  <si>
    <t>How important do you find acquiring knowledge in bird feeding?</t>
  </si>
  <si>
    <t>Very, I love learning about birds</t>
  </si>
  <si>
    <t>It's not the main point for me, but nice</t>
  </si>
  <si>
    <t>Not at all</t>
  </si>
  <si>
    <t>% Who is this for? (sub-question 3)</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</si>
  <si>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</si>
  <si>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</si>
  <si>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</si>
  <si>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</si>
  <si>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</si>
  <si>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</si>
  <si>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</si>
  <si>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</si>
  <si>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</si>
  <si>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</si>
  <si>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</si>
  <si>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</si>
  <si>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</si>
  <si>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</si>
  <si>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</si>
  <si>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</si>
  <si>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</si>
  <si>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</si>
  <si>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</si>
  <si>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</si>
  <si>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</si>
  <si>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</si>
  <si>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</si>
  <si>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</si>
  <si>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</si>
  <si>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</si>
  <si>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</si>
  <si>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</si>
  <si>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</si>
  <si>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</si>
  <si>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</si>
  <si>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</si>
  <si>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</si>
  <si>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</si>
  <si>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</si>
  <si>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</si>
  <si>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</si>
  <si>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</si>
  <si>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</si>
  <si>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</si>
  <si>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</si>
  <si>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</si>
  <si>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</si>
  <si>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</si>
  <si>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</si>
  <si>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</si>
  <si>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</si>
  <si>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</si>
  <si>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</si>
  <si>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</si>
  <si>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</si>
  <si>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</si>
  <si>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</si>
  <si>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</si>
  <si>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</si>
  <si>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</si>
  <si>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</si>
  <si>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</si>
  <si>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</si>
  <si>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</si>
  <si>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</si>
  <si>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</si>
  <si>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</si>
  <si>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</si>
  <si>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</si>
  <si>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</si>
  <si>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</si>
  <si>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</si>
  <si>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</si>
  <si>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</si>
  <si>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</si>
  <si>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</si>
  <si>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</si>
  <si>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</si>
  <si>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</si>
  <si>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</si>
  <si>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</si>
  <si>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</si>
  <si>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</si>
  <si>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</si>
  <si>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</si>
  <si>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</si>
  <si>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</si>
  <si>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</si>
  <si>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</si>
  <si>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</si>
  <si>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</si>
  <si>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</si>
  <si>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</si>
  <si>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</si>
  <si>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Start date:</t>
  </si>
  <si>
    <t>End date:</t>
  </si>
  <si>
    <t>31/12/2023</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</si>
  <si>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</si>
  <si>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</si>
  <si>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</si>
  <si>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</si>
  <si>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</si>
  <si>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</si>
  <si>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</si>
  <si>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</si>
  <si>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</si>
  <si>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</si>
  <si>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</si>
  <si>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</si>
  <si>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</si>
  <si>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</si>
  <si>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</si>
  <si>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</si>
  <si>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</si>
  <si>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</si>
  <si>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</si>
  <si>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</si>
  <si>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</si>
  <si>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</si>
  <si>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0,91%</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</si>
  <si>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</si>
  <si>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</si>
  <si>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</si>
  <si>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</si>
  <si>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</si>
  <si>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</si>
  <si>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</si>
  <si>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</si>
  <si>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</si>
  <si>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</si>
  <si>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</si>
  <si>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</si>
  <si>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</si>
  <si>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</si>
  <si>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</si>
  <si>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</si>
  <si>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</si>
  <si>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TOTAL</t>
  </si>
  <si>
    <t>INVESTMENTS</t>
  </si>
  <si>
    <t>INVESTMENT PLAN</t>
  </si>
  <si>
    <t>TRAFFIC (Sessions GA4)</t>
  </si>
  <si>
    <t>TRAFFIC PLAN</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</si>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</sst>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mmm yyyy"/>
    <numFmt numFmtId="165" formatCode="M/d/yyyy"/>
    <numFmt numFmtId="166" formatCode="&quot;$&quot;#,##0.00"/>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_(&quot;$&quot;* #,##0.00_);_(&quot;$&quot;* \(#,##0.00\);_(&quot;$&quot;* &quot;-&quot;??_);_(@_)"/>
    <numFmt numFmtId="174" formatCode="_-[$$-409]* #,##0.00_ ;_-[$$-409]* \-#,##0.00\ ;_-[$$-409]* &quot;-&quot;??.00_ ;_-@_ "/>
    <numFmt numFmtId="175" formatCode="0.000%"/>
    <numFmt numFmtId="176" formatCode="0.0000%"/>
    <numFmt numFmtId="177" formatCode="0.0%"/>
    <numFmt numFmtId="178" formatCode="yyyy-mm-dd"/>
    <numFmt numFmtId="179" formatCode="#,##0&quot;$&quot;"/>
    <numFmt numFmtId="180" formatCode="0.0"/>
    <numFmt numFmtId="181" formatCode="mm/dd/yyyy"/>
  </numFmts>
  <fonts count="76">
    <font>
      <sz val="10.0"/>
      <color rgb="FF000000"/>
      <name val="Arial"/>
      <scheme val="minor"/>
    </font>
    <font>
      <color theme="1"/>
      <name val="Arial"/>
    </font>
    <font>
      <color theme="1"/>
      <name val="Arial"/>
      <scheme val="minor"/>
    </font>
    <font>
      <sz val="7.0"/>
      <color theme="1"/>
      <name val="Arial"/>
      <scheme val="minor"/>
    </font>
    <font>
      <sz val="10.0"/>
      <color rgb="FF202223"/>
      <name val="Arial"/>
      <scheme val="minor"/>
    </font>
    <font>
      <sz val="10.0"/>
      <color theme="1"/>
      <name val="Arial"/>
      <scheme val="minor"/>
    </font>
    <font>
      <sz val="9.0"/>
      <color rgb="FFEFEFEF"/>
      <name val="Arial"/>
    </font>
    <font>
      <color rgb="FFFFFFFF"/>
      <name val="Arial"/>
      <scheme val="minor"/>
    </font>
    <font>
      <sz val="9.0"/>
      <color rgb="FFB7B7B7"/>
      <name val="Arial"/>
    </font>
    <font>
      <sz val="9.0"/>
      <color rgb="FFFFFFFF"/>
      <name val="Arial"/>
      <scheme val="minor"/>
    </font>
    <font>
      <color theme="1"/>
      <name val="Google Sans"/>
    </font>
    <font>
      <color rgb="FFD9D9D9"/>
      <name val="Arial"/>
      <scheme val="minor"/>
    </font>
    <font>
      <sz val="8.0"/>
      <color rgb="FF333333"/>
      <name val="Latoregular"/>
    </font>
    <font>
      <sz val="10.0"/>
      <color rgb="FF212B36"/>
      <name val="-apple-system"/>
    </font>
    <font>
      <sz val="12.0"/>
      <color rgb="FFFFFFFF"/>
      <name val="Arial"/>
    </font>
    <font>
      <sz val="12.0"/>
      <color theme="1"/>
      <name val="Arial"/>
    </font>
    <font>
      <b/>
      <i/>
      <sz val="12.0"/>
      <color theme="1"/>
      <name val="Arial"/>
    </font>
    <font>
      <b/>
      <sz val="12.0"/>
      <color theme="1"/>
      <name val="Arial"/>
    </font>
    <font>
      <sz val="12.0"/>
      <color rgb="FF000000"/>
      <name val="Arial"/>
    </font>
    <font>
      <i/>
      <color theme="1"/>
      <name val="Arial"/>
    </font>
    <font>
      <b/>
      <sz val="12.0"/>
      <color rgb="FFFFFFFF"/>
      <name val="Arial"/>
    </font>
    <font>
      <sz val="12.0"/>
      <color theme="1"/>
      <name val="Arial"/>
      <scheme val="minor"/>
    </font>
    <font>
      <sz val="12.0"/>
      <color rgb="FF202223"/>
      <name val="Arial"/>
    </font>
    <font>
      <sz val="11.0"/>
      <color rgb="FF202223"/>
      <name val="Arial"/>
    </font>
    <font>
      <b/>
      <sz val="12.0"/>
      <color theme="1"/>
      <name val="Arial"/>
      <scheme val="minor"/>
    </font>
    <font>
      <sz val="12.0"/>
      <color rgb="FF202223"/>
      <name val="Arial"/>
      <scheme val="minor"/>
    </font>
    <font>
      <b/>
      <sz val="13.0"/>
      <color rgb="FFFFFFFF"/>
      <name val="Arial"/>
    </font>
    <font>
      <sz val="13.0"/>
      <color theme="1"/>
      <name val="Arial"/>
    </font>
    <font>
      <sz val="12.0"/>
      <color rgb="FF000000"/>
      <name val="Inherit"/>
    </font>
    <font>
      <sz val="12.0"/>
      <color rgb="FF3F3F3F"/>
      <name val="Arial"/>
      <scheme val="minor"/>
    </font>
    <font>
      <b/>
      <sz val="12.0"/>
      <color rgb="FF000000"/>
      <name val="Arial"/>
    </font>
    <font>
      <sz val="10.0"/>
      <color rgb="FFFFFFFF"/>
      <name val="Arial"/>
    </font>
    <font>
      <sz val="10.0"/>
      <color theme="1"/>
      <name val="Arial"/>
    </font>
    <font>
      <sz val="13.0"/>
      <color rgb="FFFFFFFF"/>
      <name val="Arial"/>
    </font>
    <font>
      <sz val="13.0"/>
      <color rgb="FF000000"/>
      <name val="Inherit"/>
    </font>
    <font>
      <sz val="13.0"/>
      <color theme="1"/>
      <name val="Arial"/>
      <scheme val="minor"/>
    </font>
    <font>
      <color theme="0"/>
      <name val="Arial"/>
      <scheme val="minor"/>
    </font>
    <font>
      <b/>
      <sz val="14.0"/>
      <color rgb="FFFFFFFF"/>
      <name val="Unbounded"/>
    </font>
    <font>
      <b/>
      <color theme="1"/>
      <name val="Arial"/>
      <scheme val="minor"/>
    </font>
    <font>
      <u/>
      <color rgb="FF0000FF"/>
    </font>
    <font/>
    <font>
      <color rgb="FFFFFFFF"/>
      <name val="Arial"/>
    </font>
    <font>
      <color rgb="FF000000"/>
      <name val="Arial"/>
      <scheme val="minor"/>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FFFFFF"/>
      <name val="Arial"/>
    </font>
    <font>
      <b/>
      <color rgb="FF000000"/>
      <name val="Arial"/>
    </font>
    <font>
      <b/>
      <color rgb="FF000000"/>
      <name val="Arial"/>
      <scheme val="minor"/>
    </font>
    <font>
      <color rgb="FF000000"/>
      <name val="Arial"/>
    </font>
    <font>
      <b/>
      <sz val="20.0"/>
      <color theme="1"/>
      <name val="Arial"/>
      <scheme val="minor"/>
    </font>
    <font>
      <color rgb="FFEEEEEE"/>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8.0"/>
      <color theme="1"/>
      <name val="Arial"/>
      <scheme val="minor"/>
    </font>
    <font>
      <b/>
      <sz val="8.0"/>
      <color theme="1"/>
      <name val="Arial"/>
    </font>
    <font>
      <sz val="8.0"/>
      <color rgb="FF000000"/>
      <name val="Calibri"/>
    </font>
  </fonts>
  <fills count="54">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FFFF00"/>
        <bgColor rgb="FFFFFF00"/>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FFFFFF"/>
        <bgColor rgb="FFFFFFFF"/>
      </patternFill>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FD966"/>
        <bgColor rgb="FFFFD966"/>
      </patternFill>
    </fill>
    <fill>
      <patternFill patternType="solid">
        <fgColor rgb="FFFBCBCE"/>
        <bgColor rgb="FFFBCBCE"/>
      </patternFill>
    </fill>
    <fill>
      <patternFill patternType="solid">
        <fgColor rgb="FFDADADA"/>
        <bgColor rgb="FFDADADA"/>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CFE2F3"/>
        <bgColor rgb="FFCFE2F3"/>
      </patternFill>
    </fill>
    <fill>
      <patternFill patternType="solid">
        <fgColor rgb="FFFCE5CD"/>
        <bgColor rgb="FFFCE5CD"/>
      </patternFill>
    </fill>
    <fill>
      <patternFill patternType="solid">
        <fgColor rgb="FFF5CBCC"/>
        <bgColor rgb="FFF5CBCC"/>
      </patternFill>
    </fill>
    <fill>
      <patternFill patternType="solid">
        <fgColor rgb="FF434343"/>
        <bgColor rgb="FF434343"/>
      </patternFill>
    </fill>
    <fill>
      <patternFill patternType="solid">
        <fgColor rgb="FFFFF3CC"/>
        <bgColor rgb="FFFFF3CC"/>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B7B7B7"/>
        <bgColor rgb="FFB7B7B7"/>
      </patternFill>
    </fill>
    <fill>
      <patternFill patternType="solid">
        <fgColor rgb="FF000000"/>
        <bgColor rgb="FF000000"/>
      </patternFill>
    </fill>
    <fill>
      <patternFill patternType="solid">
        <fgColor rgb="FFFEF3CB"/>
        <bgColor rgb="FFFEF3CB"/>
      </patternFill>
    </fill>
    <fill>
      <patternFill patternType="solid">
        <fgColor rgb="FFD0E2F4"/>
        <bgColor rgb="FFD0E2F4"/>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DBDBDB"/>
        <bgColor rgb="FFDBDBDB"/>
      </patternFill>
    </fill>
  </fills>
  <borders count="49">
    <border/>
    <border>
      <top style="thin">
        <color rgb="FF000000"/>
      </top>
    </border>
    <border>
      <top style="medium">
        <color rgb="FF666666"/>
      </top>
    </border>
    <border>
      <bottom style="thin">
        <color rgb="FFB7B7B7"/>
      </bottom>
    </border>
    <border>
      <right style="thin">
        <color rgb="FF000000"/>
      </right>
    </border>
    <border>
      <left style="medium">
        <color rgb="FF434343"/>
      </left>
    </border>
    <border>
      <left style="thin">
        <color rgb="FF000000"/>
      </left>
    </border>
    <border>
      <left style="thin">
        <color rgb="FF000000"/>
      </left>
      <right style="thin">
        <color rgb="FF000000"/>
      </right>
      <bottom style="thin">
        <color rgb="FF000000"/>
      </bottom>
    </border>
    <border>
      <bottom style="thin">
        <color rgb="FF000000"/>
      </bottom>
    </border>
    <border>
      <left style="medium">
        <color rgb="FF434343"/>
      </left>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left style="medium">
        <color rgb="FF434343"/>
      </left>
      <top style="thin">
        <color rgb="FF000000"/>
      </top>
    </border>
    <border>
      <left style="medium">
        <color rgb="FF434343"/>
      </left>
      <right style="thin">
        <color rgb="FF000000"/>
      </right>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
      <left style="thin">
        <color rgb="FF000000"/>
      </left>
      <top style="thick">
        <color rgb="FF000000"/>
      </top>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medium">
        <color rgb="FF434343"/>
      </left>
      <top style="medium">
        <color rgb="FF434343"/>
      </top>
    </border>
    <border>
      <left style="medium">
        <color rgb="FF434343"/>
      </left>
      <bottom style="medium">
        <color rgb="FF434343"/>
      </bottom>
    </border>
    <border>
      <right style="thin">
        <color rgb="FF000000"/>
      </right>
      <top style="medium">
        <color rgb="FF434343"/>
      </top>
    </border>
    <border>
      <top style="medium">
        <color rgb="FF434343"/>
      </top>
    </border>
    <border>
      <right style="thin">
        <color rgb="FF000000"/>
      </right>
      <bottom style="medium">
        <color rgb="FF434343"/>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s>
  <cellStyleXfs count="1">
    <xf borderId="0" fillId="0" fontId="0" numFmtId="0" applyAlignment="1" applyFont="1"/>
  </cellStyleXfs>
  <cellXfs count="862">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vertical="bottom"/>
    </xf>
    <xf borderId="0" fillId="2" fontId="1" numFmtId="165" xfId="0" applyAlignment="1" applyFont="1" applyNumberFormat="1">
      <alignment horizontal="left" readingOrder="0" vertical="bottom"/>
    </xf>
    <xf borderId="0" fillId="3" fontId="1" numFmtId="0" xfId="0" applyAlignment="1" applyFill="1" applyFont="1">
      <alignment readingOrder="0" vertical="bottom"/>
    </xf>
    <xf borderId="0" fillId="0" fontId="2" numFmtId="0" xfId="0" applyAlignment="1" applyFont="1">
      <alignment readingOrder="0"/>
    </xf>
    <xf borderId="0" fillId="0" fontId="1" numFmtId="0" xfId="0" applyAlignment="1" applyFont="1">
      <alignment readingOrder="0" vertical="bottom"/>
    </xf>
    <xf borderId="0" fillId="4" fontId="2" numFmtId="0" xfId="0" applyAlignment="1" applyFill="1" applyFont="1">
      <alignment horizontal="center" readingOrder="0" shrinkToFit="0" vertical="center" wrapText="1"/>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2" numFmtId="0" xfId="0" applyAlignment="1" applyFont="1">
      <alignment readingOrder="0" shrinkToFit="0" vertical="center" wrapText="1"/>
    </xf>
    <xf borderId="0" fillId="2" fontId="2" numFmtId="0" xfId="0" applyAlignment="1" applyFont="1">
      <alignment horizontal="center" readingOrder="0" shrinkToFit="0"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wrapText="1"/>
    </xf>
    <xf borderId="0" fillId="0" fontId="2" numFmtId="0" xfId="0" applyAlignment="1" applyFont="1">
      <alignment readingOrder="0" shrinkToFit="0" wrapText="1"/>
    </xf>
    <xf borderId="0" fillId="2" fontId="2" numFmtId="0" xfId="0" applyAlignment="1" applyFont="1">
      <alignment horizontal="center" readingOrder="0" shrinkToFit="0" vertical="center" wrapText="1"/>
    </xf>
    <xf borderId="0" fillId="0" fontId="2" numFmtId="166" xfId="0" applyAlignment="1" applyFont="1" applyNumberFormat="1">
      <alignment horizontal="center" readingOrder="0" shrinkToFit="0" vertical="center" wrapText="1"/>
    </xf>
    <xf borderId="0" fillId="5" fontId="2" numFmtId="0" xfId="0" applyAlignment="1" applyFill="1" applyFont="1">
      <alignment readingOrder="0"/>
    </xf>
    <xf borderId="0" fillId="0" fontId="4" numFmtId="166" xfId="0" applyAlignment="1" applyFont="1" applyNumberFormat="1">
      <alignment horizontal="right" readingOrder="0"/>
    </xf>
    <xf borderId="0" fillId="4" fontId="2" numFmtId="0" xfId="0" applyAlignment="1" applyFont="1">
      <alignment readingOrder="0"/>
    </xf>
    <xf borderId="0" fillId="4" fontId="4" numFmtId="166" xfId="0" applyAlignment="1" applyFont="1" applyNumberFormat="1">
      <alignment horizontal="right" readingOrder="0"/>
    </xf>
    <xf borderId="1" fillId="4" fontId="2" numFmtId="0" xfId="0" applyAlignment="1" applyBorder="1" applyFont="1">
      <alignment readingOrder="0"/>
    </xf>
    <xf borderId="1" fillId="4" fontId="4" numFmtId="166" xfId="0" applyAlignment="1" applyBorder="1" applyFont="1" applyNumberFormat="1">
      <alignment horizontal="right" readingOrder="0"/>
    </xf>
    <xf borderId="0" fillId="2" fontId="2" numFmtId="0" xfId="0" applyAlignment="1" applyFont="1">
      <alignment readingOrder="0"/>
    </xf>
    <xf borderId="0" fillId="2" fontId="4" numFmtId="166" xfId="0" applyAlignment="1" applyFont="1" applyNumberFormat="1">
      <alignment horizontal="right" readingOrder="0"/>
    </xf>
    <xf borderId="0" fillId="6" fontId="2" numFmtId="0" xfId="0" applyAlignment="1" applyFill="1" applyFont="1">
      <alignment readingOrder="0"/>
    </xf>
    <xf borderId="0" fillId="6" fontId="2" numFmtId="166" xfId="0" applyFont="1" applyNumberFormat="1"/>
    <xf borderId="0" fillId="3" fontId="2" numFmtId="0" xfId="0" applyAlignment="1" applyFont="1">
      <alignment readingOrder="0"/>
    </xf>
    <xf borderId="0" fillId="0" fontId="2" numFmtId="166" xfId="0" applyAlignment="1" applyFont="1" applyNumberFormat="1">
      <alignment readingOrder="0"/>
    </xf>
    <xf borderId="0" fillId="0" fontId="2" numFmtId="167" xfId="0" applyFont="1" applyNumberFormat="1"/>
    <xf borderId="0" fillId="6" fontId="2" numFmtId="167" xfId="0" applyFont="1" applyNumberFormat="1"/>
    <xf borderId="2" fillId="0" fontId="2" numFmtId="0" xfId="0" applyBorder="1" applyFont="1"/>
    <xf borderId="0" fillId="0" fontId="2" numFmtId="3" xfId="0" applyAlignment="1" applyFont="1" applyNumberFormat="1">
      <alignment readingOrder="0"/>
    </xf>
    <xf borderId="0" fillId="7" fontId="2" numFmtId="0" xfId="0" applyAlignment="1" applyFill="1" applyFont="1">
      <alignment readingOrder="0"/>
    </xf>
    <xf borderId="0" fillId="7" fontId="5" numFmtId="0" xfId="0" applyAlignment="1" applyFont="1">
      <alignment readingOrder="0"/>
    </xf>
    <xf borderId="0" fillId="7" fontId="2" numFmtId="3" xfId="0" applyAlignment="1" applyFont="1" applyNumberFormat="1">
      <alignment readingOrder="0"/>
    </xf>
    <xf borderId="0" fillId="4" fontId="2" numFmtId="1" xfId="0" applyAlignment="1" applyFont="1" applyNumberFormat="1">
      <alignment readingOrder="0"/>
    </xf>
    <xf borderId="0" fillId="0" fontId="4" numFmtId="3" xfId="0" applyAlignment="1" applyFont="1" applyNumberFormat="1">
      <alignment horizontal="right" readingOrder="0"/>
    </xf>
    <xf borderId="0" fillId="6" fontId="2" numFmtId="3" xfId="0" applyAlignment="1" applyFont="1" applyNumberFormat="1">
      <alignment readingOrder="0"/>
    </xf>
    <xf borderId="0" fillId="6" fontId="2" numFmtId="3" xfId="0" applyFont="1" applyNumberFormat="1"/>
    <xf borderId="0" fillId="0" fontId="2" numFmtId="0" xfId="0" applyFont="1"/>
    <xf borderId="0" fillId="0" fontId="6" numFmtId="0" xfId="0" applyAlignment="1" applyFont="1">
      <alignment readingOrder="0" vertical="bottom"/>
    </xf>
    <xf borderId="0" fillId="0" fontId="7" numFmtId="168" xfId="0" applyAlignment="1" applyFont="1" applyNumberFormat="1">
      <alignment readingOrder="0"/>
    </xf>
    <xf borderId="0" fillId="0" fontId="7" numFmtId="168" xfId="0" applyFont="1" applyNumberFormat="1"/>
    <xf borderId="3" fillId="0" fontId="8" numFmtId="0" xfId="0" applyAlignment="1" applyBorder="1" applyFont="1">
      <alignment vertical="bottom"/>
    </xf>
    <xf borderId="3" fillId="0" fontId="8" numFmtId="169" xfId="0" applyAlignment="1" applyBorder="1" applyFont="1" applyNumberFormat="1">
      <alignment readingOrder="0" vertical="bottom"/>
    </xf>
    <xf borderId="0" fillId="0" fontId="2" numFmtId="166" xfId="0" applyFont="1" applyNumberFormat="1"/>
    <xf borderId="0" fillId="0" fontId="2" numFmtId="166" xfId="0" applyAlignment="1" applyFont="1" applyNumberFormat="1">
      <alignment readingOrder="0"/>
    </xf>
    <xf borderId="0" fillId="0" fontId="2" numFmtId="166" xfId="0" applyAlignment="1" applyFont="1" applyNumberFormat="1">
      <alignment horizontal="right" readingOrder="0"/>
    </xf>
    <xf borderId="0" fillId="8" fontId="2" numFmtId="0" xfId="0" applyAlignment="1" applyFill="1" applyFont="1">
      <alignment readingOrder="0"/>
    </xf>
    <xf borderId="0" fillId="8" fontId="2" numFmtId="166" xfId="0" applyFont="1" applyNumberFormat="1"/>
    <xf borderId="0" fillId="9" fontId="2" numFmtId="0" xfId="0" applyAlignment="1" applyFill="1" applyFont="1">
      <alignment readingOrder="0"/>
    </xf>
    <xf borderId="0" fillId="9" fontId="2" numFmtId="166" xfId="0" applyFont="1" applyNumberFormat="1"/>
    <xf borderId="0" fillId="0" fontId="9" numFmtId="168" xfId="0" applyAlignment="1" applyFont="1" applyNumberFormat="1">
      <alignment readingOrder="0"/>
    </xf>
    <xf borderId="0" fillId="9" fontId="1" numFmtId="0" xfId="0" applyAlignment="1" applyFont="1">
      <alignment vertical="bottom"/>
    </xf>
    <xf borderId="0" fillId="9" fontId="1" numFmtId="166" xfId="0" applyAlignment="1" applyFont="1" applyNumberFormat="1">
      <alignment vertical="bottom"/>
    </xf>
    <xf borderId="0" fillId="10" fontId="2" numFmtId="0" xfId="0" applyAlignment="1" applyFill="1" applyFont="1">
      <alignment readingOrder="0"/>
    </xf>
    <xf borderId="0" fillId="0" fontId="2" numFmtId="2" xfId="0" applyFont="1" applyNumberFormat="1"/>
    <xf borderId="0" fillId="0" fontId="2" numFmtId="4" xfId="0" applyFont="1" applyNumberFormat="1"/>
    <xf borderId="0" fillId="0" fontId="2" numFmtId="10" xfId="0" applyAlignment="1" applyFont="1" applyNumberFormat="1">
      <alignment readingOrder="0"/>
    </xf>
    <xf borderId="0" fillId="11" fontId="2" numFmtId="166" xfId="0" applyAlignment="1" applyFill="1" applyFont="1" applyNumberFormat="1">
      <alignment readingOrder="0"/>
    </xf>
    <xf borderId="0" fillId="0" fontId="10" numFmtId="166" xfId="0" applyAlignment="1" applyFont="1" applyNumberFormat="1">
      <alignment horizontal="right" readingOrder="0" vertical="bottom"/>
    </xf>
    <xf borderId="0" fillId="2" fontId="2" numFmtId="170" xfId="0" applyAlignment="1" applyFont="1" applyNumberFormat="1">
      <alignment readingOrder="0"/>
    </xf>
    <xf borderId="0" fillId="2" fontId="2" numFmtId="0" xfId="0" applyAlignment="1" applyFont="1">
      <alignment horizontal="right" readingOrder="0"/>
    </xf>
    <xf borderId="0" fillId="0" fontId="11" numFmtId="171" xfId="0" applyAlignment="1" applyFont="1" applyNumberFormat="1">
      <alignment readingOrder="0"/>
    </xf>
    <xf borderId="0" fillId="0" fontId="11" numFmtId="10" xfId="0" applyFont="1" applyNumberFormat="1"/>
    <xf borderId="0" fillId="0" fontId="2" numFmtId="10" xfId="0" applyFont="1" applyNumberFormat="1"/>
    <xf borderId="0" fillId="0" fontId="2" numFmtId="2" xfId="0" applyAlignment="1" applyFont="1" applyNumberFormat="1">
      <alignment readingOrder="0"/>
    </xf>
    <xf borderId="0" fillId="0" fontId="11" numFmtId="2" xfId="0" applyAlignment="1" applyFont="1" applyNumberFormat="1">
      <alignment readingOrder="0"/>
    </xf>
    <xf borderId="0" fillId="0" fontId="11" numFmtId="166" xfId="0" applyAlignment="1" applyFont="1" applyNumberFormat="1">
      <alignment readingOrder="0"/>
    </xf>
    <xf borderId="0" fillId="0" fontId="11" numFmtId="10" xfId="0" applyAlignment="1" applyFont="1" applyNumberFormat="1">
      <alignment readingOrder="0"/>
    </xf>
    <xf borderId="0" fillId="0" fontId="2" numFmtId="3" xfId="0" applyFont="1" applyNumberFormat="1"/>
    <xf borderId="0" fillId="0" fontId="11" numFmtId="0" xfId="0" applyAlignment="1" applyFont="1">
      <alignment readingOrder="0"/>
    </xf>
    <xf borderId="0" fillId="11" fontId="2" numFmtId="3" xfId="0" applyAlignment="1" applyFont="1" applyNumberFormat="1">
      <alignment horizontal="right"/>
    </xf>
    <xf borderId="0" fillId="0" fontId="11" numFmtId="3" xfId="0" applyAlignment="1" applyFont="1" applyNumberFormat="1">
      <alignment readingOrder="0"/>
    </xf>
    <xf borderId="0" fillId="0" fontId="12" numFmtId="166" xfId="0" applyAlignment="1" applyFont="1" applyNumberFormat="1">
      <alignment horizontal="left" readingOrder="0"/>
    </xf>
    <xf borderId="0" fillId="11" fontId="13" numFmtId="0" xfId="0" applyFont="1"/>
    <xf borderId="4" fillId="12" fontId="14" numFmtId="165" xfId="0" applyAlignment="1" applyBorder="1" applyFill="1" applyFont="1" applyNumberFormat="1">
      <alignment horizontal="left" readingOrder="0" vertical="bottom"/>
    </xf>
    <xf borderId="0" fillId="12" fontId="14" numFmtId="165" xfId="0" applyAlignment="1" applyFont="1" applyNumberFormat="1">
      <alignment horizontal="center" readingOrder="0" vertical="bottom"/>
    </xf>
    <xf borderId="5" fillId="3" fontId="15" numFmtId="0" xfId="0" applyAlignment="1" applyBorder="1" applyFont="1">
      <alignment vertical="bottom"/>
    </xf>
    <xf borderId="4" fillId="13" fontId="14" numFmtId="0" xfId="0" applyAlignment="1" applyBorder="1" applyFill="1" applyFont="1">
      <alignment readingOrder="0" vertical="bottom"/>
    </xf>
    <xf borderId="0" fillId="13" fontId="14" numFmtId="0" xfId="0" applyAlignment="1" applyFont="1">
      <alignment horizontal="center" readingOrder="0" vertical="bottom"/>
    </xf>
    <xf borderId="4" fillId="14" fontId="14" numFmtId="0" xfId="0" applyAlignment="1" applyBorder="1" applyFill="1" applyFont="1">
      <alignment readingOrder="0" vertical="bottom"/>
    </xf>
    <xf borderId="0" fillId="0" fontId="15" numFmtId="0" xfId="0" applyAlignment="1" applyFont="1">
      <alignment vertical="bottom"/>
    </xf>
    <xf borderId="0" fillId="0" fontId="15" numFmtId="0" xfId="0" applyAlignment="1" applyFont="1">
      <alignment readingOrder="0" vertical="bottom"/>
    </xf>
    <xf borderId="4" fillId="15" fontId="15" numFmtId="0" xfId="0" applyAlignment="1" applyBorder="1" applyFill="1" applyFont="1">
      <alignment readingOrder="0" vertical="bottom"/>
    </xf>
    <xf borderId="4" fillId="0" fontId="15" numFmtId="0" xfId="0" applyAlignment="1" applyBorder="1" applyFont="1">
      <alignment readingOrder="0" vertical="bottom"/>
    </xf>
    <xf borderId="6" fillId="16" fontId="15" numFmtId="0" xfId="0" applyAlignment="1" applyBorder="1" applyFill="1" applyFont="1">
      <alignment horizontal="right" readingOrder="0" vertical="bottom"/>
    </xf>
    <xf borderId="0" fillId="16" fontId="15" numFmtId="0" xfId="0" applyAlignment="1" applyFont="1">
      <alignment horizontal="right" readingOrder="0" vertical="bottom"/>
    </xf>
    <xf borderId="0" fillId="2" fontId="15" numFmtId="0" xfId="0" applyAlignment="1" applyFont="1">
      <alignment horizontal="right" readingOrder="0" vertical="bottom"/>
    </xf>
    <xf borderId="0" fillId="16" fontId="15" numFmtId="3" xfId="0" applyAlignment="1" applyFont="1" applyNumberFormat="1">
      <alignment horizontal="right" readingOrder="0" vertical="bottom"/>
    </xf>
    <xf borderId="0" fillId="16" fontId="15" numFmtId="0" xfId="0" applyAlignment="1" applyFont="1">
      <alignment readingOrder="0" vertical="bottom"/>
    </xf>
    <xf borderId="0" fillId="2" fontId="15" numFmtId="0" xfId="0" applyAlignment="1" applyFont="1">
      <alignment readingOrder="0" vertical="bottom"/>
    </xf>
    <xf borderId="5" fillId="3" fontId="16" numFmtId="0" xfId="0" applyAlignment="1" applyBorder="1" applyFont="1">
      <alignment horizontal="right" vertical="bottom"/>
    </xf>
    <xf borderId="6" fillId="16" fontId="15" numFmtId="1" xfId="0" applyAlignment="1" applyBorder="1" applyFont="1" applyNumberFormat="1">
      <alignment horizontal="right" readingOrder="0" vertical="bottom"/>
    </xf>
    <xf borderId="0" fillId="16" fontId="15" numFmtId="1" xfId="0" applyAlignment="1" applyFont="1" applyNumberFormat="1">
      <alignment horizontal="right" readingOrder="0" vertical="bottom"/>
    </xf>
    <xf borderId="0" fillId="2" fontId="15" numFmtId="1" xfId="0" applyAlignment="1" applyFont="1" applyNumberFormat="1">
      <alignment horizontal="right" readingOrder="0" vertical="bottom"/>
    </xf>
    <xf borderId="0" fillId="16" fontId="15" numFmtId="1" xfId="0" applyAlignment="1" applyFont="1" applyNumberFormat="1">
      <alignment readingOrder="0" vertical="bottom"/>
    </xf>
    <xf borderId="5" fillId="3" fontId="16" numFmtId="1" xfId="0" applyAlignment="1" applyBorder="1" applyFont="1" applyNumberFormat="1">
      <alignment horizontal="right" vertical="bottom"/>
    </xf>
    <xf borderId="4" fillId="0" fontId="15" numFmtId="0" xfId="0" applyAlignment="1" applyBorder="1" applyFont="1">
      <alignment vertical="bottom"/>
    </xf>
    <xf borderId="4" fillId="7" fontId="15" numFmtId="0" xfId="0" applyAlignment="1" applyBorder="1" applyFont="1">
      <alignment readingOrder="0" vertical="bottom"/>
    </xf>
    <xf borderId="7" fillId="0" fontId="15" numFmtId="0" xfId="0" applyAlignment="1" applyBorder="1" applyFont="1">
      <alignment readingOrder="0" vertical="bottom"/>
    </xf>
    <xf borderId="8" fillId="16" fontId="15" numFmtId="0" xfId="0" applyAlignment="1" applyBorder="1" applyFont="1">
      <alignment horizontal="right" readingOrder="0" vertical="bottom"/>
    </xf>
    <xf borderId="8" fillId="2" fontId="15" numFmtId="0" xfId="0" applyAlignment="1" applyBorder="1" applyFont="1">
      <alignment horizontal="right" readingOrder="0" vertical="bottom"/>
    </xf>
    <xf borderId="9" fillId="3" fontId="16" numFmtId="0" xfId="0" applyAlignment="1" applyBorder="1" applyFont="1">
      <alignment horizontal="right" vertical="bottom"/>
    </xf>
    <xf borderId="4" fillId="0" fontId="17" numFmtId="0" xfId="0" applyAlignment="1" applyBorder="1" applyFont="1">
      <alignment readingOrder="0" vertical="bottom"/>
    </xf>
    <xf borderId="0" fillId="0" fontId="17" numFmtId="1" xfId="0" applyAlignment="1" applyFont="1" applyNumberFormat="1">
      <alignment horizontal="right" vertical="bottom"/>
    </xf>
    <xf borderId="4" fillId="17" fontId="15" numFmtId="0" xfId="0" applyAlignment="1" applyBorder="1" applyFill="1" applyFont="1">
      <alignment readingOrder="0" vertical="bottom"/>
    </xf>
    <xf borderId="0" fillId="11" fontId="14" numFmtId="0" xfId="0" applyAlignment="1" applyFont="1">
      <alignment vertical="bottom"/>
    </xf>
    <xf borderId="0" fillId="11" fontId="14" numFmtId="168" xfId="0" applyAlignment="1" applyFont="1" applyNumberFormat="1">
      <alignment readingOrder="0" vertical="bottom"/>
    </xf>
    <xf borderId="0" fillId="11" fontId="14" numFmtId="0" xfId="0" applyAlignment="1" applyFont="1">
      <alignment readingOrder="0" vertical="bottom"/>
    </xf>
    <xf borderId="0" fillId="11" fontId="14" numFmtId="4" xfId="0" applyAlignment="1" applyFont="1" applyNumberFormat="1">
      <alignment readingOrder="0" vertical="bottom"/>
    </xf>
    <xf borderId="6" fillId="16" fontId="15" numFmtId="166" xfId="0" applyAlignment="1" applyBorder="1" applyFont="1" applyNumberFormat="1">
      <alignment horizontal="right" readingOrder="0" vertical="bottom"/>
    </xf>
    <xf borderId="0" fillId="16" fontId="15" numFmtId="166" xfId="0" applyAlignment="1" applyFont="1" applyNumberFormat="1">
      <alignment horizontal="right" readingOrder="0" vertical="bottom"/>
    </xf>
    <xf borderId="0" fillId="16" fontId="15" numFmtId="166" xfId="0" applyAlignment="1" applyFont="1" applyNumberFormat="1">
      <alignment readingOrder="0" vertical="bottom"/>
    </xf>
    <xf borderId="5" fillId="3" fontId="16" numFmtId="166" xfId="0" applyAlignment="1" applyBorder="1" applyFont="1" applyNumberFormat="1">
      <alignment horizontal="right" vertical="bottom"/>
    </xf>
    <xf borderId="0" fillId="2" fontId="15" numFmtId="166" xfId="0" applyAlignment="1" applyFont="1" applyNumberFormat="1">
      <alignment horizontal="right" readingOrder="0" vertical="bottom"/>
    </xf>
    <xf borderId="0" fillId="2" fontId="15" numFmtId="166" xfId="0" applyAlignment="1" applyFont="1" applyNumberFormat="1">
      <alignment readingOrder="0" vertical="bottom"/>
    </xf>
    <xf borderId="6" fillId="2" fontId="15" numFmtId="166" xfId="0" applyAlignment="1" applyBorder="1" applyFont="1" applyNumberFormat="1">
      <alignment readingOrder="0" vertical="bottom"/>
    </xf>
    <xf borderId="10" fillId="0" fontId="15" numFmtId="0" xfId="0" applyAlignment="1" applyBorder="1" applyFont="1">
      <alignment readingOrder="0" vertical="bottom"/>
    </xf>
    <xf borderId="8" fillId="16" fontId="15" numFmtId="166" xfId="0" applyAlignment="1" applyBorder="1" applyFont="1" applyNumberFormat="1">
      <alignment horizontal="right" readingOrder="0" vertical="bottom"/>
    </xf>
    <xf borderId="8" fillId="2" fontId="15" numFmtId="166" xfId="0" applyAlignment="1" applyBorder="1" applyFont="1" applyNumberFormat="1">
      <alignment readingOrder="0" vertical="bottom"/>
    </xf>
    <xf borderId="8" fillId="2" fontId="15" numFmtId="166" xfId="0" applyAlignment="1" applyBorder="1" applyFont="1" applyNumberFormat="1">
      <alignment horizontal="right" readingOrder="0" vertical="bottom"/>
    </xf>
    <xf borderId="8" fillId="16" fontId="15" numFmtId="166" xfId="0" applyAlignment="1" applyBorder="1" applyFont="1" applyNumberFormat="1">
      <alignment horizontal="right" readingOrder="0" vertical="bottom"/>
    </xf>
    <xf borderId="8" fillId="16" fontId="15" numFmtId="4" xfId="0" applyAlignment="1" applyBorder="1" applyFont="1" applyNumberFormat="1">
      <alignment horizontal="right" readingOrder="0" vertical="bottom"/>
    </xf>
    <xf borderId="9" fillId="3" fontId="16" numFmtId="166" xfId="0" applyAlignment="1" applyBorder="1" applyFont="1" applyNumberFormat="1">
      <alignment horizontal="right" vertical="bottom"/>
    </xf>
    <xf borderId="0" fillId="0" fontId="17" numFmtId="167" xfId="0" applyAlignment="1" applyFont="1" applyNumberFormat="1">
      <alignment horizontal="right" vertical="bottom"/>
    </xf>
    <xf borderId="5" fillId="3" fontId="16" numFmtId="167" xfId="0" applyAlignment="1" applyBorder="1" applyFont="1" applyNumberFormat="1">
      <alignment horizontal="right" vertical="bottom"/>
    </xf>
    <xf borderId="4" fillId="18" fontId="15" numFmtId="0" xfId="0" applyAlignment="1" applyBorder="1" applyFill="1" applyFont="1">
      <alignment readingOrder="0" vertical="bottom"/>
    </xf>
    <xf borderId="0" fillId="16" fontId="15" numFmtId="167" xfId="0" applyAlignment="1" applyFont="1" applyNumberFormat="1">
      <alignment horizontal="right" readingOrder="0" vertical="bottom"/>
    </xf>
    <xf borderId="10" fillId="11" fontId="18" numFmtId="0" xfId="0" applyAlignment="1" applyBorder="1" applyFont="1">
      <alignment horizontal="left" readingOrder="0"/>
    </xf>
    <xf borderId="11" fillId="2" fontId="15" numFmtId="167" xfId="0" applyAlignment="1" applyBorder="1" applyFont="1" applyNumberFormat="1">
      <alignment vertical="bottom"/>
    </xf>
    <xf borderId="8" fillId="2" fontId="15" numFmtId="167" xfId="0" applyAlignment="1" applyBorder="1" applyFont="1" applyNumberFormat="1">
      <alignment vertical="bottom"/>
    </xf>
    <xf borderId="9" fillId="3" fontId="16" numFmtId="167" xfId="0" applyAlignment="1" applyBorder="1" applyFont="1" applyNumberFormat="1">
      <alignment horizontal="right" vertical="bottom"/>
    </xf>
    <xf borderId="1" fillId="0" fontId="17" numFmtId="167" xfId="0" applyAlignment="1" applyBorder="1" applyFont="1" applyNumberFormat="1">
      <alignment horizontal="right" vertical="bottom"/>
    </xf>
    <xf borderId="4" fillId="0" fontId="15" numFmtId="2" xfId="0" applyAlignment="1" applyBorder="1" applyFont="1" applyNumberFormat="1">
      <alignment vertical="bottom"/>
    </xf>
    <xf borderId="0" fillId="0" fontId="15" numFmtId="2" xfId="0" applyAlignment="1" applyFont="1" applyNumberFormat="1">
      <alignment vertical="bottom"/>
    </xf>
    <xf borderId="5" fillId="3" fontId="15" numFmtId="167" xfId="0" applyAlignment="1" applyBorder="1" applyFont="1" applyNumberFormat="1">
      <alignment vertical="bottom"/>
    </xf>
    <xf borderId="4" fillId="19" fontId="15" numFmtId="0" xfId="0" applyAlignment="1" applyBorder="1" applyFill="1" applyFont="1">
      <alignment readingOrder="0" vertical="bottom"/>
    </xf>
    <xf borderId="0" fillId="19" fontId="15" numFmtId="0" xfId="0" applyAlignment="1" applyFont="1">
      <alignment vertical="bottom"/>
    </xf>
    <xf borderId="0" fillId="0" fontId="15" numFmtId="172" xfId="0" applyAlignment="1" applyFont="1" applyNumberFormat="1">
      <alignment vertical="bottom"/>
    </xf>
    <xf borderId="4" fillId="20" fontId="14" numFmtId="0" xfId="0" applyAlignment="1" applyBorder="1" applyFill="1" applyFont="1">
      <alignment vertical="bottom"/>
    </xf>
    <xf borderId="4" fillId="16" fontId="15" numFmtId="0" xfId="0" applyAlignment="1" applyBorder="1" applyFont="1">
      <alignment readingOrder="0" vertical="bottom"/>
    </xf>
    <xf borderId="0" fillId="0" fontId="15" numFmtId="167" xfId="0" applyAlignment="1" applyFont="1" applyNumberFormat="1">
      <alignment horizontal="right" vertical="bottom"/>
    </xf>
    <xf borderId="5" fillId="3" fontId="16" numFmtId="3" xfId="0" applyAlignment="1" applyBorder="1" applyFont="1" applyNumberFormat="1">
      <alignment horizontal="right" vertical="bottom"/>
    </xf>
    <xf borderId="4" fillId="16" fontId="17" numFmtId="0" xfId="0" applyAlignment="1" applyBorder="1" applyFont="1">
      <alignment readingOrder="0" vertical="bottom"/>
    </xf>
    <xf borderId="0" fillId="21" fontId="17" numFmtId="167" xfId="0" applyAlignment="1" applyFill="1" applyFont="1" applyNumberFormat="1">
      <alignment horizontal="right" shrinkToFit="0" vertical="bottom" wrapText="1"/>
    </xf>
    <xf borderId="5" fillId="3" fontId="19" numFmtId="0" xfId="0" applyBorder="1" applyFont="1"/>
    <xf borderId="4" fillId="20" fontId="14" numFmtId="0" xfId="0" applyAlignment="1" applyBorder="1" applyFont="1">
      <alignment readingOrder="0" vertical="bottom"/>
    </xf>
    <xf borderId="4" fillId="21" fontId="15" numFmtId="0" xfId="0" applyAlignment="1" applyBorder="1" applyFont="1">
      <alignment readingOrder="0" vertical="bottom"/>
    </xf>
    <xf borderId="0" fillId="0" fontId="15" numFmtId="3" xfId="0" applyAlignment="1" applyFont="1" applyNumberFormat="1">
      <alignment horizontal="right" readingOrder="0" vertical="bottom"/>
    </xf>
    <xf borderId="0" fillId="0" fontId="15" numFmtId="0" xfId="0" applyAlignment="1" applyFont="1">
      <alignment horizontal="right" vertical="bottom"/>
    </xf>
    <xf borderId="0" fillId="0" fontId="15" numFmtId="3" xfId="0" applyAlignment="1" applyFont="1" applyNumberFormat="1">
      <alignment horizontal="right" vertical="bottom"/>
    </xf>
    <xf borderId="4" fillId="21" fontId="17" numFmtId="0" xfId="0" applyAlignment="1" applyBorder="1" applyFont="1">
      <alignment readingOrder="0" vertical="bottom"/>
    </xf>
    <xf borderId="0" fillId="21" fontId="17" numFmtId="3" xfId="0" applyAlignment="1" applyFont="1" applyNumberFormat="1">
      <alignment horizontal="right" vertical="bottom"/>
    </xf>
    <xf borderId="0" fillId="21" fontId="17" numFmtId="0" xfId="0" applyAlignment="1" applyFont="1">
      <alignment horizontal="right" vertical="bottom"/>
    </xf>
    <xf borderId="4" fillId="20" fontId="20" numFmtId="0" xfId="0" applyAlignment="1" applyBorder="1" applyFont="1">
      <alignment readingOrder="0" vertical="bottom"/>
    </xf>
    <xf borderId="0" fillId="20" fontId="15" numFmtId="0" xfId="0" applyAlignment="1" applyFont="1">
      <alignment vertical="bottom"/>
    </xf>
    <xf borderId="4" fillId="22" fontId="15" numFmtId="0" xfId="0" applyAlignment="1" applyBorder="1" applyFill="1" applyFont="1">
      <alignment readingOrder="0" vertical="bottom"/>
    </xf>
    <xf borderId="0" fillId="0" fontId="15" numFmtId="166" xfId="0" applyAlignment="1" applyFont="1" applyNumberFormat="1">
      <alignment horizontal="right" readingOrder="0" vertical="bottom"/>
    </xf>
    <xf borderId="4" fillId="0" fontId="15" numFmtId="166" xfId="0" applyAlignment="1" applyBorder="1" applyFont="1" applyNumberFormat="1">
      <alignment horizontal="right" readingOrder="0" vertical="bottom"/>
    </xf>
    <xf borderId="4" fillId="23" fontId="17" numFmtId="0" xfId="0" applyAlignment="1" applyBorder="1" applyFill="1" applyFont="1">
      <alignment readingOrder="0" vertical="bottom"/>
    </xf>
    <xf borderId="0" fillId="23" fontId="17" numFmtId="166" xfId="0" applyAlignment="1" applyFont="1" applyNumberFormat="1">
      <alignment horizontal="right" vertical="bottom"/>
    </xf>
    <xf borderId="0" fillId="20" fontId="15" numFmtId="1" xfId="0" applyAlignment="1" applyFont="1" applyNumberFormat="1">
      <alignment horizontal="right" readingOrder="0" vertical="bottom"/>
    </xf>
    <xf borderId="4" fillId="24" fontId="15" numFmtId="0" xfId="0" applyAlignment="1" applyBorder="1" applyFill="1" applyFont="1">
      <alignment readingOrder="0" vertical="bottom"/>
    </xf>
    <xf borderId="0" fillId="0" fontId="21" numFmtId="0" xfId="0" applyAlignment="1" applyFont="1">
      <alignment readingOrder="0"/>
    </xf>
    <xf borderId="0" fillId="0" fontId="15" numFmtId="1" xfId="0" applyAlignment="1" applyFont="1" applyNumberFormat="1">
      <alignment horizontal="right" readingOrder="0" vertical="bottom"/>
    </xf>
    <xf borderId="0" fillId="0" fontId="15" numFmtId="0" xfId="0" applyAlignment="1" applyFont="1">
      <alignment horizontal="right" readingOrder="0" vertical="bottom"/>
    </xf>
    <xf borderId="0" fillId="0" fontId="22" numFmtId="3" xfId="0" applyAlignment="1" applyFont="1" applyNumberFormat="1">
      <alignment horizontal="right" readingOrder="0" shrinkToFit="0" wrapText="0"/>
    </xf>
    <xf borderId="0" fillId="0" fontId="23" numFmtId="0" xfId="0" applyAlignment="1" applyFont="1">
      <alignment horizontal="right" readingOrder="0" shrinkToFit="0" wrapText="0"/>
    </xf>
    <xf borderId="4" fillId="25" fontId="17" numFmtId="0" xfId="0" applyAlignment="1" applyBorder="1" applyFill="1" applyFont="1">
      <alignment readingOrder="0" vertical="bottom"/>
    </xf>
    <xf borderId="0" fillId="25" fontId="17" numFmtId="1" xfId="0" applyAlignment="1" applyFont="1" applyNumberFormat="1">
      <alignment horizontal="right" vertical="bottom"/>
    </xf>
    <xf borderId="0" fillId="0" fontId="15" numFmtId="1" xfId="0" applyAlignment="1" applyFont="1" applyNumberFormat="1">
      <alignment vertical="bottom"/>
    </xf>
    <xf borderId="5" fillId="3" fontId="15" numFmtId="0" xfId="0" applyAlignment="1" applyBorder="1" applyFont="1">
      <alignment readingOrder="0" vertical="bottom"/>
    </xf>
    <xf borderId="0" fillId="0" fontId="22" numFmtId="0" xfId="0" applyAlignment="1" applyFont="1">
      <alignment horizontal="right" readingOrder="0" shrinkToFit="0" wrapText="0"/>
    </xf>
    <xf borderId="0" fillId="0" fontId="15" numFmtId="3" xfId="0" applyAlignment="1" applyFont="1" applyNumberFormat="1">
      <alignment readingOrder="0" vertical="bottom"/>
    </xf>
    <xf borderId="0" fillId="0" fontId="22" numFmtId="1" xfId="0" applyAlignment="1" applyFont="1" applyNumberFormat="1">
      <alignment horizontal="right" readingOrder="0" shrinkToFit="0" wrapText="0"/>
    </xf>
    <xf borderId="0" fillId="0" fontId="15" numFmtId="1" xfId="0" applyAlignment="1" applyFont="1" applyNumberFormat="1">
      <alignment readingOrder="0" vertical="bottom"/>
    </xf>
    <xf borderId="4" fillId="0" fontId="2" numFmtId="0" xfId="0" applyBorder="1" applyFont="1"/>
    <xf borderId="0" fillId="3" fontId="21" numFmtId="0" xfId="0" applyFont="1"/>
    <xf borderId="0" fillId="3" fontId="21" numFmtId="0" xfId="0" applyAlignment="1" applyFont="1">
      <alignment readingOrder="0"/>
    </xf>
    <xf borderId="4" fillId="26" fontId="17" numFmtId="0" xfId="0" applyAlignment="1" applyBorder="1" applyFill="1" applyFont="1">
      <alignment readingOrder="0" vertical="bottom"/>
    </xf>
    <xf borderId="0" fillId="26" fontId="17" numFmtId="0" xfId="0" applyAlignment="1" applyFont="1">
      <alignment readingOrder="0"/>
    </xf>
    <xf borderId="0" fillId="26" fontId="24" numFmtId="0" xfId="0" applyAlignment="1" applyFont="1">
      <alignment readingOrder="0"/>
    </xf>
    <xf borderId="0" fillId="20" fontId="2" numFmtId="0" xfId="0" applyFont="1"/>
    <xf borderId="0" fillId="0" fontId="21" numFmtId="1" xfId="0" applyAlignment="1" applyFont="1" applyNumberFormat="1">
      <alignment readingOrder="0"/>
    </xf>
    <xf borderId="0" fillId="25" fontId="17" numFmtId="1" xfId="0" applyAlignment="1" applyFont="1" applyNumberFormat="1">
      <alignment readingOrder="0" vertical="bottom"/>
    </xf>
    <xf borderId="0" fillId="0" fontId="25" numFmtId="1" xfId="0" applyAlignment="1" applyFont="1" applyNumberFormat="1">
      <alignment horizontal="right" readingOrder="0" shrinkToFit="0" wrapText="0"/>
    </xf>
    <xf borderId="0" fillId="0" fontId="21" numFmtId="0" xfId="0" applyFont="1"/>
    <xf borderId="0" fillId="0" fontId="21" numFmtId="1" xfId="0" applyFont="1" applyNumberFormat="1"/>
    <xf borderId="0" fillId="0" fontId="21" numFmtId="3" xfId="0" applyFont="1" applyNumberFormat="1"/>
    <xf borderId="0" fillId="0" fontId="15" numFmtId="1" xfId="0" applyAlignment="1" applyFont="1" applyNumberFormat="1">
      <alignment horizontal="right" vertical="bottom"/>
    </xf>
    <xf borderId="4" fillId="20" fontId="26" numFmtId="0" xfId="0" applyAlignment="1" applyBorder="1" applyFont="1">
      <alignment readingOrder="0" vertical="bottom"/>
    </xf>
    <xf borderId="0" fillId="20" fontId="15" numFmtId="2" xfId="0" applyAlignment="1" applyFont="1" applyNumberFormat="1">
      <alignment vertical="bottom"/>
    </xf>
    <xf borderId="4" fillId="27" fontId="15" numFmtId="0" xfId="0" applyAlignment="1" applyBorder="1" applyFill="1" applyFont="1">
      <alignment readingOrder="0" vertical="bottom"/>
    </xf>
    <xf borderId="0" fillId="27" fontId="15" numFmtId="1" xfId="0" applyAlignment="1" applyFont="1" applyNumberFormat="1">
      <alignment readingOrder="0" vertical="bottom"/>
    </xf>
    <xf borderId="0" fillId="27" fontId="27" numFmtId="1" xfId="0" applyAlignment="1" applyFont="1" applyNumberFormat="1">
      <alignment readingOrder="0" vertical="bottom"/>
    </xf>
    <xf borderId="4" fillId="28" fontId="20" numFmtId="0" xfId="0" applyAlignment="1" applyBorder="1" applyFill="1" applyFont="1">
      <alignment readingOrder="0" vertical="bottom"/>
    </xf>
    <xf borderId="0" fillId="28" fontId="17" numFmtId="1" xfId="0" applyAlignment="1" applyFont="1" applyNumberFormat="1">
      <alignment horizontal="right" vertical="bottom"/>
    </xf>
    <xf borderId="0" fillId="20" fontId="15" numFmtId="166" xfId="0" applyAlignment="1" applyFont="1" applyNumberFormat="1">
      <alignment readingOrder="0" vertical="bottom"/>
    </xf>
    <xf borderId="0" fillId="20" fontId="15" numFmtId="166" xfId="0" applyAlignment="1" applyFont="1" applyNumberFormat="1">
      <alignment vertical="bottom"/>
    </xf>
    <xf borderId="0" fillId="0" fontId="15" numFmtId="166" xfId="0" applyAlignment="1" applyFont="1" applyNumberFormat="1">
      <alignment readingOrder="0" vertical="bottom"/>
    </xf>
    <xf borderId="0" fillId="0" fontId="27" numFmtId="166" xfId="0" applyAlignment="1" applyFont="1" applyNumberFormat="1">
      <alignment readingOrder="0" vertical="bottom"/>
    </xf>
    <xf borderId="0" fillId="0" fontId="27" numFmtId="166" xfId="0" applyAlignment="1" applyFont="1" applyNumberFormat="1">
      <alignment horizontal="right" readingOrder="0" vertical="bottom"/>
    </xf>
    <xf borderId="0" fillId="0" fontId="21" numFmtId="166" xfId="0" applyAlignment="1" applyFont="1" applyNumberFormat="1">
      <alignment readingOrder="0" vertical="bottom"/>
    </xf>
    <xf borderId="0" fillId="0" fontId="28" numFmtId="166" xfId="0" applyAlignment="1" applyFont="1" applyNumberFormat="1">
      <alignment horizontal="right" readingOrder="0"/>
    </xf>
    <xf borderId="0" fillId="28" fontId="17" numFmtId="166" xfId="0" applyAlignment="1" applyFont="1" applyNumberFormat="1">
      <alignment horizontal="right" vertical="bottom"/>
    </xf>
    <xf borderId="0" fillId="0" fontId="15" numFmtId="166" xfId="0" applyAlignment="1" applyFont="1" applyNumberFormat="1">
      <alignment vertical="bottom"/>
    </xf>
    <xf borderId="0" fillId="0" fontId="21" numFmtId="166" xfId="0" applyAlignment="1" applyFont="1" applyNumberFormat="1">
      <alignment readingOrder="0"/>
    </xf>
    <xf borderId="0" fillId="0" fontId="21" numFmtId="171" xfId="0" applyAlignment="1" applyFont="1" applyNumberFormat="1">
      <alignment readingOrder="0"/>
    </xf>
    <xf borderId="5" fillId="3" fontId="1" numFmtId="0" xfId="0" applyAlignment="1" applyBorder="1" applyFont="1">
      <alignment vertical="bottom"/>
    </xf>
    <xf borderId="4" fillId="29" fontId="15" numFmtId="0" xfId="0" applyAlignment="1" applyBorder="1" applyFill="1" applyFont="1">
      <alignment readingOrder="0" vertical="bottom"/>
    </xf>
    <xf borderId="0" fillId="29" fontId="15" numFmtId="1" xfId="0" applyAlignment="1" applyFont="1" applyNumberFormat="1">
      <alignment readingOrder="0" vertical="bottom"/>
    </xf>
    <xf borderId="0" fillId="29" fontId="27" numFmtId="1" xfId="0" applyAlignment="1" applyFont="1" applyNumberFormat="1">
      <alignment readingOrder="0" vertical="bottom"/>
    </xf>
    <xf borderId="4" fillId="26" fontId="20" numFmtId="166" xfId="0" applyAlignment="1" applyBorder="1" applyFont="1" applyNumberFormat="1">
      <alignment horizontal="left" readingOrder="0" vertical="bottom"/>
    </xf>
    <xf borderId="0" fillId="26" fontId="24" numFmtId="166" xfId="0" applyAlignment="1" applyFont="1" applyNumberFormat="1">
      <alignment readingOrder="0"/>
    </xf>
    <xf borderId="5" fillId="3" fontId="16" numFmtId="166" xfId="0" applyAlignment="1" applyBorder="1" applyFont="1" applyNumberFormat="1">
      <alignment vertical="bottom"/>
    </xf>
    <xf borderId="4" fillId="8" fontId="15" numFmtId="0" xfId="0" applyAlignment="1" applyBorder="1" applyFont="1">
      <alignment readingOrder="0" vertical="bottom"/>
    </xf>
    <xf borderId="0" fillId="8" fontId="17" numFmtId="0" xfId="0" applyAlignment="1" applyFont="1">
      <alignment readingOrder="0" vertical="bottom"/>
    </xf>
    <xf borderId="4" fillId="9" fontId="17" numFmtId="0" xfId="0" applyAlignment="1" applyBorder="1" applyFont="1">
      <alignment readingOrder="0" vertical="bottom"/>
    </xf>
    <xf borderId="0" fillId="9" fontId="17" numFmtId="1" xfId="0" applyAlignment="1" applyFont="1" applyNumberFormat="1">
      <alignment horizontal="right" vertical="bottom"/>
    </xf>
    <xf borderId="4" fillId="9" fontId="17" numFmtId="0" xfId="0" applyAlignment="1" applyBorder="1" applyFont="1">
      <alignment horizontal="left" readingOrder="0" vertical="bottom"/>
    </xf>
    <xf borderId="0" fillId="0" fontId="15" numFmtId="2" xfId="0" applyAlignment="1" applyFont="1" applyNumberFormat="1">
      <alignment readingOrder="0" vertical="bottom"/>
    </xf>
    <xf borderId="4" fillId="9" fontId="17" numFmtId="1" xfId="0" applyAlignment="1" applyBorder="1" applyFont="1" applyNumberFormat="1">
      <alignment horizontal="left" readingOrder="0" vertical="bottom"/>
    </xf>
    <xf borderId="0" fillId="9" fontId="17" numFmtId="166" xfId="0" applyAlignment="1" applyFont="1" applyNumberFormat="1">
      <alignment horizontal="right" vertical="bottom"/>
    </xf>
    <xf borderId="4" fillId="0" fontId="14" numFmtId="0" xfId="0" applyAlignment="1" applyBorder="1" applyFont="1">
      <alignment readingOrder="0" vertical="bottom"/>
    </xf>
    <xf borderId="0" fillId="20" fontId="21" numFmtId="0" xfId="0" applyFont="1"/>
    <xf borderId="0" fillId="8" fontId="15" numFmtId="0" xfId="0" applyAlignment="1" applyFont="1">
      <alignment readingOrder="0" vertical="bottom"/>
    </xf>
    <xf borderId="6" fillId="0" fontId="21" numFmtId="0" xfId="0" applyBorder="1" applyFont="1"/>
    <xf borderId="0" fillId="0" fontId="21" numFmtId="166" xfId="0" applyAlignment="1" applyFont="1" applyNumberFormat="1">
      <alignment horizontal="right" readingOrder="0"/>
    </xf>
    <xf borderId="0" fillId="9" fontId="17" numFmtId="166" xfId="0" applyAlignment="1" applyFont="1" applyNumberFormat="1">
      <alignment horizontal="right" readingOrder="0" vertical="bottom"/>
    </xf>
    <xf borderId="0" fillId="0" fontId="21" numFmtId="0" xfId="0" applyAlignment="1" applyFont="1">
      <alignment horizontal="right"/>
    </xf>
    <xf borderId="0" fillId="20" fontId="29" numFmtId="0" xfId="0" applyAlignment="1" applyFont="1">
      <alignment readingOrder="0"/>
    </xf>
    <xf borderId="0" fillId="8" fontId="15" numFmtId="1" xfId="0" applyAlignment="1" applyFont="1" applyNumberFormat="1">
      <alignment readingOrder="0" vertical="bottom"/>
    </xf>
    <xf borderId="0" fillId="11" fontId="15" numFmtId="1" xfId="0" applyAlignment="1" applyFont="1" applyNumberFormat="1">
      <alignment readingOrder="0" vertical="bottom"/>
    </xf>
    <xf borderId="0" fillId="11" fontId="15" numFmtId="0" xfId="0" applyAlignment="1" applyFont="1">
      <alignment readingOrder="0" vertical="bottom"/>
    </xf>
    <xf borderId="0" fillId="9" fontId="17" numFmtId="1" xfId="0" applyAlignment="1" applyFont="1" applyNumberFormat="1">
      <alignment readingOrder="0" vertical="bottom"/>
    </xf>
    <xf borderId="4" fillId="0" fontId="15" numFmtId="1" xfId="0" applyAlignment="1" applyBorder="1" applyFont="1" applyNumberFormat="1">
      <alignment horizontal="left" vertical="bottom"/>
    </xf>
    <xf borderId="4" fillId="8" fontId="17" numFmtId="0" xfId="0" applyAlignment="1" applyBorder="1" applyFont="1">
      <alignment readingOrder="0" vertical="bottom"/>
    </xf>
    <xf borderId="0" fillId="9" fontId="17" numFmtId="1" xfId="0" applyAlignment="1" applyFont="1" applyNumberFormat="1">
      <alignment horizontal="left" readingOrder="0" vertical="bottom"/>
    </xf>
    <xf borderId="4" fillId="30" fontId="15" numFmtId="0" xfId="0" applyAlignment="1" applyBorder="1" applyFill="1" applyFont="1">
      <alignment readingOrder="0" vertical="bottom"/>
    </xf>
    <xf borderId="12" fillId="22" fontId="17" numFmtId="0" xfId="0" applyAlignment="1" applyBorder="1" applyFont="1">
      <alignment readingOrder="0" vertical="bottom"/>
    </xf>
    <xf borderId="1" fillId="31" fontId="15" numFmtId="167" xfId="0" applyAlignment="1" applyBorder="1" applyFill="1" applyFont="1" applyNumberFormat="1">
      <alignment horizontal="right" vertical="bottom"/>
    </xf>
    <xf borderId="13" fillId="3" fontId="16" numFmtId="167" xfId="0" applyAlignment="1" applyBorder="1" applyFont="1" applyNumberFormat="1">
      <alignment horizontal="right" vertical="bottom"/>
    </xf>
    <xf borderId="4" fillId="22" fontId="17" numFmtId="0" xfId="0" applyAlignment="1" applyBorder="1" applyFont="1">
      <alignment readingOrder="0" vertical="bottom"/>
    </xf>
    <xf borderId="1" fillId="0" fontId="15" numFmtId="167" xfId="0" applyAlignment="1" applyBorder="1" applyFont="1" applyNumberFormat="1">
      <alignment horizontal="right" vertical="bottom"/>
    </xf>
    <xf borderId="0" fillId="0" fontId="15" numFmtId="173" xfId="0" applyAlignment="1" applyFont="1" applyNumberFormat="1">
      <alignment vertical="bottom"/>
    </xf>
    <xf borderId="10" fillId="7" fontId="17" numFmtId="0" xfId="0" applyAlignment="1" applyBorder="1" applyFont="1">
      <alignment readingOrder="0" vertical="bottom"/>
    </xf>
    <xf borderId="8" fillId="0" fontId="15" numFmtId="173" xfId="0" applyAlignment="1" applyBorder="1" applyFont="1" applyNumberFormat="1">
      <alignment vertical="bottom"/>
    </xf>
    <xf borderId="8" fillId="3" fontId="16" numFmtId="167" xfId="0" applyAlignment="1" applyBorder="1" applyFont="1" applyNumberFormat="1">
      <alignment horizontal="right" vertical="bottom"/>
    </xf>
    <xf borderId="10" fillId="22" fontId="17" numFmtId="0" xfId="0" applyAlignment="1" applyBorder="1" applyFont="1">
      <alignment readingOrder="0" vertical="bottom"/>
    </xf>
    <xf borderId="8" fillId="0" fontId="15" numFmtId="167" xfId="0" applyAlignment="1" applyBorder="1" applyFont="1" applyNumberFormat="1">
      <alignment horizontal="right" vertical="bottom"/>
    </xf>
    <xf borderId="4" fillId="22" fontId="30" numFmtId="0" xfId="0" applyAlignment="1" applyBorder="1" applyFont="1">
      <alignment readingOrder="0" vertical="bottom"/>
    </xf>
    <xf borderId="0" fillId="0" fontId="15" numFmtId="167" xfId="0" applyAlignment="1" applyFont="1" applyNumberFormat="1">
      <alignment vertical="bottom"/>
    </xf>
    <xf borderId="8" fillId="0" fontId="15" numFmtId="167" xfId="0" applyAlignment="1" applyBorder="1" applyFont="1" applyNumberFormat="1">
      <alignment vertical="bottom"/>
    </xf>
    <xf borderId="8" fillId="0" fontId="15" numFmtId="167" xfId="0" applyAlignment="1" applyBorder="1" applyFont="1" applyNumberFormat="1">
      <alignment horizontal="right" readingOrder="0" vertical="bottom"/>
    </xf>
    <xf borderId="0" fillId="0" fontId="15" numFmtId="167" xfId="0" applyAlignment="1" applyFont="1" applyNumberFormat="1">
      <alignment horizontal="right" readingOrder="0" vertical="bottom"/>
    </xf>
    <xf borderId="4" fillId="9" fontId="17" numFmtId="167" xfId="0" applyAlignment="1" applyBorder="1" applyFont="1" applyNumberFormat="1">
      <alignment readingOrder="0" vertical="bottom"/>
    </xf>
    <xf borderId="0" fillId="9" fontId="17" numFmtId="167" xfId="0" applyAlignment="1" applyFont="1" applyNumberFormat="1">
      <alignment readingOrder="0" vertical="bottom"/>
    </xf>
    <xf borderId="14" fillId="3" fontId="17" numFmtId="167" xfId="0" applyAlignment="1" applyBorder="1" applyFont="1" applyNumberFormat="1">
      <alignment readingOrder="0" vertical="bottom"/>
    </xf>
    <xf borderId="5" fillId="3" fontId="2" numFmtId="0" xfId="0" applyBorder="1" applyFont="1"/>
    <xf borderId="15" fillId="32" fontId="15" numFmtId="0" xfId="0" applyAlignment="1" applyBorder="1" applyFill="1" applyFont="1">
      <alignment readingOrder="0" vertical="bottom"/>
    </xf>
    <xf borderId="16" fillId="0" fontId="15" numFmtId="167" xfId="0" applyAlignment="1" applyBorder="1" applyFont="1" applyNumberFormat="1">
      <alignment horizontal="right" readingOrder="0" vertical="bottom"/>
    </xf>
    <xf borderId="17" fillId="3" fontId="16" numFmtId="167" xfId="0" applyAlignment="1" applyBorder="1" applyFont="1" applyNumberFormat="1">
      <alignment horizontal="right" vertical="bottom"/>
    </xf>
    <xf borderId="4" fillId="0" fontId="15" numFmtId="166" xfId="0" applyAlignment="1" applyBorder="1" applyFont="1" applyNumberFormat="1">
      <alignment horizontal="right" vertical="bottom"/>
    </xf>
    <xf borderId="4" fillId="32" fontId="15" numFmtId="0" xfId="0" applyAlignment="1" applyBorder="1" applyFont="1">
      <alignment vertical="bottom"/>
    </xf>
    <xf borderId="4" fillId="0" fontId="15" numFmtId="166" xfId="0" applyAlignment="1" applyBorder="1" applyFont="1" applyNumberFormat="1">
      <alignment readingOrder="0" vertical="bottom"/>
    </xf>
    <xf borderId="0" fillId="0" fontId="15" numFmtId="10" xfId="0" applyAlignment="1" applyFont="1" applyNumberFormat="1">
      <alignment horizontal="right" readingOrder="0" vertical="bottom"/>
    </xf>
    <xf borderId="4" fillId="0" fontId="15" numFmtId="10" xfId="0" applyAlignment="1" applyBorder="1" applyFont="1" applyNumberFormat="1">
      <alignment readingOrder="0" vertical="bottom"/>
    </xf>
    <xf borderId="18" fillId="32" fontId="15" numFmtId="0" xfId="0" applyAlignment="1" applyBorder="1" applyFont="1">
      <alignment vertical="bottom"/>
    </xf>
    <xf borderId="19" fillId="0" fontId="15" numFmtId="2" xfId="0" applyAlignment="1" applyBorder="1" applyFont="1" applyNumberFormat="1">
      <alignment horizontal="right" vertical="bottom"/>
    </xf>
    <xf borderId="20" fillId="3" fontId="16" numFmtId="167" xfId="0" applyAlignment="1" applyBorder="1" applyFont="1" applyNumberFormat="1">
      <alignment horizontal="right" vertical="bottom"/>
    </xf>
    <xf borderId="0" fillId="2" fontId="15" numFmtId="167" xfId="0" applyAlignment="1" applyFont="1" applyNumberFormat="1">
      <alignment horizontal="right" readingOrder="0" vertical="bottom"/>
    </xf>
    <xf borderId="4" fillId="22" fontId="15" numFmtId="0" xfId="0" applyAlignment="1" applyBorder="1" applyFont="1">
      <alignment vertical="bottom"/>
    </xf>
    <xf borderId="4" fillId="22" fontId="15" numFmtId="0" xfId="0" applyAlignment="1" applyBorder="1" applyFont="1">
      <alignment readingOrder="0" vertical="bottom"/>
    </xf>
    <xf borderId="0" fillId="7" fontId="15" numFmtId="167" xfId="0" applyAlignment="1" applyFont="1" applyNumberFormat="1">
      <alignment horizontal="right" readingOrder="0" vertical="bottom"/>
    </xf>
    <xf borderId="1" fillId="2" fontId="15" numFmtId="167" xfId="0" applyAlignment="1" applyBorder="1" applyFont="1" applyNumberFormat="1">
      <alignment horizontal="right" readingOrder="0" vertical="bottom"/>
    </xf>
    <xf borderId="0" fillId="4" fontId="15" numFmtId="167" xfId="0" applyAlignment="1" applyFont="1" applyNumberFormat="1">
      <alignment horizontal="right" readingOrder="0" vertical="bottom"/>
    </xf>
    <xf borderId="5" fillId="4" fontId="16" numFmtId="167" xfId="0" applyAlignment="1" applyBorder="1" applyFont="1" applyNumberFormat="1">
      <alignment horizontal="right" vertical="bottom"/>
    </xf>
    <xf borderId="8" fillId="4" fontId="15" numFmtId="173" xfId="0" applyAlignment="1" applyBorder="1" applyFont="1" applyNumberFormat="1">
      <alignment horizontal="right" readingOrder="0" vertical="bottom"/>
    </xf>
    <xf borderId="9" fillId="4" fontId="16" numFmtId="167" xfId="0" applyAlignment="1" applyBorder="1" applyFont="1" applyNumberFormat="1">
      <alignment horizontal="right" vertical="bottom"/>
    </xf>
    <xf borderId="4" fillId="32" fontId="15" numFmtId="0" xfId="0" applyAlignment="1" applyBorder="1" applyFont="1">
      <alignment readingOrder="0" vertical="bottom"/>
    </xf>
    <xf borderId="0" fillId="3" fontId="15" numFmtId="167" xfId="0" applyAlignment="1" applyFont="1" applyNumberFormat="1">
      <alignment vertical="bottom"/>
    </xf>
    <xf borderId="0" fillId="9" fontId="17" numFmtId="167" xfId="0" applyAlignment="1" applyFont="1" applyNumberFormat="1">
      <alignment vertical="bottom"/>
    </xf>
    <xf borderId="21" fillId="0" fontId="1" numFmtId="167" xfId="0" applyAlignment="1" applyBorder="1" applyFont="1" applyNumberFormat="1">
      <alignment horizontal="right" vertical="bottom"/>
    </xf>
    <xf borderId="16" fillId="0" fontId="1" numFmtId="167" xfId="0" applyAlignment="1" applyBorder="1" applyFont="1" applyNumberFormat="1">
      <alignment horizontal="right" vertical="bottom"/>
    </xf>
    <xf borderId="16" fillId="0" fontId="1" numFmtId="0" xfId="0" applyAlignment="1" applyBorder="1" applyFont="1">
      <alignment vertical="bottom"/>
    </xf>
    <xf borderId="17" fillId="3" fontId="15" numFmtId="0" xfId="0" applyAlignment="1" applyBorder="1" applyFont="1">
      <alignment vertical="bottom"/>
    </xf>
    <xf borderId="0" fillId="0" fontId="1" numFmtId="167" xfId="0" applyAlignment="1" applyFont="1" applyNumberFormat="1">
      <alignment horizontal="right" vertical="bottom"/>
    </xf>
    <xf borderId="0" fillId="0" fontId="1" numFmtId="0" xfId="0" applyAlignment="1" applyFont="1">
      <alignment vertical="bottom"/>
    </xf>
    <xf borderId="0" fillId="32" fontId="15" numFmtId="0" xfId="0" applyAlignment="1" applyFont="1">
      <alignment readingOrder="0" vertical="bottom"/>
    </xf>
    <xf borderId="4" fillId="0" fontId="15" numFmtId="166" xfId="0" applyAlignment="1" applyBorder="1" applyFont="1" applyNumberFormat="1">
      <alignment vertical="bottom"/>
    </xf>
    <xf borderId="4" fillId="0" fontId="15" numFmtId="10" xfId="0" applyAlignment="1" applyBorder="1" applyFont="1" applyNumberFormat="1">
      <alignment vertical="bottom"/>
    </xf>
    <xf borderId="5" fillId="3" fontId="1" numFmtId="0" xfId="0" applyBorder="1" applyFont="1"/>
    <xf borderId="6" fillId="0" fontId="15" numFmtId="167" xfId="0" applyAlignment="1" applyBorder="1" applyFont="1" applyNumberFormat="1">
      <alignment vertical="bottom"/>
    </xf>
    <xf borderId="5" fillId="3" fontId="2" numFmtId="166" xfId="0" applyBorder="1" applyFont="1" applyNumberFormat="1"/>
    <xf borderId="4" fillId="0" fontId="1" numFmtId="0" xfId="0" applyAlignment="1" applyBorder="1" applyFont="1">
      <alignment vertical="bottom"/>
    </xf>
    <xf borderId="4" fillId="12" fontId="31" numFmtId="0" xfId="0" applyAlignment="1" applyBorder="1" applyFont="1">
      <alignment readingOrder="0" vertical="bottom"/>
    </xf>
    <xf borderId="4" fillId="0" fontId="18" numFmtId="0" xfId="0" applyAlignment="1" applyBorder="1" applyFont="1">
      <alignment readingOrder="0" vertical="bottom"/>
    </xf>
    <xf borderId="0" fillId="0" fontId="15" numFmtId="174" xfId="0" applyAlignment="1" applyFont="1" applyNumberFormat="1">
      <alignment horizontal="right" readingOrder="0" vertical="bottom"/>
    </xf>
    <xf borderId="5" fillId="3" fontId="16" numFmtId="166" xfId="0" applyAlignment="1" applyBorder="1" applyFont="1" applyNumberFormat="1">
      <alignment horizontal="right" vertical="bottom"/>
    </xf>
    <xf borderId="0" fillId="11" fontId="15" numFmtId="167" xfId="0" applyAlignment="1" applyFont="1" applyNumberFormat="1">
      <alignment horizontal="right" readingOrder="0" vertical="bottom"/>
    </xf>
    <xf borderId="0" fillId="11" fontId="15" numFmtId="174" xfId="0" applyAlignment="1" applyFont="1" applyNumberFormat="1">
      <alignment horizontal="right" readingOrder="0" vertical="bottom"/>
    </xf>
    <xf borderId="0" fillId="0" fontId="15" numFmtId="167" xfId="0" applyAlignment="1" applyFont="1" applyNumberFormat="1">
      <alignment horizontal="right" readingOrder="0" shrinkToFit="0" vertical="bottom" wrapText="1"/>
    </xf>
    <xf borderId="0" fillId="25" fontId="17" numFmtId="167" xfId="0" applyAlignment="1" applyFont="1" applyNumberFormat="1">
      <alignment horizontal="right" shrinkToFit="0" vertical="bottom" wrapText="1"/>
    </xf>
    <xf borderId="0" fillId="11" fontId="15" numFmtId="0" xfId="0" applyAlignment="1" applyFont="1">
      <alignment horizontal="right" readingOrder="0" vertical="bottom"/>
    </xf>
    <xf borderId="0" fillId="25" fontId="17" numFmtId="0" xfId="0" applyAlignment="1" applyFont="1">
      <alignment readingOrder="0" vertical="bottom"/>
    </xf>
    <xf borderId="14" fillId="3" fontId="17" numFmtId="0" xfId="0" applyAlignment="1" applyBorder="1" applyFont="1">
      <alignment readingOrder="0" vertical="bottom"/>
    </xf>
    <xf borderId="4" fillId="4" fontId="15" numFmtId="0" xfId="0" applyAlignment="1" applyBorder="1" applyFont="1">
      <alignment readingOrder="0" vertical="bottom"/>
    </xf>
    <xf borderId="0" fillId="11" fontId="15" numFmtId="166" xfId="0" applyAlignment="1" applyFont="1" applyNumberFormat="1">
      <alignment readingOrder="0" vertical="bottom"/>
    </xf>
    <xf borderId="0" fillId="9" fontId="17" numFmtId="166" xfId="0" applyAlignment="1" applyFont="1" applyNumberFormat="1">
      <alignment vertical="bottom"/>
    </xf>
    <xf borderId="0" fillId="9" fontId="17" numFmtId="0" xfId="0" applyAlignment="1" applyFont="1">
      <alignment vertical="bottom"/>
    </xf>
    <xf borderId="4" fillId="33" fontId="15" numFmtId="0" xfId="0" applyAlignment="1" applyBorder="1" applyFill="1" applyFont="1">
      <alignment readingOrder="0" vertical="bottom"/>
    </xf>
    <xf borderId="4" fillId="34" fontId="17" numFmtId="0" xfId="0" applyAlignment="1" applyBorder="1" applyFill="1" applyFont="1">
      <alignment readingOrder="0" vertical="bottom"/>
    </xf>
    <xf borderId="0" fillId="34" fontId="17" numFmtId="167" xfId="0" applyAlignment="1" applyFont="1" applyNumberFormat="1">
      <alignment horizontal="right" readingOrder="0" vertical="bottom"/>
    </xf>
    <xf borderId="0" fillId="34" fontId="17" numFmtId="0" xfId="0" applyAlignment="1" applyFont="1">
      <alignment vertical="bottom"/>
    </xf>
    <xf borderId="0" fillId="35" fontId="2" numFmtId="0" xfId="0" applyFill="1" applyFont="1"/>
    <xf borderId="0" fillId="11" fontId="22" numFmtId="166" xfId="0" applyAlignment="1" applyFont="1" applyNumberFormat="1">
      <alignment horizontal="right" readingOrder="0" shrinkToFit="0" wrapText="0"/>
    </xf>
    <xf borderId="0" fillId="9" fontId="17" numFmtId="166" xfId="0" applyAlignment="1" applyFont="1" applyNumberFormat="1">
      <alignment horizontal="right" vertical="bottom"/>
    </xf>
    <xf borderId="0" fillId="9" fontId="17" numFmtId="0" xfId="0" applyAlignment="1" applyFont="1">
      <alignment readingOrder="0" vertical="bottom"/>
    </xf>
    <xf borderId="0" fillId="9" fontId="17" numFmtId="166" xfId="0" applyAlignment="1" applyFont="1" applyNumberFormat="1">
      <alignment readingOrder="0" vertical="bottom"/>
    </xf>
    <xf borderId="5" fillId="3" fontId="17" numFmtId="0" xfId="0" applyAlignment="1" applyBorder="1" applyFont="1">
      <alignment readingOrder="0" vertical="bottom"/>
    </xf>
    <xf borderId="0" fillId="0" fontId="15" numFmtId="166" xfId="0" applyAlignment="1" applyFont="1" applyNumberFormat="1">
      <alignment horizontal="right" readingOrder="0" vertical="bottom"/>
    </xf>
    <xf borderId="4" fillId="6" fontId="17" numFmtId="0" xfId="0" applyAlignment="1" applyBorder="1" applyFont="1">
      <alignment readingOrder="0" vertical="bottom"/>
    </xf>
    <xf borderId="0" fillId="6" fontId="17" numFmtId="166" xfId="0" applyAlignment="1" applyFont="1" applyNumberFormat="1">
      <alignment horizontal="right" vertical="bottom"/>
    </xf>
    <xf borderId="0" fillId="2" fontId="32" numFmtId="166" xfId="0" applyAlignment="1" applyFont="1" applyNumberFormat="1">
      <alignment horizontal="left" readingOrder="0" vertical="bottom"/>
    </xf>
    <xf borderId="0" fillId="0" fontId="32" numFmtId="166" xfId="0" applyAlignment="1" applyFont="1" applyNumberFormat="1">
      <alignment horizontal="left" readingOrder="0" vertical="bottom"/>
    </xf>
    <xf borderId="5" fillId="3" fontId="32" numFmtId="166" xfId="0" applyAlignment="1" applyBorder="1" applyFont="1" applyNumberFormat="1">
      <alignment horizontal="left" readingOrder="0" vertical="bottom"/>
    </xf>
    <xf borderId="4" fillId="12" fontId="14" numFmtId="0" xfId="0" applyAlignment="1" applyBorder="1" applyFont="1">
      <alignment readingOrder="0" vertical="bottom"/>
    </xf>
    <xf borderId="8" fillId="0" fontId="15" numFmtId="1" xfId="0" applyAlignment="1" applyBorder="1" applyFont="1" applyNumberFormat="1">
      <alignment readingOrder="0" vertical="bottom"/>
    </xf>
    <xf borderId="8" fillId="0" fontId="15" numFmtId="0" xfId="0" applyAlignment="1" applyBorder="1" applyFont="1">
      <alignment vertical="bottom"/>
    </xf>
    <xf borderId="8" fillId="0" fontId="15" numFmtId="3" xfId="0" applyAlignment="1" applyBorder="1" applyFont="1" applyNumberFormat="1">
      <alignment vertical="bottom"/>
    </xf>
    <xf borderId="8" fillId="0" fontId="15" numFmtId="166" xfId="0" applyAlignment="1" applyBorder="1" applyFont="1" applyNumberFormat="1">
      <alignment readingOrder="0" vertical="bottom"/>
    </xf>
    <xf borderId="8" fillId="0" fontId="15" numFmtId="166" xfId="0" applyAlignment="1" applyBorder="1" applyFont="1" applyNumberFormat="1">
      <alignment vertical="bottom"/>
    </xf>
    <xf borderId="0" fillId="0" fontId="19" numFmtId="0" xfId="0" applyFont="1"/>
    <xf borderId="4" fillId="23" fontId="15" numFmtId="0" xfId="0" applyAlignment="1" applyBorder="1" applyFont="1">
      <alignment readingOrder="0" vertical="bottom"/>
    </xf>
    <xf borderId="0" fillId="23" fontId="15" numFmtId="166" xfId="0" applyAlignment="1" applyFont="1" applyNumberFormat="1">
      <alignment horizontal="right" vertical="bottom"/>
    </xf>
    <xf borderId="0" fillId="25" fontId="15" numFmtId="1" xfId="0" applyAlignment="1" applyFont="1" applyNumberFormat="1">
      <alignment horizontal="right" vertical="bottom"/>
    </xf>
    <xf borderId="0" fillId="2" fontId="16" numFmtId="3" xfId="0" applyAlignment="1" applyFont="1" applyNumberFormat="1">
      <alignment horizontal="right" vertical="bottom"/>
    </xf>
    <xf borderId="0" fillId="2" fontId="22" numFmtId="1" xfId="0" applyAlignment="1" applyFont="1" applyNumberFormat="1">
      <alignment horizontal="right" readingOrder="0" shrinkToFit="0" wrapText="0"/>
    </xf>
    <xf borderId="0" fillId="0" fontId="16" numFmtId="3" xfId="0" applyAlignment="1" applyFont="1" applyNumberFormat="1">
      <alignment horizontal="right" vertical="bottom"/>
    </xf>
    <xf borderId="4" fillId="20" fontId="33" numFmtId="0" xfId="0" applyAlignment="1" applyBorder="1" applyFont="1">
      <alignment readingOrder="0" vertical="bottom"/>
    </xf>
    <xf borderId="4" fillId="27" fontId="27" numFmtId="0" xfId="0" applyAlignment="1" applyBorder="1" applyFont="1">
      <alignment readingOrder="0" vertical="bottom"/>
    </xf>
    <xf borderId="0" fillId="2" fontId="27" numFmtId="1" xfId="0" applyAlignment="1" applyFont="1" applyNumberFormat="1">
      <alignment readingOrder="0" vertical="bottom"/>
    </xf>
    <xf borderId="0" fillId="2" fontId="15" numFmtId="1" xfId="0" applyAlignment="1" applyFont="1" applyNumberFormat="1">
      <alignment readingOrder="0" vertical="bottom"/>
    </xf>
    <xf borderId="4" fillId="27" fontId="27" numFmtId="0" xfId="0" applyAlignment="1" applyBorder="1" applyFont="1">
      <alignment readingOrder="0" vertical="bottom"/>
    </xf>
    <xf borderId="0" fillId="16" fontId="15" numFmtId="2" xfId="0" applyAlignment="1" applyFont="1" applyNumberFormat="1">
      <alignment vertical="bottom"/>
    </xf>
    <xf borderId="0" fillId="16" fontId="27" numFmtId="1" xfId="0" applyAlignment="1" applyFont="1" applyNumberFormat="1">
      <alignment readingOrder="0" vertical="bottom"/>
    </xf>
    <xf borderId="0" fillId="2" fontId="15" numFmtId="2" xfId="0" applyAlignment="1" applyFont="1" applyNumberFormat="1">
      <alignment vertical="bottom"/>
    </xf>
    <xf borderId="4" fillId="28" fontId="27" numFmtId="0" xfId="0" applyAlignment="1" applyBorder="1" applyFont="1">
      <alignment readingOrder="0" vertical="bottom"/>
    </xf>
    <xf borderId="0" fillId="28" fontId="15" numFmtId="1" xfId="0" applyAlignment="1" applyFont="1" applyNumberFormat="1">
      <alignment horizontal="right" vertical="bottom"/>
    </xf>
    <xf borderId="4" fillId="0" fontId="27" numFmtId="0" xfId="0" applyAlignment="1" applyBorder="1" applyFont="1">
      <alignment vertical="bottom"/>
    </xf>
    <xf borderId="4" fillId="28" fontId="27" numFmtId="0" xfId="0" applyAlignment="1" applyBorder="1" applyFont="1">
      <alignment readingOrder="0" vertical="bottom"/>
    </xf>
    <xf borderId="0" fillId="28" fontId="27" numFmtId="1" xfId="0" applyAlignment="1" applyFont="1" applyNumberFormat="1">
      <alignment horizontal="left" readingOrder="0" vertical="bottom"/>
    </xf>
    <xf borderId="0" fillId="16" fontId="15" numFmtId="1" xfId="0" applyAlignment="1" applyFont="1" applyNumberFormat="1">
      <alignment vertical="bottom"/>
    </xf>
    <xf borderId="4" fillId="27" fontId="15" numFmtId="0" xfId="0" applyAlignment="1" applyBorder="1" applyFont="1">
      <alignment readingOrder="0" vertical="bottom"/>
    </xf>
    <xf borderId="0" fillId="2" fontId="27" numFmtId="166" xfId="0" applyAlignment="1" applyFont="1" applyNumberFormat="1">
      <alignment readingOrder="0" vertical="bottom"/>
    </xf>
    <xf borderId="0" fillId="0" fontId="16" numFmtId="166" xfId="0" applyAlignment="1" applyFont="1" applyNumberFormat="1">
      <alignment horizontal="right" vertical="bottom"/>
    </xf>
    <xf borderId="0" fillId="2" fontId="15" numFmtId="166" xfId="0" applyAlignment="1" applyFont="1" applyNumberFormat="1">
      <alignment vertical="bottom"/>
    </xf>
    <xf borderId="0" fillId="2" fontId="28" numFmtId="166" xfId="0" applyAlignment="1" applyFont="1" applyNumberFormat="1">
      <alignment horizontal="right" readingOrder="0"/>
    </xf>
    <xf borderId="0" fillId="2" fontId="34" numFmtId="166" xfId="0" applyAlignment="1" applyFont="1" applyNumberFormat="1">
      <alignment horizontal="right" readingOrder="0"/>
    </xf>
    <xf borderId="0" fillId="16" fontId="15" numFmtId="166" xfId="0" applyAlignment="1" applyFont="1" applyNumberFormat="1">
      <alignment vertical="bottom"/>
    </xf>
    <xf borderId="4" fillId="28" fontId="15" numFmtId="0" xfId="0" applyAlignment="1" applyBorder="1" applyFont="1">
      <alignment readingOrder="0" vertical="bottom"/>
    </xf>
    <xf borderId="0" fillId="28" fontId="15" numFmtId="166" xfId="0" applyAlignment="1" applyFont="1" applyNumberFormat="1">
      <alignment horizontal="right" vertical="bottom"/>
    </xf>
    <xf borderId="0" fillId="2" fontId="35" numFmtId="166" xfId="0" applyAlignment="1" applyFont="1" applyNumberFormat="1">
      <alignment readingOrder="0"/>
    </xf>
    <xf borderId="0" fillId="2" fontId="35" numFmtId="166" xfId="0" applyAlignment="1" applyFont="1" applyNumberFormat="1">
      <alignment readingOrder="0" vertical="bottom"/>
    </xf>
    <xf borderId="0" fillId="2" fontId="21" numFmtId="166" xfId="0" applyAlignment="1" applyFont="1" applyNumberFormat="1">
      <alignment readingOrder="0"/>
    </xf>
    <xf borderId="0" fillId="2" fontId="21" numFmtId="166" xfId="0" applyAlignment="1" applyFont="1" applyNumberFormat="1">
      <alignment readingOrder="0" vertical="bottom"/>
    </xf>
    <xf borderId="0" fillId="2" fontId="21" numFmtId="166" xfId="0" applyFont="1" applyNumberFormat="1"/>
    <xf borderId="4" fillId="28" fontId="15" numFmtId="0" xfId="0" applyAlignment="1" applyBorder="1" applyFont="1">
      <alignment readingOrder="0" vertical="bottom"/>
    </xf>
    <xf borderId="0" fillId="28" fontId="15" numFmtId="1" xfId="0" applyAlignment="1" applyFont="1" applyNumberFormat="1">
      <alignment horizontal="left" readingOrder="0" vertical="bottom"/>
    </xf>
    <xf borderId="0" fillId="9" fontId="15" numFmtId="1" xfId="0" applyAlignment="1" applyFont="1" applyNumberFormat="1">
      <alignment horizontal="right" vertical="bottom"/>
    </xf>
    <xf borderId="0" fillId="0" fontId="27" numFmtId="1" xfId="0" applyAlignment="1" applyFont="1" applyNumberFormat="1">
      <alignment readingOrder="0" vertical="bottom"/>
    </xf>
    <xf borderId="0" fillId="0" fontId="16" numFmtId="3" xfId="0" applyAlignment="1" applyFont="1" applyNumberFormat="1">
      <alignment horizontal="right" readingOrder="0" vertical="bottom"/>
    </xf>
    <xf borderId="0" fillId="0" fontId="16" numFmtId="1" xfId="0" applyAlignment="1" applyFont="1" applyNumberFormat="1">
      <alignment horizontal="right" readingOrder="0" vertical="bottom"/>
    </xf>
    <xf borderId="6" fillId="0" fontId="2" numFmtId="0" xfId="0" applyBorder="1" applyFont="1"/>
    <xf borderId="4" fillId="8" fontId="15" numFmtId="0" xfId="0" applyAlignment="1" applyBorder="1" applyFont="1">
      <alignment readingOrder="0" vertical="bottom"/>
    </xf>
    <xf borderId="0" fillId="0" fontId="15" numFmtId="166" xfId="0" applyAlignment="1" applyFont="1" applyNumberFormat="1">
      <alignment vertical="bottom"/>
    </xf>
    <xf borderId="0" fillId="0" fontId="15" numFmtId="166" xfId="0" applyAlignment="1" applyFont="1" applyNumberFormat="1">
      <alignment readingOrder="0" vertical="bottom"/>
    </xf>
    <xf borderId="4" fillId="9" fontId="15" numFmtId="1" xfId="0" applyAlignment="1" applyBorder="1" applyFont="1" applyNumberFormat="1">
      <alignment horizontal="left" readingOrder="0" vertical="bottom"/>
    </xf>
    <xf borderId="0" fillId="9" fontId="15" numFmtId="166" xfId="0" applyAlignment="1" applyFont="1" applyNumberFormat="1">
      <alignment horizontal="right" vertical="bottom"/>
    </xf>
    <xf borderId="0" fillId="9" fontId="15" numFmtId="166" xfId="0" applyAlignment="1" applyFont="1" applyNumberFormat="1">
      <alignment horizontal="right" readingOrder="0" vertical="bottom"/>
    </xf>
    <xf borderId="0" fillId="0" fontId="2" numFmtId="0" xfId="0" applyAlignment="1" applyFont="1">
      <alignment horizontal="right"/>
    </xf>
    <xf borderId="0" fillId="0" fontId="36" numFmtId="0" xfId="0" applyAlignment="1" applyFont="1">
      <alignment readingOrder="0"/>
    </xf>
    <xf borderId="6" fillId="9" fontId="15" numFmtId="1" xfId="0" applyAlignment="1" applyBorder="1" applyFont="1" applyNumberFormat="1">
      <alignment readingOrder="0" vertical="bottom"/>
    </xf>
    <xf borderId="0" fillId="9" fontId="15" numFmtId="1" xfId="0" applyAlignment="1" applyFont="1" applyNumberFormat="1">
      <alignment readingOrder="0" vertical="bottom"/>
    </xf>
    <xf borderId="4" fillId="0" fontId="17" numFmtId="0" xfId="0" applyAlignment="1" applyBorder="1" applyFont="1">
      <alignment horizontal="left" readingOrder="0" vertical="bottom"/>
    </xf>
    <xf borderId="4" fillId="0" fontId="15" numFmtId="0" xfId="0" applyAlignment="1" applyBorder="1" applyFont="1">
      <alignment horizontal="left" readingOrder="0" vertical="bottom"/>
    </xf>
    <xf borderId="4" fillId="9" fontId="15" numFmtId="1" xfId="0" applyAlignment="1" applyBorder="1" applyFont="1" applyNumberFormat="1">
      <alignment horizontal="left" readingOrder="0" vertical="bottom"/>
    </xf>
    <xf borderId="0" fillId="31" fontId="15" numFmtId="167" xfId="0" applyAlignment="1" applyFont="1" applyNumberFormat="1">
      <alignment horizontal="right" vertical="bottom"/>
    </xf>
    <xf borderId="4" fillId="36" fontId="17" numFmtId="0" xfId="0" applyAlignment="1" applyBorder="1" applyFill="1" applyFont="1">
      <alignment readingOrder="0" vertical="bottom"/>
    </xf>
    <xf borderId="4" fillId="29" fontId="18" numFmtId="0" xfId="0" applyAlignment="1" applyBorder="1" applyFont="1">
      <alignment readingOrder="0" vertical="bottom"/>
    </xf>
    <xf borderId="4" fillId="37" fontId="15" numFmtId="0" xfId="0" applyAlignment="1" applyBorder="1" applyFill="1" applyFont="1">
      <alignment readingOrder="0" vertical="bottom"/>
    </xf>
    <xf borderId="4" fillId="0" fontId="15" numFmtId="167" xfId="0" applyAlignment="1" applyBorder="1" applyFont="1" applyNumberFormat="1">
      <alignment horizontal="right" vertical="bottom"/>
    </xf>
    <xf borderId="4" fillId="0" fontId="15" numFmtId="167" xfId="0" applyAlignment="1" applyBorder="1" applyFont="1" applyNumberFormat="1">
      <alignment readingOrder="0" vertical="bottom"/>
    </xf>
    <xf borderId="0" fillId="0" fontId="15" numFmtId="2" xfId="0" applyAlignment="1" applyFont="1" applyNumberFormat="1">
      <alignment horizontal="right" vertical="bottom"/>
    </xf>
    <xf borderId="10" fillId="8" fontId="15" numFmtId="0" xfId="0" applyAlignment="1" applyBorder="1" applyFont="1">
      <alignment readingOrder="0" vertical="bottom"/>
    </xf>
    <xf borderId="4" fillId="8" fontId="15" numFmtId="0" xfId="0" applyAlignment="1" applyBorder="1" applyFont="1">
      <alignment vertical="bottom"/>
    </xf>
    <xf borderId="4" fillId="8" fontId="15" numFmtId="0" xfId="0" applyAlignment="1" applyBorder="1" applyFont="1">
      <alignment readingOrder="0" vertical="bottom"/>
    </xf>
    <xf borderId="0" fillId="0" fontId="15" numFmtId="173" xfId="0" applyAlignment="1" applyFont="1" applyNumberFormat="1">
      <alignment horizontal="right" readingOrder="0" vertical="bottom"/>
    </xf>
    <xf borderId="4" fillId="2" fontId="15" numFmtId="0" xfId="0" applyAlignment="1" applyBorder="1" applyFont="1">
      <alignment readingOrder="0" vertical="bottom"/>
    </xf>
    <xf borderId="4" fillId="0" fontId="15" numFmtId="167" xfId="0" applyAlignment="1" applyBorder="1" applyFont="1" applyNumberFormat="1">
      <alignment vertical="bottom"/>
    </xf>
    <xf borderId="4" fillId="20" fontId="37" numFmtId="0" xfId="0" applyAlignment="1" applyBorder="1" applyFont="1">
      <alignment horizontal="center" readingOrder="0" vertical="center"/>
    </xf>
    <xf borderId="12" fillId="2" fontId="15" numFmtId="0" xfId="0" applyAlignment="1" applyBorder="1" applyFont="1">
      <alignment readingOrder="0"/>
    </xf>
    <xf borderId="0" fillId="2" fontId="15" numFmtId="167" xfId="0" applyAlignment="1" applyFont="1" applyNumberFormat="1">
      <alignment horizontal="right" vertical="bottom"/>
    </xf>
    <xf borderId="4" fillId="4" fontId="15" numFmtId="0" xfId="0" applyAlignment="1" applyBorder="1" applyFont="1">
      <alignment readingOrder="0"/>
    </xf>
    <xf borderId="0" fillId="2" fontId="21" numFmtId="0" xfId="0" applyAlignment="1" applyFont="1">
      <alignment readingOrder="0"/>
    </xf>
    <xf borderId="6" fillId="25" fontId="15" numFmtId="1" xfId="0" applyAlignment="1" applyBorder="1" applyFont="1" applyNumberFormat="1">
      <alignment horizontal="right" vertical="bottom"/>
    </xf>
    <xf borderId="6" fillId="3" fontId="16" numFmtId="3" xfId="0" applyAlignment="1" applyBorder="1" applyFont="1" applyNumberFormat="1">
      <alignment horizontal="right" vertical="bottom"/>
    </xf>
    <xf borderId="4" fillId="38" fontId="17" numFmtId="0" xfId="0" applyAlignment="1" applyBorder="1" applyFill="1" applyFont="1">
      <alignment readingOrder="0"/>
    </xf>
    <xf borderId="0" fillId="38" fontId="2" numFmtId="0" xfId="0" applyFont="1"/>
    <xf borderId="4" fillId="0" fontId="17" numFmtId="0" xfId="0" applyAlignment="1" applyBorder="1" applyFont="1">
      <alignment readingOrder="0"/>
    </xf>
    <xf borderId="4" fillId="8" fontId="15" numFmtId="0" xfId="0" applyAlignment="1" applyBorder="1" applyFont="1">
      <alignment vertical="bottom"/>
    </xf>
    <xf borderId="0" fillId="2" fontId="1" numFmtId="166" xfId="0" applyAlignment="1" applyFont="1" applyNumberFormat="1">
      <alignment vertical="bottom"/>
    </xf>
    <xf borderId="22" fillId="8" fontId="15" numFmtId="0" xfId="0" applyAlignment="1" applyBorder="1" applyFont="1">
      <alignment vertical="bottom"/>
    </xf>
    <xf borderId="0" fillId="16" fontId="1" numFmtId="1" xfId="0" applyAlignment="1" applyFont="1" applyNumberFormat="1">
      <alignment vertical="bottom"/>
    </xf>
    <xf borderId="10" fillId="9" fontId="15" numFmtId="1" xfId="0" applyAlignment="1" applyBorder="1" applyFont="1" applyNumberFormat="1">
      <alignment vertical="bottom"/>
    </xf>
    <xf borderId="8" fillId="9" fontId="15" numFmtId="166" xfId="0" applyAlignment="1" applyBorder="1" applyFont="1" applyNumberFormat="1">
      <alignment horizontal="right" vertical="bottom"/>
    </xf>
    <xf borderId="12" fillId="20" fontId="14" numFmtId="0" xfId="0" applyAlignment="1" applyBorder="1" applyFont="1">
      <alignment readingOrder="0" vertical="bottom"/>
    </xf>
    <xf borderId="1" fillId="20" fontId="2" numFmtId="0" xfId="0" applyBorder="1" applyFont="1"/>
    <xf borderId="1" fillId="20" fontId="21" numFmtId="0" xfId="0" applyBorder="1" applyFont="1"/>
    <xf borderId="0" fillId="8" fontId="15" numFmtId="1" xfId="0" applyAlignment="1" applyFont="1" applyNumberFormat="1">
      <alignment horizontal="right" vertical="bottom"/>
    </xf>
    <xf borderId="0" fillId="8" fontId="1" numFmtId="1" xfId="0" applyAlignment="1" applyFont="1" applyNumberFormat="1">
      <alignment vertical="bottom"/>
    </xf>
    <xf borderId="0" fillId="8" fontId="1" numFmtId="3" xfId="0" applyAlignment="1" applyFont="1" applyNumberFormat="1">
      <alignment vertical="bottom"/>
    </xf>
    <xf borderId="0" fillId="8" fontId="15" numFmtId="0" xfId="0" applyAlignment="1" applyFont="1">
      <alignment vertical="bottom"/>
    </xf>
    <xf borderId="0" fillId="0" fontId="23" numFmtId="1" xfId="0" applyAlignment="1" applyFont="1" applyNumberFormat="1">
      <alignment horizontal="right" readingOrder="0" shrinkToFit="0" wrapText="0"/>
    </xf>
    <xf borderId="0" fillId="2" fontId="22" numFmtId="0" xfId="0" applyAlignment="1" applyFont="1">
      <alignment horizontal="right" readingOrder="0" shrinkToFit="0" wrapText="0"/>
    </xf>
    <xf borderId="0" fillId="2" fontId="15" numFmtId="3" xfId="0" applyAlignment="1" applyFont="1" applyNumberFormat="1">
      <alignment readingOrder="0" vertical="bottom"/>
    </xf>
    <xf borderId="1" fillId="20" fontId="15" numFmtId="2" xfId="0" applyAlignment="1" applyBorder="1" applyFont="1" applyNumberFormat="1">
      <alignment vertical="bottom"/>
    </xf>
    <xf borderId="1" fillId="20" fontId="15" numFmtId="0" xfId="0" applyAlignment="1" applyBorder="1" applyFont="1">
      <alignment vertical="bottom"/>
    </xf>
    <xf borderId="13" fillId="3" fontId="1" numFmtId="0" xfId="0" applyAlignment="1" applyBorder="1" applyFont="1">
      <alignment vertical="bottom"/>
    </xf>
    <xf borderId="0" fillId="2" fontId="15" numFmtId="0" xfId="0" applyAlignment="1" applyFont="1">
      <alignment vertical="bottom"/>
    </xf>
    <xf borderId="23" fillId="8" fontId="15" numFmtId="0" xfId="0" applyAlignment="1" applyBorder="1" applyFont="1">
      <alignment vertical="bottom"/>
    </xf>
    <xf borderId="0" fillId="16" fontId="1" numFmtId="166" xfId="0" applyAlignment="1" applyFont="1" applyNumberFormat="1">
      <alignment vertical="bottom"/>
    </xf>
    <xf borderId="0" fillId="5" fontId="15" numFmtId="1" xfId="0" applyAlignment="1" applyFont="1" applyNumberFormat="1">
      <alignment readingOrder="0" vertical="bottom"/>
    </xf>
    <xf borderId="10" fillId="9" fontId="15" numFmtId="1" xfId="0" applyAlignment="1" applyBorder="1" applyFont="1" applyNumberFormat="1">
      <alignment horizontal="left" readingOrder="0" vertical="bottom"/>
    </xf>
    <xf borderId="8" fillId="9" fontId="15" numFmtId="166" xfId="0" applyAlignment="1" applyBorder="1" applyFont="1" applyNumberFormat="1">
      <alignment horizontal="right" readingOrder="0" vertical="bottom"/>
    </xf>
    <xf borderId="9" fillId="3" fontId="16" numFmtId="3" xfId="0" applyAlignment="1" applyBorder="1" applyFont="1" applyNumberFormat="1">
      <alignment horizontal="right" vertical="bottom"/>
    </xf>
    <xf borderId="4" fillId="2" fontId="2" numFmtId="0" xfId="0" applyBorder="1" applyFont="1"/>
    <xf borderId="0" fillId="2" fontId="21" numFmtId="0" xfId="0" applyAlignment="1" applyFont="1">
      <alignment horizontal="right"/>
    </xf>
    <xf borderId="24" fillId="39" fontId="2" numFmtId="0" xfId="0" applyBorder="1" applyFill="1" applyFont="1"/>
    <xf borderId="25" fillId="39" fontId="21" numFmtId="0" xfId="0" applyAlignment="1" applyBorder="1" applyFont="1">
      <alignment horizontal="right"/>
    </xf>
    <xf borderId="6" fillId="3" fontId="1" numFmtId="0" xfId="0" applyAlignment="1" applyBorder="1" applyFont="1">
      <alignment vertical="bottom"/>
    </xf>
    <xf borderId="4" fillId="6" fontId="15" numFmtId="0" xfId="0" applyAlignment="1" applyBorder="1" applyFont="1">
      <alignment readingOrder="0" vertical="bottom"/>
    </xf>
    <xf borderId="0" fillId="6" fontId="15" numFmtId="1" xfId="0" applyAlignment="1" applyFont="1" applyNumberFormat="1">
      <alignment horizontal="right" vertical="bottom"/>
    </xf>
    <xf borderId="24" fillId="30" fontId="17" numFmtId="0" xfId="0" applyAlignment="1" applyBorder="1" applyFont="1">
      <alignment readingOrder="0" vertical="bottom"/>
    </xf>
    <xf borderId="1" fillId="0" fontId="15" numFmtId="0" xfId="0" applyAlignment="1" applyBorder="1" applyFont="1">
      <alignment vertical="bottom"/>
    </xf>
    <xf borderId="4" fillId="40" fontId="15" numFmtId="0" xfId="0" applyAlignment="1" applyBorder="1" applyFill="1" applyFont="1">
      <alignment readingOrder="0" vertical="bottom"/>
    </xf>
    <xf borderId="0" fillId="31" fontId="15" numFmtId="167" xfId="0" applyAlignment="1" applyFont="1" applyNumberFormat="1">
      <alignment horizontal="right" readingOrder="0" vertical="bottom"/>
    </xf>
    <xf borderId="12" fillId="22" fontId="30" numFmtId="0" xfId="0" applyAlignment="1" applyBorder="1" applyFont="1">
      <alignment readingOrder="0" vertical="bottom"/>
    </xf>
    <xf borderId="1" fillId="0" fontId="2" numFmtId="167" xfId="0" applyBorder="1" applyFont="1" applyNumberFormat="1"/>
    <xf borderId="8" fillId="0" fontId="2" numFmtId="167" xfId="0" applyBorder="1" applyFont="1" applyNumberFormat="1"/>
    <xf borderId="12" fillId="0" fontId="2" numFmtId="0" xfId="0" applyBorder="1" applyFont="1"/>
    <xf borderId="1" fillId="0" fontId="2" numFmtId="0" xfId="0" applyBorder="1" applyFont="1"/>
    <xf borderId="6" fillId="9" fontId="17" numFmtId="167" xfId="0" applyAlignment="1" applyBorder="1" applyFont="1" applyNumberFormat="1">
      <alignment readingOrder="0" vertical="bottom"/>
    </xf>
    <xf borderId="6" fillId="3" fontId="16" numFmtId="167" xfId="0" applyAlignment="1" applyBorder="1" applyFont="1" applyNumberFormat="1">
      <alignment horizontal="right" vertical="bottom"/>
    </xf>
    <xf borderId="24" fillId="30" fontId="17" numFmtId="0" xfId="0" applyAlignment="1" applyBorder="1" applyFont="1">
      <alignment vertical="bottom"/>
    </xf>
    <xf borderId="1" fillId="0" fontId="1" numFmtId="167" xfId="0" applyAlignment="1" applyBorder="1" applyFont="1" applyNumberFormat="1">
      <alignment vertical="bottom"/>
    </xf>
    <xf borderId="1" fillId="0" fontId="15" numFmtId="167" xfId="0" applyAlignment="1" applyBorder="1" applyFont="1" applyNumberFormat="1">
      <alignment horizontal="right" readingOrder="0" vertical="bottom"/>
    </xf>
    <xf borderId="4" fillId="22" fontId="17" numFmtId="0" xfId="0" applyAlignment="1" applyBorder="1" applyFont="1">
      <alignment vertical="bottom"/>
    </xf>
    <xf borderId="10" fillId="22" fontId="15" numFmtId="0" xfId="0" applyAlignment="1" applyBorder="1" applyFont="1">
      <alignment vertical="bottom"/>
    </xf>
    <xf borderId="12" fillId="22" fontId="17" numFmtId="0" xfId="0" applyAlignment="1" applyBorder="1" applyFont="1">
      <alignment vertical="bottom"/>
    </xf>
    <xf borderId="1" fillId="2" fontId="15" numFmtId="167" xfId="0" applyAlignment="1" applyBorder="1" applyFont="1" applyNumberFormat="1">
      <alignment horizontal="right" vertical="bottom"/>
    </xf>
    <xf borderId="0" fillId="11" fontId="15" numFmtId="167" xfId="0" applyAlignment="1" applyFont="1" applyNumberFormat="1">
      <alignment horizontal="right" vertical="bottom"/>
    </xf>
    <xf borderId="0" fillId="3" fontId="1" numFmtId="167" xfId="0" applyAlignment="1" applyFont="1" applyNumberFormat="1">
      <alignment vertical="bottom"/>
    </xf>
    <xf borderId="12" fillId="22" fontId="15" numFmtId="0" xfId="0" applyAlignment="1" applyBorder="1" applyFont="1">
      <alignment vertical="bottom"/>
    </xf>
    <xf borderId="1" fillId="3" fontId="1" numFmtId="167" xfId="0" applyAlignment="1" applyBorder="1" applyFont="1" applyNumberFormat="1">
      <alignment vertical="bottom"/>
    </xf>
    <xf borderId="8" fillId="3" fontId="1" numFmtId="167" xfId="0" applyAlignment="1" applyBorder="1" applyFont="1" applyNumberFormat="1">
      <alignment vertical="bottom"/>
    </xf>
    <xf borderId="0" fillId="32" fontId="15" numFmtId="167" xfId="0" applyAlignment="1" applyFont="1" applyNumberFormat="1">
      <alignment horizontal="right" readingOrder="0" vertical="bottom"/>
    </xf>
    <xf borderId="4" fillId="32" fontId="15" numFmtId="167" xfId="0" applyAlignment="1" applyBorder="1" applyFont="1" applyNumberFormat="1">
      <alignment horizontal="right" readingOrder="0" vertical="bottom"/>
    </xf>
    <xf borderId="26" fillId="3" fontId="16" numFmtId="167" xfId="0" applyAlignment="1" applyBorder="1" applyFont="1" applyNumberFormat="1">
      <alignment horizontal="right" vertical="bottom"/>
    </xf>
    <xf borderId="0" fillId="9" fontId="15" numFmtId="167" xfId="0" applyAlignment="1" applyFont="1" applyNumberFormat="1">
      <alignment horizontal="right" readingOrder="0" vertical="bottom"/>
    </xf>
    <xf borderId="4" fillId="9" fontId="15" numFmtId="167" xfId="0" applyAlignment="1" applyBorder="1" applyFont="1" applyNumberFormat="1">
      <alignment horizontal="right" readingOrder="0" vertical="bottom"/>
    </xf>
    <xf borderId="15" fillId="32" fontId="30" numFmtId="0" xfId="0" applyAlignment="1" applyBorder="1" applyFont="1">
      <alignment readingOrder="0" vertical="bottom"/>
    </xf>
    <xf borderId="4" fillId="0" fontId="15" numFmtId="166" xfId="0" applyAlignment="1" applyBorder="1" applyFont="1" applyNumberFormat="1">
      <alignment horizontal="right" readingOrder="0" vertical="bottom"/>
    </xf>
    <xf borderId="27" fillId="3" fontId="16" numFmtId="167" xfId="0" applyAlignment="1" applyBorder="1" applyFont="1" applyNumberFormat="1">
      <alignment horizontal="right" vertical="bottom"/>
    </xf>
    <xf borderId="28" fillId="32" fontId="30" numFmtId="0" xfId="0" applyAlignment="1" applyBorder="1" applyFont="1">
      <alignment readingOrder="0" vertical="bottom"/>
    </xf>
    <xf borderId="29" fillId="0" fontId="15" numFmtId="167" xfId="0" applyAlignment="1" applyBorder="1" applyFont="1" applyNumberFormat="1">
      <alignment horizontal="right" readingOrder="0" vertical="bottom"/>
    </xf>
    <xf borderId="18" fillId="0" fontId="15" numFmtId="10" xfId="0" applyAlignment="1" applyBorder="1" applyFont="1" applyNumberFormat="1">
      <alignment horizontal="right" readingOrder="0" vertical="bottom"/>
    </xf>
    <xf borderId="19" fillId="0" fontId="15" numFmtId="10" xfId="0" applyAlignment="1" applyBorder="1" applyFont="1" applyNumberFormat="1">
      <alignment horizontal="right" readingOrder="0" vertical="bottom"/>
    </xf>
    <xf borderId="15" fillId="4" fontId="17" numFmtId="0" xfId="0" applyAlignment="1" applyBorder="1" applyFont="1">
      <alignment vertical="bottom"/>
    </xf>
    <xf borderId="18" fillId="0" fontId="15" numFmtId="166" xfId="0" applyAlignment="1" applyBorder="1" applyFont="1" applyNumberFormat="1">
      <alignment horizontal="right" vertical="bottom"/>
    </xf>
    <xf borderId="4" fillId="4" fontId="17" numFmtId="0" xfId="0" applyAlignment="1" applyBorder="1" applyFont="1">
      <alignment vertical="bottom"/>
    </xf>
    <xf borderId="6" fillId="0" fontId="15" numFmtId="167" xfId="0" applyAlignment="1" applyBorder="1" applyFont="1" applyNumberFormat="1">
      <alignment horizontal="right" vertical="bottom"/>
    </xf>
    <xf borderId="30" fillId="0" fontId="15" numFmtId="166" xfId="0" applyAlignment="1" applyBorder="1" applyFont="1" applyNumberFormat="1">
      <alignment horizontal="right" vertical="bottom"/>
    </xf>
    <xf borderId="6" fillId="0" fontId="1" numFmtId="167" xfId="0" applyAlignment="1" applyBorder="1" applyFont="1" applyNumberFormat="1">
      <alignment vertical="bottom"/>
    </xf>
    <xf borderId="4" fillId="3" fontId="17" numFmtId="0" xfId="0" applyAlignment="1" applyBorder="1" applyFont="1">
      <alignment vertical="bottom"/>
    </xf>
    <xf borderId="6" fillId="0" fontId="15" numFmtId="10" xfId="0" applyAlignment="1" applyBorder="1" applyFont="1" applyNumberFormat="1">
      <alignment horizontal="right" vertical="bottom"/>
    </xf>
    <xf borderId="0" fillId="0" fontId="15" numFmtId="10" xfId="0" applyAlignment="1" applyFont="1" applyNumberFormat="1">
      <alignment horizontal="right" vertical="bottom"/>
    </xf>
    <xf borderId="18" fillId="0" fontId="15" numFmtId="10" xfId="0" applyAlignment="1" applyBorder="1" applyFont="1" applyNumberFormat="1">
      <alignment horizontal="right" vertical="bottom"/>
    </xf>
    <xf borderId="1" fillId="4" fontId="38" numFmtId="0" xfId="0" applyAlignment="1" applyBorder="1" applyFont="1">
      <alignment readingOrder="0"/>
    </xf>
    <xf borderId="1" fillId="3" fontId="2" numFmtId="3" xfId="0" applyBorder="1" applyFont="1" applyNumberFormat="1"/>
    <xf borderId="0" fillId="4" fontId="38" numFmtId="0" xfId="0" applyAlignment="1" applyFont="1">
      <alignment readingOrder="0"/>
    </xf>
    <xf borderId="0" fillId="3" fontId="2" numFmtId="10" xfId="0" applyFont="1" applyNumberFormat="1"/>
    <xf borderId="0" fillId="3" fontId="2" numFmtId="0" xfId="0" applyFont="1"/>
    <xf borderId="0" fillId="3" fontId="2" numFmtId="10" xfId="0" applyAlignment="1" applyFont="1" applyNumberFormat="1">
      <alignment readingOrder="0"/>
    </xf>
    <xf borderId="0" fillId="3" fontId="38" numFmtId="0" xfId="0" applyAlignment="1" applyFont="1">
      <alignment readingOrder="0" shrinkToFit="0" wrapText="1"/>
    </xf>
    <xf borderId="0" fillId="36" fontId="2" numFmtId="0" xfId="0" applyAlignment="1" applyFont="1">
      <alignment readingOrder="0"/>
    </xf>
    <xf borderId="0" fillId="36" fontId="2" numFmtId="10" xfId="0" applyFont="1" applyNumberFormat="1"/>
    <xf borderId="0" fillId="36" fontId="2" numFmtId="0" xfId="0" applyAlignment="1" applyFont="1">
      <alignment readingOrder="0" shrinkToFit="0" wrapText="1"/>
    </xf>
    <xf borderId="8" fillId="0" fontId="2" numFmtId="0" xfId="0" applyAlignment="1" applyBorder="1" applyFont="1">
      <alignment readingOrder="0"/>
    </xf>
    <xf borderId="8" fillId="0" fontId="2" numFmtId="10" xfId="0" applyBorder="1" applyFont="1" applyNumberFormat="1"/>
    <xf borderId="0" fillId="22" fontId="2" numFmtId="0" xfId="0" applyFont="1"/>
    <xf borderId="0" fillId="22" fontId="13" numFmtId="0" xfId="0" applyFont="1"/>
    <xf borderId="0" fillId="4" fontId="38" numFmtId="0" xfId="0" applyAlignment="1" applyFont="1">
      <alignment readingOrder="0" shrinkToFit="0" wrapText="1"/>
    </xf>
    <xf borderId="0" fillId="4" fontId="2" numFmtId="0" xfId="0" applyFont="1"/>
    <xf borderId="0" fillId="4" fontId="13" numFmtId="0" xfId="0" applyFont="1"/>
    <xf borderId="1" fillId="4" fontId="38" numFmtId="0" xfId="0" applyAlignment="1" applyBorder="1" applyFont="1">
      <alignment readingOrder="0" shrinkToFit="0" wrapText="1"/>
    </xf>
    <xf borderId="1" fillId="4" fontId="2" numFmtId="10" xfId="0" applyBorder="1" applyFont="1" applyNumberFormat="1"/>
    <xf borderId="8" fillId="4" fontId="2" numFmtId="0" xfId="0" applyAlignment="1" applyBorder="1" applyFont="1">
      <alignment readingOrder="0"/>
    </xf>
    <xf borderId="8" fillId="4" fontId="2" numFmtId="0" xfId="0" applyBorder="1" applyFont="1"/>
    <xf borderId="0" fillId="8" fontId="2" numFmtId="0" xfId="0" applyFont="1"/>
    <xf borderId="0" fillId="41" fontId="2" numFmtId="0" xfId="0" applyAlignment="1" applyFill="1" applyFont="1">
      <alignment horizontal="center" readingOrder="0"/>
    </xf>
    <xf borderId="0" fillId="11" fontId="39" numFmtId="0" xfId="0" applyAlignment="1" applyFont="1">
      <alignment horizontal="left" readingOrder="0"/>
    </xf>
    <xf borderId="31" fillId="42" fontId="36" numFmtId="0" xfId="0" applyAlignment="1" applyBorder="1" applyFill="1" applyFont="1">
      <alignment horizontal="center" readingOrder="0"/>
    </xf>
    <xf borderId="32" fillId="0" fontId="40" numFmtId="0" xfId="0" applyBorder="1" applyFont="1"/>
    <xf borderId="31" fillId="42" fontId="7" numFmtId="0" xfId="0" applyAlignment="1" applyBorder="1" applyFont="1">
      <alignment horizontal="center" readingOrder="0"/>
    </xf>
    <xf borderId="0" fillId="43" fontId="7" numFmtId="0" xfId="0" applyAlignment="1" applyFill="1" applyFont="1">
      <alignment horizontal="center" readingOrder="0"/>
    </xf>
    <xf borderId="0" fillId="43" fontId="38" numFmtId="0" xfId="0" applyAlignment="1" applyFont="1">
      <alignment horizontal="center" readingOrder="0"/>
    </xf>
    <xf borderId="0" fillId="11" fontId="7" numFmtId="0" xfId="0" applyAlignment="1" applyFont="1">
      <alignment horizontal="center" readingOrder="0"/>
    </xf>
    <xf borderId="31" fillId="42" fontId="41" numFmtId="0" xfId="0" applyAlignment="1" applyBorder="1" applyFont="1">
      <alignment horizontal="center" vertical="bottom"/>
    </xf>
    <xf borderId="0" fillId="11" fontId="41" numFmtId="0" xfId="0" applyAlignment="1" applyFont="1">
      <alignment horizontal="center" vertical="bottom"/>
    </xf>
    <xf borderId="0" fillId="11" fontId="42" numFmtId="166" xfId="0" applyAlignment="1" applyFont="1" applyNumberFormat="1">
      <alignment readingOrder="0"/>
    </xf>
    <xf borderId="24" fillId="11" fontId="42" numFmtId="0" xfId="0" applyAlignment="1" applyBorder="1" applyFont="1">
      <alignment readingOrder="0"/>
    </xf>
    <xf borderId="24" fillId="33" fontId="42" numFmtId="166" xfId="0" applyAlignment="1" applyBorder="1" applyFont="1" applyNumberFormat="1">
      <alignment horizontal="center" readingOrder="0"/>
    </xf>
    <xf borderId="0" fillId="0" fontId="43" numFmtId="166" xfId="0" applyAlignment="1" applyFont="1" applyNumberFormat="1">
      <alignment horizontal="center" readingOrder="0"/>
    </xf>
    <xf borderId="24" fillId="0" fontId="2" numFmtId="0" xfId="0" applyAlignment="1" applyBorder="1" applyFont="1">
      <alignment readingOrder="0"/>
    </xf>
    <xf borderId="24" fillId="33" fontId="2" numFmtId="10" xfId="0" applyAlignment="1" applyBorder="1" applyFont="1" applyNumberFormat="1">
      <alignment horizontal="center"/>
    </xf>
    <xf borderId="0" fillId="43" fontId="2" numFmtId="166" xfId="0" applyAlignment="1" applyFont="1" applyNumberFormat="1">
      <alignment readingOrder="0"/>
    </xf>
    <xf borderId="24" fillId="0" fontId="42" numFmtId="0" xfId="0" applyAlignment="1" applyBorder="1" applyFont="1">
      <alignment readingOrder="0"/>
    </xf>
    <xf borderId="24" fillId="33" fontId="2" numFmtId="166" xfId="0" applyAlignment="1" applyBorder="1" applyFont="1" applyNumberFormat="1">
      <alignment horizontal="center" readingOrder="0"/>
    </xf>
    <xf borderId="0" fillId="43" fontId="43" numFmtId="166" xfId="0" applyAlignment="1" applyFont="1" applyNumberFormat="1">
      <alignment horizontal="center" readingOrder="0"/>
    </xf>
    <xf borderId="24" fillId="43" fontId="42" numFmtId="0" xfId="0" applyAlignment="1" applyBorder="1" applyFont="1">
      <alignment readingOrder="0"/>
    </xf>
    <xf borderId="24" fillId="7" fontId="2" numFmtId="10" xfId="0" applyAlignment="1" applyBorder="1" applyFont="1" applyNumberFormat="1">
      <alignment horizontal="center" readingOrder="0"/>
    </xf>
    <xf borderId="24" fillId="33" fontId="42" numFmtId="10" xfId="0" applyAlignment="1" applyBorder="1" applyFont="1" applyNumberFormat="1">
      <alignment horizontal="center" readingOrder="0"/>
    </xf>
    <xf borderId="24" fillId="33" fontId="2" numFmtId="171" xfId="0" applyAlignment="1" applyBorder="1" applyFont="1" applyNumberFormat="1">
      <alignment horizontal="center" readingOrder="0"/>
    </xf>
    <xf borderId="0" fillId="11" fontId="2" numFmtId="171" xfId="0" applyAlignment="1" applyFont="1" applyNumberFormat="1">
      <alignment horizontal="center" readingOrder="0"/>
    </xf>
    <xf borderId="7" fillId="0" fontId="1" numFmtId="171" xfId="0" applyAlignment="1" applyBorder="1" applyFont="1" applyNumberFormat="1">
      <alignment vertical="bottom"/>
    </xf>
    <xf borderId="10" fillId="33" fontId="1" numFmtId="10" xfId="0" applyAlignment="1" applyBorder="1" applyFont="1" applyNumberFormat="1">
      <alignment horizontal="center" vertical="bottom"/>
    </xf>
    <xf borderId="0" fillId="11" fontId="44" numFmtId="0" xfId="0" applyAlignment="1" applyFont="1">
      <alignment horizontal="center" readingOrder="0" vertical="bottom"/>
    </xf>
    <xf borderId="0" fillId="43" fontId="38" numFmtId="0" xfId="0" applyAlignment="1" applyFont="1">
      <alignment horizontal="right" readingOrder="0"/>
    </xf>
    <xf borderId="24" fillId="33" fontId="2" numFmtId="10" xfId="0" applyAlignment="1" applyBorder="1" applyFont="1" applyNumberFormat="1">
      <alignment horizontal="center" readingOrder="0"/>
    </xf>
    <xf borderId="24" fillId="44" fontId="2" numFmtId="0" xfId="0" applyAlignment="1" applyBorder="1" applyFill="1" applyFont="1">
      <alignment readingOrder="0"/>
    </xf>
    <xf borderId="24" fillId="44" fontId="2" numFmtId="10" xfId="0" applyAlignment="1" applyBorder="1" applyFont="1" applyNumberFormat="1">
      <alignment horizontal="center" readingOrder="0"/>
    </xf>
    <xf borderId="24" fillId="3" fontId="2" numFmtId="166" xfId="0" applyAlignment="1" applyBorder="1" applyFont="1" applyNumberFormat="1">
      <alignment horizontal="center" readingOrder="0"/>
    </xf>
    <xf borderId="24" fillId="33" fontId="2" numFmtId="175" xfId="0" applyAlignment="1" applyBorder="1" applyFont="1" applyNumberFormat="1">
      <alignment horizontal="center" readingOrder="0"/>
    </xf>
    <xf borderId="24" fillId="33" fontId="2" numFmtId="9" xfId="0" applyAlignment="1" applyBorder="1" applyFont="1" applyNumberFormat="1">
      <alignment horizontal="center" readingOrder="0"/>
    </xf>
    <xf borderId="0" fillId="11" fontId="2" numFmtId="9" xfId="0" applyAlignment="1" applyFont="1" applyNumberFormat="1">
      <alignment horizontal="center" readingOrder="0"/>
    </xf>
    <xf borderId="24" fillId="44" fontId="42" numFmtId="0" xfId="0" applyAlignment="1" applyBorder="1" applyFont="1">
      <alignment readingOrder="0"/>
    </xf>
    <xf borderId="24" fillId="44" fontId="2" numFmtId="166" xfId="0" applyAlignment="1" applyBorder="1" applyFont="1" applyNumberFormat="1">
      <alignment horizontal="center" readingOrder="0"/>
    </xf>
    <xf borderId="0" fillId="0" fontId="43" numFmtId="0" xfId="0" applyAlignment="1" applyFont="1">
      <alignment horizontal="center"/>
    </xf>
    <xf borderId="24" fillId="33"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45" numFmtId="0" xfId="0" applyAlignment="1" applyFont="1">
      <alignment readingOrder="0"/>
    </xf>
    <xf borderId="24" fillId="11" fontId="2" numFmtId="0" xfId="0" applyAlignment="1" applyBorder="1" applyFont="1">
      <alignment horizontal="left" readingOrder="0"/>
    </xf>
    <xf borderId="24" fillId="43" fontId="2" numFmtId="0" xfId="0" applyAlignment="1" applyBorder="1" applyFont="1">
      <alignment readingOrder="0"/>
    </xf>
    <xf borderId="0" fillId="11" fontId="42" numFmtId="178" xfId="0" applyAlignment="1" applyFont="1" applyNumberFormat="1">
      <alignment readingOrder="0"/>
    </xf>
    <xf borderId="24" fillId="7" fontId="2" numFmtId="0" xfId="0" applyAlignment="1" applyBorder="1" applyFont="1">
      <alignment readingOrder="0"/>
    </xf>
    <xf borderId="24" fillId="7" fontId="2" numFmtId="166" xfId="0" applyAlignment="1" applyBorder="1" applyFont="1" applyNumberFormat="1">
      <alignment horizontal="center" readingOrder="0"/>
    </xf>
    <xf borderId="24" fillId="33" fontId="2" numFmtId="166"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6" xfId="0" applyAlignment="1" applyFont="1" applyNumberFormat="1">
      <alignment horizontal="center" readingOrder="0"/>
    </xf>
    <xf borderId="0" fillId="11" fontId="38" numFmtId="0" xfId="0" applyAlignment="1" applyFont="1">
      <alignment horizontal="center" vertical="center"/>
    </xf>
    <xf borderId="0" fillId="43" fontId="2" numFmtId="166" xfId="0" applyAlignment="1" applyFont="1" applyNumberFormat="1">
      <alignment horizontal="center" readingOrder="0"/>
    </xf>
    <xf borderId="0" fillId="11" fontId="38" numFmtId="166" xfId="0" applyAlignment="1" applyFont="1" applyNumberFormat="1">
      <alignment horizontal="center"/>
    </xf>
    <xf borderId="0" fillId="0" fontId="2" numFmtId="179" xfId="0" applyAlignment="1" applyFont="1" applyNumberFormat="1">
      <alignment readingOrder="0"/>
    </xf>
    <xf borderId="24" fillId="3" fontId="2" numFmtId="166" xfId="0" applyAlignment="1" applyBorder="1" applyFont="1" applyNumberFormat="1">
      <alignment readingOrder="0"/>
    </xf>
    <xf borderId="0" fillId="43" fontId="7" numFmtId="0" xfId="0" applyAlignment="1" applyFont="1">
      <alignment readingOrder="0"/>
    </xf>
    <xf borderId="0" fillId="43" fontId="2" numFmtId="0" xfId="0" applyFont="1"/>
    <xf borderId="0" fillId="43" fontId="42" numFmtId="166" xfId="0" applyAlignment="1" applyFont="1" applyNumberFormat="1">
      <alignment readingOrder="0"/>
    </xf>
    <xf borderId="24" fillId="0" fontId="2" numFmtId="166" xfId="0" applyAlignment="1" applyBorder="1" applyFont="1" applyNumberFormat="1">
      <alignment horizontal="center"/>
    </xf>
    <xf borderId="0" fillId="0" fontId="2" numFmtId="0" xfId="0" applyAlignment="1" applyFont="1">
      <alignment horizontal="center"/>
    </xf>
    <xf borderId="24" fillId="42" fontId="7" numFmtId="0" xfId="0" applyAlignment="1" applyBorder="1" applyFont="1">
      <alignment readingOrder="0"/>
    </xf>
    <xf borderId="24" fillId="42" fontId="7" numFmtId="0" xfId="0" applyAlignment="1" applyBorder="1" applyFont="1">
      <alignment horizontal="center" readingOrder="0"/>
    </xf>
    <xf borderId="0" fillId="0" fontId="38" numFmtId="166" xfId="0" applyAlignment="1" applyFont="1" applyNumberFormat="1">
      <alignment horizontal="center" readingOrder="0"/>
    </xf>
    <xf borderId="24" fillId="11" fontId="42" numFmtId="10" xfId="0" applyAlignment="1" applyBorder="1" applyFont="1" applyNumberFormat="1">
      <alignment readingOrder="0"/>
    </xf>
    <xf borderId="0" fillId="0" fontId="2" numFmtId="180" xfId="0" applyFont="1" applyNumberFormat="1"/>
    <xf borderId="24" fillId="43" fontId="42" numFmtId="10" xfId="0" applyAlignment="1" applyBorder="1" applyFont="1" applyNumberFormat="1">
      <alignment readingOrder="0"/>
    </xf>
    <xf borderId="24" fillId="33" fontId="2" numFmtId="0" xfId="0" applyAlignment="1" applyBorder="1" applyFont="1">
      <alignment horizontal="center" readingOrder="0"/>
    </xf>
    <xf borderId="24" fillId="0" fontId="2" numFmtId="0" xfId="0" applyAlignment="1" applyBorder="1" applyFont="1">
      <alignment readingOrder="0"/>
    </xf>
    <xf borderId="24" fillId="0" fontId="38" numFmtId="0" xfId="0" applyAlignment="1" applyBorder="1" applyFont="1">
      <alignment readingOrder="0"/>
    </xf>
    <xf borderId="24" fillId="33" fontId="38" numFmtId="166" xfId="0" applyAlignment="1" applyBorder="1" applyFont="1" applyNumberFormat="1">
      <alignment horizontal="center"/>
    </xf>
    <xf borderId="24" fillId="44" fontId="38" numFmtId="0" xfId="0" applyAlignment="1" applyBorder="1" applyFont="1">
      <alignment readingOrder="0"/>
    </xf>
    <xf borderId="0" fillId="0" fontId="46" numFmtId="0" xfId="0" applyAlignment="1" applyFont="1">
      <alignment readingOrder="0"/>
    </xf>
    <xf borderId="0" fillId="43" fontId="2" numFmtId="171" xfId="0" applyAlignment="1" applyFont="1" applyNumberFormat="1">
      <alignment readingOrder="0"/>
    </xf>
    <xf borderId="0" fillId="43" fontId="42" numFmtId="0" xfId="0" applyFont="1"/>
    <xf borderId="0" fillId="43" fontId="42" numFmtId="10" xfId="0" applyAlignment="1" applyFont="1" applyNumberFormat="1">
      <alignment readingOrder="0"/>
    </xf>
    <xf borderId="0" fillId="43" fontId="2" numFmtId="0" xfId="0" applyAlignment="1" applyFont="1">
      <alignment readingOrder="0"/>
    </xf>
    <xf borderId="24" fillId="43" fontId="42" numFmtId="166" xfId="0" applyAlignment="1" applyBorder="1" applyFont="1" applyNumberFormat="1">
      <alignment horizontal="center" readingOrder="0"/>
    </xf>
    <xf borderId="0" fillId="0" fontId="2" numFmtId="166" xfId="0" applyAlignment="1" applyFont="1" applyNumberFormat="1">
      <alignment horizontal="center" readingOrder="0"/>
    </xf>
    <xf borderId="0" fillId="43" fontId="2" numFmtId="166" xfId="0" applyAlignment="1" applyFont="1" applyNumberFormat="1">
      <alignment horizontal="center" readingOrder="0"/>
    </xf>
    <xf borderId="0" fillId="0" fontId="43" numFmtId="166" xfId="0" applyAlignment="1" applyFont="1" applyNumberFormat="1">
      <alignment horizontal="center"/>
    </xf>
    <xf borderId="31" fillId="43" fontId="42" numFmtId="166" xfId="0" applyAlignment="1" applyBorder="1" applyFont="1" applyNumberFormat="1">
      <alignment horizontal="center" readingOrder="0"/>
    </xf>
    <xf borderId="0" fillId="43" fontId="47" numFmtId="166" xfId="0" applyAlignment="1" applyFont="1" applyNumberFormat="1">
      <alignment horizontal="center" readingOrder="0"/>
    </xf>
    <xf borderId="0" fillId="0" fontId="48" numFmtId="0" xfId="0" applyAlignment="1" applyFont="1">
      <alignment readingOrder="0"/>
    </xf>
    <xf borderId="24" fillId="43" fontId="42" numFmtId="166" xfId="0" applyAlignment="1" applyBorder="1" applyFont="1" applyNumberFormat="1">
      <alignment horizontal="center" readingOrder="0"/>
    </xf>
    <xf borderId="0" fillId="43" fontId="49" numFmtId="0" xfId="0" applyAlignment="1" applyFont="1">
      <alignment horizontal="center" readingOrder="0" vertical="center"/>
    </xf>
    <xf borderId="0" fillId="0" fontId="2" numFmtId="171" xfId="0" applyAlignment="1" applyFont="1" applyNumberFormat="1">
      <alignment readingOrder="0"/>
    </xf>
    <xf borderId="0" fillId="0" fontId="43" numFmtId="166" xfId="0" applyAlignment="1" applyFont="1" applyNumberFormat="1">
      <alignment horizontal="center"/>
    </xf>
    <xf borderId="24" fillId="43" fontId="42" numFmtId="10" xfId="0" applyAlignment="1" applyBorder="1" applyFont="1" applyNumberFormat="1">
      <alignment horizontal="center" readingOrder="0"/>
    </xf>
    <xf borderId="0" fillId="0" fontId="43" numFmtId="0" xfId="0" applyFont="1"/>
    <xf borderId="24" fillId="0" fontId="2" numFmtId="166" xfId="0" applyAlignment="1" applyBorder="1" applyFont="1" applyNumberFormat="1">
      <alignment readingOrder="0"/>
    </xf>
    <xf borderId="24" fillId="0" fontId="2" numFmtId="166" xfId="0" applyBorder="1" applyFont="1" applyNumberFormat="1"/>
    <xf borderId="24" fillId="42" fontId="7" numFmtId="0" xfId="0" applyAlignment="1" applyBorder="1" applyFont="1">
      <alignment readingOrder="0" shrinkToFit="0" wrapText="0"/>
    </xf>
    <xf borderId="24" fillId="0" fontId="2" numFmtId="0" xfId="0" applyBorder="1" applyFont="1"/>
    <xf borderId="24" fillId="0" fontId="2" numFmtId="10" xfId="0" applyAlignment="1" applyBorder="1" applyFont="1" applyNumberFormat="1">
      <alignment readingOrder="0"/>
    </xf>
    <xf borderId="0" fillId="0" fontId="50" numFmtId="0" xfId="0" applyAlignment="1" applyFont="1">
      <alignment readingOrder="0"/>
    </xf>
    <xf borderId="0" fillId="45" fontId="48" numFmtId="0" xfId="0" applyAlignment="1" applyFill="1" applyFont="1">
      <alignment readingOrder="0"/>
    </xf>
    <xf borderId="0" fillId="0" fontId="2" numFmtId="4" xfId="0" applyAlignment="1" applyFont="1" applyNumberFormat="1">
      <alignment readingOrder="0"/>
    </xf>
    <xf borderId="0" fillId="0" fontId="2" numFmtId="9" xfId="0" applyAlignment="1" applyFont="1" applyNumberFormat="1">
      <alignment readingOrder="0"/>
    </xf>
    <xf borderId="1" fillId="2" fontId="15" numFmtId="0" xfId="0" applyAlignment="1" applyBorder="1" applyFont="1">
      <alignment readingOrder="0"/>
    </xf>
    <xf borderId="5" fillId="3" fontId="15" numFmtId="167" xfId="0" applyAlignment="1" applyBorder="1" applyFont="1" applyNumberFormat="1">
      <alignment horizontal="right" vertical="bottom"/>
    </xf>
    <xf borderId="0" fillId="4" fontId="15" numFmtId="0" xfId="0" applyAlignment="1" applyFont="1">
      <alignment readingOrder="0"/>
    </xf>
    <xf borderId="4" fillId="46" fontId="15" numFmtId="0" xfId="0" applyAlignment="1" applyBorder="1" applyFill="1" applyFont="1">
      <alignment readingOrder="0" vertical="bottom"/>
    </xf>
    <xf borderId="0" fillId="38" fontId="17" numFmtId="0" xfId="0" applyAlignment="1" applyFont="1">
      <alignment readingOrder="0"/>
    </xf>
    <xf borderId="0" fillId="0" fontId="17" numFmtId="0" xfId="0" applyAlignment="1" applyFont="1">
      <alignment readingOrder="0"/>
    </xf>
    <xf borderId="0" fillId="0" fontId="15" numFmtId="10" xfId="0" applyAlignment="1" applyFont="1" applyNumberFormat="1">
      <alignment vertical="bottom"/>
    </xf>
    <xf borderId="0" fillId="2" fontId="15" numFmtId="3" xfId="0" applyAlignment="1" applyFont="1" applyNumberFormat="1">
      <alignment horizontal="right" readingOrder="0" vertical="bottom"/>
    </xf>
    <xf borderId="0" fillId="2" fontId="22" numFmtId="3" xfId="0" applyAlignment="1" applyFont="1" applyNumberFormat="1">
      <alignment horizontal="right" readingOrder="0" shrinkToFit="0" wrapText="0"/>
    </xf>
    <xf borderId="0" fillId="2" fontId="23" numFmtId="0" xfId="0" applyAlignment="1" applyFont="1">
      <alignment horizontal="right" readingOrder="0" shrinkToFit="0" wrapText="0"/>
    </xf>
    <xf borderId="10" fillId="25" fontId="17" numFmtId="0" xfId="0" applyAlignment="1" applyBorder="1" applyFont="1">
      <alignment readingOrder="0" vertical="bottom"/>
    </xf>
    <xf borderId="8" fillId="25" fontId="15" numFmtId="1" xfId="0" applyAlignment="1" applyBorder="1" applyFont="1" applyNumberFormat="1">
      <alignment horizontal="right" vertical="bottom"/>
    </xf>
    <xf borderId="0" fillId="2" fontId="2" numFmtId="0" xfId="0" applyFont="1"/>
    <xf borderId="12" fillId="30" fontId="17" numFmtId="0" xfId="0" applyAlignment="1" applyBorder="1" applyFont="1">
      <alignment readingOrder="0" vertical="bottom"/>
    </xf>
    <xf borderId="10" fillId="40" fontId="17" numFmtId="0" xfId="0" applyAlignment="1" applyBorder="1" applyFont="1">
      <alignment readingOrder="0" vertical="bottom"/>
    </xf>
    <xf borderId="15" fillId="32" fontId="17" numFmtId="0" xfId="0" applyAlignment="1" applyBorder="1" applyFont="1">
      <alignment readingOrder="0" vertical="bottom"/>
    </xf>
    <xf borderId="4" fillId="32" fontId="17" numFmtId="0" xfId="0" applyAlignment="1" applyBorder="1" applyFont="1">
      <alignment readingOrder="0" vertical="bottom"/>
    </xf>
    <xf borderId="18" fillId="0" fontId="15" numFmtId="166" xfId="0" applyAlignment="1" applyBorder="1" applyFont="1" applyNumberFormat="1">
      <alignment horizontal="right" readingOrder="0" vertical="bottom"/>
    </xf>
    <xf borderId="6" fillId="0" fontId="15" numFmtId="0" xfId="0" applyAlignment="1" applyBorder="1" applyFont="1">
      <alignment vertical="bottom"/>
    </xf>
    <xf borderId="6" fillId="0" fontId="16" numFmtId="3" xfId="0" applyAlignment="1" applyBorder="1" applyFont="1" applyNumberFormat="1">
      <alignment horizontal="right" vertical="bottom"/>
    </xf>
    <xf borderId="0" fillId="4" fontId="15" numFmtId="167" xfId="0" applyAlignment="1" applyFont="1" applyNumberFormat="1">
      <alignment horizontal="right" vertical="bottom"/>
    </xf>
    <xf borderId="0" fillId="0" fontId="15" numFmtId="167" xfId="0" applyAlignment="1" applyFont="1" applyNumberFormat="1">
      <alignment horizontal="right" shrinkToFit="0" vertical="bottom" wrapText="1"/>
    </xf>
    <xf borderId="4" fillId="16" fontId="15" numFmtId="0" xfId="0" applyAlignment="1" applyBorder="1" applyFont="1">
      <alignment vertical="bottom"/>
    </xf>
    <xf borderId="6" fillId="0" fontId="19" numFmtId="0" xfId="0" applyBorder="1" applyFont="1"/>
    <xf borderId="0" fillId="4" fontId="15" numFmtId="0" xfId="0" applyAlignment="1" applyFont="1">
      <alignment horizontal="right" readingOrder="0" vertical="bottom"/>
    </xf>
    <xf borderId="6" fillId="0" fontId="16" numFmtId="167" xfId="0" applyAlignment="1" applyBorder="1" applyFont="1" applyNumberFormat="1">
      <alignment horizontal="right" vertical="bottom"/>
    </xf>
    <xf borderId="4" fillId="25" fontId="15" numFmtId="0" xfId="0" applyAlignment="1" applyBorder="1" applyFont="1">
      <alignment readingOrder="0" vertical="bottom"/>
    </xf>
    <xf borderId="6" fillId="0" fontId="15" numFmtId="0" xfId="0" applyAlignment="1" applyBorder="1" applyFont="1">
      <alignment readingOrder="0" vertical="bottom"/>
    </xf>
    <xf borderId="6" fillId="2" fontId="16" numFmtId="3" xfId="0" applyAlignment="1" applyBorder="1" applyFont="1" applyNumberFormat="1">
      <alignment horizontal="right" vertical="bottom"/>
    </xf>
    <xf borderId="0" fillId="0" fontId="15" numFmtId="0" xfId="0" applyAlignment="1" applyFont="1">
      <alignment horizontal="right" vertical="bottom"/>
    </xf>
    <xf borderId="6" fillId="6" fontId="16" numFmtId="3" xfId="0" applyAlignment="1" applyBorder="1" applyFont="1" applyNumberFormat="1">
      <alignment horizontal="right" vertical="bottom"/>
    </xf>
    <xf borderId="6" fillId="0" fontId="1" numFmtId="0" xfId="0" applyAlignment="1" applyBorder="1" applyFont="1">
      <alignment vertical="bottom"/>
    </xf>
    <xf borderId="4" fillId="9" fontId="15" numFmtId="0" xfId="0" applyAlignment="1" applyBorder="1" applyFont="1">
      <alignment readingOrder="0" vertical="bottom"/>
    </xf>
    <xf borderId="4" fillId="9" fontId="15" numFmtId="1" xfId="0" applyAlignment="1" applyBorder="1" applyFont="1" applyNumberFormat="1">
      <alignment horizontal="left" vertical="bottom"/>
    </xf>
    <xf borderId="6" fillId="0" fontId="16" numFmtId="166" xfId="0" applyAlignment="1" applyBorder="1" applyFont="1" applyNumberFormat="1">
      <alignment horizontal="right" vertical="bottom"/>
    </xf>
    <xf borderId="4" fillId="36" fontId="15" numFmtId="0" xfId="0" applyAlignment="1" applyBorder="1" applyFont="1">
      <alignment readingOrder="0" vertical="bottom"/>
    </xf>
    <xf borderId="6" fillId="0" fontId="16" numFmtId="167" xfId="0" applyAlignment="1" applyBorder="1" applyFont="1" applyNumberFormat="1">
      <alignment horizontal="right" readingOrder="0" vertical="bottom"/>
    </xf>
    <xf borderId="0" fillId="0" fontId="15" numFmtId="173" xfId="0" applyAlignment="1" applyFont="1" applyNumberFormat="1">
      <alignment readingOrder="0" vertical="bottom"/>
    </xf>
    <xf borderId="0" fillId="0" fontId="27" numFmtId="173" xfId="0" applyAlignment="1" applyFont="1" applyNumberFormat="1">
      <alignment readingOrder="0" vertical="bottom"/>
    </xf>
    <xf borderId="10" fillId="4" fontId="15" numFmtId="0" xfId="0" applyAlignment="1" applyBorder="1" applyFont="1">
      <alignment readingOrder="0" vertical="bottom"/>
    </xf>
    <xf borderId="0" fillId="0" fontId="15" numFmtId="167" xfId="0" applyAlignment="1" applyFont="1" applyNumberFormat="1">
      <alignment readingOrder="0" vertical="bottom"/>
    </xf>
    <xf borderId="0" fillId="42" fontId="51" numFmtId="0" xfId="0" applyAlignment="1" applyFont="1">
      <alignment horizontal="center" readingOrder="0"/>
    </xf>
    <xf borderId="8" fillId="42" fontId="52" numFmtId="165" xfId="0" applyAlignment="1" applyBorder="1" applyFont="1" applyNumberFormat="1">
      <alignment horizontal="right" readingOrder="0" vertical="bottom"/>
    </xf>
    <xf borderId="24" fillId="2" fontId="53" numFmtId="0" xfId="0" applyAlignment="1" applyBorder="1" applyFont="1">
      <alignment horizontal="center" readingOrder="0" vertical="bottom"/>
    </xf>
    <xf borderId="8" fillId="2" fontId="53" numFmtId="0" xfId="0" applyAlignment="1" applyBorder="1" applyFont="1">
      <alignment horizontal="center" readingOrder="0" vertical="bottom"/>
    </xf>
    <xf borderId="33" fillId="0" fontId="2" numFmtId="0" xfId="0" applyAlignment="1" applyBorder="1" applyFont="1">
      <alignment readingOrder="0"/>
    </xf>
    <xf borderId="0" fillId="0" fontId="1" numFmtId="3" xfId="0" applyAlignment="1" applyFont="1" applyNumberFormat="1">
      <alignment horizontal="center" readingOrder="0" vertical="bottom"/>
    </xf>
    <xf borderId="0" fillId="0" fontId="2" numFmtId="3" xfId="0" applyAlignment="1" applyFont="1" applyNumberFormat="1">
      <alignment horizontal="center" readingOrder="0"/>
    </xf>
    <xf borderId="1" fillId="0" fontId="1" numFmtId="3" xfId="0" applyAlignment="1" applyBorder="1" applyFont="1" applyNumberFormat="1">
      <alignment horizontal="center" readingOrder="0" vertical="bottom"/>
    </xf>
    <xf borderId="22" fillId="2" fontId="2" numFmtId="3" xfId="0" applyAlignment="1" applyBorder="1" applyFont="1" applyNumberFormat="1">
      <alignment horizontal="center" readingOrder="0"/>
    </xf>
    <xf borderId="0" fillId="2" fontId="2" numFmtId="10" xfId="0" applyAlignment="1" applyFont="1" applyNumberFormat="1">
      <alignment horizontal="center" readingOrder="0"/>
    </xf>
    <xf borderId="6" fillId="0" fontId="2" numFmtId="0" xfId="0" applyAlignment="1" applyBorder="1" applyFont="1">
      <alignment readingOrder="0"/>
    </xf>
    <xf borderId="6" fillId="0" fontId="2" numFmtId="0" xfId="0" applyAlignment="1" applyBorder="1" applyFont="1">
      <alignment readingOrder="0"/>
    </xf>
    <xf borderId="33" fillId="27" fontId="38" numFmtId="0" xfId="0" applyAlignment="1" applyBorder="1" applyFont="1">
      <alignment horizontal="center" readingOrder="0"/>
    </xf>
    <xf borderId="25" fillId="27" fontId="38" numFmtId="3" xfId="0" applyAlignment="1" applyBorder="1" applyFont="1" applyNumberFormat="1">
      <alignment horizontal="center" readingOrder="0"/>
    </xf>
    <xf borderId="24" fillId="2" fontId="38" numFmtId="3" xfId="0" applyAlignment="1" applyBorder="1" applyFont="1" applyNumberFormat="1">
      <alignment horizontal="center" readingOrder="0"/>
    </xf>
    <xf borderId="32" fillId="2" fontId="38" numFmtId="10" xfId="0" applyAlignment="1" applyBorder="1" applyFont="1" applyNumberFormat="1">
      <alignment horizontal="center" readingOrder="0"/>
    </xf>
    <xf borderId="31" fillId="35" fontId="51" numFmtId="0" xfId="0" applyAlignment="1" applyBorder="1" applyFont="1">
      <alignment horizontal="center" readingOrder="0"/>
    </xf>
    <xf borderId="8" fillId="35" fontId="52" numFmtId="165" xfId="0" applyAlignment="1" applyBorder="1" applyFont="1" applyNumberFormat="1">
      <alignment horizontal="right" readingOrder="0" vertical="bottom"/>
    </xf>
    <xf borderId="22" fillId="2" fontId="52" numFmtId="165" xfId="0" applyAlignment="1" applyBorder="1" applyFont="1" applyNumberFormat="1">
      <alignment horizontal="right" readingOrder="0" vertical="bottom"/>
    </xf>
    <xf borderId="0" fillId="2" fontId="52" numFmtId="165" xfId="0" applyAlignment="1" applyFont="1" applyNumberFormat="1">
      <alignment horizontal="right" readingOrder="0" vertical="bottom"/>
    </xf>
    <xf borderId="6" fillId="36" fontId="2" numFmtId="0" xfId="0" applyAlignment="1" applyBorder="1" applyFont="1">
      <alignment readingOrder="0"/>
    </xf>
    <xf borderId="0" fillId="36" fontId="38" numFmtId="10" xfId="0" applyAlignment="1" applyFont="1" applyNumberFormat="1">
      <alignment horizontal="center"/>
    </xf>
    <xf borderId="22" fillId="2" fontId="38" numFmtId="10" xfId="0" applyAlignment="1" applyBorder="1" applyFont="1" applyNumberFormat="1">
      <alignment horizontal="center"/>
    </xf>
    <xf borderId="0" fillId="2" fontId="38" numFmtId="10" xfId="0" applyAlignment="1" applyFont="1" applyNumberFormat="1">
      <alignment horizontal="center"/>
    </xf>
    <xf borderId="6" fillId="36" fontId="2" numFmtId="0" xfId="0" applyAlignment="1" applyBorder="1" applyFont="1">
      <alignment readingOrder="0"/>
    </xf>
    <xf borderId="11" fillId="36" fontId="2" numFmtId="0" xfId="0" applyAlignment="1" applyBorder="1" applyFont="1">
      <alignment readingOrder="0"/>
    </xf>
    <xf borderId="1" fillId="0" fontId="38" numFmtId="10" xfId="0" applyAlignment="1" applyBorder="1" applyFont="1" applyNumberFormat="1">
      <alignment horizontal="center"/>
    </xf>
    <xf borderId="0" fillId="0" fontId="38" numFmtId="10" xfId="0" applyAlignment="1" applyFont="1" applyNumberFormat="1">
      <alignment horizontal="center"/>
    </xf>
    <xf borderId="6" fillId="42" fontId="51" numFmtId="0" xfId="0" applyAlignment="1" applyBorder="1" applyFont="1">
      <alignment horizontal="center" readingOrder="0"/>
    </xf>
    <xf borderId="0" fillId="42" fontId="52" numFmtId="165" xfId="0" applyAlignment="1" applyFont="1" applyNumberFormat="1">
      <alignment horizontal="right" readingOrder="0" vertical="bottom"/>
    </xf>
    <xf borderId="6" fillId="43" fontId="2" numFmtId="0" xfId="0" applyAlignment="1" applyBorder="1" applyFont="1">
      <alignment readingOrder="0"/>
    </xf>
    <xf borderId="0" fillId="43" fontId="2" numFmtId="3" xfId="0" applyAlignment="1" applyFont="1" applyNumberFormat="1">
      <alignment horizontal="center" readingOrder="0"/>
    </xf>
    <xf borderId="11" fillId="43" fontId="2" numFmtId="0" xfId="0" applyAlignment="1" applyBorder="1" applyFont="1">
      <alignment readingOrder="0"/>
    </xf>
    <xf borderId="8" fillId="0" fontId="2" numFmtId="3" xfId="0" applyAlignment="1" applyBorder="1" applyFont="1" applyNumberFormat="1">
      <alignment horizontal="center" readingOrder="0"/>
    </xf>
    <xf borderId="8" fillId="43" fontId="2" numFmtId="3" xfId="0" applyAlignment="1" applyBorder="1" applyFont="1" applyNumberFormat="1">
      <alignment horizontal="center" readingOrder="0"/>
    </xf>
    <xf borderId="31" fillId="27" fontId="38" numFmtId="0" xfId="0" applyAlignment="1" applyBorder="1" applyFont="1">
      <alignment horizontal="center" readingOrder="0"/>
    </xf>
    <xf borderId="33" fillId="36" fontId="2" numFmtId="0" xfId="0" applyAlignment="1" applyBorder="1" applyFont="1">
      <alignment readingOrder="0"/>
    </xf>
    <xf borderId="11" fillId="36" fontId="2" numFmtId="0" xfId="0" applyAlignment="1" applyBorder="1" applyFont="1">
      <alignment readingOrder="0"/>
    </xf>
    <xf borderId="8" fillId="36" fontId="38" numFmtId="10" xfId="0" applyAlignment="1" applyBorder="1" applyFont="1" applyNumberFormat="1">
      <alignment horizontal="center"/>
    </xf>
    <xf borderId="22" fillId="2" fontId="2" numFmtId="0" xfId="0" applyAlignment="1" applyBorder="1" applyFont="1">
      <alignment horizontal="center"/>
    </xf>
    <xf borderId="0" fillId="2" fontId="2" numFmtId="0" xfId="0" applyAlignment="1" applyFont="1">
      <alignment horizontal="center"/>
    </xf>
    <xf borderId="0" fillId="22" fontId="2" numFmtId="0" xfId="0" applyAlignment="1" applyFont="1">
      <alignment horizontal="center"/>
    </xf>
    <xf borderId="33" fillId="6" fontId="54" numFmtId="0" xfId="0" applyAlignment="1" applyBorder="1" applyFont="1">
      <alignment horizontal="center" readingOrder="0"/>
    </xf>
    <xf borderId="25" fillId="6" fontId="55" numFmtId="165" xfId="0" applyAlignment="1" applyBorder="1" applyFont="1" applyNumberFormat="1">
      <alignment horizontal="right" readingOrder="0" vertical="bottom"/>
    </xf>
    <xf borderId="22" fillId="2" fontId="55" numFmtId="165" xfId="0" applyAlignment="1" applyBorder="1" applyFont="1" applyNumberFormat="1">
      <alignment horizontal="right" readingOrder="0" vertical="bottom"/>
    </xf>
    <xf borderId="0" fillId="2" fontId="55" numFmtId="165" xfId="0" applyAlignment="1" applyFont="1" applyNumberFormat="1">
      <alignment horizontal="right" readingOrder="0" vertical="bottom"/>
    </xf>
    <xf borderId="0" fillId="2" fontId="2" numFmtId="3" xfId="0" applyAlignment="1" applyFont="1" applyNumberFormat="1">
      <alignment horizontal="center" readingOrder="0"/>
    </xf>
    <xf borderId="6" fillId="4" fontId="38" numFmtId="0" xfId="0" applyAlignment="1" applyBorder="1" applyFont="1">
      <alignment horizontal="center" readingOrder="0"/>
    </xf>
    <xf borderId="0" fillId="3" fontId="1" numFmtId="3" xfId="0" applyAlignment="1" applyFont="1" applyNumberFormat="1">
      <alignment horizontal="center" readingOrder="0" vertical="bottom"/>
    </xf>
    <xf borderId="0" fillId="3" fontId="2" numFmtId="3" xfId="0" applyAlignment="1" applyFont="1" applyNumberFormat="1">
      <alignment horizontal="center" readingOrder="0"/>
    </xf>
    <xf borderId="0" fillId="4" fontId="2" numFmtId="3" xfId="0" applyAlignment="1" applyFont="1" applyNumberFormat="1">
      <alignment horizontal="center" readingOrder="0"/>
    </xf>
    <xf borderId="0" fillId="4" fontId="1" numFmtId="3" xfId="0" applyAlignment="1" applyFont="1" applyNumberFormat="1">
      <alignment horizontal="center" readingOrder="0" vertical="bottom"/>
    </xf>
    <xf borderId="31" fillId="4" fontId="38" numFmtId="0" xfId="0" applyAlignment="1" applyBorder="1" applyFont="1">
      <alignment horizontal="center" readingOrder="0"/>
    </xf>
    <xf borderId="25" fillId="3" fontId="1" numFmtId="3" xfId="0" applyAlignment="1" applyBorder="1" applyFont="1" applyNumberFormat="1">
      <alignment horizontal="center" readingOrder="0" vertical="bottom"/>
    </xf>
    <xf borderId="0" fillId="4" fontId="2" numFmtId="3" xfId="0" applyAlignment="1" applyFont="1" applyNumberFormat="1">
      <alignment horizontal="center"/>
    </xf>
    <xf borderId="22" fillId="2" fontId="2" numFmtId="3" xfId="0" applyAlignment="1" applyBorder="1" applyFont="1" applyNumberFormat="1">
      <alignment horizontal="center"/>
    </xf>
    <xf borderId="0" fillId="2" fontId="2" numFmtId="3" xfId="0" applyAlignment="1" applyFont="1" applyNumberFormat="1">
      <alignment horizontal="center"/>
    </xf>
    <xf borderId="25" fillId="3" fontId="2" numFmtId="3" xfId="0" applyAlignment="1" applyBorder="1" applyFont="1" applyNumberFormat="1">
      <alignment horizontal="center" readingOrder="0"/>
    </xf>
    <xf borderId="0" fillId="0" fontId="2" numFmtId="3" xfId="0" applyAlignment="1" applyFont="1" applyNumberFormat="1">
      <alignment horizontal="center"/>
    </xf>
    <xf borderId="0" fillId="3" fontId="2" numFmtId="3" xfId="0" applyAlignment="1" applyFont="1" applyNumberFormat="1">
      <alignment horizontal="center"/>
    </xf>
    <xf borderId="11" fillId="27" fontId="38" numFmtId="0" xfId="0" applyAlignment="1" applyBorder="1" applyFont="1">
      <alignment horizontal="center" readingOrder="0"/>
    </xf>
    <xf borderId="8" fillId="36" fontId="38" numFmtId="3" xfId="0" applyAlignment="1" applyBorder="1" applyFont="1" applyNumberFormat="1">
      <alignment horizontal="center" readingOrder="0"/>
    </xf>
    <xf borderId="8" fillId="27" fontId="38" numFmtId="3" xfId="0" applyAlignment="1" applyBorder="1" applyFont="1" applyNumberFormat="1">
      <alignment horizontal="center" readingOrder="0"/>
    </xf>
    <xf borderId="22" fillId="2" fontId="38" numFmtId="3" xfId="0" applyAlignment="1" applyBorder="1" applyFont="1" applyNumberFormat="1">
      <alignment horizontal="center" readingOrder="0"/>
    </xf>
    <xf borderId="0" fillId="2" fontId="38" numFmtId="3" xfId="0" applyAlignment="1" applyFont="1" applyNumberFormat="1">
      <alignment horizontal="center" readingOrder="0"/>
    </xf>
    <xf borderId="31" fillId="6" fontId="54" numFmtId="0" xfId="0" applyAlignment="1" applyBorder="1" applyFont="1">
      <alignment horizontal="center" readingOrder="0"/>
    </xf>
    <xf borderId="8" fillId="6" fontId="55" numFmtId="165" xfId="0" applyAlignment="1" applyBorder="1" applyFont="1" applyNumberFormat="1">
      <alignment horizontal="right" readingOrder="0" vertical="bottom"/>
    </xf>
    <xf borderId="0" fillId="6" fontId="55" numFmtId="165" xfId="0" applyAlignment="1" applyFont="1" applyNumberFormat="1">
      <alignment horizontal="right" readingOrder="0" vertical="bottom"/>
    </xf>
    <xf borderId="1" fillId="36" fontId="38" numFmtId="10" xfId="0" applyAlignment="1" applyBorder="1" applyFont="1" applyNumberFormat="1">
      <alignment horizontal="center"/>
    </xf>
    <xf borderId="12" fillId="36" fontId="38" numFmtId="10" xfId="0" applyAlignment="1" applyBorder="1" applyFont="1" applyNumberFormat="1">
      <alignment horizontal="center"/>
    </xf>
    <xf borderId="6" fillId="2" fontId="38" numFmtId="10" xfId="0" applyAlignment="1" applyBorder="1" applyFont="1" applyNumberFormat="1">
      <alignment horizontal="center"/>
    </xf>
    <xf borderId="0" fillId="36" fontId="38" numFmtId="0" xfId="0" applyAlignment="1" applyFont="1">
      <alignment horizontal="center" readingOrder="0"/>
    </xf>
    <xf borderId="4" fillId="36" fontId="38" numFmtId="10" xfId="0" applyAlignment="1" applyBorder="1" applyFont="1" applyNumberFormat="1">
      <alignment horizontal="center"/>
    </xf>
    <xf borderId="0" fillId="47" fontId="38" numFmtId="10" xfId="0" applyAlignment="1" applyFill="1" applyFont="1" applyNumberFormat="1">
      <alignment horizontal="center"/>
    </xf>
    <xf borderId="4" fillId="2" fontId="38" numFmtId="10" xfId="0" applyAlignment="1" applyBorder="1" applyFont="1" applyNumberFormat="1">
      <alignment horizontal="center"/>
    </xf>
    <xf borderId="8" fillId="36" fontId="38" numFmtId="0" xfId="0" applyAlignment="1" applyBorder="1" applyFont="1">
      <alignment horizontal="center" readingOrder="0"/>
    </xf>
    <xf borderId="8" fillId="47" fontId="38" numFmtId="10" xfId="0" applyAlignment="1" applyBorder="1" applyFont="1" applyNumberFormat="1">
      <alignment horizontal="center"/>
    </xf>
    <xf borderId="10" fillId="36" fontId="38" numFmtId="10" xfId="0" applyAlignment="1" applyBorder="1" applyFont="1" applyNumberFormat="1">
      <alignment horizontal="center"/>
    </xf>
    <xf borderId="0" fillId="8" fontId="2" numFmtId="0" xfId="0" applyAlignment="1" applyFont="1">
      <alignment horizontal="center"/>
    </xf>
    <xf borderId="0" fillId="43" fontId="2" numFmtId="0" xfId="0" applyAlignment="1" applyFont="1">
      <alignment horizontal="center"/>
    </xf>
    <xf borderId="22" fillId="2" fontId="2" numFmtId="0" xfId="0" applyBorder="1" applyFont="1"/>
    <xf borderId="7" fillId="2" fontId="2" numFmtId="0" xfId="0" applyBorder="1" applyFont="1"/>
    <xf borderId="34" fillId="0" fontId="56" numFmtId="0" xfId="0" applyAlignment="1" applyBorder="1" applyFont="1">
      <alignment readingOrder="0"/>
    </xf>
    <xf borderId="34" fillId="0" fontId="2" numFmtId="0" xfId="0" applyBorder="1" applyFont="1"/>
    <xf borderId="34" fillId="0" fontId="2" numFmtId="0" xfId="0" applyAlignment="1" applyBorder="1" applyFont="1">
      <alignment readingOrder="0" vertical="top"/>
    </xf>
    <xf borderId="34" fillId="0" fontId="7" numFmtId="0" xfId="0" applyAlignment="1" applyBorder="1" applyFont="1">
      <alignment readingOrder="0"/>
    </xf>
    <xf borderId="34" fillId="0" fontId="2" numFmtId="0" xfId="0" applyAlignment="1" applyBorder="1" applyFont="1">
      <alignment readingOrder="0"/>
    </xf>
    <xf borderId="34" fillId="0" fontId="57" numFmtId="0" xfId="0" applyBorder="1" applyFont="1"/>
    <xf borderId="35" fillId="0" fontId="2" numFmtId="0" xfId="0" applyAlignment="1" applyBorder="1" applyFont="1">
      <alignment readingOrder="0" shrinkToFit="0" vertical="top" wrapText="1"/>
    </xf>
    <xf borderId="36" fillId="0" fontId="40" numFmtId="0" xfId="0" applyBorder="1" applyFont="1"/>
    <xf borderId="37" fillId="0" fontId="40" numFmtId="0" xfId="0" applyBorder="1" applyFont="1"/>
    <xf borderId="38" fillId="0" fontId="40" numFmtId="0" xfId="0" applyBorder="1" applyFont="1"/>
    <xf borderId="39" fillId="0" fontId="40" numFmtId="0" xfId="0" applyBorder="1" applyFont="1"/>
    <xf borderId="40" fillId="0" fontId="40" numFmtId="0" xfId="0" applyBorder="1" applyFont="1"/>
    <xf borderId="34" fillId="0" fontId="7" numFmtId="0" xfId="0" applyAlignment="1" applyBorder="1" applyFont="1">
      <alignment readingOrder="0"/>
    </xf>
    <xf borderId="41" fillId="0" fontId="40" numFmtId="0" xfId="0" applyBorder="1" applyFont="1"/>
    <xf borderId="42" fillId="0" fontId="40" numFmtId="0" xfId="0" applyBorder="1" applyFont="1"/>
    <xf borderId="34" fillId="27" fontId="38" numFmtId="0" xfId="0" applyAlignment="1" applyBorder="1" applyFont="1">
      <alignment readingOrder="0"/>
    </xf>
    <xf borderId="34" fillId="27" fontId="38" numFmtId="0" xfId="0" applyBorder="1" applyFont="1"/>
    <xf borderId="0" fillId="43" fontId="58" numFmtId="0" xfId="0" applyAlignment="1" applyFont="1">
      <alignment horizontal="center" readingOrder="0" shrinkToFit="0" vertical="bottom" wrapText="0"/>
    </xf>
    <xf borderId="0" fillId="43" fontId="58" numFmtId="181" xfId="0" applyAlignment="1" applyFont="1" applyNumberFormat="1">
      <alignment horizontal="center" readingOrder="0" shrinkToFit="0" vertical="bottom" wrapText="0"/>
    </xf>
    <xf borderId="0" fillId="43" fontId="58" numFmtId="0" xfId="0" applyAlignment="1" applyFont="1">
      <alignment horizontal="center" shrinkToFit="0" vertical="bottom" wrapText="0"/>
    </xf>
    <xf borderId="0" fillId="43" fontId="59" numFmtId="0" xfId="0" applyAlignment="1" applyFont="1">
      <alignment horizontal="center" readingOrder="0" shrinkToFit="0" vertical="bottom" wrapText="0"/>
    </xf>
    <xf borderId="24" fillId="48" fontId="58" numFmtId="0" xfId="0" applyAlignment="1" applyBorder="1" applyFill="1" applyFont="1">
      <alignment horizontal="center" readingOrder="0" shrinkToFit="0" vertical="bottom" wrapText="0"/>
    </xf>
    <xf borderId="24" fillId="48" fontId="58" numFmtId="181" xfId="0" applyAlignment="1" applyBorder="1" applyFont="1" applyNumberFormat="1">
      <alignment horizontal="center" readingOrder="0" shrinkToFit="0" vertical="bottom" wrapText="0"/>
    </xf>
    <xf borderId="24" fillId="48" fontId="58" numFmtId="0" xfId="0" applyAlignment="1" applyBorder="1" applyFont="1">
      <alignment horizontal="center" shrinkToFit="0" vertical="bottom" wrapText="0"/>
    </xf>
    <xf borderId="31" fillId="49" fontId="59" numFmtId="0" xfId="0" applyAlignment="1" applyBorder="1" applyFill="1" applyFont="1">
      <alignment horizontal="center" readingOrder="0" shrinkToFit="0" vertical="bottom" wrapText="0"/>
    </xf>
    <xf borderId="25" fillId="50" fontId="59" numFmtId="0" xfId="0" applyAlignment="1" applyBorder="1" applyFill="1" applyFont="1">
      <alignment horizontal="center" readingOrder="0" shrinkToFit="0" vertical="bottom" wrapText="0"/>
    </xf>
    <xf borderId="24" fillId="48" fontId="60" numFmtId="0" xfId="0" applyAlignment="1" applyBorder="1" applyFont="1">
      <alignment readingOrder="0" shrinkToFit="0" vertical="bottom" wrapText="0"/>
    </xf>
    <xf borderId="24" fillId="48" fontId="61" numFmtId="0" xfId="0" applyAlignment="1" applyBorder="1" applyFont="1">
      <alignment horizontal="center" readingOrder="0" shrinkToFit="0" vertical="bottom" wrapText="0"/>
    </xf>
    <xf borderId="33" fillId="48" fontId="62" numFmtId="0" xfId="0" applyAlignment="1" applyBorder="1" applyFont="1">
      <alignment horizontal="center" readingOrder="0" shrinkToFit="0" vertical="bottom" wrapText="0"/>
    </xf>
    <xf borderId="1" fillId="0" fontId="40" numFmtId="0" xfId="0" applyBorder="1" applyFont="1"/>
    <xf borderId="12" fillId="0" fontId="40" numFmtId="0" xfId="0" applyBorder="1" applyFont="1"/>
    <xf borderId="7" fillId="49" fontId="63" numFmtId="0" xfId="0" applyAlignment="1" applyBorder="1" applyFont="1">
      <alignment readingOrder="0" shrinkToFit="0" vertical="bottom" wrapText="0"/>
    </xf>
    <xf borderId="10" fillId="49" fontId="59" numFmtId="171" xfId="0" applyAlignment="1" applyBorder="1" applyFont="1" applyNumberFormat="1">
      <alignment horizontal="center" readingOrder="0" shrinkToFit="0" vertical="bottom" wrapText="0"/>
    </xf>
    <xf borderId="10" fillId="50" fontId="63" numFmtId="0" xfId="0" applyAlignment="1" applyBorder="1" applyFont="1">
      <alignment horizontal="left" readingOrder="0" shrinkToFit="0" vertical="bottom" wrapText="0"/>
    </xf>
    <xf borderId="10" fillId="50" fontId="59" numFmtId="171" xfId="0" applyAlignment="1" applyBorder="1" applyFont="1" applyNumberFormat="1">
      <alignment horizontal="center" readingOrder="0" shrinkToFit="0" vertical="bottom" wrapText="0"/>
    </xf>
    <xf borderId="24" fillId="7" fontId="61" numFmtId="0" xfId="0" applyAlignment="1" applyBorder="1" applyFont="1">
      <alignment horizontal="center" readingOrder="0" shrinkToFit="0" vertical="bottom" wrapText="0"/>
    </xf>
    <xf borderId="11" fillId="0" fontId="40" numFmtId="0" xfId="0" applyBorder="1" applyFont="1"/>
    <xf borderId="8" fillId="0" fontId="40" numFmtId="0" xfId="0" applyBorder="1" applyFont="1"/>
    <xf borderId="10" fillId="0" fontId="40" numFmtId="0" xfId="0" applyBorder="1" applyFont="1"/>
    <xf borderId="10" fillId="49" fontId="59" numFmtId="0" xfId="0" applyAlignment="1" applyBorder="1" applyFont="1">
      <alignment horizontal="center" readingOrder="0" shrinkToFit="0" vertical="bottom" wrapText="0"/>
    </xf>
    <xf borderId="10" fillId="50" fontId="59" numFmtId="0" xfId="0" applyAlignment="1" applyBorder="1" applyFont="1">
      <alignment horizontal="center" readingOrder="0" shrinkToFit="0" vertical="bottom" wrapText="0"/>
    </xf>
    <xf borderId="24" fillId="33" fontId="64" numFmtId="0" xfId="0" applyAlignment="1" applyBorder="1" applyFont="1">
      <alignment shrinkToFit="0" vertical="bottom" wrapText="0"/>
    </xf>
    <xf borderId="31" fillId="33" fontId="65" numFmtId="0" xfId="0" applyAlignment="1" applyBorder="1" applyFont="1">
      <alignment horizontal="center" readingOrder="0"/>
    </xf>
    <xf borderId="25" fillId="0" fontId="40" numFmtId="0" xfId="0" applyBorder="1" applyFont="1"/>
    <xf borderId="24" fillId="33" fontId="66" numFmtId="0" xfId="0" applyAlignment="1" applyBorder="1" applyFont="1">
      <alignment horizontal="center" readingOrder="0"/>
    </xf>
    <xf borderId="24" fillId="7" fontId="66" numFmtId="0" xfId="0" applyAlignment="1" applyBorder="1" applyFont="1">
      <alignment horizontal="center" readingOrder="0"/>
    </xf>
    <xf borderId="10" fillId="49" fontId="59" numFmtId="3" xfId="0" applyAlignment="1" applyBorder="1" applyFont="1" applyNumberFormat="1">
      <alignment horizontal="center" readingOrder="0" shrinkToFit="0" vertical="bottom" wrapText="0"/>
    </xf>
    <xf borderId="10" fillId="50" fontId="59" numFmtId="3" xfId="0" applyAlignment="1" applyBorder="1" applyFont="1" applyNumberFormat="1">
      <alignment horizontal="center" readingOrder="0" shrinkToFit="0" vertical="bottom" wrapText="0"/>
    </xf>
    <xf borderId="43" fillId="11" fontId="67" numFmtId="0" xfId="0" applyAlignment="1" applyBorder="1" applyFont="1">
      <alignment horizontal="center" readingOrder="0" shrinkToFit="0" vertical="bottom" wrapText="0"/>
    </xf>
    <xf borderId="44" fillId="11" fontId="68" numFmtId="171" xfId="0" applyAlignment="1" applyBorder="1" applyFont="1" applyNumberFormat="1">
      <alignment horizontal="center" readingOrder="0" shrinkToFit="0" vertical="bottom" wrapText="0"/>
    </xf>
    <xf borderId="44" fillId="11" fontId="68" numFmtId="171" xfId="0" applyAlignment="1" applyBorder="1" applyFont="1" applyNumberFormat="1">
      <alignment horizontal="center" shrinkToFit="0" vertical="bottom" wrapText="0"/>
    </xf>
    <xf borderId="45" fillId="11" fontId="68" numFmtId="171" xfId="0" applyAlignment="1" applyBorder="1" applyFont="1" applyNumberFormat="1">
      <alignment horizontal="center" readingOrder="0" shrinkToFit="0" vertical="bottom" wrapText="0"/>
    </xf>
    <xf borderId="45" fillId="11" fontId="69" numFmtId="9" xfId="0" applyAlignment="1" applyBorder="1" applyFont="1" applyNumberFormat="1">
      <alignment horizontal="center" readingOrder="0" shrinkToFit="0" vertical="bottom" wrapText="0"/>
    </xf>
    <xf borderId="44" fillId="11" fontId="67" numFmtId="171" xfId="0" applyAlignment="1" applyBorder="1" applyFont="1" applyNumberFormat="1">
      <alignment horizontal="center" readingOrder="0" shrinkToFit="0" vertical="bottom" wrapText="0"/>
    </xf>
    <xf borderId="10" fillId="50" fontId="63" numFmtId="0" xfId="0" applyAlignment="1" applyBorder="1" applyFont="1">
      <alignment horizontal="center" shrinkToFit="0" vertical="bottom" wrapText="0"/>
    </xf>
    <xf borderId="46" fillId="11" fontId="67" numFmtId="0" xfId="0" applyAlignment="1" applyBorder="1" applyFont="1">
      <alignment horizontal="center" readingOrder="0" shrinkToFit="0" vertical="bottom" wrapText="0"/>
    </xf>
    <xf borderId="47" fillId="2" fontId="68" numFmtId="171" xfId="0" applyAlignment="1" applyBorder="1" applyFont="1" applyNumberFormat="1">
      <alignment horizontal="center" readingOrder="0" shrinkToFit="0" vertical="bottom" wrapText="0"/>
    </xf>
    <xf borderId="47" fillId="2" fontId="68" numFmtId="171" xfId="0" applyAlignment="1" applyBorder="1" applyFont="1" applyNumberFormat="1">
      <alignment horizontal="center" shrinkToFit="0" vertical="bottom" wrapText="0"/>
    </xf>
    <xf borderId="48" fillId="11" fontId="69" numFmtId="9" xfId="0" applyAlignment="1" applyBorder="1" applyFont="1" applyNumberFormat="1">
      <alignment horizontal="center" readingOrder="0" shrinkToFit="0" vertical="bottom" wrapText="0"/>
    </xf>
    <xf borderId="47" fillId="11" fontId="67" numFmtId="171" xfId="0" applyAlignment="1" applyBorder="1" applyFont="1" applyNumberFormat="1">
      <alignment horizontal="center" readingOrder="0" shrinkToFit="0" vertical="bottom" wrapText="0"/>
    </xf>
    <xf borderId="10" fillId="49" fontId="59" numFmtId="9" xfId="0" applyAlignment="1" applyBorder="1" applyFont="1" applyNumberFormat="1">
      <alignment horizontal="center" readingOrder="0" shrinkToFit="0" vertical="bottom" wrapText="0"/>
    </xf>
    <xf borderId="10" fillId="50" fontId="70" numFmtId="0" xfId="0" applyAlignment="1" applyBorder="1" applyFont="1">
      <alignment horizontal="center" shrinkToFit="0" vertical="bottom" wrapText="0"/>
    </xf>
    <xf borderId="47" fillId="11" fontId="68" numFmtId="171" xfId="0" applyAlignment="1" applyBorder="1" applyFont="1" applyNumberFormat="1">
      <alignment horizontal="center" shrinkToFit="0" vertical="bottom" wrapText="0"/>
    </xf>
    <xf borderId="7" fillId="49" fontId="70" numFmtId="0" xfId="0" applyAlignment="1" applyBorder="1" applyFont="1">
      <alignment readingOrder="0" shrinkToFit="0" vertical="bottom" wrapText="0"/>
    </xf>
    <xf borderId="10" fillId="49" fontId="59" numFmtId="166" xfId="0" applyAlignment="1" applyBorder="1" applyFont="1" applyNumberFormat="1">
      <alignment horizontal="center" readingOrder="0" shrinkToFit="0" vertical="bottom" wrapText="0"/>
    </xf>
    <xf borderId="24" fillId="48" fontId="59" numFmtId="0" xfId="0" applyAlignment="1" applyBorder="1" applyFont="1">
      <alignment horizontal="left" readingOrder="0" shrinkToFit="0" vertical="bottom" wrapText="0"/>
    </xf>
    <xf borderId="24" fillId="48" fontId="59" numFmtId="0" xfId="0" applyAlignment="1" applyBorder="1" applyFont="1">
      <alignment horizontal="center" readingOrder="0" shrinkToFit="0" vertical="bottom" wrapText="0"/>
    </xf>
    <xf borderId="24" fillId="30" fontId="59" numFmtId="0" xfId="0" applyAlignment="1" applyBorder="1" applyFont="1">
      <alignment horizontal="center" readingOrder="0" shrinkToFit="0" vertical="bottom" wrapText="0"/>
    </xf>
    <xf borderId="7" fillId="0" fontId="63" numFmtId="0" xfId="0" applyAlignment="1" applyBorder="1" applyFont="1">
      <alignment readingOrder="0" shrinkToFit="0" vertical="bottom" wrapText="0"/>
    </xf>
    <xf borderId="10" fillId="51" fontId="63" numFmtId="171" xfId="0" applyAlignment="1" applyBorder="1" applyFill="1" applyFont="1" applyNumberFormat="1">
      <alignment horizontal="center" readingOrder="0" shrinkToFit="0" vertical="bottom" wrapText="0"/>
    </xf>
    <xf borderId="10" fillId="0" fontId="63" numFmtId="166" xfId="0" applyAlignment="1" applyBorder="1" applyFont="1" applyNumberFormat="1">
      <alignment horizontal="center" shrinkToFit="0" vertical="bottom" wrapText="0"/>
    </xf>
    <xf borderId="24" fillId="43" fontId="63" numFmtId="9" xfId="0" applyAlignment="1" applyBorder="1" applyFont="1" applyNumberFormat="1">
      <alignment horizontal="center" readingOrder="0" shrinkToFit="0" vertical="bottom" wrapText="0"/>
    </xf>
    <xf borderId="10" fillId="33" fontId="63" numFmtId="3" xfId="0" applyAlignment="1" applyBorder="1" applyFont="1" applyNumberFormat="1">
      <alignment horizontal="center" readingOrder="0" shrinkToFit="0" vertical="bottom" wrapText="0"/>
    </xf>
    <xf borderId="10" fillId="0" fontId="63" numFmtId="3" xfId="0" applyAlignment="1" applyBorder="1" applyFont="1" applyNumberFormat="1">
      <alignment horizontal="center" shrinkToFit="0" vertical="bottom" wrapText="0"/>
    </xf>
    <xf borderId="10" fillId="0" fontId="63" numFmtId="2" xfId="0" applyAlignment="1" applyBorder="1" applyFont="1" applyNumberFormat="1">
      <alignment horizontal="center" readingOrder="0" shrinkToFit="0" vertical="bottom" wrapText="0"/>
    </xf>
    <xf borderId="10" fillId="0" fontId="63" numFmtId="2" xfId="0" applyAlignment="1" applyBorder="1" applyFont="1" applyNumberFormat="1">
      <alignment horizontal="center" shrinkToFit="0" vertical="bottom" wrapText="0"/>
    </xf>
    <xf borderId="10" fillId="0" fontId="63" numFmtId="10" xfId="0" applyAlignment="1" applyBorder="1" applyFont="1" applyNumberFormat="1">
      <alignment horizontal="center" readingOrder="0" shrinkToFit="0" vertical="bottom" wrapText="0"/>
    </xf>
    <xf borderId="10" fillId="0" fontId="63" numFmtId="10" xfId="0" applyAlignment="1" applyBorder="1" applyFont="1" applyNumberFormat="1">
      <alignment horizontal="center" shrinkToFit="0" vertical="bottom" wrapText="0"/>
    </xf>
    <xf borderId="10" fillId="33" fontId="63" numFmtId="10" xfId="0" applyAlignment="1" applyBorder="1" applyFont="1" applyNumberFormat="1">
      <alignment horizontal="center" readingOrder="0" shrinkToFit="0" vertical="bottom" wrapText="0"/>
    </xf>
    <xf borderId="47" fillId="11" fontId="68" numFmtId="171" xfId="0" applyAlignment="1" applyBorder="1" applyFont="1" applyNumberFormat="1">
      <alignment horizontal="center" readingOrder="0" shrinkToFit="0" vertical="bottom" wrapText="0"/>
    </xf>
    <xf borderId="10" fillId="11" fontId="63" numFmtId="166" xfId="0" applyAlignment="1" applyBorder="1" applyFont="1" applyNumberFormat="1">
      <alignment horizontal="center" readingOrder="0" shrinkToFit="0" vertical="bottom" wrapText="0"/>
    </xf>
    <xf borderId="10" fillId="11" fontId="63" numFmtId="3" xfId="0" applyAlignment="1" applyBorder="1" applyFont="1" applyNumberFormat="1">
      <alignment horizontal="center" readingOrder="0" shrinkToFit="0" vertical="bottom" wrapText="0"/>
    </xf>
    <xf borderId="0" fillId="43" fontId="63" numFmtId="0" xfId="0" applyAlignment="1" applyFont="1">
      <alignment shrinkToFit="0" vertical="bottom" wrapText="0"/>
    </xf>
    <xf borderId="0" fillId="43" fontId="63" numFmtId="0" xfId="0" applyAlignment="1" applyFont="1">
      <alignment readingOrder="0" shrinkToFit="0" vertical="bottom" wrapText="0"/>
    </xf>
    <xf borderId="0" fillId="33" fontId="63" numFmtId="171" xfId="0" applyAlignment="1" applyFont="1" applyNumberFormat="1">
      <alignment horizontal="center" readingOrder="0" shrinkToFit="0" vertical="bottom" wrapText="0"/>
    </xf>
    <xf borderId="0" fillId="43" fontId="63" numFmtId="0" xfId="0" applyAlignment="1" applyFont="1">
      <alignment horizontal="center" readingOrder="0" shrinkToFit="0" vertical="bottom" wrapText="0"/>
    </xf>
    <xf borderId="0" fillId="43" fontId="63" numFmtId="3" xfId="0" applyAlignment="1" applyFont="1" applyNumberFormat="1">
      <alignment horizontal="center" readingOrder="0" shrinkToFit="0" vertical="bottom" wrapText="0"/>
    </xf>
    <xf borderId="0" fillId="43" fontId="63" numFmtId="9" xfId="0" applyAlignment="1" applyFont="1" applyNumberFormat="1">
      <alignment horizontal="center" readingOrder="0" shrinkToFit="0" vertical="bottom" wrapText="0"/>
    </xf>
    <xf borderId="0" fillId="43" fontId="63" numFmtId="10" xfId="0" applyAlignment="1" applyFont="1" applyNumberFormat="1">
      <alignment horizontal="center" readingOrder="0" shrinkToFit="0" vertical="bottom" wrapText="0"/>
    </xf>
    <xf borderId="0" fillId="43" fontId="63" numFmtId="2" xfId="0" applyAlignment="1" applyFont="1" applyNumberFormat="1">
      <alignment horizontal="center" readingOrder="0" shrinkToFit="0" vertical="bottom" wrapText="0"/>
    </xf>
    <xf borderId="0" fillId="43" fontId="70" numFmtId="0" xfId="0" applyAlignment="1" applyFont="1">
      <alignment readingOrder="0" shrinkToFit="0" vertical="bottom" wrapText="0"/>
    </xf>
    <xf borderId="0" fillId="43" fontId="63" numFmtId="166" xfId="0" applyAlignment="1" applyFont="1" applyNumberFormat="1">
      <alignment horizontal="center" readingOrder="0" shrinkToFit="0" vertical="bottom" wrapText="0"/>
    </xf>
    <xf borderId="31" fillId="52" fontId="71" numFmtId="0" xfId="0" applyAlignment="1" applyBorder="1" applyFill="1" applyFont="1">
      <alignment readingOrder="0" shrinkToFit="0" vertical="bottom" wrapText="0"/>
    </xf>
    <xf borderId="32" fillId="52" fontId="71" numFmtId="166" xfId="0" applyAlignment="1" applyBorder="1" applyFont="1" applyNumberFormat="1">
      <alignment horizontal="center" readingOrder="0" shrinkToFit="0" vertical="bottom" wrapText="0"/>
    </xf>
    <xf borderId="25" fillId="52" fontId="71" numFmtId="166" xfId="0" applyAlignment="1" applyBorder="1" applyFont="1" applyNumberFormat="1">
      <alignment horizontal="center" readingOrder="0" shrinkToFit="0" vertical="bottom" wrapText="0"/>
    </xf>
    <xf borderId="25" fillId="52" fontId="71" numFmtId="10" xfId="0" applyAlignment="1" applyBorder="1" applyFont="1" applyNumberFormat="1">
      <alignment horizontal="center" readingOrder="0" shrinkToFit="0" vertical="bottom" wrapText="0"/>
    </xf>
    <xf borderId="25" fillId="3" fontId="72" numFmtId="10" xfId="0" applyAlignment="1" applyBorder="1" applyFont="1" applyNumberFormat="1">
      <alignment horizontal="center"/>
    </xf>
    <xf borderId="32" fillId="3" fontId="72" numFmtId="166" xfId="0" applyAlignment="1" applyBorder="1" applyFont="1" applyNumberFormat="1">
      <alignment horizontal="center"/>
    </xf>
    <xf borderId="0" fillId="11" fontId="7" numFmtId="0" xfId="0" applyFont="1"/>
    <xf borderId="44" fillId="11" fontId="68" numFmtId="3" xfId="0" applyAlignment="1" applyBorder="1" applyFont="1" applyNumberFormat="1">
      <alignment horizontal="center" shrinkToFit="0" vertical="bottom" wrapText="0"/>
    </xf>
    <xf borderId="44" fillId="11" fontId="68" numFmtId="3" xfId="0" applyAlignment="1" applyBorder="1" applyFont="1" applyNumberFormat="1">
      <alignment horizontal="center" readingOrder="0" shrinkToFit="0" vertical="bottom" wrapText="0"/>
    </xf>
    <xf borderId="45" fillId="11" fontId="68" numFmtId="3" xfId="0" applyAlignment="1" applyBorder="1" applyFont="1" applyNumberFormat="1">
      <alignment horizontal="center" readingOrder="0" shrinkToFit="0" vertical="bottom" wrapText="0"/>
    </xf>
    <xf borderId="44" fillId="11" fontId="67" numFmtId="3" xfId="0" applyAlignment="1" applyBorder="1" applyFont="1" applyNumberFormat="1">
      <alignment horizontal="center" readingOrder="0" shrinkToFit="0" vertical="bottom" wrapText="0"/>
    </xf>
    <xf borderId="47" fillId="2" fontId="68" numFmtId="3" xfId="0" applyAlignment="1" applyBorder="1" applyFont="1" applyNumberFormat="1">
      <alignment horizontal="center" shrinkToFit="0" vertical="bottom" wrapText="0"/>
    </xf>
    <xf borderId="47" fillId="11" fontId="67" numFmtId="3" xfId="0" applyAlignment="1" applyBorder="1" applyFont="1" applyNumberFormat="1">
      <alignment horizontal="center" readingOrder="0" shrinkToFit="0" vertical="bottom" wrapText="0"/>
    </xf>
    <xf borderId="0" fillId="11" fontId="42" numFmtId="10" xfId="0" applyFont="1" applyNumberFormat="1"/>
    <xf borderId="0" fillId="11" fontId="7" numFmtId="1" xfId="0" applyFont="1" applyNumberFormat="1"/>
    <xf borderId="0" fillId="0" fontId="2" numFmtId="1" xfId="0" applyFont="1" applyNumberFormat="1"/>
    <xf borderId="32" fillId="52" fontId="71" numFmtId="3" xfId="0" applyAlignment="1" applyBorder="1" applyFont="1" applyNumberFormat="1">
      <alignment horizontal="center" readingOrder="0" shrinkToFit="0" vertical="bottom" wrapText="0"/>
    </xf>
    <xf borderId="0" fillId="0" fontId="73" numFmtId="0" xfId="0" applyAlignment="1" applyFont="1">
      <alignment horizontal="left" readingOrder="0"/>
    </xf>
    <xf borderId="0" fillId="0" fontId="38" numFmtId="0" xfId="0" applyAlignment="1" applyFont="1">
      <alignment horizontal="left" readingOrder="0"/>
    </xf>
    <xf borderId="0" fillId="0" fontId="2" numFmtId="166" xfId="0" applyAlignment="1" applyFont="1" applyNumberFormat="1">
      <alignment horizontal="left" readingOrder="0"/>
    </xf>
    <xf borderId="0" fillId="0" fontId="24" numFmtId="0" xfId="0" applyAlignment="1" applyFont="1">
      <alignment horizontal="center" readingOrder="0"/>
    </xf>
    <xf borderId="0" fillId="0" fontId="38" numFmtId="0" xfId="0" applyAlignment="1" applyFont="1">
      <alignment horizontal="center" readingOrder="0"/>
    </xf>
    <xf borderId="1" fillId="0" fontId="24" numFmtId="0" xfId="0" applyAlignment="1" applyBorder="1" applyFont="1">
      <alignment horizontal="center" readingOrder="0"/>
    </xf>
    <xf borderId="1" fillId="0" fontId="2" numFmtId="0" xfId="0" applyAlignment="1" applyBorder="1" applyFont="1">
      <alignment readingOrder="0"/>
    </xf>
    <xf borderId="25" fillId="0" fontId="38" numFmtId="0" xfId="0" applyAlignment="1" applyBorder="1" applyFont="1">
      <alignment horizontal="center" readingOrder="0"/>
    </xf>
    <xf borderId="0" fillId="50" fontId="74" numFmtId="0" xfId="0" applyAlignment="1" applyFont="1">
      <alignment horizontal="center" readingOrder="0" vertical="center"/>
    </xf>
    <xf borderId="24" fillId="0" fontId="75" numFmtId="0" xfId="0" applyAlignment="1" applyBorder="1" applyFont="1">
      <alignment readingOrder="0" shrinkToFit="0" vertical="bottom" wrapText="0"/>
    </xf>
    <xf borderId="7" fillId="0" fontId="75"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7" fillId="53" fontId="65" numFmtId="0" xfId="0" applyAlignment="1" applyBorder="1" applyFill="1" applyFont="1">
      <alignment readingOrder="0" shrinkToFit="0" vertical="bottom" wrapText="0"/>
    </xf>
    <xf borderId="0" fillId="0" fontId="2" numFmtId="166" xfId="0" applyAlignment="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horizontal="center"/>
    </xf>
    <xf borderId="0" fillId="0" fontId="2" numFmtId="166" xfId="0" applyAlignment="1" applyFont="1" applyNumberFormat="1">
      <alignment horizontal="center"/>
    </xf>
    <xf borderId="8" fillId="0" fontId="2" numFmtId="0" xfId="0" applyBorder="1" applyFont="1"/>
    <xf borderId="0" fillId="50" fontId="74" numFmtId="0" xfId="0" applyAlignment="1" applyFont="1">
      <alignment horizontal="center" vertical="center"/>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Summary!$A$30</c:f>
            </c:strRef>
          </c:tx>
          <c:spPr>
            <a:solidFill>
              <a:srgbClr val="4285F4">
                <a:alpha val="30000"/>
              </a:srgbClr>
            </a:solidFill>
            <a:ln cmpd="sng">
              <a:solidFill>
                <a:srgbClr val="4285F4"/>
              </a:solidFill>
            </a:ln>
          </c:spPr>
          <c:cat>
            <c:strRef>
              <c:f>Summary!$B$1:$AE$1</c:f>
            </c:strRef>
          </c:cat>
          <c:val>
            <c:numRef>
              <c:f>Summary!$B$30:$AE$30</c:f>
              <c:numCache/>
            </c:numRef>
          </c:val>
        </c:ser>
        <c:ser>
          <c:idx val="1"/>
          <c:order val="1"/>
          <c:tx>
            <c:strRef>
              <c:f>Summary!$A$83</c:f>
            </c:strRef>
          </c:tx>
          <c:spPr>
            <a:solidFill>
              <a:srgbClr val="EA4335">
                <a:alpha val="30000"/>
              </a:srgbClr>
            </a:solidFill>
            <a:ln cmpd="sng">
              <a:solidFill>
                <a:srgbClr val="EA4335"/>
              </a:solidFill>
            </a:ln>
          </c:spPr>
          <c:cat>
            <c:strRef>
              <c:f>Summary!$B$1:$AE$1</c:f>
            </c:strRef>
          </c:cat>
          <c:val>
            <c:numRef>
              <c:f>Summary!$B$83:$AE$83</c:f>
              <c:numCache/>
            </c:numRef>
          </c:val>
        </c:ser>
        <c:axId val="849084932"/>
        <c:axId val="1604165385"/>
      </c:areaChart>
      <c:catAx>
        <c:axId val="8490849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04165385"/>
      </c:catAx>
      <c:valAx>
        <c:axId val="16041653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908493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Summary!$A$108</c:f>
            </c:strRef>
          </c:tx>
          <c:spPr>
            <a:solidFill>
              <a:schemeClr val="accent1"/>
            </a:solidFill>
            <a:ln cmpd="sng">
              <a:noFill/>
            </a:ln>
          </c:spPr>
          <c:cat>
            <c:strRef>
              <c:f>Summary!$C$1:$AE$1</c:f>
            </c:strRef>
          </c:cat>
          <c:val>
            <c:numRef>
              <c:f>Summary!$B$108:$AE$108</c:f>
              <c:numCache/>
            </c:numRef>
          </c:val>
        </c:ser>
        <c:ser>
          <c:idx val="1"/>
          <c:order val="1"/>
          <c:tx>
            <c:strRef>
              <c:f>Summary!$A$109</c:f>
            </c:strRef>
          </c:tx>
          <c:spPr>
            <a:solidFill>
              <a:schemeClr val="accent2"/>
            </a:solidFill>
            <a:ln cmpd="sng">
              <a:noFill/>
            </a:ln>
          </c:spPr>
          <c:dPt>
            <c:idx val="3"/>
          </c:dPt>
          <c:dPt>
            <c:idx val="19"/>
          </c:dPt>
          <c:cat>
            <c:strRef>
              <c:f>Summary!$C$1:$AE$1</c:f>
            </c:strRef>
          </c:cat>
          <c:val>
            <c:numRef>
              <c:f>Summary!$B$109:$AE$109</c:f>
              <c:numCache/>
            </c:numRef>
          </c:val>
        </c:ser>
        <c:overlap val="100"/>
        <c:axId val="1618230729"/>
        <c:axId val="1866345115"/>
      </c:barChart>
      <c:catAx>
        <c:axId val="16182307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6345115"/>
      </c:catAx>
      <c:valAx>
        <c:axId val="1866345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823072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Summary!$C$1:$AE$1</c:f>
            </c:strRef>
          </c:cat>
          <c:val>
            <c:numRef>
              <c:f>Summary!$B$15:$AE$15</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Summary!$C$1:$AE$1</c:f>
            </c:strRef>
          </c:cat>
          <c:val>
            <c:numRef>
              <c:f>Summary!$B$77:$AE$77</c:f>
              <c:numCache/>
            </c:numRef>
          </c:val>
          <c:smooth val="0"/>
        </c:ser>
        <c:axId val="550886114"/>
        <c:axId val="1203232479"/>
      </c:lineChart>
      <c:catAx>
        <c:axId val="5508861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3232479"/>
      </c:catAx>
      <c:valAx>
        <c:axId val="12032324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088611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Summary!$C$1:$AE$1</c:f>
            </c:strRef>
          </c:cat>
          <c:val>
            <c:numRef>
              <c:f>Summary!$B$8:$AE$8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Summary!$C$1:$AE$1</c:f>
            </c:strRef>
          </c:cat>
          <c:val>
            <c:numRef>
              <c:f>Summary!$B$83:$AE$83</c:f>
              <c:numCache/>
            </c:numRef>
          </c:val>
          <c:smooth val="0"/>
        </c:ser>
        <c:axId val="1169512714"/>
        <c:axId val="818362195"/>
      </c:lineChart>
      <c:catAx>
        <c:axId val="11695127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18362195"/>
      </c:catAx>
      <c:valAx>
        <c:axId val="8183621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9512714"/>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b079b57c-89d3-472b-b970-4f11c782129a}">
    <Anchor>
      <Comment id="{7bfb8442-4192-429b-ae7b-a70a0bb5d255}"/>
    </Anchor>
    <History>
      <Event time="2024-01-08T16:17:59.00" id="{ef6f0111-aa4b-4f5f-bd3f-1f2c03a6ab03}">
        <Attribution userId="placeholder@email.com" userName="Benjamin Kumalić" userProvider="google-sheets"/>
        <Anchor>
          <Comment id="{7bfb8442-4192-429b-ae7b-a70a0bb5d255}"/>
        </Anchor>
        <Create/>
      </Event>
      <Event time="2024-01-08T16:17:59.00" id="{fbb3a79c-03c6-4104-8f1b-b95e9d4e98e3}">
        <Attribution userId="placeholder@email.com" userName="Benjamin Kumalić" userProvider="google-sheets"/>
        <Anchor>
          <Comment id="{7bfb8442-4192-429b-ae7b-a70a0bb5d255}"/>
        </Anchor>
        <Assign userId="ziga.skrabl@mybirdbuddy.com" userName="ziga.skrabl@mybirdbuddy.com" userProvider="google-sheets"/>
      </Event>
    </History>
  </Task>
  <Task id="{4292e14a-79b4-4fa7-883d-b89904c9d73e}">
    <Anchor>
      <Comment id="{b41d2393-5fbb-48d6-aa30-329e0bf72682}"/>
    </Anchor>
    <History>
      <Event time="2024-01-08T16:18:46.00" id="{b450a88f-2190-40f0-b4ce-8f788edb9200}">
        <Attribution userId="placeholder@email.com" userName="Benjamin Kumalić" userProvider="google-sheets"/>
        <Anchor>
          <Comment id="{b41d2393-5fbb-48d6-aa30-329e0bf72682}"/>
        </Anchor>
        <Create/>
      </Event>
      <Event time="2024-01-08T16:18:46.00" id="{ac097d0b-3eea-43cb-8419-cff14493cd01}">
        <Attribution userId="placeholder@email.com" userName="Benjamin Kumalić" userProvider="google-sheets"/>
        <Anchor>
          <Comment id="{b41d2393-5fbb-48d6-aa30-329e0bf72682}"/>
        </Anchor>
        <Assign userId="ziga.skrabl@mybirdbuddy.com" userName="ziga.skrabl@mybirdbuddy.com" userProvider="google-sheets"/>
      </Event>
    </History>
  </Task>
  <Task id="{0381727b-69ea-439c-8242-29239f9bf851}">
    <Anchor>
      <Comment id="{54254be4-2f8e-4a19-a154-5b44846355a1}"/>
    </Anchor>
    <History>
      <Event time="2024-02-11T23:31:08.00" id="{d1687ad2-c396-4583-aebb-ce823de3feda}">
        <Attribution userId="placeholder@email.com" userName="Tom Vodopivec" userProvider="google-sheets"/>
        <Anchor>
          <Comment id="{54254be4-2f8e-4a19-a154-5b44846355a1}"/>
        </Anchor>
        <Create/>
      </Event>
      <Event time="2024-02-11T23:31:08.00" id="{b984b036-1146-4bd8-99e8-fd28e3b166fd}">
        <Attribution userId="placeholder@email.com" userName="Tom Vodopivec" userProvider="google-sheets"/>
        <Anchor>
          <Comment id="{54254be4-2f8e-4a19-a154-5b44846355a1}"/>
        </Anchor>
        <Assign userId="benjamin@mybirdbuddy.com" userName="benjamin@mybirdbuddy.com" userProvider="google-sheets"/>
      </Event>
    </History>
  </Task>
  <Task id="{d4425358-bbbe-43e6-8eb6-550e2075dec3}">
    <Anchor>
      <Comment id="{da6323b4-9e6c-4531-bc4f-83bafa0735e5}"/>
    </Anchor>
    <History>
      <Event time="2024-01-31T09:54:14.00" id="{699e64af-24c4-4e38-a2c5-d3c68a336049}">
        <Attribution userId="placeholder@email.com" userName="Benjamin Kumalić" userProvider="google-sheets"/>
        <Anchor>
          <Comment id="{da6323b4-9e6c-4531-bc4f-83bafa0735e5}"/>
        </Anchor>
        <Create/>
      </Event>
      <Event time="2024-01-31T09:54:14.00" id="{7f3f8591-1eb1-4d0c-a50e-214800c30798}">
        <Attribution userId="placeholder@email.com" userName="Benjamin Kumalić" userProvider="google-sheets"/>
        <Anchor>
          <Comment id="{da6323b4-9e6c-4531-bc4f-83bafa0735e5}"/>
        </Anchor>
        <Assign userId="ziga.skrabl@mybirdbuddy.com" userName="ziga.skrabl@mybirdbuddy.com" userProvider="google-sheets"/>
      </Event>
    </History>
  </Task>
</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143</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125</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125</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164</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184</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153</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2f809871-6f7a-42a0-b01d-831ea39062f0}" providerId="google-sheets"/>
  <x18tc:person displayName="petar.jakovski@mybirdbuddy.com" id="{c0b4045f-2ae3-4d9b-a298-e0662c430c11}" userId="petar.jakovski@mybirdbuddy.com" providerId="google-sheets"/>
  <x18tc:person displayName="benjamin@mybirdbuddy.com" id="{e3d32441-224d-495a-8218-dfedbab0a136}" userId="benjamin@mybirdbuddy.com" providerId="google-sheets"/>
  <x18tc:person displayName="tom@mybirdbuddy.com" id="{77283431-5609-448a-a1fd-b60e2b0cb5e1}" userId="tom@mybirdbuddy.com" providerId="google-sheets"/>
  <x18tc:person displayName="ziga.skrabl@mybirdbuddy.com" id="{1b8c1ebe-37a0-4680-aa94-9df1ad2a8ad9}" userId="ziga.skrabl@mybirdbuddy.com" providerId="google-sheets"/>
  <x18tc:person displayName="Tom Vodopivec" id="{3e97a889-21f6-47c4-8a79-bc87a2734f5c}" providerId="google-sheets"/>
  <x18tc:person displayName="Peter Drole" id="{7e017234-3831-454d-85b9-aa2213b6d0dc}" providerId="google-sheets"/>
  <x18tc:person displayName="peter@mybirdbuddy.com" id="{c6295d9e-69ec-48e1-a415-2f7847aa5b14}" userId="peter@mybirdbuddy.com" providerId="google-sheets"/>
  <x18tc:person displayName="Žiga Škrabl" id="{7118b48b-c104-4a40-a576-97698310689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3" dT="2024-01-23T08:54:23.00" personId="{2f809871-6f7a-42a0-b01d-831ea39062f0}" id="{cc1bedc1-f826-465a-9f45-d2176e37b703}" done="1">
    <x18tc:text xml:space="preserve">@ziga.skrabl@mybirdbuddy.com - Check numbers</x18tc:text>
    <x18tc:mentions>
      <x18tc:mention mentionpersonId="{1b8c1ebe-37a0-4680-aa94-9df1ad2a8ad9}" mentionId="{87e15c01-9a6f-43d2-a60a-0c94d2cecbb8}" startIndex="0" length="28"/>
    </x18tc:mentions>
  </x18tc:threadedComment>
  <x18tc:threadedComment ref="A53" dT="2024-01-23T12:06:51.00" personId="{7118b48b-c104-4a40-a576-976983106892}" id="{25071381-e124-402d-b2e8-ee2620c735df}" parentId="{cc1bedc1-f826-465a-9f45-d2176e37b703}">
    <x18tc:text xml:space="preserve">checked and corrected.</x18tc:text>
  </x18tc:threadedComment>
  <x18tc:threadedComment ref="A41" dT="2024-01-08T16:17:59.00" personId="{2f809871-6f7a-42a0-b01d-831ea39062f0}" id="{7bfb8442-4192-429b-ae7b-a70a0bb5d255}" done="1">
    <x18tc:text xml:space="preserve">@ziga.skrabl@mybirdbuddy.com - Apply the same structure as other line items. cc: @peter@mybirdbuddy.com
Assigned to ziga.skrabl@mybirdbuddy.com</x18tc:text>
    <x18tc:mentions>
      <x18tc:mention mentionpersonId="{1b8c1ebe-37a0-4680-aa94-9df1ad2a8ad9}" mentionId="{1ec6f23d-0179-4207-9c78-47b0c1093c41}" startIndex="0" length="28"/>
      <x18tc:mention mentionpersonId="{c6295d9e-69ec-48e1-a415-2f7847aa5b14}" mentionId="{2ace2084-d24d-4629-835a-a998eedf993d}" startIndex="81" length="22"/>
    </x18tc:mentions>
  </x18tc:threadedComment>
  <x18tc:threadedComment ref="I46" dT="2024-01-09T22:10:01.00" personId="{2f809871-6f7a-42a0-b01d-831ea39062f0}" id="{c417eb33-7111-49d9-bd45-32463ef9adcd}" done="1">
    <x18tc:text xml:space="preserve">App Revenue za včeraj prazen?
@peter@mybirdbuddy.com</x18tc:text>
    <x18tc:mentions>
      <x18tc:mention mentionpersonId="{c6295d9e-69ec-48e1-a415-2f7847aa5b14}" mentionId="{299fd084-cdeb-4690-a734-1f3703ee3d6d}" startIndex="30" length="22"/>
    </x18tc:mentions>
  </x18tc:threadedComment>
  <x18tc:threadedComment ref="A67" dT="2024-01-08T16:18:46.00" personId="{2f809871-6f7a-42a0-b01d-831ea39062f0}" id="{b41d2393-5fbb-48d6-aa30-329e0bf72682}" done="1">
    <x18tc:text xml:space="preserve">@ziga.skrabl@mybirdbuddy.com - Apply the same structure as other line items. cc: @peter@mybirdbuddy.com
Assigned to ziga.skrabl@mybirdbuddy.com</x18tc:text>
    <x18tc:mentions>
      <x18tc:mention mentionpersonId="{1b8c1ebe-37a0-4680-aa94-9df1ad2a8ad9}" mentionId="{9426a4ef-7e59-4165-991b-ce020e663f31}" startIndex="0" length="28"/>
      <x18tc:mention mentionpersonId="{c6295d9e-69ec-48e1-a415-2f7847aa5b14}" mentionId="{532b6112-639d-42bb-9202-9f02cad0b99c}" startIndex="81" length="22"/>
    </x18tc:mentions>
  </x18tc:threadedComment>
  <x18tc:threadedComment ref="R34" dT="2024-01-19T08:39:24.00" personId="{2f809871-6f7a-42a0-b01d-831ea39062f0}" id="{c482c4ee-6c23-4dd2-a8b9-cdf32839faf0}" done="1">
    <x18tc:text xml:space="preserve">@petar.jakovski@mybirdbuddy.com Is this correct number? Number of orders for Best Buy is 6 but revenue number is much higher.</x18tc:text>
    <x18tc:mentions>
      <x18tc:mention mentionpersonId="{c0b4045f-2ae3-4d9b-a298-e0662c430c11}" mentionId="{318934c3-bdce-4f3b-a9f9-eaf5dff3c72c}" startIndex="0" length="31"/>
    </x18tc:mentions>
  </x18tc:threadedComment>
  <x18tc:threadedComment ref="B121" dT="2024-01-08T15:50:57.00" personId="{7e017234-3831-454d-85b9-aa2213b6d0dc}" id="{b68129b4-72d4-46a4-8c7b-bd6944bd425e}" done="1">
    <x18tc:text xml:space="preserve">add digital marketplaces</x18tc:text>
  </x18tc:threadedComment>
  <x18tc:threadedComment ref="B121" dT="2024-01-17T12:46:56.00" personId="{2f809871-6f7a-42a0-b01d-831ea39062f0}" id="{86ae6031-2539-4435-ab69-3784222cf6f3}" parentId="{b68129b4-72d4-46a4-8c7b-bd6944bd425e}">
    <x18tc:text xml:space="preserve">This is inflated?</x18tc:text>
  </x18tc:threadedComment>
  <x18tc:threadedComment ref="A12" dT="2024-01-23T08:54:07.00" personId="{2f809871-6f7a-42a0-b01d-831ea39062f0}" id="{f79c9301-9ef4-45f5-b3b8-85fab02dcd34}" done="1">
    <x18tc:text xml:space="preserve">@ziga.skrabl@mybirdbuddy.com - Check numbers</x18tc:text>
    <x18tc:mentions>
      <x18tc:mention mentionpersonId="{1b8c1ebe-37a0-4680-aa94-9df1ad2a8ad9}" mentionId="{4b3459d4-d4e6-4e57-b6e9-5ef1ae959c49}" startIndex="0" length="28"/>
    </x18tc:mentions>
  </x18tc:threadedComment>
  <x18tc:threadedComment ref="A12" dT="2024-01-23T13:17:56.00" personId="{7118b48b-c104-4a40-a576-976983106892}" id="{e03b637e-52e5-472a-9f52-e6c1ae6fdaaa}" parentId="{f79c9301-9ef4-45f5-b3b8-85fab02dcd34}">
    <x18tc:text xml:space="preserve">checked and corrected</x18tc:text>
  </x18tc:threadedComment>
  <x18tc:threadedComment ref="A12" dT="2024-02-01T12:03:23.00" personId="{7118b48b-c104-4a40-a576-976983106892}" id="{e8086b27-4cd5-4fae-9f79-331621ddecf0}" done="1">
    <x18tc:text xml:space="preserve">check sales export --&gt; are there all variants of seeds in?</x18tc:text>
  </x18tc:threadedComment>
  <x18tc:threadedComment ref="A1" dT="2024-01-08T15:03:58.00" personId="{7e017234-3831-454d-85b9-aa2213b6d0dc}" id="{6180b7b5-0f48-4238-9044-16efcd751ddf}" done="0">
    <x18tc:text xml:space="preserve">DTC breakdown</x18tc:text>
  </x18tc:threadedComment>
  <x18tc:threadedComment ref="B112" dT="2024-02-11T23:31:08.00" personId="{3e97a889-21f6-47c4-8a79-bc87a2734f5c}" id="{54254be4-2f8e-4a19-a154-5b44846355a1}" done="1">
    <x18tc:text xml:space="preserve">@benjamin@mybirdbuddy.com @ziga.skrabl@mybirdbuddy.com 
bug v enačbi, bi moralo pisat
=SUM(B30:AF30)+SUM(B48:AF48)
poglej če je tudi v drugih sheetih
Assigned to benjamin@mybirdbuddy.com</x18tc:text>
    <x18tc:mentions>
      <x18tc:mention mentionpersonId="{e3d32441-224d-495a-8218-dfedbab0a136}" mentionId="{57275f5a-0625-452b-90b7-344e9cacbd82}" startIndex="0" length="25"/>
      <x18tc:mention mentionpersonId="{1b8c1ebe-37a0-4680-aa94-9df1ad2a8ad9}" mentionId="{6bc0640e-47de-47af-9ed8-fddf02ce4c37}" startIndex="26" length="28"/>
    </x18tc:mentions>
  </x18tc:threadedComment>
  <x18tc:threadedComment ref="B112" dT="2024-02-13T07:58:44.00" personId="{7118b48b-c104-4a40-a576-976983106892}" id="{fdd34843-b22b-42e0-84f8-14cf952283f7}" parentId="{54254be4-2f8e-4a19-a154-5b44846355a1}">
    <x18tc:text xml:space="preserve">@tom@mybirdbuddy.com hvala za opozorilo. Bug odpravljen povsod kjer je bilo potrebno in ročno dodan prefix SUM pri dodajanju app revenue-ja v enačbo.</x18tc:text>
    <x18tc:mentions>
      <x18tc:mention mentionpersonId="{77283431-5609-448a-a1fd-b60e2b0cb5e1}" mentionId="{05aafd34-3c57-4086-a2c8-9fd4162620ca}" startIndex="0" length="20"/>
    </x18tc:mentions>
  </x18tc:threadedComment>
  <x18tc:threadedComment ref="A46" dT="2024-01-03T11:38:48.00" personId="{7e017234-3831-454d-85b9-aa2213b6d0dc}" id="{6fb37aeb-eec8-45b4-9d7a-e212611a7ae0}" done="1">
    <x18tc:text xml:space="preserve">@ziga.skrabl@mybirdbuddy.com breakdown commission/tax/</x18tc:text>
    <x18tc:mentions>
      <x18tc:mention mentionpersonId="{1b8c1ebe-37a0-4680-aa94-9df1ad2a8ad9}" mentionId="{fbf9c984-50c7-4574-b7d9-79973e2fd9b6}" startIndex="0" length="28"/>
    </x18tc:mentions>
  </x18tc:threadedComment>
  <x18tc:threadedComment ref="A63" dT="2024-01-09T09:05:08.00" personId="{2f809871-6f7a-42a0-b01d-831ea39062f0}" id="{bb27d740-dd48-441e-82c1-6f70bef33322}" done="1">
    <x18tc:text xml:space="preserve">@peter@mybirdbuddy.com - Add Target.</x18tc:text>
    <x18tc:mentions>
      <x18tc:mention mentionpersonId="{c6295d9e-69ec-48e1-a415-2f7847aa5b14}" mentionId="{941011b7-d6f7-403c-8ada-74eb11bcf2b6}" startIndex="0" length="22"/>
    </x18tc:mentions>
  </x18tc:threadedComment>
  <x18tc:threadedComment ref="A80" dT="2024-02-05T10:44:00.00" personId="{7118b48b-c104-4a40-a576-976983106892}" id="{39199919-c840-4909-a7fa-3116af25323b}" done="0">
    <x18tc:text xml:space="preserve">Dejan primopredaja, check, pogledamo prodajo in skalkuliramo 20 % feejev od prodaje</x18tc:text>
  </x18tc:threadedComment>
  <x18tc:threadedComment ref="B121" dT="2024-01-31T09:54:14.00" personId="{2f809871-6f7a-42a0-b01d-831ea39062f0}" id="{da6323b4-9e6c-4531-bc4f-83bafa0735e5}" done="1">
    <x18tc:text xml:space="preserve">@ziga.skrabl@mybirdbuddy.com - Check formula (Manjka DM ?) ali trenutna formula bere pravi source za AMZN in DTC?
Assigned to ziga.skrabl@mybirdbuddy.com</x18tc:text>
    <x18tc:mentions>
      <x18tc:mention mentionpersonId="{1b8c1ebe-37a0-4680-aa94-9df1ad2a8ad9}" mentionId="{3042cef3-37fe-4004-9eed-3ba6c7817a90}" startIndex="0" length="28"/>
    </x18tc:mentions>
  </x18tc:threadedComment>
  <x18tc:threadedComment ref="B121" dT="2024-01-31T13:21:43.00" personId="{7118b48b-c104-4a40-a576-976983106892}" id="{c9338fa7-6e86-4bee-8335-d2a7152b3cd1}" parentId="{da6323b4-9e6c-4531-bc4f-83bafa0735e5}">
    <x18tc:text xml:space="preserve">BB units source-a za Amazon in DTC sta pravilna, dodana še Rachio in Weatherflow BB units source-a iz DM.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7" dT="2024-01-11T12:01:08.00" personId="{2f809871-6f7a-42a0-b01d-831ea39062f0}" id="{8eadafed-3bea-4548-aa17-26fc1154a88a}" done="0">
    <x18tc:text xml:space="preserve">@peter@mybirdbuddy.com - Do we need this?</x18tc:text>
    <x18tc:mentions>
      <x18tc:mention mentionpersonId="{c6295d9e-69ec-48e1-a415-2f7847aa5b14}" mentionId="{6ae16524-ca63-4d4c-9c2e-43de1cb72a5f}" startIndex="0" length="22"/>
    </x18tc:mentions>
  </x18tc:threadedComment>
  <x18tc:threadedComment ref="A5" dT="2024-01-11T10:37:14.00" personId="{7e017234-3831-454d-85b9-aa2213b6d0dc}" id="{7bad22bd-4b77-42d3-bf6e-b6e4f1246efd}" done="0">
    <x18tc:text xml:space="preserve">From platform, META 7+1 attribution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3.vml"/><Relationship Id="rId9" Type="http://schemas.openxmlformats.org/officeDocument/2006/relationships/drawing" Target="../drawings/drawing7.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6.25"/>
    <col customWidth="1" min="2" max="2" width="11.75"/>
    <col customWidth="1" min="3" max="6" width="10.25"/>
    <col customWidth="1" min="7" max="7" width="11.0"/>
    <col customWidth="1" min="8" max="13" width="10.25"/>
    <col customWidth="1" min="14" max="14" width="11.25"/>
    <col customWidth="1" min="15" max="24" width="10.25"/>
    <col customWidth="1" min="25" max="25" width="10.63"/>
    <col customWidth="1" min="26" max="32" width="10.25"/>
  </cols>
  <sheetData>
    <row r="1">
      <c r="A1" s="1">
        <v>45292.0</v>
      </c>
      <c r="B1" s="2">
        <v>45292.0</v>
      </c>
      <c r="C1" s="2">
        <v>45293.0</v>
      </c>
      <c r="D1" s="2">
        <v>45294.0</v>
      </c>
      <c r="E1" s="2">
        <v>45295.0</v>
      </c>
      <c r="F1" s="2">
        <v>45296.0</v>
      </c>
      <c r="G1" s="2">
        <v>45297.0</v>
      </c>
      <c r="H1" s="2">
        <v>45298.0</v>
      </c>
      <c r="I1" s="2">
        <v>45299.0</v>
      </c>
      <c r="J1" s="2">
        <v>45300.0</v>
      </c>
      <c r="K1" s="2">
        <v>45301.0</v>
      </c>
      <c r="L1" s="2">
        <v>45302.0</v>
      </c>
      <c r="M1" s="2">
        <v>45303.0</v>
      </c>
      <c r="N1" s="2">
        <v>45304.0</v>
      </c>
      <c r="O1" s="2">
        <v>45305.0</v>
      </c>
      <c r="P1" s="2">
        <v>45306.0</v>
      </c>
      <c r="Q1" s="2">
        <v>45307.0</v>
      </c>
      <c r="R1" s="2">
        <v>45308.0</v>
      </c>
      <c r="S1" s="2">
        <v>45309.0</v>
      </c>
      <c r="T1" s="2">
        <v>45310.0</v>
      </c>
      <c r="U1" s="2">
        <v>45311.0</v>
      </c>
      <c r="V1" s="2">
        <v>45312.0</v>
      </c>
      <c r="W1" s="2">
        <v>45313.0</v>
      </c>
      <c r="X1" s="2">
        <v>45314.0</v>
      </c>
      <c r="Y1" s="2">
        <v>45315.0</v>
      </c>
      <c r="Z1" s="2">
        <v>45316.0</v>
      </c>
      <c r="AA1" s="2">
        <v>45317.0</v>
      </c>
      <c r="AB1" s="2">
        <v>45318.0</v>
      </c>
      <c r="AC1" s="2">
        <v>45319.0</v>
      </c>
      <c r="AD1" s="2">
        <v>45320.0</v>
      </c>
      <c r="AE1" s="2">
        <v>45321.0</v>
      </c>
      <c r="AF1" s="2">
        <v>45322.0</v>
      </c>
    </row>
    <row r="2">
      <c r="B2" s="3" t="s">
        <v>0</v>
      </c>
      <c r="C2" s="3" t="s">
        <v>1</v>
      </c>
      <c r="D2" s="3" t="s">
        <v>2</v>
      </c>
      <c r="E2" s="3" t="s">
        <v>3</v>
      </c>
      <c r="F2" s="3" t="s">
        <v>4</v>
      </c>
      <c r="G2" s="3" t="s">
        <v>5</v>
      </c>
      <c r="H2" s="3" t="s">
        <v>6</v>
      </c>
      <c r="I2" s="3" t="s">
        <v>0</v>
      </c>
      <c r="J2" s="3" t="s">
        <v>7</v>
      </c>
      <c r="K2" s="3" t="s">
        <v>2</v>
      </c>
      <c r="L2" s="3" t="s">
        <v>3</v>
      </c>
      <c r="M2" s="3" t="s">
        <v>4</v>
      </c>
      <c r="N2" s="3" t="s">
        <v>5</v>
      </c>
      <c r="O2" s="3" t="s">
        <v>6</v>
      </c>
      <c r="P2" s="3" t="s">
        <v>0</v>
      </c>
      <c r="Q2" s="3" t="s">
        <v>7</v>
      </c>
      <c r="R2" s="3" t="s">
        <v>2</v>
      </c>
      <c r="S2" s="3" t="s">
        <v>3</v>
      </c>
      <c r="T2" s="3" t="s">
        <v>4</v>
      </c>
      <c r="U2" s="3" t="s">
        <v>5</v>
      </c>
      <c r="V2" s="3" t="s">
        <v>6</v>
      </c>
      <c r="W2" s="3" t="s">
        <v>0</v>
      </c>
      <c r="X2" s="3" t="s">
        <v>7</v>
      </c>
      <c r="Y2" s="3" t="s">
        <v>2</v>
      </c>
      <c r="Z2" s="3" t="s">
        <v>3</v>
      </c>
      <c r="AA2" s="3" t="s">
        <v>4</v>
      </c>
      <c r="AB2" s="3" t="s">
        <v>5</v>
      </c>
      <c r="AC2" s="3" t="s">
        <v>6</v>
      </c>
      <c r="AD2" s="3" t="s">
        <v>0</v>
      </c>
      <c r="AE2" s="3" t="s">
        <v>7</v>
      </c>
      <c r="AF2" s="3" t="s">
        <v>2</v>
      </c>
    </row>
    <row r="3">
      <c r="A3" s="4" t="s">
        <v>8</v>
      </c>
      <c r="B3" s="4" t="s">
        <v>9</v>
      </c>
      <c r="C3" s="4" t="s">
        <v>9</v>
      </c>
      <c r="E3" s="5"/>
      <c r="G3" s="4" t="s">
        <v>9</v>
      </c>
      <c r="H3" s="4" t="s">
        <v>9</v>
      </c>
      <c r="K3" s="5"/>
      <c r="N3" s="4" t="s">
        <v>10</v>
      </c>
      <c r="O3" s="4" t="s">
        <v>10</v>
      </c>
      <c r="U3" s="4" t="s">
        <v>10</v>
      </c>
      <c r="V3" s="4" t="s">
        <v>10</v>
      </c>
      <c r="Z3" s="5"/>
      <c r="AB3" s="4" t="s">
        <v>9</v>
      </c>
      <c r="AC3" s="4" t="s">
        <v>9</v>
      </c>
    </row>
    <row r="4">
      <c r="A4" s="6" t="s">
        <v>11</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row>
    <row r="5" ht="87.0" customHeight="1">
      <c r="B5" s="8"/>
      <c r="C5" s="8"/>
      <c r="D5" s="8"/>
      <c r="E5" s="8"/>
      <c r="F5" s="9"/>
      <c r="G5" s="7"/>
      <c r="H5" s="10" t="s">
        <v>12</v>
      </c>
      <c r="I5" s="10" t="s">
        <v>13</v>
      </c>
      <c r="J5" s="7"/>
      <c r="K5" s="11"/>
      <c r="L5" s="8"/>
      <c r="M5" s="7"/>
      <c r="N5" s="8"/>
      <c r="O5" s="12"/>
      <c r="P5" s="12"/>
      <c r="Q5" s="7"/>
      <c r="R5" s="7"/>
      <c r="S5" s="7"/>
      <c r="T5" s="10" t="s">
        <v>14</v>
      </c>
      <c r="U5" s="8"/>
      <c r="V5" s="8"/>
      <c r="W5" s="7"/>
      <c r="X5" s="7"/>
      <c r="Y5" s="10" t="s">
        <v>15</v>
      </c>
      <c r="Z5" s="7"/>
      <c r="AA5" s="7"/>
      <c r="AB5" s="7"/>
      <c r="AC5" s="7"/>
      <c r="AD5" s="8"/>
      <c r="AE5" s="11"/>
      <c r="AF5" s="10" t="s">
        <v>16</v>
      </c>
    </row>
    <row r="6" ht="39.75" customHeight="1">
      <c r="B6" s="13"/>
      <c r="C6" s="13"/>
      <c r="D6" s="13"/>
      <c r="E6" s="13"/>
      <c r="F6" s="13"/>
      <c r="G6" s="13"/>
      <c r="H6" s="13"/>
      <c r="I6" s="13"/>
      <c r="J6" s="13"/>
      <c r="K6" s="13"/>
      <c r="L6" s="13"/>
      <c r="M6" s="13"/>
      <c r="N6" s="11"/>
      <c r="O6" s="11"/>
      <c r="P6" s="10" t="s">
        <v>17</v>
      </c>
      <c r="Q6" s="11"/>
      <c r="R6" s="13"/>
      <c r="S6" s="8"/>
      <c r="T6" s="13"/>
      <c r="U6" s="13"/>
      <c r="V6" s="13"/>
      <c r="W6" s="11"/>
      <c r="X6" s="13"/>
      <c r="Y6" s="14" t="s">
        <v>18</v>
      </c>
    </row>
    <row r="7">
      <c r="M7" s="7"/>
      <c r="N7" s="7"/>
      <c r="O7" s="7"/>
      <c r="P7" s="7"/>
      <c r="Q7" s="7"/>
      <c r="V7" s="11"/>
      <c r="W7" s="15"/>
      <c r="X7" s="11"/>
      <c r="Y7" s="11"/>
      <c r="Z7" s="11"/>
    </row>
    <row r="8">
      <c r="A8" s="16" t="s">
        <v>19</v>
      </c>
      <c r="B8" s="17">
        <v>33166.99</v>
      </c>
      <c r="C8" s="17">
        <v>32204.7</v>
      </c>
      <c r="D8" s="17">
        <v>37759.59</v>
      </c>
      <c r="E8" s="17">
        <v>34093.84</v>
      </c>
      <c r="F8" s="17">
        <v>34903.7</v>
      </c>
      <c r="G8" s="17">
        <v>37601.7</v>
      </c>
      <c r="H8" s="17">
        <v>38315.0</v>
      </c>
      <c r="I8" s="17">
        <v>31136.13</v>
      </c>
      <c r="J8" s="17">
        <v>26907.68</v>
      </c>
      <c r="K8" s="17">
        <v>24059.75</v>
      </c>
      <c r="L8" s="17">
        <v>28780.21</v>
      </c>
      <c r="M8" s="17">
        <v>32396.98</v>
      </c>
      <c r="N8" s="17">
        <v>29630.85</v>
      </c>
      <c r="O8" s="17">
        <v>27553.58</v>
      </c>
      <c r="P8" s="17">
        <v>27869.29</v>
      </c>
      <c r="Q8" s="17">
        <v>25796.31</v>
      </c>
      <c r="R8" s="17">
        <v>32403.83</v>
      </c>
      <c r="S8" s="17">
        <v>26914.94</v>
      </c>
      <c r="T8" s="17">
        <v>27142.16</v>
      </c>
      <c r="U8" s="17">
        <v>34815.06</v>
      </c>
      <c r="V8" s="17">
        <v>18881.55</v>
      </c>
      <c r="W8" s="17">
        <v>20302.32</v>
      </c>
      <c r="X8" s="17">
        <v>22498.63</v>
      </c>
      <c r="Y8" s="17">
        <v>18260.61</v>
      </c>
      <c r="Z8" s="17">
        <v>18187.96</v>
      </c>
      <c r="AA8" s="17">
        <v>19073.76</v>
      </c>
      <c r="AB8" s="17">
        <v>20021.17</v>
      </c>
      <c r="AC8" s="17">
        <v>21449.04</v>
      </c>
      <c r="AD8" s="17">
        <v>20102.22</v>
      </c>
      <c r="AE8" s="17">
        <v>14972.58</v>
      </c>
      <c r="AF8" s="17">
        <v>17850.13</v>
      </c>
    </row>
    <row r="9" outlineLevel="1">
      <c r="A9" s="18" t="s">
        <v>20</v>
      </c>
      <c r="B9" s="19">
        <v>20897.8</v>
      </c>
      <c r="C9" s="19">
        <v>21180.8</v>
      </c>
      <c r="D9" s="19">
        <v>27090.25</v>
      </c>
      <c r="E9" s="19">
        <v>24278.75</v>
      </c>
      <c r="F9" s="19">
        <v>23606.1</v>
      </c>
      <c r="G9" s="19">
        <v>25814.7</v>
      </c>
      <c r="H9" s="19">
        <v>24168.1</v>
      </c>
      <c r="I9" s="19">
        <v>21712.3</v>
      </c>
      <c r="J9" s="19">
        <v>19451.11</v>
      </c>
      <c r="K9" s="19">
        <v>17573.24</v>
      </c>
      <c r="L9" s="19">
        <v>20147.05</v>
      </c>
      <c r="M9" s="19">
        <v>24321.85</v>
      </c>
      <c r="N9" s="19">
        <v>19256.53</v>
      </c>
      <c r="O9" s="19">
        <v>17973.25</v>
      </c>
      <c r="P9" s="19">
        <v>19669.35</v>
      </c>
      <c r="Q9" s="19">
        <v>18340.13</v>
      </c>
      <c r="R9" s="19">
        <v>23673.5</v>
      </c>
      <c r="S9" s="19">
        <v>19148.68</v>
      </c>
      <c r="T9" s="19">
        <v>19822.35</v>
      </c>
      <c r="U9" s="19">
        <v>25440.05</v>
      </c>
      <c r="V9" s="19">
        <v>10620.2</v>
      </c>
      <c r="W9" s="19">
        <v>13425.9</v>
      </c>
      <c r="X9" s="19">
        <v>16754.05</v>
      </c>
      <c r="Y9" s="19">
        <v>13233.25</v>
      </c>
      <c r="Z9" s="19">
        <v>12355.35</v>
      </c>
      <c r="AA9" s="19">
        <v>12852.2</v>
      </c>
      <c r="AB9" s="19">
        <v>13490.2</v>
      </c>
      <c r="AC9" s="19">
        <v>15059.01</v>
      </c>
      <c r="AD9" s="19">
        <v>14025.8</v>
      </c>
      <c r="AE9" s="19">
        <v>10521.8</v>
      </c>
      <c r="AF9" s="19">
        <v>13440.2</v>
      </c>
    </row>
    <row r="10" outlineLevel="1">
      <c r="A10" s="18" t="s">
        <v>21</v>
      </c>
      <c r="B10" s="19">
        <v>8056.4</v>
      </c>
      <c r="C10" s="19">
        <v>7124.45</v>
      </c>
      <c r="D10" s="19">
        <v>6099.95</v>
      </c>
      <c r="E10" s="19">
        <v>5641.95</v>
      </c>
      <c r="F10" s="19">
        <v>6929.25</v>
      </c>
      <c r="G10" s="19">
        <v>7182.45</v>
      </c>
      <c r="H10" s="19">
        <v>9316.05</v>
      </c>
      <c r="I10" s="19">
        <v>5724.7</v>
      </c>
      <c r="J10" s="19">
        <v>4332.49</v>
      </c>
      <c r="K10" s="19">
        <v>3659.35</v>
      </c>
      <c r="L10" s="19">
        <v>5253.45</v>
      </c>
      <c r="M10" s="19">
        <v>4228.2</v>
      </c>
      <c r="N10" s="19">
        <v>6530.02</v>
      </c>
      <c r="O10" s="19">
        <v>5810.0</v>
      </c>
      <c r="P10" s="19">
        <v>4647.0</v>
      </c>
      <c r="Q10" s="19">
        <v>4200.82</v>
      </c>
      <c r="R10" s="19">
        <v>4763.7</v>
      </c>
      <c r="S10" s="19">
        <v>4177.27</v>
      </c>
      <c r="T10" s="19">
        <v>3701.15</v>
      </c>
      <c r="U10" s="19">
        <v>4704.8</v>
      </c>
      <c r="V10" s="19">
        <v>5101.75</v>
      </c>
      <c r="W10" s="19">
        <v>3964.65</v>
      </c>
      <c r="X10" s="19">
        <v>2996.15</v>
      </c>
      <c r="Y10" s="19">
        <v>2759.5</v>
      </c>
      <c r="Z10" s="19">
        <v>3347.65</v>
      </c>
      <c r="AA10" s="19">
        <v>3426.65</v>
      </c>
      <c r="AB10" s="19">
        <v>3644.4</v>
      </c>
      <c r="AC10" s="19">
        <v>3290.09</v>
      </c>
      <c r="AD10" s="19">
        <v>3086.35</v>
      </c>
      <c r="AE10" s="19">
        <v>2426.0</v>
      </c>
      <c r="AF10" s="19">
        <v>2053.65</v>
      </c>
    </row>
    <row r="11" outlineLevel="1">
      <c r="A11" s="18" t="s">
        <v>22</v>
      </c>
      <c r="B11" s="19">
        <v>58.14</v>
      </c>
      <c r="C11" s="19">
        <v>0.0</v>
      </c>
      <c r="D11" s="19">
        <v>76.0</v>
      </c>
      <c r="E11" s="19">
        <v>19.0</v>
      </c>
      <c r="F11" s="19">
        <v>44.99</v>
      </c>
      <c r="G11" s="19">
        <v>19.0</v>
      </c>
      <c r="H11" s="19">
        <v>130.15</v>
      </c>
      <c r="I11" s="19">
        <v>0.0</v>
      </c>
      <c r="J11" s="19">
        <v>58.99</v>
      </c>
      <c r="K11" s="19">
        <v>25.5</v>
      </c>
      <c r="L11" s="19">
        <v>39.99</v>
      </c>
      <c r="M11" s="19">
        <v>0.0</v>
      </c>
      <c r="N11" s="19">
        <v>0.0</v>
      </c>
      <c r="O11" s="19">
        <v>0.0</v>
      </c>
      <c r="P11" s="19">
        <v>39.99</v>
      </c>
      <c r="Q11" s="19">
        <v>0.0</v>
      </c>
      <c r="R11" s="19">
        <v>0.0</v>
      </c>
      <c r="S11" s="19">
        <v>0.0</v>
      </c>
      <c r="T11" s="19">
        <v>0.0</v>
      </c>
      <c r="U11" s="19">
        <v>0.0</v>
      </c>
      <c r="V11" s="19">
        <v>29.99</v>
      </c>
      <c r="W11" s="19">
        <v>0.0</v>
      </c>
      <c r="X11" s="19">
        <v>0.0</v>
      </c>
      <c r="Y11" s="19">
        <v>0.0</v>
      </c>
      <c r="Z11" s="19">
        <v>0.0</v>
      </c>
      <c r="AA11" s="19">
        <v>0.0</v>
      </c>
      <c r="AB11" s="19">
        <v>0.0</v>
      </c>
      <c r="AC11" s="19">
        <v>0.0</v>
      </c>
      <c r="AD11" s="19">
        <v>0.0</v>
      </c>
      <c r="AE11" s="19">
        <v>0.0</v>
      </c>
      <c r="AF11" s="19">
        <v>0.0</v>
      </c>
    </row>
    <row r="12" outlineLevel="1">
      <c r="A12" s="18" t="s">
        <v>23</v>
      </c>
      <c r="B12" s="19">
        <v>0.0</v>
      </c>
      <c r="C12" s="19">
        <v>0.0</v>
      </c>
      <c r="D12" s="19">
        <v>0.0</v>
      </c>
      <c r="E12" s="19">
        <v>0.0</v>
      </c>
      <c r="F12" s="19">
        <v>0.0</v>
      </c>
      <c r="G12" s="19">
        <v>0.0</v>
      </c>
      <c r="H12" s="19">
        <v>0.0</v>
      </c>
      <c r="I12" s="19">
        <v>0.0</v>
      </c>
      <c r="J12" s="19">
        <v>0.0</v>
      </c>
      <c r="K12" s="19">
        <v>0.0</v>
      </c>
      <c r="L12" s="19">
        <v>0.0</v>
      </c>
      <c r="M12" s="19">
        <v>0.0</v>
      </c>
      <c r="N12" s="19">
        <v>0.0</v>
      </c>
      <c r="O12" s="19">
        <v>0.0</v>
      </c>
      <c r="P12" s="19">
        <v>32.8</v>
      </c>
      <c r="Q12" s="19">
        <v>91.0</v>
      </c>
      <c r="R12" s="19">
        <v>157.8</v>
      </c>
      <c r="S12" s="19">
        <v>297.0</v>
      </c>
      <c r="T12" s="19">
        <v>285.64</v>
      </c>
      <c r="U12" s="19">
        <v>272.37</v>
      </c>
      <c r="V12" s="19">
        <v>326.37</v>
      </c>
      <c r="W12" s="19">
        <v>271.72</v>
      </c>
      <c r="X12" s="19">
        <v>79.6</v>
      </c>
      <c r="Y12" s="19">
        <v>39.8</v>
      </c>
      <c r="Z12" s="19">
        <v>109.6</v>
      </c>
      <c r="AA12" s="19">
        <v>185.67</v>
      </c>
      <c r="AB12" s="19">
        <v>181.72</v>
      </c>
      <c r="AC12" s="19">
        <v>257.3</v>
      </c>
      <c r="AD12" s="19">
        <v>279.41</v>
      </c>
      <c r="AE12" s="19">
        <v>76.62</v>
      </c>
      <c r="AF12" s="19">
        <v>163.2</v>
      </c>
    </row>
    <row r="13" outlineLevel="1">
      <c r="A13" s="18" t="s">
        <v>24</v>
      </c>
      <c r="B13" s="19">
        <v>1684.65</v>
      </c>
      <c r="C13" s="19">
        <v>1759.45</v>
      </c>
      <c r="D13" s="19">
        <v>2003.39</v>
      </c>
      <c r="E13" s="19">
        <v>1819.14</v>
      </c>
      <c r="F13" s="19">
        <v>1928.36</v>
      </c>
      <c r="G13" s="19">
        <v>2080.55</v>
      </c>
      <c r="H13" s="19">
        <v>1985.7</v>
      </c>
      <c r="I13" s="19">
        <v>1559.13</v>
      </c>
      <c r="J13" s="19">
        <v>1380.09</v>
      </c>
      <c r="K13" s="19">
        <v>1121.66</v>
      </c>
      <c r="L13" s="19">
        <v>1469.72</v>
      </c>
      <c r="M13" s="19">
        <v>1786.93</v>
      </c>
      <c r="N13" s="19">
        <v>1504.3</v>
      </c>
      <c r="O13" s="19">
        <v>1380.33</v>
      </c>
      <c r="P13" s="19">
        <v>1460.15</v>
      </c>
      <c r="Q13" s="19">
        <v>1348.36</v>
      </c>
      <c r="R13" s="19">
        <v>1757.83</v>
      </c>
      <c r="S13" s="19">
        <v>1417.99</v>
      </c>
      <c r="T13" s="19">
        <v>1343.02</v>
      </c>
      <c r="U13" s="19">
        <v>2054.84</v>
      </c>
      <c r="V13" s="19">
        <v>1013.24</v>
      </c>
      <c r="W13" s="19">
        <v>1121.05</v>
      </c>
      <c r="X13" s="19">
        <v>1175.83</v>
      </c>
      <c r="Y13" s="19">
        <v>939.06</v>
      </c>
      <c r="Z13" s="19">
        <v>1036.36</v>
      </c>
      <c r="AA13" s="19">
        <v>1084.24</v>
      </c>
      <c r="AB13" s="19">
        <v>1022.85</v>
      </c>
      <c r="AC13" s="19">
        <v>1131.64</v>
      </c>
      <c r="AD13" s="19">
        <v>1033.66</v>
      </c>
      <c r="AE13" s="19">
        <v>620.16</v>
      </c>
      <c r="AF13" s="19">
        <v>1017.08</v>
      </c>
    </row>
    <row r="14" outlineLevel="1">
      <c r="A14" s="18" t="s">
        <v>25</v>
      </c>
      <c r="B14" s="19">
        <v>2470.0</v>
      </c>
      <c r="C14" s="19">
        <v>2140.0</v>
      </c>
      <c r="D14" s="19">
        <v>2490.0</v>
      </c>
      <c r="E14" s="19">
        <v>2335.0</v>
      </c>
      <c r="F14" s="19">
        <v>2395.0</v>
      </c>
      <c r="G14" s="19">
        <v>2505.0</v>
      </c>
      <c r="H14" s="19">
        <v>2715.0</v>
      </c>
      <c r="I14" s="19">
        <v>2140.0</v>
      </c>
      <c r="J14" s="19">
        <v>1685.0</v>
      </c>
      <c r="K14" s="19">
        <v>1680.0</v>
      </c>
      <c r="L14" s="19">
        <v>1870.0</v>
      </c>
      <c r="M14" s="19">
        <v>2060.0</v>
      </c>
      <c r="N14" s="19">
        <v>2340.0</v>
      </c>
      <c r="O14" s="19">
        <v>2390.0</v>
      </c>
      <c r="P14" s="19">
        <v>2020.0</v>
      </c>
      <c r="Q14" s="19">
        <v>1816.0</v>
      </c>
      <c r="R14" s="19">
        <v>2051.0</v>
      </c>
      <c r="S14" s="19">
        <v>1874.0</v>
      </c>
      <c r="T14" s="19">
        <v>1990.0</v>
      </c>
      <c r="U14" s="19">
        <v>2343.0</v>
      </c>
      <c r="V14" s="19">
        <v>1790.0</v>
      </c>
      <c r="W14" s="19">
        <v>1519.0</v>
      </c>
      <c r="X14" s="19">
        <v>1493.0</v>
      </c>
      <c r="Y14" s="19">
        <v>1289.0</v>
      </c>
      <c r="Z14" s="19">
        <v>1339.0</v>
      </c>
      <c r="AA14" s="19">
        <v>1525.0</v>
      </c>
      <c r="AB14" s="19">
        <v>1682.0</v>
      </c>
      <c r="AC14" s="19">
        <v>1711.0</v>
      </c>
      <c r="AD14" s="19">
        <v>1677.0</v>
      </c>
      <c r="AE14" s="19">
        <v>1328.0</v>
      </c>
      <c r="AF14" s="19">
        <v>1176.0</v>
      </c>
    </row>
    <row r="15">
      <c r="A15" s="16" t="s">
        <v>26</v>
      </c>
      <c r="B15" s="17">
        <f t="shared" ref="B15:AF15" si="1">B16+B17+B18+B19+B20</f>
        <v>8259.3</v>
      </c>
      <c r="C15" s="17">
        <f t="shared" si="1"/>
        <v>8509.69</v>
      </c>
      <c r="D15" s="17">
        <f t="shared" si="1"/>
        <v>9959.99</v>
      </c>
      <c r="E15" s="17">
        <f t="shared" si="1"/>
        <v>7222.59</v>
      </c>
      <c r="F15" s="17">
        <f t="shared" si="1"/>
        <v>7395.73</v>
      </c>
      <c r="G15" s="17">
        <f t="shared" si="1"/>
        <v>6262.25</v>
      </c>
      <c r="H15" s="17">
        <f t="shared" si="1"/>
        <v>5480.06</v>
      </c>
      <c r="I15" s="17">
        <f t="shared" si="1"/>
        <v>8883.31</v>
      </c>
      <c r="J15" s="17">
        <f t="shared" si="1"/>
        <v>7691.9</v>
      </c>
      <c r="K15" s="17">
        <f t="shared" si="1"/>
        <v>6009.1</v>
      </c>
      <c r="L15" s="17">
        <f t="shared" si="1"/>
        <v>6836.91</v>
      </c>
      <c r="M15" s="17">
        <f t="shared" si="1"/>
        <v>7186.15</v>
      </c>
      <c r="N15" s="17">
        <f t="shared" si="1"/>
        <v>6808.2</v>
      </c>
      <c r="O15" s="17">
        <f t="shared" si="1"/>
        <v>5606.65</v>
      </c>
      <c r="P15" s="17">
        <f t="shared" si="1"/>
        <v>6447.71</v>
      </c>
      <c r="Q15" s="17">
        <f t="shared" si="1"/>
        <v>5107.37</v>
      </c>
      <c r="R15" s="17">
        <f t="shared" si="1"/>
        <v>5553.28</v>
      </c>
      <c r="S15" s="17">
        <f t="shared" si="1"/>
        <v>7299.76</v>
      </c>
      <c r="T15" s="17">
        <f t="shared" si="1"/>
        <v>7713.73</v>
      </c>
      <c r="U15" s="17">
        <f t="shared" si="1"/>
        <v>12003.2</v>
      </c>
      <c r="V15" s="17">
        <f t="shared" si="1"/>
        <v>14724.89</v>
      </c>
      <c r="W15" s="17">
        <f t="shared" si="1"/>
        <v>14303.64</v>
      </c>
      <c r="X15" s="17">
        <f t="shared" si="1"/>
        <v>9192.83</v>
      </c>
      <c r="Y15" s="17">
        <f t="shared" si="1"/>
        <v>11589.08</v>
      </c>
      <c r="Z15" s="17">
        <f t="shared" si="1"/>
        <v>7644.99</v>
      </c>
      <c r="AA15" s="17">
        <f t="shared" si="1"/>
        <v>10785.47</v>
      </c>
      <c r="AB15" s="17">
        <f t="shared" si="1"/>
        <v>10357.56</v>
      </c>
      <c r="AC15" s="17">
        <f t="shared" si="1"/>
        <v>15763.1</v>
      </c>
      <c r="AD15" s="17">
        <f t="shared" si="1"/>
        <v>17036.84</v>
      </c>
      <c r="AE15" s="17">
        <f t="shared" si="1"/>
        <v>11243.16</v>
      </c>
      <c r="AF15" s="17">
        <f t="shared" si="1"/>
        <v>14667.91</v>
      </c>
    </row>
    <row r="16" outlineLevel="1">
      <c r="A16" s="18" t="s">
        <v>20</v>
      </c>
      <c r="B16" s="19">
        <v>7579.26</v>
      </c>
      <c r="C16" s="19">
        <v>7878.36</v>
      </c>
      <c r="D16" s="19">
        <v>9382.76</v>
      </c>
      <c r="E16" s="19">
        <v>6797.99</v>
      </c>
      <c r="F16" s="19">
        <v>6870.37</v>
      </c>
      <c r="G16" s="19">
        <v>5854.37</v>
      </c>
      <c r="H16" s="19">
        <v>5096.37</v>
      </c>
      <c r="I16" s="19">
        <v>8203.4</v>
      </c>
      <c r="J16" s="19">
        <v>7081.24</v>
      </c>
      <c r="K16" s="19">
        <v>5634.26</v>
      </c>
      <c r="L16" s="19">
        <v>6359.39</v>
      </c>
      <c r="M16" s="19">
        <v>6559.07</v>
      </c>
      <c r="N16" s="19">
        <v>6368.68</v>
      </c>
      <c r="O16" s="19">
        <v>5184.96</v>
      </c>
      <c r="P16" s="19">
        <v>5980.28</v>
      </c>
      <c r="Q16" s="19">
        <v>4765.08</v>
      </c>
      <c r="R16" s="19">
        <v>5087.93</v>
      </c>
      <c r="S16" s="19">
        <v>6712.04</v>
      </c>
      <c r="T16" s="19">
        <v>7238.85</v>
      </c>
      <c r="U16" s="19">
        <v>11009.99</v>
      </c>
      <c r="V16" s="19">
        <v>13434.09</v>
      </c>
      <c r="W16" s="19">
        <v>13110.93</v>
      </c>
      <c r="X16" s="19">
        <v>8315.35</v>
      </c>
      <c r="Y16" s="19">
        <v>10572.52</v>
      </c>
      <c r="Z16" s="19">
        <v>6884.22</v>
      </c>
      <c r="AA16" s="19">
        <v>9832.15</v>
      </c>
      <c r="AB16" s="19">
        <v>9240.78</v>
      </c>
      <c r="AC16" s="19">
        <v>13967.45</v>
      </c>
      <c r="AD16" s="19">
        <v>15532.95</v>
      </c>
      <c r="AE16" s="19">
        <v>10092.73</v>
      </c>
      <c r="AF16" s="19">
        <v>13530.04</v>
      </c>
    </row>
    <row r="17" outlineLevel="1">
      <c r="A17" s="18" t="s">
        <v>21</v>
      </c>
      <c r="B17" s="19">
        <v>166.38</v>
      </c>
      <c r="C17" s="19">
        <v>87.0</v>
      </c>
      <c r="D17" s="19">
        <v>0.0</v>
      </c>
      <c r="E17" s="19">
        <v>0.0</v>
      </c>
      <c r="F17" s="19">
        <v>0.0</v>
      </c>
      <c r="G17" s="19">
        <v>0.0</v>
      </c>
      <c r="H17" s="19">
        <v>58.0</v>
      </c>
      <c r="I17" s="19">
        <v>116.0</v>
      </c>
      <c r="J17" s="19">
        <v>108.38</v>
      </c>
      <c r="K17" s="19">
        <v>0.0</v>
      </c>
      <c r="L17" s="19">
        <v>29.0</v>
      </c>
      <c r="M17" s="19">
        <v>166.38</v>
      </c>
      <c r="N17" s="19">
        <v>0.0</v>
      </c>
      <c r="O17" s="19">
        <v>29.0</v>
      </c>
      <c r="P17" s="19">
        <v>29.0</v>
      </c>
      <c r="Q17" s="19">
        <v>0.0</v>
      </c>
      <c r="R17" s="19">
        <v>87.0</v>
      </c>
      <c r="S17" s="19">
        <v>87.0</v>
      </c>
      <c r="T17" s="19">
        <v>0.0</v>
      </c>
      <c r="U17" s="19">
        <v>166.38</v>
      </c>
      <c r="V17" s="19">
        <v>290.0</v>
      </c>
      <c r="W17" s="19">
        <v>203.0</v>
      </c>
      <c r="X17" s="19">
        <v>232.0</v>
      </c>
      <c r="Y17" s="19">
        <v>261.0</v>
      </c>
      <c r="Z17" s="19">
        <v>232.0</v>
      </c>
      <c r="AA17" s="19">
        <v>261.0</v>
      </c>
      <c r="AB17" s="19">
        <v>435.0</v>
      </c>
      <c r="AC17" s="19">
        <v>754.0</v>
      </c>
      <c r="AD17" s="19">
        <v>406.0</v>
      </c>
      <c r="AE17" s="19">
        <v>448.76</v>
      </c>
      <c r="AF17" s="19">
        <v>203.0</v>
      </c>
    </row>
    <row r="18" outlineLevel="1">
      <c r="A18" s="18" t="s">
        <v>27</v>
      </c>
      <c r="B18" s="19">
        <v>503.88</v>
      </c>
      <c r="C18" s="19">
        <v>523.33</v>
      </c>
      <c r="D18" s="19">
        <v>567.45</v>
      </c>
      <c r="E18" s="19">
        <v>424.6</v>
      </c>
      <c r="F18" s="19">
        <v>520.47</v>
      </c>
      <c r="G18" s="19">
        <v>398.03</v>
      </c>
      <c r="H18" s="19">
        <v>325.29</v>
      </c>
      <c r="I18" s="19">
        <v>562.31</v>
      </c>
      <c r="J18" s="19">
        <v>476.34</v>
      </c>
      <c r="K18" s="19">
        <v>374.44</v>
      </c>
      <c r="L18" s="19">
        <v>442.43</v>
      </c>
      <c r="M18" s="19">
        <v>440.97</v>
      </c>
      <c r="N18" s="19">
        <v>434.23</v>
      </c>
      <c r="O18" s="19">
        <v>392.69</v>
      </c>
      <c r="P18" s="19">
        <v>413.92</v>
      </c>
      <c r="Q18" s="19">
        <v>341.09</v>
      </c>
      <c r="R18" s="19">
        <v>378.35</v>
      </c>
      <c r="S18" s="19">
        <v>492.53</v>
      </c>
      <c r="T18" s="19">
        <v>474.88</v>
      </c>
      <c r="U18" s="19">
        <v>805.87</v>
      </c>
      <c r="V18" s="19">
        <v>979.14</v>
      </c>
      <c r="W18" s="19">
        <v>980.73</v>
      </c>
      <c r="X18" s="19">
        <v>627.12</v>
      </c>
      <c r="Y18" s="19">
        <v>737.77</v>
      </c>
      <c r="Z18" s="19">
        <v>475.86</v>
      </c>
      <c r="AA18" s="19">
        <v>680.01</v>
      </c>
      <c r="AB18" s="19">
        <v>681.78</v>
      </c>
      <c r="AC18" s="19">
        <v>1027.38</v>
      </c>
      <c r="AD18" s="19">
        <v>1041.16</v>
      </c>
      <c r="AE18" s="19">
        <v>700.87</v>
      </c>
      <c r="AF18" s="19">
        <v>917.39</v>
      </c>
    </row>
    <row r="19" outlineLevel="1">
      <c r="A19" s="18" t="s">
        <v>25</v>
      </c>
      <c r="B19" s="19">
        <v>0.5</v>
      </c>
      <c r="C19" s="19">
        <v>11.87</v>
      </c>
      <c r="D19" s="19">
        <v>0.5</v>
      </c>
      <c r="E19" s="19">
        <v>0.0</v>
      </c>
      <c r="F19" s="19">
        <v>0.25</v>
      </c>
      <c r="G19" s="19">
        <v>5.21</v>
      </c>
      <c r="H19" s="19">
        <v>0.25</v>
      </c>
      <c r="I19" s="19">
        <v>1.0</v>
      </c>
      <c r="J19" s="19">
        <v>21.15</v>
      </c>
      <c r="K19" s="19">
        <v>0.25</v>
      </c>
      <c r="L19" s="19">
        <v>1.0</v>
      </c>
      <c r="M19" s="19">
        <v>14.64</v>
      </c>
      <c r="N19" s="19">
        <v>0.5</v>
      </c>
      <c r="O19" s="19">
        <v>0.0</v>
      </c>
      <c r="P19" s="19">
        <v>6.4</v>
      </c>
      <c r="Q19" s="19">
        <v>0.75</v>
      </c>
      <c r="R19" s="19">
        <v>0.0</v>
      </c>
      <c r="S19" s="19">
        <v>7.74</v>
      </c>
      <c r="T19" s="19">
        <v>0.0</v>
      </c>
      <c r="U19" s="19">
        <v>11.83</v>
      </c>
      <c r="V19" s="19">
        <v>7.74</v>
      </c>
      <c r="W19" s="19">
        <v>0.0</v>
      </c>
      <c r="X19" s="19">
        <v>0.25</v>
      </c>
      <c r="Y19" s="19">
        <v>17.49</v>
      </c>
      <c r="Z19" s="19">
        <v>25.82</v>
      </c>
      <c r="AA19" s="19">
        <v>12.16</v>
      </c>
      <c r="AB19" s="19">
        <v>0.0</v>
      </c>
      <c r="AC19" s="19">
        <v>0.5</v>
      </c>
      <c r="AD19" s="19">
        <v>30.14</v>
      </c>
      <c r="AE19" s="19">
        <v>0.5</v>
      </c>
      <c r="AF19" s="19">
        <v>8.35</v>
      </c>
    </row>
    <row r="20" outlineLevel="1">
      <c r="A20" s="18" t="s">
        <v>28</v>
      </c>
      <c r="B20" s="19">
        <v>9.28</v>
      </c>
      <c r="C20" s="19">
        <v>9.13</v>
      </c>
      <c r="D20" s="19">
        <v>9.28</v>
      </c>
      <c r="E20" s="19">
        <v>0.0</v>
      </c>
      <c r="F20" s="19">
        <v>4.64</v>
      </c>
      <c r="G20" s="19">
        <v>4.64</v>
      </c>
      <c r="H20" s="19">
        <v>0.15</v>
      </c>
      <c r="I20" s="19">
        <v>0.6</v>
      </c>
      <c r="J20" s="19">
        <v>4.79</v>
      </c>
      <c r="K20" s="19">
        <v>0.15</v>
      </c>
      <c r="L20" s="19">
        <v>5.09</v>
      </c>
      <c r="M20" s="19">
        <v>5.09</v>
      </c>
      <c r="N20" s="19">
        <v>4.79</v>
      </c>
      <c r="O20" s="19">
        <v>0.0</v>
      </c>
      <c r="P20" s="19">
        <v>18.11</v>
      </c>
      <c r="Q20" s="19">
        <v>0.45</v>
      </c>
      <c r="R20" s="19">
        <v>0.0</v>
      </c>
      <c r="S20" s="19">
        <v>0.45</v>
      </c>
      <c r="T20" s="19">
        <v>0.0</v>
      </c>
      <c r="U20" s="19">
        <v>9.13</v>
      </c>
      <c r="V20" s="19">
        <v>13.92</v>
      </c>
      <c r="W20" s="19">
        <v>8.98</v>
      </c>
      <c r="X20" s="19">
        <v>18.11</v>
      </c>
      <c r="Y20" s="19">
        <v>0.3</v>
      </c>
      <c r="Z20" s="19">
        <v>27.09</v>
      </c>
      <c r="AA20" s="19">
        <v>0.15</v>
      </c>
      <c r="AB20" s="19">
        <v>0.0</v>
      </c>
      <c r="AC20" s="19">
        <v>13.77</v>
      </c>
      <c r="AD20" s="19">
        <v>26.59</v>
      </c>
      <c r="AE20" s="19">
        <v>0.3</v>
      </c>
      <c r="AF20" s="19">
        <v>9.13</v>
      </c>
    </row>
    <row r="21">
      <c r="A21" s="16" t="s">
        <v>29</v>
      </c>
      <c r="B21" s="17">
        <f t="shared" ref="B21:AF21" si="2">SUM(B26,B22)</f>
        <v>0</v>
      </c>
      <c r="C21" s="17">
        <f t="shared" si="2"/>
        <v>0</v>
      </c>
      <c r="D21" s="17">
        <f t="shared" si="2"/>
        <v>0</v>
      </c>
      <c r="E21" s="17">
        <f t="shared" si="2"/>
        <v>0</v>
      </c>
      <c r="F21" s="17">
        <f t="shared" si="2"/>
        <v>0</v>
      </c>
      <c r="G21" s="17">
        <f t="shared" si="2"/>
        <v>0</v>
      </c>
      <c r="H21" s="17">
        <f t="shared" si="2"/>
        <v>0</v>
      </c>
      <c r="I21" s="17">
        <f t="shared" si="2"/>
        <v>0</v>
      </c>
      <c r="J21" s="17">
        <f t="shared" si="2"/>
        <v>0</v>
      </c>
      <c r="K21" s="17">
        <f t="shared" si="2"/>
        <v>0</v>
      </c>
      <c r="L21" s="17">
        <f t="shared" si="2"/>
        <v>0</v>
      </c>
      <c r="M21" s="17">
        <f t="shared" si="2"/>
        <v>0</v>
      </c>
      <c r="N21" s="17">
        <f t="shared" si="2"/>
        <v>0</v>
      </c>
      <c r="O21" s="17">
        <f t="shared" si="2"/>
        <v>0</v>
      </c>
      <c r="P21" s="17">
        <f t="shared" si="2"/>
        <v>0</v>
      </c>
      <c r="Q21" s="17">
        <f t="shared" si="2"/>
        <v>0</v>
      </c>
      <c r="R21" s="17">
        <f t="shared" si="2"/>
        <v>617.409386</v>
      </c>
      <c r="S21" s="17">
        <f t="shared" si="2"/>
        <v>0</v>
      </c>
      <c r="T21" s="17">
        <f t="shared" si="2"/>
        <v>318.409386</v>
      </c>
      <c r="U21" s="17">
        <f t="shared" si="2"/>
        <v>0</v>
      </c>
      <c r="V21" s="17">
        <f t="shared" si="2"/>
        <v>0</v>
      </c>
      <c r="W21" s="17">
        <f t="shared" si="2"/>
        <v>0</v>
      </c>
      <c r="X21" s="17">
        <f t="shared" si="2"/>
        <v>0</v>
      </c>
      <c r="Y21" s="17">
        <f t="shared" si="2"/>
        <v>0</v>
      </c>
      <c r="Z21" s="17">
        <f t="shared" si="2"/>
        <v>0</v>
      </c>
      <c r="AA21" s="17">
        <f t="shared" si="2"/>
        <v>0</v>
      </c>
      <c r="AB21" s="17">
        <f t="shared" si="2"/>
        <v>0</v>
      </c>
      <c r="AC21" s="17">
        <f t="shared" si="2"/>
        <v>0</v>
      </c>
      <c r="AD21" s="17">
        <f t="shared" si="2"/>
        <v>0</v>
      </c>
      <c r="AE21" s="17">
        <f t="shared" si="2"/>
        <v>318.409386</v>
      </c>
      <c r="AF21" s="17">
        <f t="shared" si="2"/>
        <v>0</v>
      </c>
    </row>
    <row r="22" outlineLevel="1">
      <c r="A22" s="20" t="s">
        <v>30</v>
      </c>
      <c r="B22" s="21">
        <f t="shared" ref="B22:AF22" si="3">SUM(B23:B25)</f>
        <v>0</v>
      </c>
      <c r="C22" s="21">
        <f t="shared" si="3"/>
        <v>0</v>
      </c>
      <c r="D22" s="21">
        <f t="shared" si="3"/>
        <v>0</v>
      </c>
      <c r="E22" s="21">
        <f t="shared" si="3"/>
        <v>0</v>
      </c>
      <c r="F22" s="21">
        <f t="shared" si="3"/>
        <v>0</v>
      </c>
      <c r="G22" s="21">
        <f t="shared" si="3"/>
        <v>0</v>
      </c>
      <c r="H22" s="21">
        <f t="shared" si="3"/>
        <v>0</v>
      </c>
      <c r="I22" s="21">
        <f t="shared" si="3"/>
        <v>0</v>
      </c>
      <c r="J22" s="21">
        <f t="shared" si="3"/>
        <v>0</v>
      </c>
      <c r="K22" s="21">
        <f t="shared" si="3"/>
        <v>0</v>
      </c>
      <c r="L22" s="21">
        <f t="shared" si="3"/>
        <v>0</v>
      </c>
      <c r="M22" s="21">
        <f t="shared" si="3"/>
        <v>0</v>
      </c>
      <c r="N22" s="21">
        <f t="shared" si="3"/>
        <v>0</v>
      </c>
      <c r="O22" s="21">
        <f t="shared" si="3"/>
        <v>0</v>
      </c>
      <c r="P22" s="21">
        <f t="shared" si="3"/>
        <v>0</v>
      </c>
      <c r="Q22" s="21">
        <f t="shared" si="3"/>
        <v>0</v>
      </c>
      <c r="R22" s="21">
        <f t="shared" si="3"/>
        <v>318.409386</v>
      </c>
      <c r="S22" s="21">
        <f t="shared" si="3"/>
        <v>0</v>
      </c>
      <c r="T22" s="21">
        <f t="shared" si="3"/>
        <v>318.409386</v>
      </c>
      <c r="U22" s="21">
        <f t="shared" si="3"/>
        <v>0</v>
      </c>
      <c r="V22" s="21">
        <f t="shared" si="3"/>
        <v>0</v>
      </c>
      <c r="W22" s="21">
        <f t="shared" si="3"/>
        <v>0</v>
      </c>
      <c r="X22" s="21">
        <f t="shared" si="3"/>
        <v>0</v>
      </c>
      <c r="Y22" s="21">
        <f t="shared" si="3"/>
        <v>0</v>
      </c>
      <c r="Z22" s="21">
        <f t="shared" si="3"/>
        <v>0</v>
      </c>
      <c r="AA22" s="21">
        <f t="shared" si="3"/>
        <v>0</v>
      </c>
      <c r="AB22" s="21">
        <f t="shared" si="3"/>
        <v>0</v>
      </c>
      <c r="AC22" s="21">
        <f t="shared" si="3"/>
        <v>0</v>
      </c>
      <c r="AD22" s="21">
        <f t="shared" si="3"/>
        <v>0</v>
      </c>
      <c r="AE22" s="21">
        <f t="shared" si="3"/>
        <v>318.409386</v>
      </c>
      <c r="AF22" s="21">
        <f t="shared" si="3"/>
        <v>0</v>
      </c>
    </row>
    <row r="23" outlineLevel="1">
      <c r="A23" s="18" t="s">
        <v>20</v>
      </c>
      <c r="B23" s="19">
        <v>0.0</v>
      </c>
      <c r="C23" s="19">
        <v>0.0</v>
      </c>
      <c r="D23" s="19">
        <v>0.0</v>
      </c>
      <c r="E23" s="19">
        <v>0.0</v>
      </c>
      <c r="F23" s="19">
        <v>0.0</v>
      </c>
      <c r="G23" s="19">
        <v>0.0</v>
      </c>
      <c r="H23" s="19">
        <v>0.0</v>
      </c>
      <c r="I23" s="19">
        <v>0.0</v>
      </c>
      <c r="J23" s="19">
        <v>0.0</v>
      </c>
      <c r="K23" s="19">
        <v>0.0</v>
      </c>
      <c r="L23" s="19">
        <v>0.0</v>
      </c>
      <c r="M23" s="19">
        <v>0.0</v>
      </c>
      <c r="N23" s="19">
        <v>0.0</v>
      </c>
      <c r="O23" s="19">
        <v>0.0</v>
      </c>
      <c r="P23" s="19">
        <v>0.0</v>
      </c>
      <c r="Q23" s="19">
        <v>0.0</v>
      </c>
      <c r="R23" s="19">
        <v>299.99</v>
      </c>
      <c r="S23" s="19">
        <v>0.0</v>
      </c>
      <c r="T23" s="19">
        <v>299.99</v>
      </c>
      <c r="U23" s="19">
        <v>0.0</v>
      </c>
      <c r="V23" s="19">
        <v>0.0</v>
      </c>
      <c r="W23" s="19">
        <v>0.0</v>
      </c>
      <c r="X23" s="19">
        <v>0.0</v>
      </c>
      <c r="Y23" s="19">
        <v>0.0</v>
      </c>
      <c r="Z23" s="19">
        <v>0.0</v>
      </c>
      <c r="AA23" s="19">
        <v>0.0</v>
      </c>
      <c r="AB23" s="19">
        <v>0.0</v>
      </c>
      <c r="AC23" s="19">
        <v>0.0</v>
      </c>
      <c r="AD23" s="19">
        <v>0.0</v>
      </c>
      <c r="AE23" s="19">
        <v>299.99</v>
      </c>
      <c r="AF23" s="19">
        <v>0.0</v>
      </c>
    </row>
    <row r="24" outlineLevel="1">
      <c r="A24" s="18" t="s">
        <v>27</v>
      </c>
      <c r="B24" s="19">
        <f t="shared" ref="B24:AF24" si="4">0.0614*B23</f>
        <v>0</v>
      </c>
      <c r="C24" s="19">
        <f t="shared" si="4"/>
        <v>0</v>
      </c>
      <c r="D24" s="19">
        <f t="shared" si="4"/>
        <v>0</v>
      </c>
      <c r="E24" s="19">
        <f t="shared" si="4"/>
        <v>0</v>
      </c>
      <c r="F24" s="19">
        <f t="shared" si="4"/>
        <v>0</v>
      </c>
      <c r="G24" s="19">
        <f t="shared" si="4"/>
        <v>0</v>
      </c>
      <c r="H24" s="19">
        <f t="shared" si="4"/>
        <v>0</v>
      </c>
      <c r="I24" s="19">
        <f t="shared" si="4"/>
        <v>0</v>
      </c>
      <c r="J24" s="19">
        <f t="shared" si="4"/>
        <v>0</v>
      </c>
      <c r="K24" s="19">
        <f t="shared" si="4"/>
        <v>0</v>
      </c>
      <c r="L24" s="19">
        <f t="shared" si="4"/>
        <v>0</v>
      </c>
      <c r="M24" s="19">
        <f t="shared" si="4"/>
        <v>0</v>
      </c>
      <c r="N24" s="19">
        <f t="shared" si="4"/>
        <v>0</v>
      </c>
      <c r="O24" s="19">
        <f t="shared" si="4"/>
        <v>0</v>
      </c>
      <c r="P24" s="19">
        <f t="shared" si="4"/>
        <v>0</v>
      </c>
      <c r="Q24" s="19">
        <f t="shared" si="4"/>
        <v>0</v>
      </c>
      <c r="R24" s="19">
        <f t="shared" si="4"/>
        <v>18.419386</v>
      </c>
      <c r="S24" s="19">
        <f t="shared" si="4"/>
        <v>0</v>
      </c>
      <c r="T24" s="19">
        <f t="shared" si="4"/>
        <v>18.419386</v>
      </c>
      <c r="U24" s="19">
        <f t="shared" si="4"/>
        <v>0</v>
      </c>
      <c r="V24" s="19">
        <f t="shared" si="4"/>
        <v>0</v>
      </c>
      <c r="W24" s="19">
        <f t="shared" si="4"/>
        <v>0</v>
      </c>
      <c r="X24" s="19">
        <f t="shared" si="4"/>
        <v>0</v>
      </c>
      <c r="Y24" s="19">
        <f t="shared" si="4"/>
        <v>0</v>
      </c>
      <c r="Z24" s="19">
        <f t="shared" si="4"/>
        <v>0</v>
      </c>
      <c r="AA24" s="19">
        <f t="shared" si="4"/>
        <v>0</v>
      </c>
      <c r="AB24" s="19">
        <f t="shared" si="4"/>
        <v>0</v>
      </c>
      <c r="AC24" s="19">
        <f t="shared" si="4"/>
        <v>0</v>
      </c>
      <c r="AD24" s="19">
        <f t="shared" si="4"/>
        <v>0</v>
      </c>
      <c r="AE24" s="19">
        <f t="shared" si="4"/>
        <v>18.419386</v>
      </c>
      <c r="AF24" s="19">
        <f t="shared" si="4"/>
        <v>0</v>
      </c>
    </row>
    <row r="25" outlineLevel="1">
      <c r="A25" s="22" t="s">
        <v>25</v>
      </c>
      <c r="B25" s="23">
        <v>0.0</v>
      </c>
      <c r="C25" s="23">
        <v>0.0</v>
      </c>
      <c r="D25" s="23">
        <v>0.0</v>
      </c>
      <c r="E25" s="23">
        <v>0.0</v>
      </c>
      <c r="F25" s="23">
        <v>0.0</v>
      </c>
      <c r="G25" s="23">
        <v>0.0</v>
      </c>
      <c r="H25" s="23">
        <v>0.0</v>
      </c>
      <c r="I25" s="23">
        <v>0.0</v>
      </c>
      <c r="J25" s="23">
        <v>0.0</v>
      </c>
      <c r="K25" s="23">
        <v>0.0</v>
      </c>
      <c r="L25" s="23">
        <v>0.0</v>
      </c>
      <c r="M25" s="23">
        <v>0.0</v>
      </c>
      <c r="N25" s="23">
        <v>0.0</v>
      </c>
      <c r="O25" s="23">
        <v>0.0</v>
      </c>
      <c r="P25" s="23">
        <v>0.0</v>
      </c>
      <c r="Q25" s="23">
        <v>0.0</v>
      </c>
      <c r="R25" s="23">
        <v>0.0</v>
      </c>
      <c r="S25" s="23">
        <v>0.0</v>
      </c>
      <c r="T25" s="23">
        <v>0.0</v>
      </c>
      <c r="U25" s="23">
        <v>0.0</v>
      </c>
      <c r="V25" s="23">
        <v>0.0</v>
      </c>
      <c r="W25" s="23">
        <v>0.0</v>
      </c>
      <c r="X25" s="23">
        <v>0.0</v>
      </c>
      <c r="Y25" s="23">
        <v>0.0</v>
      </c>
      <c r="Z25" s="23">
        <v>0.0</v>
      </c>
      <c r="AA25" s="23">
        <v>0.0</v>
      </c>
      <c r="AB25" s="23">
        <v>0.0</v>
      </c>
      <c r="AC25" s="23">
        <v>0.0</v>
      </c>
      <c r="AD25" s="23">
        <v>0.0</v>
      </c>
      <c r="AE25" s="23">
        <v>0.0</v>
      </c>
      <c r="AF25" s="23">
        <v>0.0</v>
      </c>
    </row>
    <row r="26" outlineLevel="1">
      <c r="A26" s="18" t="s">
        <v>31</v>
      </c>
      <c r="B26" s="19">
        <v>0.0</v>
      </c>
      <c r="C26" s="19">
        <v>0.0</v>
      </c>
      <c r="D26" s="19">
        <v>0.0</v>
      </c>
      <c r="E26" s="19">
        <v>0.0</v>
      </c>
      <c r="F26" s="19">
        <v>0.0</v>
      </c>
      <c r="G26" s="19">
        <v>0.0</v>
      </c>
      <c r="H26" s="19">
        <v>0.0</v>
      </c>
      <c r="I26" s="19">
        <v>0.0</v>
      </c>
      <c r="J26" s="19">
        <v>0.0</v>
      </c>
      <c r="K26" s="19">
        <v>0.0</v>
      </c>
      <c r="L26" s="19">
        <v>0.0</v>
      </c>
      <c r="M26" s="19">
        <v>0.0</v>
      </c>
      <c r="N26" s="19">
        <v>0.0</v>
      </c>
      <c r="O26" s="19">
        <v>0.0</v>
      </c>
      <c r="P26" s="19">
        <v>0.0</v>
      </c>
      <c r="Q26" s="19">
        <v>0.0</v>
      </c>
      <c r="R26" s="19">
        <v>299.0</v>
      </c>
      <c r="S26" s="19">
        <v>0.0</v>
      </c>
      <c r="T26" s="19">
        <v>0.0</v>
      </c>
      <c r="U26" s="19">
        <v>0.0</v>
      </c>
      <c r="V26" s="19">
        <v>0.0</v>
      </c>
      <c r="W26" s="19">
        <v>0.0</v>
      </c>
      <c r="X26" s="19">
        <v>0.0</v>
      </c>
      <c r="Y26" s="19">
        <v>0.0</v>
      </c>
      <c r="Z26" s="19">
        <v>0.0</v>
      </c>
      <c r="AA26" s="19">
        <v>0.0</v>
      </c>
      <c r="AB26" s="19">
        <v>0.0</v>
      </c>
      <c r="AC26" s="19">
        <v>0.0</v>
      </c>
      <c r="AD26" s="19">
        <v>0.0</v>
      </c>
      <c r="AE26" s="19">
        <v>0.0</v>
      </c>
      <c r="AF26" s="19">
        <v>0.0</v>
      </c>
    </row>
    <row r="27" outlineLevel="1">
      <c r="A27" s="18" t="s">
        <v>20</v>
      </c>
      <c r="B27" s="19">
        <v>0.0</v>
      </c>
      <c r="C27" s="19">
        <v>0.0</v>
      </c>
      <c r="D27" s="19">
        <v>0.0</v>
      </c>
      <c r="E27" s="19">
        <v>0.0</v>
      </c>
      <c r="F27" s="19">
        <v>0.0</v>
      </c>
      <c r="G27" s="19">
        <v>0.0</v>
      </c>
      <c r="H27" s="19">
        <v>0.0</v>
      </c>
      <c r="I27" s="19">
        <v>0.0</v>
      </c>
      <c r="J27" s="19">
        <v>0.0</v>
      </c>
      <c r="K27" s="19">
        <v>0.0</v>
      </c>
      <c r="L27" s="19">
        <v>0.0</v>
      </c>
      <c r="M27" s="19">
        <v>0.0</v>
      </c>
      <c r="N27" s="19">
        <v>0.0</v>
      </c>
      <c r="O27" s="19">
        <v>0.0</v>
      </c>
      <c r="P27" s="19">
        <v>0.0</v>
      </c>
      <c r="Q27" s="19">
        <v>0.0</v>
      </c>
      <c r="R27" s="19">
        <v>0.0</v>
      </c>
      <c r="S27" s="19">
        <v>0.0</v>
      </c>
      <c r="T27" s="19">
        <v>0.0</v>
      </c>
      <c r="U27" s="19">
        <v>0.0</v>
      </c>
      <c r="V27" s="19">
        <v>0.0</v>
      </c>
      <c r="W27" s="19">
        <v>0.0</v>
      </c>
      <c r="X27" s="19">
        <v>0.0</v>
      </c>
      <c r="Y27" s="19">
        <v>0.0</v>
      </c>
      <c r="Z27" s="19">
        <v>0.0</v>
      </c>
      <c r="AA27" s="19">
        <v>0.0</v>
      </c>
      <c r="AB27" s="19">
        <v>0.0</v>
      </c>
      <c r="AC27" s="19">
        <v>0.0</v>
      </c>
      <c r="AD27" s="19">
        <v>0.0</v>
      </c>
      <c r="AE27" s="19">
        <v>0.0</v>
      </c>
      <c r="AF27" s="19">
        <v>0.0</v>
      </c>
    </row>
    <row r="28" outlineLevel="1">
      <c r="A28" s="18" t="s">
        <v>27</v>
      </c>
      <c r="B28" s="19">
        <f t="shared" ref="B28:AF28" si="5">0.0614*B27</f>
        <v>0</v>
      </c>
      <c r="C28" s="19">
        <f t="shared" si="5"/>
        <v>0</v>
      </c>
      <c r="D28" s="19">
        <f t="shared" si="5"/>
        <v>0</v>
      </c>
      <c r="E28" s="19">
        <f t="shared" si="5"/>
        <v>0</v>
      </c>
      <c r="F28" s="19">
        <f t="shared" si="5"/>
        <v>0</v>
      </c>
      <c r="G28" s="19">
        <f t="shared" si="5"/>
        <v>0</v>
      </c>
      <c r="H28" s="19">
        <f t="shared" si="5"/>
        <v>0</v>
      </c>
      <c r="I28" s="19">
        <f t="shared" si="5"/>
        <v>0</v>
      </c>
      <c r="J28" s="19">
        <f t="shared" si="5"/>
        <v>0</v>
      </c>
      <c r="K28" s="19">
        <f t="shared" si="5"/>
        <v>0</v>
      </c>
      <c r="L28" s="19">
        <f t="shared" si="5"/>
        <v>0</v>
      </c>
      <c r="M28" s="19">
        <f t="shared" si="5"/>
        <v>0</v>
      </c>
      <c r="N28" s="19">
        <f t="shared" si="5"/>
        <v>0</v>
      </c>
      <c r="O28" s="19">
        <f t="shared" si="5"/>
        <v>0</v>
      </c>
      <c r="P28" s="19">
        <f t="shared" si="5"/>
        <v>0</v>
      </c>
      <c r="Q28" s="19">
        <f t="shared" si="5"/>
        <v>0</v>
      </c>
      <c r="R28" s="19">
        <f t="shared" si="5"/>
        <v>0</v>
      </c>
      <c r="S28" s="19">
        <f t="shared" si="5"/>
        <v>0</v>
      </c>
      <c r="T28" s="19">
        <f t="shared" si="5"/>
        <v>0</v>
      </c>
      <c r="U28" s="19">
        <f t="shared" si="5"/>
        <v>0</v>
      </c>
      <c r="V28" s="19">
        <f t="shared" si="5"/>
        <v>0</v>
      </c>
      <c r="W28" s="19">
        <f t="shared" si="5"/>
        <v>0</v>
      </c>
      <c r="X28" s="19">
        <f t="shared" si="5"/>
        <v>0</v>
      </c>
      <c r="Y28" s="19">
        <f t="shared" si="5"/>
        <v>0</v>
      </c>
      <c r="Z28" s="19">
        <f t="shared" si="5"/>
        <v>0</v>
      </c>
      <c r="AA28" s="19">
        <f t="shared" si="5"/>
        <v>0</v>
      </c>
      <c r="AB28" s="19">
        <f t="shared" si="5"/>
        <v>0</v>
      </c>
      <c r="AC28" s="19">
        <f t="shared" si="5"/>
        <v>0</v>
      </c>
      <c r="AD28" s="19">
        <f t="shared" si="5"/>
        <v>0</v>
      </c>
      <c r="AE28" s="19">
        <f t="shared" si="5"/>
        <v>0</v>
      </c>
      <c r="AF28" s="19">
        <f t="shared" si="5"/>
        <v>0</v>
      </c>
    </row>
    <row r="29" outlineLevel="1">
      <c r="A29" s="22" t="s">
        <v>25</v>
      </c>
      <c r="B29" s="23">
        <v>0.0</v>
      </c>
      <c r="C29" s="23">
        <v>0.0</v>
      </c>
      <c r="D29" s="23">
        <v>0.0</v>
      </c>
      <c r="E29" s="23">
        <v>0.0</v>
      </c>
      <c r="F29" s="23">
        <v>0.0</v>
      </c>
      <c r="G29" s="23">
        <v>0.0</v>
      </c>
      <c r="H29" s="23">
        <v>0.0</v>
      </c>
      <c r="I29" s="23">
        <v>0.0</v>
      </c>
      <c r="J29" s="23">
        <v>0.0</v>
      </c>
      <c r="K29" s="23">
        <v>0.0</v>
      </c>
      <c r="L29" s="23">
        <v>0.0</v>
      </c>
      <c r="M29" s="23">
        <v>0.0</v>
      </c>
      <c r="N29" s="23">
        <v>0.0</v>
      </c>
      <c r="O29" s="23">
        <v>0.0</v>
      </c>
      <c r="P29" s="23">
        <v>0.0</v>
      </c>
      <c r="Q29" s="23">
        <v>0.0</v>
      </c>
      <c r="R29" s="23">
        <v>0.0</v>
      </c>
      <c r="S29" s="23">
        <v>0.0</v>
      </c>
      <c r="T29" s="23">
        <v>0.0</v>
      </c>
      <c r="U29" s="23">
        <v>0.0</v>
      </c>
      <c r="V29" s="23">
        <v>0.0</v>
      </c>
      <c r="W29" s="23">
        <v>0.0</v>
      </c>
      <c r="X29" s="23">
        <v>0.0</v>
      </c>
      <c r="Y29" s="23">
        <v>0.0</v>
      </c>
      <c r="Z29" s="23">
        <v>0.0</v>
      </c>
      <c r="AA29" s="23">
        <v>0.0</v>
      </c>
      <c r="AB29" s="23">
        <v>0.0</v>
      </c>
      <c r="AC29" s="23">
        <v>0.0</v>
      </c>
      <c r="AD29" s="23">
        <v>0.0</v>
      </c>
      <c r="AE29" s="23">
        <v>0.0</v>
      </c>
      <c r="AF29" s="23">
        <v>0.0</v>
      </c>
    </row>
    <row r="30">
      <c r="A30" s="24" t="s">
        <v>32</v>
      </c>
      <c r="B30" s="25">
        <f t="shared" ref="B30:AF30" si="6">SUM(B8+B15+B21)</f>
        <v>41426.29</v>
      </c>
      <c r="C30" s="25">
        <f t="shared" si="6"/>
        <v>40714.39</v>
      </c>
      <c r="D30" s="25">
        <f t="shared" si="6"/>
        <v>47719.58</v>
      </c>
      <c r="E30" s="25">
        <f t="shared" si="6"/>
        <v>41316.43</v>
      </c>
      <c r="F30" s="25">
        <f t="shared" si="6"/>
        <v>42299.43</v>
      </c>
      <c r="G30" s="25">
        <f t="shared" si="6"/>
        <v>43863.95</v>
      </c>
      <c r="H30" s="25">
        <f t="shared" si="6"/>
        <v>43795.06</v>
      </c>
      <c r="I30" s="25">
        <f t="shared" si="6"/>
        <v>40019.44</v>
      </c>
      <c r="J30" s="25">
        <f t="shared" si="6"/>
        <v>34599.58</v>
      </c>
      <c r="K30" s="25">
        <f t="shared" si="6"/>
        <v>30068.85</v>
      </c>
      <c r="L30" s="25">
        <f t="shared" si="6"/>
        <v>35617.12</v>
      </c>
      <c r="M30" s="25">
        <f t="shared" si="6"/>
        <v>39583.13</v>
      </c>
      <c r="N30" s="25">
        <f t="shared" si="6"/>
        <v>36439.05</v>
      </c>
      <c r="O30" s="25">
        <f t="shared" si="6"/>
        <v>33160.23</v>
      </c>
      <c r="P30" s="25">
        <f t="shared" si="6"/>
        <v>34317</v>
      </c>
      <c r="Q30" s="25">
        <f t="shared" si="6"/>
        <v>30903.68</v>
      </c>
      <c r="R30" s="25">
        <f t="shared" si="6"/>
        <v>38574.51939</v>
      </c>
      <c r="S30" s="25">
        <f t="shared" si="6"/>
        <v>34214.7</v>
      </c>
      <c r="T30" s="25">
        <f t="shared" si="6"/>
        <v>35174.29939</v>
      </c>
      <c r="U30" s="25">
        <f t="shared" si="6"/>
        <v>46818.26</v>
      </c>
      <c r="V30" s="25">
        <f t="shared" si="6"/>
        <v>33606.44</v>
      </c>
      <c r="W30" s="25">
        <f t="shared" si="6"/>
        <v>34605.96</v>
      </c>
      <c r="X30" s="25">
        <f t="shared" si="6"/>
        <v>31691.46</v>
      </c>
      <c r="Y30" s="25">
        <f t="shared" si="6"/>
        <v>29849.69</v>
      </c>
      <c r="Z30" s="25">
        <f t="shared" si="6"/>
        <v>25832.95</v>
      </c>
      <c r="AA30" s="25">
        <f t="shared" si="6"/>
        <v>29859.23</v>
      </c>
      <c r="AB30" s="25">
        <f t="shared" si="6"/>
        <v>30378.73</v>
      </c>
      <c r="AC30" s="25">
        <f t="shared" si="6"/>
        <v>37212.14</v>
      </c>
      <c r="AD30" s="25">
        <f t="shared" si="6"/>
        <v>37139.06</v>
      </c>
      <c r="AE30" s="25">
        <f t="shared" si="6"/>
        <v>26534.14939</v>
      </c>
      <c r="AF30" s="25">
        <f t="shared" si="6"/>
        <v>32518.04</v>
      </c>
    </row>
    <row r="32">
      <c r="A32" s="16" t="s">
        <v>33</v>
      </c>
    </row>
    <row r="33">
      <c r="A33" s="26" t="s">
        <v>34</v>
      </c>
      <c r="B33" s="27">
        <f t="shared" ref="B33:AF33" si="7">SUM(B34:B35)</f>
        <v>2864.7186</v>
      </c>
      <c r="C33" s="27">
        <f t="shared" si="7"/>
        <v>0</v>
      </c>
      <c r="D33" s="27">
        <f t="shared" si="7"/>
        <v>4260.4596</v>
      </c>
      <c r="E33" s="27">
        <f t="shared" si="7"/>
        <v>2196.0366</v>
      </c>
      <c r="F33" s="27">
        <f t="shared" si="7"/>
        <v>237.7536</v>
      </c>
      <c r="G33" s="27">
        <f t="shared" si="7"/>
        <v>0</v>
      </c>
      <c r="H33" s="27">
        <f t="shared" si="7"/>
        <v>3968.5746</v>
      </c>
      <c r="I33" s="27">
        <f t="shared" si="7"/>
        <v>730.2432</v>
      </c>
      <c r="J33" s="27">
        <f t="shared" si="7"/>
        <v>1295.9694</v>
      </c>
      <c r="K33" s="27">
        <f t="shared" si="7"/>
        <v>1178.154</v>
      </c>
      <c r="L33" s="27">
        <f t="shared" si="7"/>
        <v>2346.7554</v>
      </c>
      <c r="M33" s="27">
        <f t="shared" si="7"/>
        <v>1200.4434</v>
      </c>
      <c r="N33" s="27">
        <f t="shared" si="7"/>
        <v>477.63</v>
      </c>
      <c r="O33" s="27">
        <f t="shared" si="7"/>
        <v>796.05</v>
      </c>
      <c r="P33" s="27">
        <f t="shared" si="7"/>
        <v>923.418</v>
      </c>
      <c r="Q33" s="27">
        <f t="shared" si="7"/>
        <v>1432.89</v>
      </c>
      <c r="R33" s="27">
        <f t="shared" si="7"/>
        <v>1974.204</v>
      </c>
      <c r="S33" s="27">
        <f t="shared" si="7"/>
        <v>222.894</v>
      </c>
      <c r="T33" s="27">
        <f t="shared" si="7"/>
        <v>3247.884</v>
      </c>
      <c r="U33" s="27">
        <f t="shared" si="7"/>
        <v>2388.15</v>
      </c>
      <c r="V33" s="27">
        <f t="shared" si="7"/>
        <v>4055.651856</v>
      </c>
      <c r="W33" s="27">
        <f t="shared" si="7"/>
        <v>2997.807546</v>
      </c>
      <c r="X33" s="27">
        <f t="shared" si="7"/>
        <v>1713.513546</v>
      </c>
      <c r="Y33" s="27">
        <f t="shared" si="7"/>
        <v>700.524</v>
      </c>
      <c r="Z33" s="27">
        <f t="shared" si="7"/>
        <v>0</v>
      </c>
      <c r="AA33" s="27">
        <f t="shared" si="7"/>
        <v>0</v>
      </c>
      <c r="AB33" s="27">
        <f t="shared" si="7"/>
        <v>573.156</v>
      </c>
      <c r="AC33" s="27">
        <f t="shared" si="7"/>
        <v>256.338714</v>
      </c>
      <c r="AD33" s="27">
        <f t="shared" si="7"/>
        <v>256.338714</v>
      </c>
      <c r="AE33" s="27">
        <f t="shared" si="7"/>
        <v>256.338714</v>
      </c>
      <c r="AF33" s="27">
        <f t="shared" si="7"/>
        <v>256.338714</v>
      </c>
    </row>
    <row r="34" outlineLevel="1">
      <c r="A34" s="18" t="s">
        <v>20</v>
      </c>
      <c r="B34" s="27">
        <v>2699.0</v>
      </c>
      <c r="C34" s="27">
        <v>0.0</v>
      </c>
      <c r="D34" s="27">
        <v>4014.0</v>
      </c>
      <c r="E34" s="27">
        <v>2069.0</v>
      </c>
      <c r="F34" s="27">
        <v>224.0</v>
      </c>
      <c r="G34" s="27">
        <v>0.0</v>
      </c>
      <c r="H34" s="27">
        <v>3739.0</v>
      </c>
      <c r="I34" s="27">
        <v>688.0</v>
      </c>
      <c r="J34" s="27">
        <v>1221.0</v>
      </c>
      <c r="K34" s="27">
        <v>1110.0</v>
      </c>
      <c r="L34" s="27">
        <v>2211.0</v>
      </c>
      <c r="M34" s="27">
        <v>1131.0</v>
      </c>
      <c r="N34" s="27">
        <v>450.0</v>
      </c>
      <c r="O34" s="27">
        <v>750.0</v>
      </c>
      <c r="P34" s="27">
        <v>870.0</v>
      </c>
      <c r="Q34" s="27">
        <v>1350.0</v>
      </c>
      <c r="R34" s="27">
        <v>1860.0</v>
      </c>
      <c r="S34" s="27">
        <v>210.0</v>
      </c>
      <c r="T34" s="27">
        <v>3060.0</v>
      </c>
      <c r="U34" s="27">
        <v>2250.0</v>
      </c>
      <c r="V34" s="27">
        <v>3821.04</v>
      </c>
      <c r="W34" s="27">
        <v>2824.39</v>
      </c>
      <c r="X34" s="27">
        <v>1614.39</v>
      </c>
      <c r="Y34" s="27">
        <v>660.0</v>
      </c>
      <c r="Z34" s="27">
        <v>0.0</v>
      </c>
      <c r="AA34" s="27">
        <v>0.0</v>
      </c>
      <c r="AB34" s="27">
        <v>540.0</v>
      </c>
      <c r="AC34" s="27">
        <v>241.51</v>
      </c>
      <c r="AD34" s="27">
        <v>241.51</v>
      </c>
      <c r="AE34" s="27">
        <v>241.51</v>
      </c>
      <c r="AF34" s="27">
        <v>241.51</v>
      </c>
    </row>
    <row r="35" outlineLevel="1">
      <c r="A35" s="18" t="s">
        <v>27</v>
      </c>
      <c r="B35" s="27">
        <f>B34*'Data - P&amp;L'!$U$3</f>
        <v>165.7186</v>
      </c>
      <c r="C35" s="27">
        <f>C34*'Data - P&amp;L'!$U$3</f>
        <v>0</v>
      </c>
      <c r="D35" s="27">
        <f>D34*'Data - P&amp;L'!$U$3</f>
        <v>246.4596</v>
      </c>
      <c r="E35" s="27">
        <f>E34*'Data - P&amp;L'!$U$3</f>
        <v>127.0366</v>
      </c>
      <c r="F35" s="27">
        <f>F34*'Data - P&amp;L'!$U$3</f>
        <v>13.7536</v>
      </c>
      <c r="G35" s="27">
        <f>G34*'Data - P&amp;L'!$U$3</f>
        <v>0</v>
      </c>
      <c r="H35" s="27">
        <f>H34*'Data - P&amp;L'!$U$3</f>
        <v>229.5746</v>
      </c>
      <c r="I35" s="27">
        <f>I34*'Data - P&amp;L'!$U$3</f>
        <v>42.2432</v>
      </c>
      <c r="J35" s="27">
        <f>J34*'Data - P&amp;L'!$U$3</f>
        <v>74.9694</v>
      </c>
      <c r="K35" s="27">
        <f>K34*'Data - P&amp;L'!$U$3</f>
        <v>68.154</v>
      </c>
      <c r="L35" s="27">
        <f>L34*'Data - P&amp;L'!$U$3</f>
        <v>135.7554</v>
      </c>
      <c r="M35" s="27">
        <f>M34*'Data - P&amp;L'!$U$3</f>
        <v>69.4434</v>
      </c>
      <c r="N35" s="27">
        <f>N34*'Data - P&amp;L'!$U$3</f>
        <v>27.63</v>
      </c>
      <c r="O35" s="27">
        <f>O34*'Data - P&amp;L'!$U$3</f>
        <v>46.05</v>
      </c>
      <c r="P35" s="27">
        <f>P34*'Data - P&amp;L'!$U$3</f>
        <v>53.418</v>
      </c>
      <c r="Q35" s="27">
        <f>Q34*'Data - P&amp;L'!$U$3</f>
        <v>82.89</v>
      </c>
      <c r="R35" s="27">
        <f>R34*'Data - P&amp;L'!$U$3</f>
        <v>114.204</v>
      </c>
      <c r="S35" s="27">
        <f>S34*'Data - P&amp;L'!$U$3</f>
        <v>12.894</v>
      </c>
      <c r="T35" s="27">
        <f>T34*'Data - P&amp;L'!$U$3</f>
        <v>187.884</v>
      </c>
      <c r="U35" s="27">
        <f>U34*'Data - P&amp;L'!$U$3</f>
        <v>138.15</v>
      </c>
      <c r="V35" s="27">
        <f>V34*'Data - P&amp;L'!$U$3</f>
        <v>234.611856</v>
      </c>
      <c r="W35" s="27">
        <f>W34*'Data - P&amp;L'!$U$3</f>
        <v>173.417546</v>
      </c>
      <c r="X35" s="27">
        <f>X34*'Data - P&amp;L'!$U$3</f>
        <v>99.123546</v>
      </c>
      <c r="Y35" s="27">
        <f>Y34*'Data - P&amp;L'!$U$3</f>
        <v>40.524</v>
      </c>
      <c r="Z35" s="27">
        <f>Z34*'Data - P&amp;L'!$U$3</f>
        <v>0</v>
      </c>
      <c r="AA35" s="27">
        <f>AA34*'Data - P&amp;L'!$U$3</f>
        <v>0</v>
      </c>
      <c r="AB35" s="27">
        <f>AB34*'Data - P&amp;L'!$U$3</f>
        <v>33.156</v>
      </c>
      <c r="AC35" s="27">
        <f>AC34*'Data - P&amp;L'!$U$3</f>
        <v>14.828714</v>
      </c>
      <c r="AD35" s="27">
        <f>AD34*'Data - P&amp;L'!$U$3</f>
        <v>14.828714</v>
      </c>
      <c r="AE35" s="27">
        <f>AE34*'Data - P&amp;L'!$U$3</f>
        <v>14.828714</v>
      </c>
      <c r="AF35" s="27">
        <f>AF34*'Data - P&amp;L'!$U$3</f>
        <v>14.828714</v>
      </c>
    </row>
    <row r="36">
      <c r="A36" s="18" t="s">
        <v>35</v>
      </c>
      <c r="B36" s="27">
        <f t="shared" ref="B36:AF36" si="8">sum(B37:B38)</f>
        <v>254.736</v>
      </c>
      <c r="C36" s="27">
        <f t="shared" si="8"/>
        <v>0</v>
      </c>
      <c r="D36" s="27">
        <f t="shared" si="8"/>
        <v>241.9992</v>
      </c>
      <c r="E36" s="27">
        <f t="shared" si="8"/>
        <v>254.736</v>
      </c>
      <c r="F36" s="27">
        <f t="shared" si="8"/>
        <v>764.208</v>
      </c>
      <c r="G36" s="27">
        <f t="shared" si="8"/>
        <v>254.736</v>
      </c>
      <c r="H36" s="27">
        <f t="shared" si="8"/>
        <v>254.736</v>
      </c>
      <c r="I36" s="27">
        <f t="shared" si="8"/>
        <v>748.287</v>
      </c>
      <c r="J36" s="27">
        <f t="shared" si="8"/>
        <v>0</v>
      </c>
      <c r="K36" s="27">
        <f t="shared" si="8"/>
        <v>725.9976</v>
      </c>
      <c r="L36" s="27">
        <f t="shared" si="8"/>
        <v>1006.2072</v>
      </c>
      <c r="M36" s="27">
        <f t="shared" si="8"/>
        <v>948.8916</v>
      </c>
      <c r="N36" s="27">
        <f t="shared" si="8"/>
        <v>254.736</v>
      </c>
      <c r="O36" s="27">
        <f t="shared" si="8"/>
        <v>254.736</v>
      </c>
      <c r="P36" s="27">
        <f t="shared" si="8"/>
        <v>473.3844</v>
      </c>
      <c r="Q36" s="27">
        <f t="shared" si="8"/>
        <v>254.736</v>
      </c>
      <c r="R36" s="27">
        <f t="shared" si="8"/>
        <v>491.4282</v>
      </c>
      <c r="S36" s="27">
        <f t="shared" si="8"/>
        <v>496.7352</v>
      </c>
      <c r="T36" s="27">
        <f t="shared" si="8"/>
        <v>0</v>
      </c>
      <c r="U36" s="27">
        <f t="shared" si="8"/>
        <v>964.8126</v>
      </c>
      <c r="V36" s="27">
        <f t="shared" si="8"/>
        <v>267.4728</v>
      </c>
      <c r="W36" s="27">
        <f t="shared" si="8"/>
        <v>764.208</v>
      </c>
      <c r="X36" s="27">
        <f t="shared" si="8"/>
        <v>254.736</v>
      </c>
      <c r="Y36" s="27">
        <f t="shared" si="8"/>
        <v>12.7368</v>
      </c>
      <c r="Z36" s="27">
        <f t="shared" si="8"/>
        <v>241.9992</v>
      </c>
      <c r="AA36" s="27">
        <f t="shared" si="8"/>
        <v>1515.6792</v>
      </c>
      <c r="AB36" s="27">
        <f t="shared" si="8"/>
        <v>1271.5572</v>
      </c>
      <c r="AC36" s="27">
        <f t="shared" si="8"/>
        <v>206.973</v>
      </c>
      <c r="AD36" s="27">
        <f t="shared" si="8"/>
        <v>0</v>
      </c>
      <c r="AE36" s="27">
        <f t="shared" si="8"/>
        <v>1528.416</v>
      </c>
      <c r="AF36" s="27">
        <f t="shared" si="8"/>
        <v>0</v>
      </c>
    </row>
    <row r="37" ht="15.0" customHeight="1" outlineLevel="1">
      <c r="A37" s="18" t="s">
        <v>20</v>
      </c>
      <c r="B37" s="27">
        <v>240.0</v>
      </c>
      <c r="C37" s="27">
        <v>0.0</v>
      </c>
      <c r="D37" s="27">
        <v>228.0</v>
      </c>
      <c r="E37" s="27">
        <v>240.0</v>
      </c>
      <c r="F37" s="27">
        <v>720.0</v>
      </c>
      <c r="G37" s="27">
        <v>240.0</v>
      </c>
      <c r="H37" s="27">
        <v>240.0</v>
      </c>
      <c r="I37" s="27">
        <v>705.0</v>
      </c>
      <c r="J37" s="27">
        <v>0.0</v>
      </c>
      <c r="K37" s="27">
        <v>684.0</v>
      </c>
      <c r="L37" s="27">
        <v>948.0</v>
      </c>
      <c r="M37" s="27">
        <v>894.0</v>
      </c>
      <c r="N37" s="27">
        <v>240.0</v>
      </c>
      <c r="O37" s="27">
        <v>240.0</v>
      </c>
      <c r="P37" s="27">
        <v>446.0</v>
      </c>
      <c r="Q37" s="27">
        <v>240.0</v>
      </c>
      <c r="R37" s="27">
        <v>463.0</v>
      </c>
      <c r="S37" s="27">
        <v>468.0</v>
      </c>
      <c r="T37" s="27">
        <v>0.0</v>
      </c>
      <c r="U37" s="27">
        <v>909.0</v>
      </c>
      <c r="V37" s="27">
        <v>252.0</v>
      </c>
      <c r="W37" s="27">
        <v>720.0</v>
      </c>
      <c r="X37" s="27">
        <v>240.0</v>
      </c>
      <c r="Y37" s="27">
        <v>12.0</v>
      </c>
      <c r="Z37" s="27">
        <v>228.0</v>
      </c>
      <c r="AA37" s="27">
        <v>1428.0</v>
      </c>
      <c r="AB37" s="27">
        <v>1198.0</v>
      </c>
      <c r="AC37" s="27">
        <v>195.0</v>
      </c>
      <c r="AD37" s="27">
        <v>0.0</v>
      </c>
      <c r="AE37" s="27">
        <v>1440.0</v>
      </c>
      <c r="AF37" s="27">
        <v>0.0</v>
      </c>
    </row>
    <row r="38" outlineLevel="1">
      <c r="A38" s="18" t="s">
        <v>27</v>
      </c>
      <c r="B38" s="27">
        <f>B37*'Data - P&amp;L'!$U$3</f>
        <v>14.736</v>
      </c>
      <c r="C38" s="27">
        <f>C37*'Data - P&amp;L'!$U$3</f>
        <v>0</v>
      </c>
      <c r="D38" s="27">
        <f>D37*'Data - P&amp;L'!$U$3</f>
        <v>13.9992</v>
      </c>
      <c r="E38" s="27">
        <f>E37*'Data - P&amp;L'!$U$3</f>
        <v>14.736</v>
      </c>
      <c r="F38" s="27">
        <f>F37*'Data - P&amp;L'!$U$3</f>
        <v>44.208</v>
      </c>
      <c r="G38" s="27">
        <f>G37*'Data - P&amp;L'!$U$3</f>
        <v>14.736</v>
      </c>
      <c r="H38" s="27">
        <f>H37*'Data - P&amp;L'!$U$3</f>
        <v>14.736</v>
      </c>
      <c r="I38" s="27">
        <f>I37*'Data - P&amp;L'!$U$3</f>
        <v>43.287</v>
      </c>
      <c r="J38" s="27">
        <f>J37*'Data - P&amp;L'!$U$3</f>
        <v>0</v>
      </c>
      <c r="K38" s="27">
        <f>K37*'Data - P&amp;L'!$U$3</f>
        <v>41.9976</v>
      </c>
      <c r="L38" s="27">
        <f>L37*'Data - P&amp;L'!$U$3</f>
        <v>58.2072</v>
      </c>
      <c r="M38" s="27">
        <f>M37*'Data - P&amp;L'!$U$3</f>
        <v>54.8916</v>
      </c>
      <c r="N38" s="27">
        <f>N37*'Data - P&amp;L'!$U$3</f>
        <v>14.736</v>
      </c>
      <c r="O38" s="27">
        <f>O37*'Data - P&amp;L'!$U$3</f>
        <v>14.736</v>
      </c>
      <c r="P38" s="27">
        <f>P37*'Data - P&amp;L'!$U$3</f>
        <v>27.3844</v>
      </c>
      <c r="Q38" s="27">
        <f>Q37*'Data - P&amp;L'!$U$3</f>
        <v>14.736</v>
      </c>
      <c r="R38" s="27">
        <f>R37*'Data - P&amp;L'!$U$3</f>
        <v>28.4282</v>
      </c>
      <c r="S38" s="27">
        <f>S37*'Data - P&amp;L'!$U$3</f>
        <v>28.7352</v>
      </c>
      <c r="T38" s="27">
        <f>T37*'Data - P&amp;L'!$U$3</f>
        <v>0</v>
      </c>
      <c r="U38" s="27">
        <f>U37*'Data - P&amp;L'!$U$3</f>
        <v>55.8126</v>
      </c>
      <c r="V38" s="27">
        <f>V37*'Data - P&amp;L'!$U$3</f>
        <v>15.4728</v>
      </c>
      <c r="W38" s="27">
        <f>W37*'Data - P&amp;L'!$U$3</f>
        <v>44.208</v>
      </c>
      <c r="X38" s="27">
        <f>X37*'Data - P&amp;L'!$U$3</f>
        <v>14.736</v>
      </c>
      <c r="Y38" s="27">
        <f>Y37*'Data - P&amp;L'!$U$3</f>
        <v>0.7368</v>
      </c>
      <c r="Z38" s="27">
        <f>Z37*'Data - P&amp;L'!$U$3</f>
        <v>13.9992</v>
      </c>
      <c r="AA38" s="27">
        <f>AA37*'Data - P&amp;L'!$U$3</f>
        <v>87.6792</v>
      </c>
      <c r="AB38" s="27">
        <f>AB37*'Data - P&amp;L'!$U$3</f>
        <v>73.5572</v>
      </c>
      <c r="AC38" s="27">
        <f>AC37*'Data - P&amp;L'!$U$3</f>
        <v>11.973</v>
      </c>
      <c r="AD38" s="27">
        <f>AD37*'Data - P&amp;L'!$U$3</f>
        <v>0</v>
      </c>
      <c r="AE38" s="27">
        <f>AE37*'Data - P&amp;L'!$U$3</f>
        <v>88.416</v>
      </c>
      <c r="AF38" s="27">
        <f>AF37*'Data - P&amp;L'!$U$3</f>
        <v>0</v>
      </c>
    </row>
    <row r="39">
      <c r="A39" s="24" t="s">
        <v>32</v>
      </c>
      <c r="B39" s="25">
        <f t="shared" ref="B39:AF39" si="9">B33+B36</f>
        <v>3119.4546</v>
      </c>
      <c r="C39" s="25">
        <f t="shared" si="9"/>
        <v>0</v>
      </c>
      <c r="D39" s="25">
        <f t="shared" si="9"/>
        <v>4502.4588</v>
      </c>
      <c r="E39" s="25">
        <f t="shared" si="9"/>
        <v>2450.7726</v>
      </c>
      <c r="F39" s="25">
        <f t="shared" si="9"/>
        <v>1001.9616</v>
      </c>
      <c r="G39" s="25">
        <f t="shared" si="9"/>
        <v>254.736</v>
      </c>
      <c r="H39" s="25">
        <f t="shared" si="9"/>
        <v>4223.3106</v>
      </c>
      <c r="I39" s="25">
        <f t="shared" si="9"/>
        <v>1478.5302</v>
      </c>
      <c r="J39" s="25">
        <f t="shared" si="9"/>
        <v>1295.9694</v>
      </c>
      <c r="K39" s="25">
        <f t="shared" si="9"/>
        <v>1904.1516</v>
      </c>
      <c r="L39" s="25">
        <f t="shared" si="9"/>
        <v>3352.9626</v>
      </c>
      <c r="M39" s="25">
        <f t="shared" si="9"/>
        <v>2149.335</v>
      </c>
      <c r="N39" s="25">
        <f t="shared" si="9"/>
        <v>732.366</v>
      </c>
      <c r="O39" s="25">
        <f t="shared" si="9"/>
        <v>1050.786</v>
      </c>
      <c r="P39" s="25">
        <f t="shared" si="9"/>
        <v>1396.8024</v>
      </c>
      <c r="Q39" s="25">
        <f t="shared" si="9"/>
        <v>1687.626</v>
      </c>
      <c r="R39" s="25">
        <f t="shared" si="9"/>
        <v>2465.6322</v>
      </c>
      <c r="S39" s="25">
        <f t="shared" si="9"/>
        <v>719.6292</v>
      </c>
      <c r="T39" s="25">
        <f t="shared" si="9"/>
        <v>3247.884</v>
      </c>
      <c r="U39" s="25">
        <f t="shared" si="9"/>
        <v>3352.9626</v>
      </c>
      <c r="V39" s="25">
        <f t="shared" si="9"/>
        <v>4323.124656</v>
      </c>
      <c r="W39" s="25">
        <f t="shared" si="9"/>
        <v>3762.015546</v>
      </c>
      <c r="X39" s="25">
        <f t="shared" si="9"/>
        <v>1968.249546</v>
      </c>
      <c r="Y39" s="25">
        <f t="shared" si="9"/>
        <v>713.2608</v>
      </c>
      <c r="Z39" s="25">
        <f t="shared" si="9"/>
        <v>241.9992</v>
      </c>
      <c r="AA39" s="25">
        <f t="shared" si="9"/>
        <v>1515.6792</v>
      </c>
      <c r="AB39" s="25">
        <f t="shared" si="9"/>
        <v>1844.7132</v>
      </c>
      <c r="AC39" s="25">
        <f t="shared" si="9"/>
        <v>463.311714</v>
      </c>
      <c r="AD39" s="25">
        <f t="shared" si="9"/>
        <v>256.338714</v>
      </c>
      <c r="AE39" s="25">
        <f t="shared" si="9"/>
        <v>1784.754714</v>
      </c>
      <c r="AF39" s="25">
        <f t="shared" si="9"/>
        <v>256.338714</v>
      </c>
    </row>
    <row r="41">
      <c r="A41" s="16" t="s">
        <v>36</v>
      </c>
    </row>
    <row r="42" outlineLevel="1">
      <c r="A42" s="26" t="s">
        <v>37</v>
      </c>
      <c r="B42" s="28">
        <f>'App - P&amp;L'!B90</f>
        <v>2765.3985</v>
      </c>
      <c r="C42" s="28">
        <f>'App - P&amp;L'!C90</f>
        <v>1476.308</v>
      </c>
      <c r="D42" s="28">
        <f>'App - P&amp;L'!D90</f>
        <v>1030.7135</v>
      </c>
      <c r="E42" s="28">
        <f>'App - P&amp;L'!E90</f>
        <v>922.865</v>
      </c>
      <c r="F42" s="28">
        <f>'App - P&amp;L'!F90</f>
        <v>1161.0445</v>
      </c>
      <c r="G42" s="28">
        <f>'App - P&amp;L'!G90</f>
        <v>1303.5155</v>
      </c>
      <c r="H42" s="28">
        <f>'App - P&amp;L'!H90</f>
        <v>1438.9295</v>
      </c>
      <c r="I42" s="28">
        <f>'App - P&amp;L'!I90</f>
        <v>1317.493</v>
      </c>
      <c r="J42" s="28">
        <f>'App - P&amp;L'!J90</f>
        <v>525.462</v>
      </c>
      <c r="K42" s="28">
        <f>'App - P&amp;L'!K90</f>
        <v>641.678</v>
      </c>
      <c r="L42" s="28">
        <f>'App - P&amp;L'!L90</f>
        <v>719.3255</v>
      </c>
      <c r="M42" s="28">
        <f>'App - P&amp;L'!M90</f>
        <v>293.5945</v>
      </c>
      <c r="N42" s="28">
        <f>'App - P&amp;L'!N90</f>
        <v>616.007</v>
      </c>
      <c r="O42" s="28">
        <f>'App - P&amp;L'!O90</f>
        <v>962.1915</v>
      </c>
      <c r="P42" s="28">
        <f>'App - P&amp;L'!P90</f>
        <v>519.573</v>
      </c>
      <c r="Q42" s="28">
        <f>'App - P&amp;L'!Q90</f>
        <v>203.328</v>
      </c>
      <c r="R42" s="28">
        <f>'App - P&amp;L'!R90</f>
        <v>341.8355</v>
      </c>
      <c r="S42" s="28">
        <f>'App - P&amp;L'!S90</f>
        <v>413.0045</v>
      </c>
      <c r="T42" s="28">
        <f>'App - P&amp;L'!T90</f>
        <v>379.852</v>
      </c>
      <c r="U42" s="28">
        <f>'App - P&amp;L'!U90</f>
        <v>718.8575</v>
      </c>
      <c r="V42" s="28">
        <f>'App - P&amp;L'!V90</f>
        <v>612.364</v>
      </c>
      <c r="W42" s="28">
        <f>'App - P&amp;L'!W90</f>
        <v>618.358</v>
      </c>
      <c r="X42" s="28">
        <f>'App - P&amp;L'!X90</f>
        <v>381.0125</v>
      </c>
      <c r="Y42" s="28">
        <f>'App - P&amp;L'!Y90</f>
        <v>425.773</v>
      </c>
      <c r="Z42" s="28">
        <f>'App - P&amp;L'!Z90</f>
        <v>192.149</v>
      </c>
      <c r="AA42" s="28">
        <f>'App - P&amp;L'!AA90</f>
        <v>500.2135</v>
      </c>
      <c r="AB42" s="28">
        <f>'App - P&amp;L'!AB90</f>
        <v>658.8955</v>
      </c>
      <c r="AC42" s="28">
        <f>'App - P&amp;L'!AC90</f>
        <v>496.2295</v>
      </c>
      <c r="AD42" s="28">
        <f>'App - P&amp;L'!AD90</f>
        <v>249.406</v>
      </c>
      <c r="AE42" s="28">
        <f>'App - P&amp;L'!AE90</f>
        <v>407.2095</v>
      </c>
      <c r="AF42" s="28">
        <f>'App - P&amp;L'!AF90</f>
        <v>170.374</v>
      </c>
    </row>
    <row r="43" outlineLevel="1">
      <c r="A43" s="26" t="s">
        <v>38</v>
      </c>
      <c r="B43" s="28">
        <f>'App - P&amp;L'!B91</f>
        <v>9876.444638</v>
      </c>
      <c r="C43" s="28">
        <f>'App - P&amp;L'!C91</f>
        <v>5822.521737</v>
      </c>
      <c r="D43" s="28">
        <f>'App - P&amp;L'!D91</f>
        <v>4519.491301</v>
      </c>
      <c r="E43" s="28">
        <f>'App - P&amp;L'!E91</f>
        <v>4405.731677</v>
      </c>
      <c r="F43" s="28">
        <f>'App - P&amp;L'!F91</f>
        <v>5186.488713</v>
      </c>
      <c r="G43" s="28">
        <f>'App - P&amp;L'!G91</f>
        <v>6618.647084</v>
      </c>
      <c r="H43" s="28">
        <f>'App - P&amp;L'!H91</f>
        <v>6029.434287</v>
      </c>
      <c r="I43" s="28">
        <f>'App - P&amp;L'!I91</f>
        <v>4108.62561</v>
      </c>
      <c r="J43" s="28">
        <f>'App - P&amp;L'!J91</f>
        <v>3005.5</v>
      </c>
      <c r="K43" s="28">
        <f>'App - P&amp;L'!K91</f>
        <v>2569.696591</v>
      </c>
      <c r="L43" s="28">
        <f>'App - P&amp;L'!L91</f>
        <v>1875.157212</v>
      </c>
      <c r="M43" s="28">
        <f>'App - P&amp;L'!M91</f>
        <v>2326.344032</v>
      </c>
      <c r="N43" s="28">
        <f>'App - P&amp;L'!N91</f>
        <v>3222.228908</v>
      </c>
      <c r="O43" s="28">
        <f>'App - P&amp;L'!O91</f>
        <v>3701.590899</v>
      </c>
      <c r="P43" s="28">
        <f>'App - P&amp;L'!P91</f>
        <v>1870.619</v>
      </c>
      <c r="Q43" s="28">
        <f>'App - P&amp;L'!Q91</f>
        <v>1366.608</v>
      </c>
      <c r="R43" s="28">
        <f>'App - P&amp;L'!R91</f>
        <v>1198.781</v>
      </c>
      <c r="S43" s="28">
        <f>'App - P&amp;L'!S91</f>
        <v>1815.989</v>
      </c>
      <c r="T43" s="28">
        <f>'App - P&amp;L'!T91</f>
        <v>1228.743</v>
      </c>
      <c r="U43" s="28">
        <f>'App - P&amp;L'!U91</f>
        <v>2980.244</v>
      </c>
      <c r="V43" s="28">
        <f>'App - P&amp;L'!V91</f>
        <v>3177.647</v>
      </c>
      <c r="W43" s="28">
        <f>'App - P&amp;L'!W91</f>
        <v>2347.145</v>
      </c>
      <c r="X43" s="28">
        <f>'App - P&amp;L'!X91</f>
        <v>1307.81</v>
      </c>
      <c r="Y43" s="28">
        <f>'App - P&amp;L'!Y91</f>
        <v>1681.832</v>
      </c>
      <c r="Z43" s="28">
        <f>'App - P&amp;L'!Z91</f>
        <v>1761.267</v>
      </c>
      <c r="AA43" s="28">
        <f>'App - P&amp;L'!AA91</f>
        <v>1585.299</v>
      </c>
      <c r="AB43" s="28">
        <f>'App - P&amp;L'!AB91</f>
        <v>3197.522</v>
      </c>
      <c r="AC43" s="28">
        <f>'App - P&amp;L'!AC91</f>
        <v>3408.5</v>
      </c>
      <c r="AD43" s="28">
        <f>'App - P&amp;L'!AD91</f>
        <v>1528.822</v>
      </c>
      <c r="AE43" s="28">
        <f>'App - P&amp;L'!AE91</f>
        <v>1228.072</v>
      </c>
      <c r="AF43" s="28">
        <f>'App - P&amp;L'!AF91</f>
        <v>986.061</v>
      </c>
    </row>
    <row r="44" outlineLevel="1">
      <c r="A44" s="26" t="s">
        <v>39</v>
      </c>
      <c r="B44" s="28">
        <f>'App - P&amp;L'!B67</f>
        <v>4741.859202</v>
      </c>
      <c r="C44" s="28">
        <f>'App - P&amp;L'!C67</f>
        <v>2777.031316</v>
      </c>
      <c r="D44" s="28">
        <f>'App - P&amp;L'!D67</f>
        <v>2134.435629</v>
      </c>
      <c r="E44" s="28">
        <f>'App - P&amp;L'!E67</f>
        <v>2062.970004</v>
      </c>
      <c r="F44" s="28">
        <f>'App - P&amp;L'!F67</f>
        <v>2439.234949</v>
      </c>
      <c r="G44" s="28">
        <f>'App - P&amp;L'!G67</f>
        <v>3083.25325</v>
      </c>
      <c r="H44" s="28">
        <f>'App - P&amp;L'!H67</f>
        <v>2862.608051</v>
      </c>
      <c r="I44" s="28">
        <f>'App - P&amp;L'!I67</f>
        <v>2008.696547</v>
      </c>
      <c r="J44" s="28">
        <f>'App - P&amp;L'!J67</f>
        <v>1396.458</v>
      </c>
      <c r="K44" s="28">
        <f>'App - P&amp;L'!K67</f>
        <v>1219.934825</v>
      </c>
      <c r="L44" s="28">
        <f>'App - P&amp;L'!L67</f>
        <v>935.3690196</v>
      </c>
      <c r="M44" s="28">
        <f>'App - P&amp;L'!M67</f>
        <v>1062.288657</v>
      </c>
      <c r="N44" s="28">
        <f>'App - P&amp;L'!N67</f>
        <v>1504.373961</v>
      </c>
      <c r="O44" s="28">
        <f>'App - P&amp;L'!O67</f>
        <v>1768.481742</v>
      </c>
      <c r="P44" s="28">
        <f>'App - P&amp;L'!P67</f>
        <v>904.398</v>
      </c>
      <c r="Q44" s="28">
        <f>'App - P&amp;L'!Q67</f>
        <v>632.784</v>
      </c>
      <c r="R44" s="28">
        <f>'App - P&amp;L'!R67</f>
        <v>579.1635</v>
      </c>
      <c r="S44" s="28">
        <f>'App - P&amp;L'!S67</f>
        <v>857.8965</v>
      </c>
      <c r="T44" s="28">
        <f>'App - P&amp;L'!T67</f>
        <v>598.635</v>
      </c>
      <c r="U44" s="28">
        <f>'App - P&amp;L'!U67</f>
        <v>1421.4285</v>
      </c>
      <c r="V44" s="28">
        <f>'App - P&amp;L'!V67</f>
        <v>1478.469</v>
      </c>
      <c r="W44" s="28">
        <f>'App - P&amp;L'!W67</f>
        <v>1125.357</v>
      </c>
      <c r="X44" s="28">
        <f>'App - P&amp;L'!X67</f>
        <v>633.2775</v>
      </c>
      <c r="Y44" s="28">
        <f>'App - P&amp;L'!Y67</f>
        <v>802.935</v>
      </c>
      <c r="Z44" s="28">
        <f>'App - P&amp;L'!Z67</f>
        <v>796.734</v>
      </c>
      <c r="AA44" s="28">
        <f>'App - P&amp;L'!AA67</f>
        <v>773.3775</v>
      </c>
      <c r="AB44" s="28">
        <f>'App - P&amp;L'!AB67</f>
        <v>1498.8225</v>
      </c>
      <c r="AC44" s="28">
        <f>'App - P&amp;L'!AC67</f>
        <v>1564.6605</v>
      </c>
      <c r="AD44" s="28">
        <f>'App - P&amp;L'!AD67</f>
        <v>702.702</v>
      </c>
      <c r="AE44" s="28">
        <f>'App - P&amp;L'!AE67</f>
        <v>600.5685</v>
      </c>
      <c r="AF44" s="28">
        <f>'App - P&amp;L'!AF67</f>
        <v>459.465</v>
      </c>
    </row>
    <row r="45" outlineLevel="1">
      <c r="A45" s="26" t="s">
        <v>40</v>
      </c>
      <c r="B45" s="28">
        <f>'App - P&amp;L'!B68</f>
        <v>58.8</v>
      </c>
      <c r="C45" s="28">
        <f>'App - P&amp;L'!C68</f>
        <v>50.75</v>
      </c>
      <c r="D45" s="28">
        <f>'App - P&amp;L'!D68</f>
        <v>37.4</v>
      </c>
      <c r="E45" s="28">
        <f>'App - P&amp;L'!E68</f>
        <v>34.75</v>
      </c>
      <c r="F45" s="28">
        <f>'App - P&amp;L'!F68</f>
        <v>31.1</v>
      </c>
      <c r="G45" s="28">
        <f>'App - P&amp;L'!G68</f>
        <v>55.11</v>
      </c>
      <c r="H45" s="28">
        <f>'App - P&amp;L'!H68</f>
        <v>74.09</v>
      </c>
      <c r="I45" s="28">
        <f>'App - P&amp;L'!I68</f>
        <v>51.73</v>
      </c>
      <c r="J45" s="28">
        <f>'App - P&amp;L'!J68</f>
        <v>53.8</v>
      </c>
      <c r="K45" s="28">
        <f>'App - P&amp;L'!K68</f>
        <v>16.98</v>
      </c>
      <c r="L45" s="28">
        <f>'App - P&amp;L'!L68</f>
        <v>14.76</v>
      </c>
      <c r="M45" s="28">
        <f>'App - P&amp;L'!M68</f>
        <v>32.22</v>
      </c>
      <c r="N45" s="28">
        <f>'App - P&amp;L'!N68</f>
        <v>44.88</v>
      </c>
      <c r="O45" s="28">
        <f>'App - P&amp;L'!O68</f>
        <v>28.67</v>
      </c>
      <c r="P45" s="28">
        <f>'App - P&amp;L'!P68</f>
        <v>40.86</v>
      </c>
      <c r="Q45" s="28">
        <f>'App - P&amp;L'!Q68</f>
        <v>26.5</v>
      </c>
      <c r="R45" s="28">
        <f>'App - P&amp;L'!R68</f>
        <v>15.48</v>
      </c>
      <c r="S45" s="28">
        <f>'App - P&amp;L'!S68</f>
        <v>16.85</v>
      </c>
      <c r="T45" s="28">
        <f>'App - P&amp;L'!T68</f>
        <v>12.38</v>
      </c>
      <c r="U45" s="28">
        <f>'App - P&amp;L'!U68</f>
        <v>44.04</v>
      </c>
      <c r="V45" s="28">
        <f>'App - P&amp;L'!V68</f>
        <v>20.27</v>
      </c>
      <c r="W45" s="28">
        <f>'App - P&amp;L'!W68</f>
        <v>24.07</v>
      </c>
      <c r="X45" s="28">
        <f>'App - P&amp;L'!X68</f>
        <v>31.45</v>
      </c>
      <c r="Y45" s="28">
        <f>'App - P&amp;L'!Y68</f>
        <v>26</v>
      </c>
      <c r="Z45" s="28">
        <f>'App - P&amp;L'!Z68</f>
        <v>19.3</v>
      </c>
      <c r="AA45" s="28">
        <f>'App - P&amp;L'!AA68</f>
        <v>13.59</v>
      </c>
      <c r="AB45" s="28">
        <f>'App - P&amp;L'!AB68</f>
        <v>31.75</v>
      </c>
      <c r="AC45" s="28">
        <f>'App - P&amp;L'!AC68</f>
        <v>45.58</v>
      </c>
      <c r="AD45" s="28">
        <f>'App - P&amp;L'!AD68</f>
        <v>9.39</v>
      </c>
      <c r="AE45" s="28">
        <f>'App - P&amp;L'!AE68</f>
        <v>5.58</v>
      </c>
      <c r="AF45" s="28">
        <f>'App - P&amp;L'!AF68</f>
        <v>22.77</v>
      </c>
    </row>
    <row r="46">
      <c r="A46" s="24" t="s">
        <v>32</v>
      </c>
      <c r="B46" s="29">
        <f t="shared" ref="B46:AF46" si="10">sum(B42:B45)</f>
        <v>17442.50234</v>
      </c>
      <c r="C46" s="29">
        <f t="shared" si="10"/>
        <v>10126.61105</v>
      </c>
      <c r="D46" s="29">
        <f t="shared" si="10"/>
        <v>7722.04043</v>
      </c>
      <c r="E46" s="29">
        <f t="shared" si="10"/>
        <v>7426.316681</v>
      </c>
      <c r="F46" s="29">
        <f t="shared" si="10"/>
        <v>8817.868162</v>
      </c>
      <c r="G46" s="29">
        <f t="shared" si="10"/>
        <v>11060.52583</v>
      </c>
      <c r="H46" s="29">
        <f t="shared" si="10"/>
        <v>10405.06184</v>
      </c>
      <c r="I46" s="29">
        <f t="shared" si="10"/>
        <v>7486.545157</v>
      </c>
      <c r="J46" s="29">
        <f t="shared" si="10"/>
        <v>4981.22</v>
      </c>
      <c r="K46" s="29">
        <f t="shared" si="10"/>
        <v>4448.289416</v>
      </c>
      <c r="L46" s="29">
        <f t="shared" si="10"/>
        <v>3544.611732</v>
      </c>
      <c r="M46" s="29">
        <f t="shared" si="10"/>
        <v>3714.447189</v>
      </c>
      <c r="N46" s="29">
        <f t="shared" si="10"/>
        <v>5387.489869</v>
      </c>
      <c r="O46" s="29">
        <f t="shared" si="10"/>
        <v>6460.934141</v>
      </c>
      <c r="P46" s="29">
        <f t="shared" si="10"/>
        <v>3335.45</v>
      </c>
      <c r="Q46" s="29">
        <f t="shared" si="10"/>
        <v>2229.22</v>
      </c>
      <c r="R46" s="29">
        <f t="shared" si="10"/>
        <v>2135.26</v>
      </c>
      <c r="S46" s="29">
        <f t="shared" si="10"/>
        <v>3103.74</v>
      </c>
      <c r="T46" s="29">
        <f t="shared" si="10"/>
        <v>2219.61</v>
      </c>
      <c r="U46" s="29">
        <f t="shared" si="10"/>
        <v>5164.57</v>
      </c>
      <c r="V46" s="29">
        <f t="shared" si="10"/>
        <v>5288.75</v>
      </c>
      <c r="W46" s="29">
        <f t="shared" si="10"/>
        <v>4114.93</v>
      </c>
      <c r="X46" s="29">
        <f t="shared" si="10"/>
        <v>2353.55</v>
      </c>
      <c r="Y46" s="29">
        <f t="shared" si="10"/>
        <v>2936.54</v>
      </c>
      <c r="Z46" s="29">
        <f t="shared" si="10"/>
        <v>2769.45</v>
      </c>
      <c r="AA46" s="29">
        <f t="shared" si="10"/>
        <v>2872.48</v>
      </c>
      <c r="AB46" s="29">
        <f t="shared" si="10"/>
        <v>5386.99</v>
      </c>
      <c r="AC46" s="29">
        <f t="shared" si="10"/>
        <v>5514.97</v>
      </c>
      <c r="AD46" s="29">
        <f t="shared" si="10"/>
        <v>2490.32</v>
      </c>
      <c r="AE46" s="29">
        <f t="shared" si="10"/>
        <v>2241.43</v>
      </c>
      <c r="AF46" s="29">
        <f t="shared" si="10"/>
        <v>1638.67</v>
      </c>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row>
    <row r="49">
      <c r="A49" s="16" t="s">
        <v>41</v>
      </c>
      <c r="B49" s="31">
        <v>191.0</v>
      </c>
      <c r="C49" s="4">
        <v>158.0</v>
      </c>
      <c r="D49" s="4">
        <v>179.0</v>
      </c>
      <c r="E49" s="4">
        <v>156.0</v>
      </c>
      <c r="F49" s="4">
        <v>178.0</v>
      </c>
      <c r="G49" s="31">
        <v>187.0</v>
      </c>
      <c r="H49" s="31">
        <v>195.0</v>
      </c>
      <c r="I49" s="31">
        <v>144.0</v>
      </c>
      <c r="J49" s="31">
        <v>113.0</v>
      </c>
      <c r="K49" s="31">
        <v>104.0</v>
      </c>
      <c r="L49" s="31">
        <v>131.0</v>
      </c>
      <c r="M49" s="31">
        <v>138.0</v>
      </c>
      <c r="N49" s="31">
        <v>140.0</v>
      </c>
      <c r="O49" s="4">
        <v>147.0</v>
      </c>
      <c r="P49" s="4">
        <v>128.0</v>
      </c>
      <c r="Q49" s="4">
        <v>117.0</v>
      </c>
      <c r="R49" s="4">
        <v>134.0</v>
      </c>
      <c r="S49" s="4">
        <v>107.0</v>
      </c>
      <c r="T49" s="4">
        <v>119.0</v>
      </c>
      <c r="U49" s="4">
        <v>150.0</v>
      </c>
      <c r="V49" s="4">
        <v>115.0</v>
      </c>
      <c r="W49" s="31">
        <v>96.0</v>
      </c>
      <c r="X49" s="31">
        <v>91.0</v>
      </c>
      <c r="Y49" s="31">
        <v>86.0</v>
      </c>
      <c r="Z49" s="31">
        <v>91.0</v>
      </c>
      <c r="AA49" s="31">
        <v>96.0</v>
      </c>
      <c r="AB49" s="31">
        <v>105.0</v>
      </c>
      <c r="AC49" s="31">
        <v>104.0</v>
      </c>
      <c r="AD49" s="4">
        <v>104.0</v>
      </c>
      <c r="AE49" s="4">
        <v>73.0</v>
      </c>
      <c r="AF49" s="4">
        <v>69.0</v>
      </c>
    </row>
    <row r="50" outlineLevel="1">
      <c r="A50" s="18" t="s">
        <v>42</v>
      </c>
      <c r="B50" s="18">
        <v>77.0</v>
      </c>
      <c r="C50" s="18">
        <v>79.0</v>
      </c>
      <c r="D50" s="18">
        <v>101.0</v>
      </c>
      <c r="E50" s="18">
        <v>90.0</v>
      </c>
      <c r="F50" s="18">
        <v>87.0</v>
      </c>
      <c r="G50" s="18">
        <v>93.0</v>
      </c>
      <c r="H50" s="18">
        <v>86.0</v>
      </c>
      <c r="I50" s="18">
        <v>79.0</v>
      </c>
      <c r="J50" s="18">
        <v>70.0</v>
      </c>
      <c r="K50" s="18">
        <v>63.0</v>
      </c>
      <c r="L50" s="18">
        <v>73.0</v>
      </c>
      <c r="M50" s="18">
        <v>88.0</v>
      </c>
      <c r="N50" s="18">
        <v>68.0</v>
      </c>
      <c r="O50" s="18">
        <v>64.0</v>
      </c>
      <c r="P50" s="18">
        <v>70.0</v>
      </c>
      <c r="Q50" s="18">
        <v>66.0</v>
      </c>
      <c r="R50" s="18">
        <v>83.0</v>
      </c>
      <c r="S50" s="18">
        <v>67.0</v>
      </c>
      <c r="T50" s="18">
        <v>72.0</v>
      </c>
      <c r="U50" s="18">
        <v>90.0</v>
      </c>
      <c r="V50" s="18">
        <v>39.0</v>
      </c>
      <c r="W50" s="18">
        <v>48.0</v>
      </c>
      <c r="X50" s="18">
        <v>61.0</v>
      </c>
      <c r="Y50" s="18">
        <v>49.0</v>
      </c>
      <c r="Z50" s="18">
        <v>48.0</v>
      </c>
      <c r="AA50" s="18">
        <v>52.0</v>
      </c>
      <c r="AB50" s="18">
        <v>52.0</v>
      </c>
      <c r="AC50" s="18">
        <v>59.0</v>
      </c>
      <c r="AD50" s="18">
        <v>57.0</v>
      </c>
      <c r="AE50" s="18">
        <v>44.0</v>
      </c>
      <c r="AF50" s="18">
        <v>49.0</v>
      </c>
    </row>
    <row r="51" outlineLevel="1">
      <c r="A51" s="18" t="s">
        <v>43</v>
      </c>
      <c r="B51" s="18">
        <v>262.0</v>
      </c>
      <c r="C51" s="18">
        <v>220.0</v>
      </c>
      <c r="D51" s="18">
        <v>185.0</v>
      </c>
      <c r="E51" s="18">
        <v>194.0</v>
      </c>
      <c r="F51" s="18">
        <v>219.0</v>
      </c>
      <c r="G51" s="18">
        <v>237.0</v>
      </c>
      <c r="H51" s="18">
        <v>290.0</v>
      </c>
      <c r="I51" s="18">
        <v>162.0</v>
      </c>
      <c r="J51" s="18">
        <v>143.0</v>
      </c>
      <c r="K51" s="18">
        <v>119.0</v>
      </c>
      <c r="L51" s="18">
        <v>150.0</v>
      </c>
      <c r="M51" s="18">
        <v>138.0</v>
      </c>
      <c r="N51" s="18">
        <v>187.0</v>
      </c>
      <c r="O51" s="18">
        <v>160.0</v>
      </c>
      <c r="P51" s="18">
        <v>135.0</v>
      </c>
      <c r="Q51" s="18">
        <v>109.0</v>
      </c>
      <c r="R51" s="18">
        <v>140.0</v>
      </c>
      <c r="S51" s="18">
        <v>123.0</v>
      </c>
      <c r="T51" s="18">
        <v>114.0</v>
      </c>
      <c r="U51" s="18">
        <v>151.0</v>
      </c>
      <c r="V51" s="18">
        <v>158.0</v>
      </c>
      <c r="W51" s="18">
        <v>111.0</v>
      </c>
      <c r="X51" s="18">
        <v>99.0</v>
      </c>
      <c r="Y51" s="18">
        <v>81.0</v>
      </c>
      <c r="Z51" s="18">
        <v>104.0</v>
      </c>
      <c r="AA51" s="18">
        <v>111.0</v>
      </c>
      <c r="AB51" s="18">
        <v>113.0</v>
      </c>
      <c r="AC51" s="18">
        <v>101.0</v>
      </c>
      <c r="AD51" s="18">
        <v>100.0</v>
      </c>
      <c r="AE51" s="18">
        <v>72.0</v>
      </c>
      <c r="AF51" s="18">
        <v>68.0</v>
      </c>
    </row>
    <row r="52" outlineLevel="1">
      <c r="A52" s="18" t="s">
        <v>44</v>
      </c>
      <c r="B52" s="18">
        <v>3.0</v>
      </c>
      <c r="C52" s="18">
        <v>0.0</v>
      </c>
      <c r="D52" s="18">
        <v>4.0</v>
      </c>
      <c r="E52" s="18">
        <v>1.0</v>
      </c>
      <c r="F52" s="18">
        <v>1.0</v>
      </c>
      <c r="G52" s="18">
        <v>1.0</v>
      </c>
      <c r="H52" s="18">
        <v>7.0</v>
      </c>
      <c r="I52" s="18">
        <v>0.0</v>
      </c>
      <c r="J52" s="18">
        <v>2.0</v>
      </c>
      <c r="K52" s="18">
        <v>1.0</v>
      </c>
      <c r="L52" s="18">
        <v>1.0</v>
      </c>
      <c r="M52" s="18">
        <v>0.0</v>
      </c>
      <c r="N52" s="18">
        <v>0.0</v>
      </c>
      <c r="O52" s="18">
        <v>0.0</v>
      </c>
      <c r="P52" s="18">
        <v>1.0</v>
      </c>
      <c r="Q52" s="18">
        <v>0.0</v>
      </c>
      <c r="R52" s="18">
        <v>0.0</v>
      </c>
      <c r="S52" s="18">
        <v>0.0</v>
      </c>
      <c r="T52" s="18">
        <v>0.0</v>
      </c>
      <c r="U52" s="18">
        <v>0.0</v>
      </c>
      <c r="V52" s="18">
        <v>1.0</v>
      </c>
      <c r="W52" s="18">
        <v>0.0</v>
      </c>
      <c r="X52" s="18">
        <v>0.0</v>
      </c>
      <c r="Y52" s="18">
        <v>0.0</v>
      </c>
      <c r="Z52" s="18">
        <v>0.0</v>
      </c>
      <c r="AA52" s="18">
        <v>0.0</v>
      </c>
      <c r="AB52" s="18">
        <v>0.0</v>
      </c>
      <c r="AC52" s="18">
        <v>0.0</v>
      </c>
      <c r="AD52" s="18">
        <v>0.0</v>
      </c>
      <c r="AE52" s="18">
        <v>0.0</v>
      </c>
      <c r="AF52" s="18">
        <v>0.0</v>
      </c>
    </row>
    <row r="53" outlineLevel="1">
      <c r="A53" s="18" t="s">
        <v>45</v>
      </c>
      <c r="B53" s="18">
        <v>0.0</v>
      </c>
      <c r="C53" s="18">
        <v>0.0</v>
      </c>
      <c r="D53" s="18">
        <v>0.0</v>
      </c>
      <c r="E53" s="18">
        <v>0.0</v>
      </c>
      <c r="F53" s="18">
        <v>0.0</v>
      </c>
      <c r="G53" s="18">
        <v>0.0</v>
      </c>
      <c r="H53" s="18">
        <v>0.0</v>
      </c>
      <c r="I53" s="18">
        <v>0.0</v>
      </c>
      <c r="J53" s="18">
        <v>0.0</v>
      </c>
      <c r="K53" s="18">
        <v>0.0</v>
      </c>
      <c r="L53" s="18">
        <v>0.0</v>
      </c>
      <c r="M53" s="18">
        <v>0.0</v>
      </c>
      <c r="N53" s="18">
        <v>0.0</v>
      </c>
      <c r="O53" s="18">
        <v>0.0</v>
      </c>
      <c r="P53" s="18">
        <v>1.0</v>
      </c>
      <c r="Q53" s="18">
        <v>4.0</v>
      </c>
      <c r="R53" s="18">
        <v>6.0</v>
      </c>
      <c r="S53" s="18">
        <v>14.0</v>
      </c>
      <c r="T53" s="18">
        <v>13.0</v>
      </c>
      <c r="U53" s="18">
        <v>12.0</v>
      </c>
      <c r="V53" s="18">
        <v>14.0</v>
      </c>
      <c r="W53" s="18">
        <v>11.0</v>
      </c>
      <c r="X53" s="18">
        <v>4.0</v>
      </c>
      <c r="Y53" s="18">
        <v>2.0</v>
      </c>
      <c r="Z53" s="18">
        <v>4.0</v>
      </c>
      <c r="AA53" s="18">
        <v>8.0</v>
      </c>
      <c r="AB53" s="18">
        <v>8.0</v>
      </c>
      <c r="AC53" s="18">
        <v>11.0</v>
      </c>
      <c r="AD53" s="18">
        <v>11.0</v>
      </c>
      <c r="AE53" s="18">
        <v>4.0</v>
      </c>
      <c r="AF53" s="18">
        <v>6.0</v>
      </c>
    </row>
    <row r="54">
      <c r="A54" s="16" t="s">
        <v>46</v>
      </c>
      <c r="B54" s="4">
        <v>14.0</v>
      </c>
      <c r="C54" s="4">
        <v>30.0</v>
      </c>
      <c r="D54" s="4">
        <v>34.0</v>
      </c>
      <c r="E54" s="4">
        <v>15.0</v>
      </c>
      <c r="F54" s="4">
        <v>23.0</v>
      </c>
      <c r="G54" s="4">
        <v>18.0</v>
      </c>
      <c r="H54" s="4">
        <v>22.0</v>
      </c>
      <c r="I54" s="4">
        <v>40.0</v>
      </c>
      <c r="J54" s="4">
        <v>23.0</v>
      </c>
      <c r="K54" s="4">
        <v>20.0</v>
      </c>
      <c r="L54" s="4">
        <v>26.0</v>
      </c>
      <c r="M54" s="4">
        <v>29.0</v>
      </c>
      <c r="N54" s="4">
        <v>23.0</v>
      </c>
      <c r="O54" s="4">
        <v>19.0</v>
      </c>
      <c r="P54" s="4">
        <v>20.0</v>
      </c>
      <c r="Q54" s="32">
        <v>23.0</v>
      </c>
      <c r="R54" s="33">
        <v>28.0</v>
      </c>
      <c r="S54" s="32">
        <v>19.0</v>
      </c>
      <c r="T54" s="32">
        <v>30.0</v>
      </c>
      <c r="U54" s="32">
        <v>49.0</v>
      </c>
      <c r="V54" s="32">
        <v>65.0</v>
      </c>
      <c r="W54" s="32">
        <v>52.0</v>
      </c>
      <c r="X54" s="32">
        <v>31.0</v>
      </c>
      <c r="Y54" s="34">
        <v>42.0</v>
      </c>
      <c r="Z54" s="34">
        <v>34.0</v>
      </c>
      <c r="AA54" s="34">
        <v>41.0</v>
      </c>
      <c r="AB54" s="32">
        <v>56.0</v>
      </c>
      <c r="AC54" s="32">
        <v>69.0</v>
      </c>
      <c r="AD54" s="32">
        <v>67.0</v>
      </c>
      <c r="AE54" s="32">
        <v>47.0</v>
      </c>
      <c r="AF54" s="32">
        <v>64.0</v>
      </c>
    </row>
    <row r="55" outlineLevel="1">
      <c r="A55" s="18" t="s">
        <v>42</v>
      </c>
      <c r="B55" s="35">
        <f>'AMAZON - P&amp;L'!B32</f>
        <v>25</v>
      </c>
      <c r="C55" s="35">
        <f>'AMAZON - P&amp;L'!C32</f>
        <v>26</v>
      </c>
      <c r="D55" s="35">
        <f>'AMAZON - P&amp;L'!D32</f>
        <v>32</v>
      </c>
      <c r="E55" s="35">
        <f>'AMAZON - P&amp;L'!E32</f>
        <v>23</v>
      </c>
      <c r="F55" s="35">
        <f>'AMAZON - P&amp;L'!F32</f>
        <v>23</v>
      </c>
      <c r="G55" s="35">
        <f>'AMAZON - P&amp;L'!G32</f>
        <v>19</v>
      </c>
      <c r="H55" s="35">
        <f>'AMAZON - P&amp;L'!H32</f>
        <v>17</v>
      </c>
      <c r="I55" s="35">
        <f>'AMAZON - P&amp;L'!I32</f>
        <v>28</v>
      </c>
      <c r="J55" s="35">
        <f>'AMAZON - P&amp;L'!J32</f>
        <v>25</v>
      </c>
      <c r="K55" s="35">
        <f>'AMAZON - P&amp;L'!K32</f>
        <v>20</v>
      </c>
      <c r="L55" s="35">
        <f>'AMAZON - P&amp;L'!L32</f>
        <v>23</v>
      </c>
      <c r="M55" s="35">
        <f>'AMAZON - P&amp;L'!M32</f>
        <v>26</v>
      </c>
      <c r="N55" s="35">
        <f>'AMAZON - P&amp;L'!N32</f>
        <v>24</v>
      </c>
      <c r="O55" s="35">
        <f>'AMAZON - P&amp;L'!O32</f>
        <v>19</v>
      </c>
      <c r="P55" s="35">
        <f>'AMAZON - P&amp;L'!P32</f>
        <v>22</v>
      </c>
      <c r="Q55" s="35">
        <f>'AMAZON - P&amp;L'!Q32</f>
        <v>18</v>
      </c>
      <c r="R55" s="35">
        <f>'AMAZON - P&amp;L'!R32</f>
        <v>19</v>
      </c>
      <c r="S55" s="35">
        <f>'AMAZON - P&amp;L'!S32</f>
        <v>25</v>
      </c>
      <c r="T55" s="35">
        <f>'AMAZON - P&amp;L'!T32</f>
        <v>26</v>
      </c>
      <c r="U55" s="35">
        <f>'AMAZON - P&amp;L'!U32</f>
        <v>41</v>
      </c>
      <c r="V55" s="35">
        <f>'AMAZON - P&amp;L'!V32</f>
        <v>48</v>
      </c>
      <c r="W55" s="35">
        <f>'AMAZON - P&amp;L'!W32</f>
        <v>46</v>
      </c>
      <c r="X55" s="35">
        <f>'AMAZON - P&amp;L'!X32</f>
        <v>30</v>
      </c>
      <c r="Y55" s="35">
        <f>'AMAZON - P&amp;L'!Y32</f>
        <v>36</v>
      </c>
      <c r="Z55" s="35">
        <f>'AMAZON - P&amp;L'!Z32</f>
        <v>24</v>
      </c>
      <c r="AA55" s="35">
        <f>'AMAZON - P&amp;L'!AA32</f>
        <v>33</v>
      </c>
      <c r="AB55" s="35">
        <f>'AMAZON - P&amp;L'!AB32</f>
        <v>31</v>
      </c>
      <c r="AC55" s="35">
        <f>'AMAZON - P&amp;L'!AC32</f>
        <v>48</v>
      </c>
      <c r="AD55" s="35">
        <f>'AMAZON - P&amp;L'!AD32</f>
        <v>52</v>
      </c>
      <c r="AE55" s="35">
        <f>'AMAZON - P&amp;L'!AE32</f>
        <v>34</v>
      </c>
      <c r="AF55" s="35">
        <f>'AMAZON - P&amp;L'!AF32</f>
        <v>46</v>
      </c>
    </row>
    <row r="56" outlineLevel="1">
      <c r="A56" s="18" t="s">
        <v>43</v>
      </c>
      <c r="B56" s="35">
        <f>'AMAZON - P&amp;L'!B42</f>
        <v>8</v>
      </c>
      <c r="C56" s="35">
        <f>'AMAZON - P&amp;L'!C42</f>
        <v>3</v>
      </c>
      <c r="D56" s="35">
        <f>'AMAZON - P&amp;L'!D42</f>
        <v>0</v>
      </c>
      <c r="E56" s="35">
        <f>'AMAZON - P&amp;L'!E42</f>
        <v>0</v>
      </c>
      <c r="F56" s="35">
        <f>'AMAZON - P&amp;L'!F42</f>
        <v>0</v>
      </c>
      <c r="G56" s="35">
        <f>'AMAZON - P&amp;L'!G42</f>
        <v>0</v>
      </c>
      <c r="H56" s="35">
        <f>'AMAZON - P&amp;L'!H42</f>
        <v>2</v>
      </c>
      <c r="I56" s="35">
        <f>'AMAZON - P&amp;L'!I42</f>
        <v>4</v>
      </c>
      <c r="J56" s="35">
        <f>'AMAZON - P&amp;L'!J42</f>
        <v>4</v>
      </c>
      <c r="K56" s="35">
        <f>'AMAZON - P&amp;L'!K42</f>
        <v>0</v>
      </c>
      <c r="L56" s="35">
        <f>'AMAZON - P&amp;L'!L42</f>
        <v>1</v>
      </c>
      <c r="M56" s="35">
        <f>'AMAZON - P&amp;L'!M42</f>
        <v>6</v>
      </c>
      <c r="N56" s="35">
        <f>'AMAZON - P&amp;L'!N42</f>
        <v>0</v>
      </c>
      <c r="O56" s="35">
        <f>'AMAZON - P&amp;L'!O42</f>
        <v>1</v>
      </c>
      <c r="P56" s="35">
        <f>'AMAZON - P&amp;L'!P42</f>
        <v>1</v>
      </c>
      <c r="Q56" s="35">
        <f>'AMAZON - P&amp;L'!Q42</f>
        <v>0</v>
      </c>
      <c r="R56" s="35">
        <f>'AMAZON - P&amp;L'!R42</f>
        <v>3</v>
      </c>
      <c r="S56" s="35">
        <f>'AMAZON - P&amp;L'!S42</f>
        <v>3</v>
      </c>
      <c r="T56" s="35">
        <f>'AMAZON - P&amp;L'!T42</f>
        <v>0</v>
      </c>
      <c r="U56" s="35">
        <f>'AMAZON - P&amp;L'!U42</f>
        <v>6</v>
      </c>
      <c r="V56" s="35">
        <f>'AMAZON - P&amp;L'!V42</f>
        <v>10</v>
      </c>
      <c r="W56" s="35">
        <f>'AMAZON - P&amp;L'!W42</f>
        <v>7</v>
      </c>
      <c r="X56" s="35">
        <f>'AMAZON - P&amp;L'!X42</f>
        <v>8</v>
      </c>
      <c r="Y56" s="35">
        <f>'AMAZON - P&amp;L'!Y42</f>
        <v>9</v>
      </c>
      <c r="Z56" s="35">
        <f>'AMAZON - P&amp;L'!Z42</f>
        <v>8</v>
      </c>
      <c r="AA56" s="35">
        <f>'AMAZON - P&amp;L'!AA42</f>
        <v>9</v>
      </c>
      <c r="AB56" s="35">
        <f>'AMAZON - P&amp;L'!AB42</f>
        <v>15</v>
      </c>
      <c r="AC56" s="35">
        <f>'AMAZON - P&amp;L'!AC42</f>
        <v>26</v>
      </c>
      <c r="AD56" s="35">
        <f>'AMAZON - P&amp;L'!AD42</f>
        <v>14</v>
      </c>
      <c r="AE56" s="35">
        <f>'AMAZON - P&amp;L'!AE42</f>
        <v>16</v>
      </c>
      <c r="AF56" s="35">
        <f>'AMAZON - P&amp;L'!AF42</f>
        <v>9</v>
      </c>
    </row>
    <row r="57">
      <c r="A57" s="16" t="s">
        <v>47</v>
      </c>
      <c r="B57" s="36">
        <f t="shared" ref="B57:AF57" si="11">SUM(B58:B59)</f>
        <v>0</v>
      </c>
      <c r="C57" s="36">
        <f t="shared" si="11"/>
        <v>0</v>
      </c>
      <c r="D57" s="36">
        <f t="shared" si="11"/>
        <v>0</v>
      </c>
      <c r="E57" s="36">
        <f t="shared" si="11"/>
        <v>0</v>
      </c>
      <c r="F57" s="36">
        <f t="shared" si="11"/>
        <v>0</v>
      </c>
      <c r="G57" s="36">
        <f t="shared" si="11"/>
        <v>0</v>
      </c>
      <c r="H57" s="36">
        <f t="shared" si="11"/>
        <v>0</v>
      </c>
      <c r="I57" s="36">
        <f t="shared" si="11"/>
        <v>0</v>
      </c>
      <c r="J57" s="36">
        <f t="shared" si="11"/>
        <v>0</v>
      </c>
      <c r="K57" s="36">
        <f t="shared" si="11"/>
        <v>0</v>
      </c>
      <c r="L57" s="36">
        <f t="shared" si="11"/>
        <v>0</v>
      </c>
      <c r="M57" s="36">
        <f t="shared" si="11"/>
        <v>0</v>
      </c>
      <c r="N57" s="36">
        <f t="shared" si="11"/>
        <v>0</v>
      </c>
      <c r="O57" s="36">
        <f t="shared" si="11"/>
        <v>0</v>
      </c>
      <c r="P57" s="36">
        <f t="shared" si="11"/>
        <v>0</v>
      </c>
      <c r="Q57" s="36">
        <f t="shared" si="11"/>
        <v>0</v>
      </c>
      <c r="R57" s="36">
        <f t="shared" si="11"/>
        <v>1</v>
      </c>
      <c r="S57" s="36">
        <f t="shared" si="11"/>
        <v>0</v>
      </c>
      <c r="T57" s="36">
        <f t="shared" si="11"/>
        <v>1</v>
      </c>
      <c r="U57" s="36">
        <f t="shared" si="11"/>
        <v>0</v>
      </c>
      <c r="V57" s="36">
        <f t="shared" si="11"/>
        <v>0</v>
      </c>
      <c r="W57" s="36">
        <f t="shared" si="11"/>
        <v>0</v>
      </c>
      <c r="X57" s="36">
        <f t="shared" si="11"/>
        <v>0</v>
      </c>
      <c r="Y57" s="36">
        <f t="shared" si="11"/>
        <v>0</v>
      </c>
      <c r="Z57" s="36">
        <f t="shared" si="11"/>
        <v>0</v>
      </c>
      <c r="AA57" s="36">
        <f t="shared" si="11"/>
        <v>0</v>
      </c>
      <c r="AB57" s="36">
        <f t="shared" si="11"/>
        <v>0</v>
      </c>
      <c r="AC57" s="36">
        <f t="shared" si="11"/>
        <v>0</v>
      </c>
      <c r="AD57" s="36">
        <f t="shared" si="11"/>
        <v>0</v>
      </c>
      <c r="AE57" s="36">
        <f t="shared" si="11"/>
        <v>1</v>
      </c>
      <c r="AF57" s="36">
        <f t="shared" si="11"/>
        <v>0</v>
      </c>
    </row>
    <row r="58" outlineLevel="1">
      <c r="A58" s="20" t="s">
        <v>48</v>
      </c>
      <c r="B58" s="20">
        <v>0.0</v>
      </c>
      <c r="C58" s="20">
        <v>0.0</v>
      </c>
      <c r="D58" s="20">
        <v>0.0</v>
      </c>
      <c r="E58" s="20">
        <v>0.0</v>
      </c>
      <c r="F58" s="20">
        <v>0.0</v>
      </c>
      <c r="G58" s="20">
        <v>0.0</v>
      </c>
      <c r="H58" s="20">
        <v>0.0</v>
      </c>
      <c r="I58" s="20">
        <v>0.0</v>
      </c>
      <c r="J58" s="20">
        <v>0.0</v>
      </c>
      <c r="K58" s="20">
        <v>0.0</v>
      </c>
      <c r="L58" s="20">
        <v>0.0</v>
      </c>
      <c r="M58" s="20">
        <v>0.0</v>
      </c>
      <c r="N58" s="20">
        <v>0.0</v>
      </c>
      <c r="O58" s="20">
        <v>0.0</v>
      </c>
      <c r="P58" s="20">
        <v>0.0</v>
      </c>
      <c r="Q58" s="20">
        <v>0.0</v>
      </c>
      <c r="R58" s="20">
        <v>1.0</v>
      </c>
      <c r="S58" s="20">
        <v>0.0</v>
      </c>
      <c r="T58" s="20">
        <v>1.0</v>
      </c>
      <c r="U58" s="20">
        <v>0.0</v>
      </c>
      <c r="V58" s="20">
        <v>0.0</v>
      </c>
      <c r="W58" s="20">
        <v>0.0</v>
      </c>
      <c r="X58" s="20">
        <v>0.0</v>
      </c>
      <c r="Y58" s="20">
        <v>0.0</v>
      </c>
      <c r="Z58" s="20">
        <v>0.0</v>
      </c>
      <c r="AA58" s="20">
        <v>0.0</v>
      </c>
      <c r="AB58" s="20">
        <v>0.0</v>
      </c>
      <c r="AC58" s="20">
        <v>0.0</v>
      </c>
      <c r="AD58" s="20">
        <v>0.0</v>
      </c>
      <c r="AE58" s="20">
        <v>1.0</v>
      </c>
      <c r="AF58" s="20">
        <v>0.0</v>
      </c>
    </row>
    <row r="59" outlineLevel="1">
      <c r="A59" s="18" t="s">
        <v>49</v>
      </c>
      <c r="B59" s="18">
        <v>0.0</v>
      </c>
      <c r="C59" s="18">
        <v>0.0</v>
      </c>
      <c r="D59" s="18">
        <v>0.0</v>
      </c>
      <c r="E59" s="18">
        <v>0.0</v>
      </c>
      <c r="F59" s="18">
        <v>0.0</v>
      </c>
      <c r="G59" s="18">
        <v>0.0</v>
      </c>
      <c r="H59" s="18">
        <v>0.0</v>
      </c>
      <c r="I59" s="18">
        <v>0.0</v>
      </c>
      <c r="J59" s="18">
        <v>0.0</v>
      </c>
      <c r="K59" s="18">
        <v>0.0</v>
      </c>
      <c r="L59" s="18">
        <v>0.0</v>
      </c>
      <c r="M59" s="18">
        <v>0.0</v>
      </c>
      <c r="N59" s="18">
        <v>0.0</v>
      </c>
      <c r="O59" s="18">
        <v>0.0</v>
      </c>
      <c r="P59" s="18">
        <v>0.0</v>
      </c>
      <c r="Q59" s="18">
        <v>0.0</v>
      </c>
      <c r="R59" s="18">
        <v>0.0</v>
      </c>
      <c r="S59" s="18">
        <v>0.0</v>
      </c>
      <c r="T59" s="18">
        <v>0.0</v>
      </c>
      <c r="U59" s="18">
        <v>0.0</v>
      </c>
      <c r="V59" s="18">
        <v>0.0</v>
      </c>
      <c r="W59" s="18">
        <v>0.0</v>
      </c>
      <c r="X59" s="18">
        <v>0.0</v>
      </c>
      <c r="Y59" s="18">
        <v>0.0</v>
      </c>
      <c r="Z59" s="18">
        <v>0.0</v>
      </c>
      <c r="AA59" s="18">
        <v>0.0</v>
      </c>
      <c r="AB59" s="18">
        <v>0.0</v>
      </c>
      <c r="AC59" s="18">
        <v>0.0</v>
      </c>
      <c r="AD59" s="18">
        <v>0.0</v>
      </c>
      <c r="AE59" s="18">
        <v>0.0</v>
      </c>
      <c r="AF59" s="18">
        <v>0.0</v>
      </c>
    </row>
    <row r="60">
      <c r="A60" s="24" t="s">
        <v>50</v>
      </c>
      <c r="B60" s="37">
        <f t="shared" ref="B60:AF60" si="12">SUM(B49+B54+B58+B59)</f>
        <v>205</v>
      </c>
      <c r="C60" s="37">
        <f t="shared" si="12"/>
        <v>188</v>
      </c>
      <c r="D60" s="37">
        <f t="shared" si="12"/>
        <v>213</v>
      </c>
      <c r="E60" s="37">
        <f t="shared" si="12"/>
        <v>171</v>
      </c>
      <c r="F60" s="37">
        <f t="shared" si="12"/>
        <v>201</v>
      </c>
      <c r="G60" s="37">
        <f t="shared" si="12"/>
        <v>205</v>
      </c>
      <c r="H60" s="37">
        <f t="shared" si="12"/>
        <v>217</v>
      </c>
      <c r="I60" s="37">
        <f t="shared" si="12"/>
        <v>184</v>
      </c>
      <c r="J60" s="37">
        <f t="shared" si="12"/>
        <v>136</v>
      </c>
      <c r="K60" s="37">
        <f t="shared" si="12"/>
        <v>124</v>
      </c>
      <c r="L60" s="37">
        <f t="shared" si="12"/>
        <v>157</v>
      </c>
      <c r="M60" s="37">
        <f t="shared" si="12"/>
        <v>167</v>
      </c>
      <c r="N60" s="37">
        <f t="shared" si="12"/>
        <v>163</v>
      </c>
      <c r="O60" s="37">
        <f t="shared" si="12"/>
        <v>166</v>
      </c>
      <c r="P60" s="37">
        <f t="shared" si="12"/>
        <v>148</v>
      </c>
      <c r="Q60" s="37">
        <f t="shared" si="12"/>
        <v>140</v>
      </c>
      <c r="R60" s="37">
        <f t="shared" si="12"/>
        <v>163</v>
      </c>
      <c r="S60" s="37">
        <f t="shared" si="12"/>
        <v>126</v>
      </c>
      <c r="T60" s="37">
        <f t="shared" si="12"/>
        <v>150</v>
      </c>
      <c r="U60" s="37">
        <f t="shared" si="12"/>
        <v>199</v>
      </c>
      <c r="V60" s="37">
        <f t="shared" si="12"/>
        <v>180</v>
      </c>
      <c r="W60" s="37">
        <f t="shared" si="12"/>
        <v>148</v>
      </c>
      <c r="X60" s="37">
        <f t="shared" si="12"/>
        <v>122</v>
      </c>
      <c r="Y60" s="37">
        <f t="shared" si="12"/>
        <v>128</v>
      </c>
      <c r="Z60" s="37">
        <f t="shared" si="12"/>
        <v>125</v>
      </c>
      <c r="AA60" s="37">
        <f t="shared" si="12"/>
        <v>137</v>
      </c>
      <c r="AB60" s="37">
        <f t="shared" si="12"/>
        <v>161</v>
      </c>
      <c r="AC60" s="37">
        <f t="shared" si="12"/>
        <v>173</v>
      </c>
      <c r="AD60" s="37">
        <f t="shared" si="12"/>
        <v>171</v>
      </c>
      <c r="AE60" s="37">
        <f t="shared" si="12"/>
        <v>121</v>
      </c>
      <c r="AF60" s="37">
        <f t="shared" si="12"/>
        <v>133</v>
      </c>
    </row>
    <row r="62">
      <c r="A62" s="16" t="s">
        <v>51</v>
      </c>
    </row>
    <row r="63">
      <c r="A63" s="26" t="s">
        <v>34</v>
      </c>
      <c r="B63" s="4">
        <v>9.0</v>
      </c>
      <c r="C63" s="4">
        <v>0.0</v>
      </c>
      <c r="D63" s="4">
        <v>13.0</v>
      </c>
      <c r="E63" s="4">
        <v>6.0</v>
      </c>
      <c r="F63" s="4">
        <v>0.0</v>
      </c>
      <c r="G63" s="4">
        <v>0.0</v>
      </c>
      <c r="H63" s="4">
        <v>12.0</v>
      </c>
      <c r="I63" s="4">
        <v>1.0</v>
      </c>
      <c r="J63" s="4">
        <v>3.0</v>
      </c>
      <c r="K63" s="4">
        <v>3.0</v>
      </c>
      <c r="L63" s="4">
        <v>7.0</v>
      </c>
      <c r="M63" s="4">
        <v>2.0</v>
      </c>
      <c r="N63" s="4">
        <v>0.0</v>
      </c>
      <c r="O63" s="4">
        <v>2.0</v>
      </c>
      <c r="P63" s="4">
        <v>2.0</v>
      </c>
      <c r="Q63" s="4">
        <v>4.0</v>
      </c>
      <c r="R63" s="4">
        <v>6.0</v>
      </c>
      <c r="S63" s="4">
        <v>0.0</v>
      </c>
      <c r="T63" s="4">
        <v>10.0</v>
      </c>
      <c r="U63" s="4">
        <v>7.0</v>
      </c>
      <c r="V63" s="4">
        <v>12.0</v>
      </c>
      <c r="W63" s="4">
        <v>9.0</v>
      </c>
      <c r="X63" s="4">
        <v>5.0</v>
      </c>
      <c r="Y63" s="4">
        <v>1.0</v>
      </c>
      <c r="Z63" s="4">
        <v>0.0</v>
      </c>
      <c r="AA63" s="4">
        <v>0.0</v>
      </c>
      <c r="AB63" s="4">
        <v>1.0</v>
      </c>
      <c r="AC63" s="4">
        <v>6.0</v>
      </c>
      <c r="AD63" s="4">
        <v>6.0</v>
      </c>
      <c r="AE63" s="4">
        <v>6.0</v>
      </c>
      <c r="AF63" s="4">
        <v>6.0</v>
      </c>
    </row>
    <row r="64">
      <c r="A64" s="26" t="s">
        <v>35</v>
      </c>
      <c r="B64" s="4">
        <v>1.0</v>
      </c>
      <c r="C64" s="4">
        <v>0.0</v>
      </c>
      <c r="D64" s="4">
        <v>1.0</v>
      </c>
      <c r="E64" s="4">
        <v>1.0</v>
      </c>
      <c r="F64" s="4">
        <v>3.0</v>
      </c>
      <c r="G64" s="4">
        <v>1.0</v>
      </c>
      <c r="H64" s="4">
        <v>1.0</v>
      </c>
      <c r="I64" s="4">
        <v>3.0</v>
      </c>
      <c r="J64" s="4">
        <v>0.0</v>
      </c>
      <c r="K64" s="4">
        <v>3.0</v>
      </c>
      <c r="L64" s="4">
        <v>4.0</v>
      </c>
      <c r="M64" s="4">
        <v>4.0</v>
      </c>
      <c r="N64" s="4">
        <v>1.0</v>
      </c>
      <c r="O64" s="4">
        <v>1.0</v>
      </c>
      <c r="P64" s="4">
        <v>2.0</v>
      </c>
      <c r="Q64" s="4">
        <v>1.0</v>
      </c>
      <c r="R64" s="4">
        <v>2.0</v>
      </c>
      <c r="S64" s="4">
        <v>2.0</v>
      </c>
      <c r="T64" s="4">
        <v>0.0</v>
      </c>
      <c r="U64" s="4">
        <v>4.0</v>
      </c>
      <c r="V64" s="4">
        <v>1.0</v>
      </c>
      <c r="W64" s="4">
        <v>3.0</v>
      </c>
      <c r="X64" s="4">
        <v>1.0</v>
      </c>
      <c r="Y64" s="4">
        <v>0.0</v>
      </c>
      <c r="Z64" s="4">
        <v>1.0</v>
      </c>
      <c r="AA64" s="4">
        <v>6.0</v>
      </c>
      <c r="AB64" s="4">
        <v>5.0</v>
      </c>
      <c r="AC64" s="4">
        <v>1.0</v>
      </c>
      <c r="AD64" s="4">
        <v>0.0</v>
      </c>
      <c r="AE64" s="4">
        <v>6.0</v>
      </c>
      <c r="AF64" s="4">
        <v>0.0</v>
      </c>
    </row>
    <row r="65">
      <c r="A65" s="24" t="s">
        <v>50</v>
      </c>
      <c r="B65" s="38">
        <f t="shared" ref="B65:AF65" si="13">B63+B64</f>
        <v>10</v>
      </c>
      <c r="C65" s="38">
        <f t="shared" si="13"/>
        <v>0</v>
      </c>
      <c r="D65" s="38">
        <f t="shared" si="13"/>
        <v>14</v>
      </c>
      <c r="E65" s="38">
        <f t="shared" si="13"/>
        <v>7</v>
      </c>
      <c r="F65" s="38">
        <f t="shared" si="13"/>
        <v>3</v>
      </c>
      <c r="G65" s="38">
        <f t="shared" si="13"/>
        <v>1</v>
      </c>
      <c r="H65" s="38">
        <f t="shared" si="13"/>
        <v>13</v>
      </c>
      <c r="I65" s="38">
        <f t="shared" si="13"/>
        <v>4</v>
      </c>
      <c r="J65" s="38">
        <f t="shared" si="13"/>
        <v>3</v>
      </c>
      <c r="K65" s="38">
        <f t="shared" si="13"/>
        <v>6</v>
      </c>
      <c r="L65" s="38">
        <f t="shared" si="13"/>
        <v>11</v>
      </c>
      <c r="M65" s="38">
        <f t="shared" si="13"/>
        <v>6</v>
      </c>
      <c r="N65" s="38">
        <f t="shared" si="13"/>
        <v>1</v>
      </c>
      <c r="O65" s="38">
        <f t="shared" si="13"/>
        <v>3</v>
      </c>
      <c r="P65" s="38">
        <f t="shared" si="13"/>
        <v>4</v>
      </c>
      <c r="Q65" s="38">
        <f t="shared" si="13"/>
        <v>5</v>
      </c>
      <c r="R65" s="38">
        <f t="shared" si="13"/>
        <v>8</v>
      </c>
      <c r="S65" s="38">
        <f t="shared" si="13"/>
        <v>2</v>
      </c>
      <c r="T65" s="38">
        <f t="shared" si="13"/>
        <v>10</v>
      </c>
      <c r="U65" s="38">
        <f t="shared" si="13"/>
        <v>11</v>
      </c>
      <c r="V65" s="38">
        <f t="shared" si="13"/>
        <v>13</v>
      </c>
      <c r="W65" s="38">
        <f t="shared" si="13"/>
        <v>12</v>
      </c>
      <c r="X65" s="38">
        <f t="shared" si="13"/>
        <v>6</v>
      </c>
      <c r="Y65" s="38">
        <f t="shared" si="13"/>
        <v>1</v>
      </c>
      <c r="Z65" s="38">
        <f t="shared" si="13"/>
        <v>1</v>
      </c>
      <c r="AA65" s="38">
        <f t="shared" si="13"/>
        <v>6</v>
      </c>
      <c r="AB65" s="38">
        <f t="shared" si="13"/>
        <v>6</v>
      </c>
      <c r="AC65" s="38">
        <f t="shared" si="13"/>
        <v>7</v>
      </c>
      <c r="AD65" s="38">
        <f t="shared" si="13"/>
        <v>6</v>
      </c>
      <c r="AE65" s="38">
        <f t="shared" si="13"/>
        <v>12</v>
      </c>
      <c r="AF65" s="38">
        <f t="shared" si="13"/>
        <v>6</v>
      </c>
    </row>
    <row r="67">
      <c r="A67" s="16" t="s">
        <v>52</v>
      </c>
    </row>
    <row r="68" outlineLevel="1">
      <c r="A68" s="26" t="s">
        <v>37</v>
      </c>
      <c r="B68" s="39">
        <f>'App - P&amp;L'!B17</f>
        <v>80</v>
      </c>
      <c r="C68" s="39">
        <f>'App - P&amp;L'!C17</f>
        <v>51</v>
      </c>
      <c r="D68" s="39">
        <f>'App - P&amp;L'!D17</f>
        <v>36</v>
      </c>
      <c r="E68" s="39">
        <f>'App - P&amp;L'!E17</f>
        <v>34</v>
      </c>
      <c r="F68" s="39">
        <f>'App - P&amp;L'!F17</f>
        <v>35</v>
      </c>
      <c r="G68" s="39">
        <f>'App - P&amp;L'!G17</f>
        <v>41</v>
      </c>
      <c r="H68" s="39">
        <f>'App - P&amp;L'!H17</f>
        <v>49</v>
      </c>
      <c r="I68" s="39">
        <f>'App - P&amp;L'!I17</f>
        <v>34</v>
      </c>
      <c r="J68" s="39">
        <f>'App - P&amp;L'!J17</f>
        <v>26</v>
      </c>
      <c r="K68" s="39">
        <f>'App - P&amp;L'!K17</f>
        <v>25</v>
      </c>
      <c r="L68" s="39">
        <f>'App - P&amp;L'!L17</f>
        <v>20</v>
      </c>
      <c r="M68" s="39">
        <f>'App - P&amp;L'!M17</f>
        <v>13</v>
      </c>
      <c r="N68" s="39">
        <f>'App - P&amp;L'!N17</f>
        <v>19</v>
      </c>
      <c r="O68" s="39">
        <f>'App - P&amp;L'!O17</f>
        <v>29</v>
      </c>
      <c r="P68" s="39">
        <f>'App - P&amp;L'!P17</f>
        <v>22</v>
      </c>
      <c r="Q68" s="39">
        <f>'App - P&amp;L'!Q17</f>
        <v>10</v>
      </c>
      <c r="R68" s="39">
        <f>'App - P&amp;L'!R17</f>
        <v>11</v>
      </c>
      <c r="S68" s="39">
        <f>'App - P&amp;L'!S17</f>
        <v>20</v>
      </c>
      <c r="T68" s="39">
        <f>'App - P&amp;L'!T17</f>
        <v>19</v>
      </c>
      <c r="U68" s="39">
        <f>'App - P&amp;L'!U17</f>
        <v>34</v>
      </c>
      <c r="V68" s="39">
        <f>'App - P&amp;L'!V17</f>
        <v>27</v>
      </c>
      <c r="W68" s="39">
        <f>'App - P&amp;L'!W17</f>
        <v>21</v>
      </c>
      <c r="X68" s="39">
        <f>'App - P&amp;L'!X17</f>
        <v>16</v>
      </c>
      <c r="Y68" s="39">
        <f>'App - P&amp;L'!Y17</f>
        <v>15</v>
      </c>
      <c r="Z68" s="39">
        <f>'App - P&amp;L'!Z17</f>
        <v>21</v>
      </c>
      <c r="AA68" s="39">
        <f>'App - P&amp;L'!AA17</f>
        <v>24</v>
      </c>
      <c r="AB68" s="39">
        <f>'App - P&amp;L'!AB17</f>
        <v>31</v>
      </c>
      <c r="AC68" s="39">
        <f>'App - P&amp;L'!AC17</f>
        <v>28</v>
      </c>
      <c r="AD68" s="39">
        <f>'App - P&amp;L'!AD17</f>
        <v>19</v>
      </c>
      <c r="AE68" s="39">
        <f>'App - P&amp;L'!AE17</f>
        <v>21</v>
      </c>
      <c r="AF68" s="39">
        <f>'App - P&amp;L'!AF17</f>
        <v>7</v>
      </c>
    </row>
    <row r="69" outlineLevel="1">
      <c r="A69" s="26" t="s">
        <v>38</v>
      </c>
      <c r="B69" s="39">
        <f>'App - P&amp;L'!B14</f>
        <v>417</v>
      </c>
      <c r="C69" s="39">
        <f>'App - P&amp;L'!C14</f>
        <v>243</v>
      </c>
      <c r="D69" s="39">
        <f>'App - P&amp;L'!D14</f>
        <v>211</v>
      </c>
      <c r="E69" s="39">
        <f>'App - P&amp;L'!E14</f>
        <v>186</v>
      </c>
      <c r="F69" s="39">
        <f>'App - P&amp;L'!F14</f>
        <v>210</v>
      </c>
      <c r="G69" s="39">
        <f>'App - P&amp;L'!G14</f>
        <v>267</v>
      </c>
      <c r="H69" s="39">
        <f>'App - P&amp;L'!H14</f>
        <v>261</v>
      </c>
      <c r="I69" s="39">
        <f>'App - P&amp;L'!I14</f>
        <v>163</v>
      </c>
      <c r="J69" s="39">
        <f>'App - P&amp;L'!J14</f>
        <v>133</v>
      </c>
      <c r="K69" s="39">
        <f>'App - P&amp;L'!K14</f>
        <v>110</v>
      </c>
      <c r="L69" s="39">
        <f>'App - P&amp;L'!L14</f>
        <v>91</v>
      </c>
      <c r="M69" s="39">
        <f>'App - P&amp;L'!M14</f>
        <v>98</v>
      </c>
      <c r="N69" s="39">
        <f>'App - P&amp;L'!N14</f>
        <v>129</v>
      </c>
      <c r="O69" s="39">
        <f>'App - P&amp;L'!O14</f>
        <v>160</v>
      </c>
      <c r="P69" s="39">
        <f>'App - P&amp;L'!P14</f>
        <v>89</v>
      </c>
      <c r="Q69" s="39">
        <f>'App - P&amp;L'!Q14</f>
        <v>82</v>
      </c>
      <c r="R69" s="39">
        <f>'App - P&amp;L'!R14</f>
        <v>71</v>
      </c>
      <c r="S69" s="39">
        <f>'App - P&amp;L'!S14</f>
        <v>81</v>
      </c>
      <c r="T69" s="39">
        <f>'App - P&amp;L'!T14</f>
        <v>72</v>
      </c>
      <c r="U69" s="39">
        <f>'App - P&amp;L'!U14</f>
        <v>123</v>
      </c>
      <c r="V69" s="39">
        <f>'App - P&amp;L'!V14</f>
        <v>143</v>
      </c>
      <c r="W69" s="39">
        <f>'App - P&amp;L'!W14</f>
        <v>111</v>
      </c>
      <c r="X69" s="39">
        <f>'App - P&amp;L'!X14</f>
        <v>72</v>
      </c>
      <c r="Y69" s="39">
        <f>'App - P&amp;L'!Y14</f>
        <v>92</v>
      </c>
      <c r="Z69" s="39">
        <f>'App - P&amp;L'!Z14</f>
        <v>147</v>
      </c>
      <c r="AA69" s="39">
        <f>'App - P&amp;L'!AA14</f>
        <v>136</v>
      </c>
      <c r="AB69" s="39">
        <f>'App - P&amp;L'!AB14</f>
        <v>169</v>
      </c>
      <c r="AC69" s="39">
        <f>'App - P&amp;L'!AC14</f>
        <v>188</v>
      </c>
      <c r="AD69" s="39">
        <f>'App - P&amp;L'!AD14</f>
        <v>110</v>
      </c>
      <c r="AE69" s="39">
        <f>'App - P&amp;L'!AE14</f>
        <v>99</v>
      </c>
      <c r="AF69" s="39">
        <f>'App - P&amp;L'!AF14</f>
        <v>77</v>
      </c>
    </row>
    <row r="70">
      <c r="A70" s="24" t="s">
        <v>50</v>
      </c>
      <c r="B70" s="39">
        <f t="shared" ref="B70:AF70" si="14">sum(B68:B69)</f>
        <v>497</v>
      </c>
      <c r="C70" s="39">
        <f t="shared" si="14"/>
        <v>294</v>
      </c>
      <c r="D70" s="39">
        <f t="shared" si="14"/>
        <v>247</v>
      </c>
      <c r="E70" s="39">
        <f t="shared" si="14"/>
        <v>220</v>
      </c>
      <c r="F70" s="39">
        <f t="shared" si="14"/>
        <v>245</v>
      </c>
      <c r="G70" s="39">
        <f t="shared" si="14"/>
        <v>308</v>
      </c>
      <c r="H70" s="39">
        <f t="shared" si="14"/>
        <v>310</v>
      </c>
      <c r="I70" s="39">
        <f t="shared" si="14"/>
        <v>197</v>
      </c>
      <c r="J70" s="39">
        <f t="shared" si="14"/>
        <v>159</v>
      </c>
      <c r="K70" s="39">
        <f t="shared" si="14"/>
        <v>135</v>
      </c>
      <c r="L70" s="39">
        <f t="shared" si="14"/>
        <v>111</v>
      </c>
      <c r="M70" s="39">
        <f t="shared" si="14"/>
        <v>111</v>
      </c>
      <c r="N70" s="39">
        <f t="shared" si="14"/>
        <v>148</v>
      </c>
      <c r="O70" s="39">
        <f t="shared" si="14"/>
        <v>189</v>
      </c>
      <c r="P70" s="39">
        <f t="shared" si="14"/>
        <v>111</v>
      </c>
      <c r="Q70" s="39">
        <f t="shared" si="14"/>
        <v>92</v>
      </c>
      <c r="R70" s="39">
        <f t="shared" si="14"/>
        <v>82</v>
      </c>
      <c r="S70" s="39">
        <f t="shared" si="14"/>
        <v>101</v>
      </c>
      <c r="T70" s="39">
        <f t="shared" si="14"/>
        <v>91</v>
      </c>
      <c r="U70" s="39">
        <f t="shared" si="14"/>
        <v>157</v>
      </c>
      <c r="V70" s="39">
        <f t="shared" si="14"/>
        <v>170</v>
      </c>
      <c r="W70" s="39">
        <f t="shared" si="14"/>
        <v>132</v>
      </c>
      <c r="X70" s="39">
        <f t="shared" si="14"/>
        <v>88</v>
      </c>
      <c r="Y70" s="39">
        <f t="shared" si="14"/>
        <v>107</v>
      </c>
      <c r="Z70" s="39">
        <f t="shared" si="14"/>
        <v>168</v>
      </c>
      <c r="AA70" s="39">
        <f t="shared" si="14"/>
        <v>160</v>
      </c>
      <c r="AB70" s="39">
        <f t="shared" si="14"/>
        <v>200</v>
      </c>
      <c r="AC70" s="39">
        <f t="shared" si="14"/>
        <v>216</v>
      </c>
      <c r="AD70" s="39">
        <f t="shared" si="14"/>
        <v>129</v>
      </c>
      <c r="AE70" s="39">
        <f t="shared" si="14"/>
        <v>120</v>
      </c>
      <c r="AF70" s="39">
        <f t="shared" si="14"/>
        <v>84</v>
      </c>
    </row>
    <row r="71">
      <c r="A71" s="40" t="s">
        <v>53</v>
      </c>
      <c r="B71" s="41">
        <f>4806.33+518.48</f>
        <v>5324.81</v>
      </c>
      <c r="C71" s="42">
        <f>4433.77+489.76</f>
        <v>4923.53</v>
      </c>
      <c r="D71" s="42">
        <f>4232.17+493.64</f>
        <v>4725.81</v>
      </c>
      <c r="E71" s="42">
        <f>4224.91+495.1</f>
        <v>4720.01</v>
      </c>
      <c r="F71" s="42">
        <f>4244.21+497.25</f>
        <v>4741.46</v>
      </c>
      <c r="G71" s="42">
        <f>4253.36+496.69</f>
        <v>4750.05</v>
      </c>
      <c r="H71" s="42">
        <f>4460.13+519.27</f>
        <v>4979.4</v>
      </c>
      <c r="I71" s="42">
        <f>4413.26+513.03</f>
        <v>4926.29</v>
      </c>
      <c r="J71" s="42">
        <f>4319.26+506.49</f>
        <v>4825.75</v>
      </c>
      <c r="K71" s="42">
        <f>3372.44+474.27</f>
        <v>3846.71</v>
      </c>
      <c r="L71" s="42">
        <f>3542.75+484.34</f>
        <v>4027.09</v>
      </c>
      <c r="M71" s="42">
        <f>5440.92+488.46</f>
        <v>5929.38</v>
      </c>
      <c r="N71" s="42">
        <f>6563.11+514.12</f>
        <v>7077.23</v>
      </c>
      <c r="O71" s="42">
        <f>4772.94+505.15</f>
        <v>5278.09</v>
      </c>
      <c r="P71" s="42">
        <f>3356.3+521.75</f>
        <v>3878.05</v>
      </c>
      <c r="Q71" s="42">
        <f>2605.16+505.39</f>
        <v>3110.55</v>
      </c>
      <c r="R71" s="42">
        <f>2553.75+477.68</f>
        <v>3031.43</v>
      </c>
      <c r="S71" s="42">
        <f>2532.33+498.99</f>
        <v>3031.32</v>
      </c>
      <c r="T71" s="42">
        <f>2490.06+503.25</f>
        <v>2993.31</v>
      </c>
      <c r="U71" s="42">
        <f>4216.28+487.79</f>
        <v>4704.07</v>
      </c>
      <c r="V71" s="42">
        <f>5006.17+508.46</f>
        <v>5514.63</v>
      </c>
      <c r="W71" s="42">
        <f>3933.73+518.8</f>
        <v>4452.53</v>
      </c>
      <c r="X71" s="41">
        <f>3393.26+504.7</f>
        <v>3897.96</v>
      </c>
      <c r="Y71" s="41">
        <f>3107.49+504.33</f>
        <v>3611.82</v>
      </c>
      <c r="Z71" s="41">
        <f>2885.09+477.71</f>
        <v>3362.8</v>
      </c>
      <c r="AA71" s="41">
        <f>3187.95+487.65</f>
        <v>3675.6</v>
      </c>
      <c r="AB71" s="41">
        <f>2811.16+498.35</f>
        <v>3309.51</v>
      </c>
      <c r="AC71" s="41">
        <f>2975.2+549.52</f>
        <v>3524.72</v>
      </c>
      <c r="AD71" s="42">
        <f>2791.59+612.68</f>
        <v>3404.27</v>
      </c>
      <c r="AE71" s="42">
        <f>2665.46+609.73</f>
        <v>3275.19</v>
      </c>
      <c r="AF71" s="42">
        <f>2445.15+588.46</f>
        <v>3033.61</v>
      </c>
    </row>
    <row r="72" outlineLevel="1">
      <c r="A72" s="43" t="s">
        <v>54</v>
      </c>
      <c r="B72" s="44">
        <v>1.1035</v>
      </c>
      <c r="C72" s="44">
        <v>1.0942</v>
      </c>
      <c r="D72" s="44">
        <v>1.0925</v>
      </c>
      <c r="E72" s="44">
        <v>1.0946</v>
      </c>
      <c r="F72" s="44">
        <v>1.0955</v>
      </c>
      <c r="G72" s="44">
        <v>1.0955</v>
      </c>
      <c r="H72" s="44">
        <v>1.0941</v>
      </c>
      <c r="I72" s="44">
        <v>1.0952</v>
      </c>
      <c r="J72" s="44">
        <v>1.0932</v>
      </c>
      <c r="K72" s="44">
        <v>1.0975</v>
      </c>
      <c r="L72" s="44">
        <v>1.0982</v>
      </c>
      <c r="M72" s="44">
        <v>1.0965</v>
      </c>
      <c r="N72" s="44">
        <v>1.0964</v>
      </c>
      <c r="O72" s="44">
        <v>1.0945</v>
      </c>
      <c r="P72" s="44">
        <v>1.0945</v>
      </c>
      <c r="Q72" s="44">
        <v>1.0879</v>
      </c>
      <c r="R72" s="44">
        <v>1.0885</v>
      </c>
      <c r="S72" s="44">
        <v>1.0876</v>
      </c>
      <c r="T72" s="44">
        <v>1.0915</v>
      </c>
      <c r="U72" s="44">
        <v>1.0905</v>
      </c>
      <c r="V72" s="44">
        <v>1.0891</v>
      </c>
      <c r="W72" s="44">
        <v>1.0877</v>
      </c>
      <c r="X72" s="44">
        <v>1.0857</v>
      </c>
      <c r="Y72" s="44">
        <v>1.0882</v>
      </c>
      <c r="Z72" s="44">
        <v>1.0849</v>
      </c>
      <c r="AA72" s="44">
        <v>1.0863</v>
      </c>
      <c r="AB72" s="44">
        <v>1.0863</v>
      </c>
      <c r="AC72" s="44">
        <v>1.0843</v>
      </c>
      <c r="AD72" s="44">
        <v>1.0833</v>
      </c>
      <c r="AE72" s="44">
        <v>1.0843</v>
      </c>
      <c r="AF72" s="44">
        <v>1.0803</v>
      </c>
    </row>
    <row r="73">
      <c r="A73" s="18" t="s">
        <v>55</v>
      </c>
      <c r="B73" s="45">
        <f t="shared" ref="B73:AF73" si="15">B71*B72</f>
        <v>5875.927835</v>
      </c>
      <c r="C73" s="45">
        <f t="shared" si="15"/>
        <v>5387.326526</v>
      </c>
      <c r="D73" s="45">
        <f t="shared" si="15"/>
        <v>5162.947425</v>
      </c>
      <c r="E73" s="45">
        <f t="shared" si="15"/>
        <v>5166.522946</v>
      </c>
      <c r="F73" s="45">
        <f t="shared" si="15"/>
        <v>5194.26943</v>
      </c>
      <c r="G73" s="45">
        <f t="shared" si="15"/>
        <v>5203.679775</v>
      </c>
      <c r="H73" s="45">
        <f t="shared" si="15"/>
        <v>5447.96154</v>
      </c>
      <c r="I73" s="45">
        <f t="shared" si="15"/>
        <v>5395.272808</v>
      </c>
      <c r="J73" s="45">
        <f t="shared" si="15"/>
        <v>5275.5099</v>
      </c>
      <c r="K73" s="45">
        <f t="shared" si="15"/>
        <v>4221.764225</v>
      </c>
      <c r="L73" s="45">
        <f t="shared" si="15"/>
        <v>4422.550238</v>
      </c>
      <c r="M73" s="45">
        <f t="shared" si="15"/>
        <v>6501.56517</v>
      </c>
      <c r="N73" s="45">
        <f t="shared" si="15"/>
        <v>7759.474972</v>
      </c>
      <c r="O73" s="45">
        <f t="shared" si="15"/>
        <v>5776.869505</v>
      </c>
      <c r="P73" s="45">
        <f t="shared" si="15"/>
        <v>4244.525725</v>
      </c>
      <c r="Q73" s="45">
        <f t="shared" si="15"/>
        <v>3383.967345</v>
      </c>
      <c r="R73" s="45">
        <f t="shared" si="15"/>
        <v>3299.711555</v>
      </c>
      <c r="S73" s="45">
        <f t="shared" si="15"/>
        <v>3296.863632</v>
      </c>
      <c r="T73" s="45">
        <f t="shared" si="15"/>
        <v>3267.197865</v>
      </c>
      <c r="U73" s="45">
        <f t="shared" si="15"/>
        <v>5129.788335</v>
      </c>
      <c r="V73" s="45">
        <f t="shared" si="15"/>
        <v>6005.983533</v>
      </c>
      <c r="W73" s="45">
        <f t="shared" si="15"/>
        <v>4843.016881</v>
      </c>
      <c r="X73" s="45">
        <f t="shared" si="15"/>
        <v>4232.015172</v>
      </c>
      <c r="Y73" s="45">
        <f t="shared" si="15"/>
        <v>3930.382524</v>
      </c>
      <c r="Z73" s="45">
        <f t="shared" si="15"/>
        <v>3648.30172</v>
      </c>
      <c r="AA73" s="45">
        <f t="shared" si="15"/>
        <v>3992.80428</v>
      </c>
      <c r="AB73" s="45">
        <f t="shared" si="15"/>
        <v>3595.120713</v>
      </c>
      <c r="AC73" s="45">
        <f t="shared" si="15"/>
        <v>3821.853896</v>
      </c>
      <c r="AD73" s="45">
        <f t="shared" si="15"/>
        <v>3687.845691</v>
      </c>
      <c r="AE73" s="45">
        <f t="shared" si="15"/>
        <v>3551.288517</v>
      </c>
      <c r="AF73" s="45">
        <f t="shared" si="15"/>
        <v>3277.208883</v>
      </c>
    </row>
    <row r="74">
      <c r="A74" s="18" t="s">
        <v>56</v>
      </c>
      <c r="B74" s="27">
        <v>2110.5</v>
      </c>
      <c r="C74" s="27">
        <v>2483.96</v>
      </c>
      <c r="D74" s="27">
        <v>2246.44</v>
      </c>
      <c r="E74" s="27">
        <v>2102.96</v>
      </c>
      <c r="F74" s="27">
        <v>1929.45</v>
      </c>
      <c r="G74" s="27">
        <v>1781.1</v>
      </c>
      <c r="H74" s="27">
        <v>1937.55</v>
      </c>
      <c r="I74" s="27">
        <v>1693.38</v>
      </c>
      <c r="J74" s="27">
        <v>1540.91</v>
      </c>
      <c r="K74" s="27">
        <v>1576.04</v>
      </c>
      <c r="L74" s="27">
        <v>1309.01</v>
      </c>
      <c r="M74" s="27">
        <v>1489.27</v>
      </c>
      <c r="N74" s="27">
        <v>1724.12</v>
      </c>
      <c r="O74" s="27">
        <v>2074.0</v>
      </c>
      <c r="P74" s="27">
        <v>1820.73</v>
      </c>
      <c r="Q74" s="27">
        <v>1864.95</v>
      </c>
      <c r="R74" s="27">
        <v>1843.23</v>
      </c>
      <c r="S74" s="27">
        <v>1950.48</v>
      </c>
      <c r="T74" s="27">
        <v>2375.74</v>
      </c>
      <c r="U74" s="27">
        <v>2773.66</v>
      </c>
      <c r="V74" s="27">
        <v>2163.89</v>
      </c>
      <c r="W74" s="27">
        <v>1611.87</v>
      </c>
      <c r="X74" s="27">
        <v>1388.18</v>
      </c>
      <c r="Y74" s="27">
        <v>1565.56</v>
      </c>
      <c r="Z74" s="27">
        <v>1697.69</v>
      </c>
      <c r="AA74" s="27">
        <v>1648.68</v>
      </c>
      <c r="AB74" s="27">
        <v>1938.0</v>
      </c>
      <c r="AC74" s="27">
        <v>1950.33</v>
      </c>
      <c r="AD74" s="27">
        <v>1627.89</v>
      </c>
      <c r="AE74" s="27">
        <v>1410.82</v>
      </c>
      <c r="AF74" s="27">
        <v>1435.36</v>
      </c>
    </row>
    <row r="75">
      <c r="A75" s="18" t="s">
        <v>57</v>
      </c>
      <c r="B75" s="27">
        <v>154.79</v>
      </c>
      <c r="C75" s="27">
        <v>206.25</v>
      </c>
      <c r="D75" s="27">
        <v>204.55</v>
      </c>
      <c r="E75" s="27">
        <v>163.92</v>
      </c>
      <c r="F75" s="27">
        <v>125.09</v>
      </c>
      <c r="G75" s="27">
        <v>91.32</v>
      </c>
      <c r="H75" s="27">
        <v>100.28</v>
      </c>
      <c r="I75" s="27">
        <v>119.37</v>
      </c>
      <c r="J75" s="27">
        <v>114.29</v>
      </c>
      <c r="K75" s="27">
        <v>164.97</v>
      </c>
      <c r="L75" s="27">
        <v>168.88</v>
      </c>
      <c r="M75" s="27">
        <v>198.87</v>
      </c>
      <c r="N75" s="27">
        <v>107.31</v>
      </c>
      <c r="O75" s="27">
        <v>226.23</v>
      </c>
      <c r="P75" s="27">
        <v>179.27</v>
      </c>
      <c r="Q75" s="27">
        <v>196.13</v>
      </c>
      <c r="R75" s="27">
        <v>171.38</v>
      </c>
      <c r="S75" s="27">
        <v>193.48</v>
      </c>
      <c r="T75" s="27">
        <v>180.95</v>
      </c>
      <c r="U75" s="27">
        <v>186.29</v>
      </c>
      <c r="V75" s="27">
        <v>188.49</v>
      </c>
      <c r="W75" s="27">
        <v>138.4</v>
      </c>
      <c r="X75" s="27">
        <v>181.91</v>
      </c>
      <c r="Y75" s="27">
        <v>114.39</v>
      </c>
      <c r="Z75" s="27">
        <v>118.29</v>
      </c>
      <c r="AA75" s="27">
        <v>109.18</v>
      </c>
      <c r="AB75" s="27">
        <v>82.2</v>
      </c>
      <c r="AC75" s="27">
        <v>108.2</v>
      </c>
      <c r="AD75" s="27">
        <v>96.26</v>
      </c>
      <c r="AE75" s="27">
        <v>96.82</v>
      </c>
      <c r="AF75" s="27">
        <v>96.51</v>
      </c>
    </row>
    <row r="76">
      <c r="A76" s="18" t="s">
        <v>58</v>
      </c>
      <c r="B76" s="27">
        <v>0.0</v>
      </c>
      <c r="C76" s="27">
        <v>0.0</v>
      </c>
      <c r="D76" s="27">
        <v>0.0</v>
      </c>
      <c r="E76" s="27">
        <v>0.0</v>
      </c>
      <c r="F76" s="27">
        <v>0.0</v>
      </c>
      <c r="G76" s="27">
        <v>0.0</v>
      </c>
      <c r="H76" s="27">
        <v>0.0</v>
      </c>
      <c r="I76" s="27">
        <v>0.0</v>
      </c>
      <c r="J76" s="27">
        <v>0.0</v>
      </c>
      <c r="K76" s="27">
        <v>0.0</v>
      </c>
      <c r="L76" s="27">
        <v>0.0</v>
      </c>
      <c r="M76" s="27">
        <v>0.0</v>
      </c>
      <c r="N76" s="27">
        <v>0.0</v>
      </c>
      <c r="O76" s="27">
        <v>0.0</v>
      </c>
      <c r="P76" s="27">
        <v>0.0</v>
      </c>
      <c r="Q76" s="27">
        <v>0.0</v>
      </c>
      <c r="R76" s="27">
        <v>0.0</v>
      </c>
      <c r="S76" s="27">
        <v>0.0</v>
      </c>
      <c r="T76" s="27">
        <v>0.0</v>
      </c>
      <c r="U76" s="27">
        <v>0.0</v>
      </c>
      <c r="V76" s="27">
        <v>0.0</v>
      </c>
      <c r="W76" s="27">
        <v>0.0</v>
      </c>
      <c r="X76" s="27">
        <v>0.0</v>
      </c>
      <c r="Y76" s="27">
        <v>0.0</v>
      </c>
      <c r="Z76" s="27">
        <v>0.0</v>
      </c>
      <c r="AA76" s="27">
        <v>0.0</v>
      </c>
      <c r="AB76" s="27">
        <v>0.0</v>
      </c>
      <c r="AC76" s="27">
        <v>0.0</v>
      </c>
      <c r="AD76" s="27">
        <v>0.0</v>
      </c>
      <c r="AE76" s="27">
        <v>0.0</v>
      </c>
      <c r="AF76" s="27">
        <v>0.0</v>
      </c>
    </row>
    <row r="77">
      <c r="A77" s="18" t="s">
        <v>59</v>
      </c>
      <c r="B77" s="27">
        <v>2390.92</v>
      </c>
      <c r="C77" s="17">
        <v>2568.83</v>
      </c>
      <c r="D77" s="27">
        <v>1913.96</v>
      </c>
      <c r="E77" s="27">
        <v>1152.11</v>
      </c>
      <c r="F77" s="27">
        <v>1392.03</v>
      </c>
      <c r="G77" s="27">
        <v>0.0</v>
      </c>
      <c r="H77" s="27">
        <v>0.0</v>
      </c>
      <c r="I77" s="27">
        <v>341.24</v>
      </c>
      <c r="J77" s="27">
        <v>892.25</v>
      </c>
      <c r="K77" s="27">
        <v>857.0</v>
      </c>
      <c r="L77" s="27">
        <v>986.01</v>
      </c>
      <c r="M77" s="27">
        <v>1180.06</v>
      </c>
      <c r="N77" s="27">
        <v>867.48</v>
      </c>
      <c r="O77" s="27">
        <v>1071.76</v>
      </c>
      <c r="P77" s="27">
        <v>1012.45</v>
      </c>
      <c r="Q77" s="27">
        <v>977.04</v>
      </c>
      <c r="R77" s="27">
        <v>936.82</v>
      </c>
      <c r="S77" s="27">
        <v>995.13</v>
      </c>
      <c r="T77" s="27">
        <v>1262.59</v>
      </c>
      <c r="U77" s="27">
        <v>1408.85</v>
      </c>
      <c r="V77" s="27">
        <v>1380.25</v>
      </c>
      <c r="W77" s="27">
        <v>672.65</v>
      </c>
      <c r="X77" s="27">
        <v>709.7</v>
      </c>
      <c r="Y77" s="27">
        <v>737.2</v>
      </c>
      <c r="Z77" s="27">
        <v>863.9</v>
      </c>
      <c r="AA77" s="27">
        <v>1191.1</v>
      </c>
      <c r="AB77" s="27">
        <v>1856.57</v>
      </c>
      <c r="AC77" s="27">
        <v>2428.3</v>
      </c>
      <c r="AD77" s="27">
        <v>1865.18</v>
      </c>
      <c r="AE77" s="27">
        <v>1736.58</v>
      </c>
      <c r="AF77" s="27">
        <v>1754.27</v>
      </c>
    </row>
    <row r="78">
      <c r="A78" s="18" t="s">
        <v>60</v>
      </c>
      <c r="B78" s="27">
        <v>0.0</v>
      </c>
      <c r="C78" s="27">
        <v>0.0</v>
      </c>
      <c r="D78" s="27">
        <v>0.0</v>
      </c>
      <c r="E78" s="27">
        <v>0.0</v>
      </c>
      <c r="F78" s="27">
        <v>0.0</v>
      </c>
      <c r="G78" s="27">
        <v>0.0</v>
      </c>
      <c r="H78" s="27">
        <v>0.0</v>
      </c>
      <c r="I78" s="27">
        <v>0.0</v>
      </c>
      <c r="J78" s="27">
        <v>0.0</v>
      </c>
      <c r="K78" s="27">
        <v>0.0</v>
      </c>
      <c r="L78" s="27">
        <v>0.0</v>
      </c>
      <c r="M78" s="27">
        <v>0.0</v>
      </c>
      <c r="N78" s="27">
        <v>0.0</v>
      </c>
      <c r="O78" s="27">
        <v>0.0</v>
      </c>
      <c r="P78" s="27">
        <v>0.0</v>
      </c>
      <c r="Q78" s="27">
        <v>0.0</v>
      </c>
      <c r="R78" s="27">
        <v>0.0</v>
      </c>
      <c r="S78" s="27">
        <v>0.0</v>
      </c>
      <c r="T78" s="27">
        <v>0.0</v>
      </c>
      <c r="U78" s="46">
        <v>0.0</v>
      </c>
      <c r="V78" s="46">
        <v>0.0</v>
      </c>
      <c r="W78" s="46">
        <v>0.0</v>
      </c>
      <c r="X78" s="46">
        <v>0.0</v>
      </c>
      <c r="Y78" s="46">
        <v>0.0</v>
      </c>
      <c r="Z78" s="27">
        <v>0.0</v>
      </c>
      <c r="AA78" s="46">
        <v>0.0</v>
      </c>
      <c r="AB78" s="46">
        <v>0.0</v>
      </c>
      <c r="AC78" s="46">
        <v>0.0</v>
      </c>
      <c r="AD78" s="27">
        <v>0.0</v>
      </c>
      <c r="AE78" s="27">
        <v>0.0</v>
      </c>
      <c r="AF78" s="27">
        <v>0.0</v>
      </c>
    </row>
    <row r="79">
      <c r="A79" s="18" t="s">
        <v>61</v>
      </c>
      <c r="B79" s="27">
        <v>0.0</v>
      </c>
      <c r="C79" s="27">
        <v>0.0</v>
      </c>
      <c r="D79" s="27">
        <v>0.0</v>
      </c>
      <c r="E79" s="27">
        <v>0.0</v>
      </c>
      <c r="F79" s="27">
        <v>0.0</v>
      </c>
      <c r="G79" s="27">
        <v>0.0</v>
      </c>
      <c r="H79" s="27">
        <v>0.0</v>
      </c>
      <c r="I79" s="27">
        <v>0.0</v>
      </c>
      <c r="J79" s="27">
        <v>0.0</v>
      </c>
      <c r="K79" s="27">
        <v>0.0</v>
      </c>
      <c r="L79" s="27">
        <v>0.0</v>
      </c>
      <c r="M79" s="27">
        <v>0.0</v>
      </c>
      <c r="N79" s="27">
        <v>0.0</v>
      </c>
      <c r="O79" s="27">
        <v>0.0</v>
      </c>
      <c r="P79" s="27">
        <v>0.0</v>
      </c>
      <c r="Q79" s="27">
        <v>0.0</v>
      </c>
      <c r="R79" s="27">
        <v>0.0</v>
      </c>
      <c r="S79" s="27">
        <v>0.0</v>
      </c>
      <c r="T79" s="27">
        <v>0.0</v>
      </c>
      <c r="U79" s="27">
        <v>0.0</v>
      </c>
      <c r="V79" s="27">
        <v>0.0</v>
      </c>
      <c r="W79" s="27">
        <v>0.0</v>
      </c>
      <c r="X79" s="27">
        <v>0.0</v>
      </c>
      <c r="Y79" s="27">
        <v>0.0</v>
      </c>
      <c r="Z79" s="27">
        <v>0.0</v>
      </c>
      <c r="AA79" s="27">
        <v>0.0</v>
      </c>
      <c r="AB79" s="27">
        <v>0.0</v>
      </c>
      <c r="AC79" s="27">
        <v>0.0</v>
      </c>
      <c r="AD79" s="27">
        <v>0.0</v>
      </c>
      <c r="AE79" s="27">
        <v>0.0</v>
      </c>
      <c r="AF79" s="27">
        <v>0.0</v>
      </c>
    </row>
    <row r="80">
      <c r="A80" s="32" t="s">
        <v>62</v>
      </c>
      <c r="B80" s="27">
        <v>0.0</v>
      </c>
      <c r="C80" s="27">
        <v>0.0</v>
      </c>
      <c r="D80" s="27">
        <v>0.0</v>
      </c>
      <c r="E80" s="27">
        <v>0.0</v>
      </c>
      <c r="F80" s="27">
        <v>0.0</v>
      </c>
      <c r="G80" s="27">
        <v>0.0</v>
      </c>
      <c r="H80" s="27">
        <v>0.0</v>
      </c>
      <c r="I80" s="27">
        <v>0.0</v>
      </c>
      <c r="J80" s="27">
        <v>68.2</v>
      </c>
      <c r="K80" s="27">
        <v>0.0</v>
      </c>
      <c r="L80" s="27">
        <v>22.91</v>
      </c>
      <c r="M80" s="27">
        <v>0.0</v>
      </c>
      <c r="N80" s="27">
        <v>0.0</v>
      </c>
      <c r="O80" s="27">
        <v>0.0</v>
      </c>
      <c r="P80" s="27">
        <v>0.0</v>
      </c>
      <c r="Q80" s="27">
        <v>0.0</v>
      </c>
      <c r="R80" s="27">
        <v>0.0</v>
      </c>
      <c r="S80" s="27">
        <v>0.0</v>
      </c>
      <c r="T80" s="27">
        <v>78.86</v>
      </c>
      <c r="U80" s="27">
        <v>0.0</v>
      </c>
      <c r="V80" s="27">
        <v>0.0</v>
      </c>
      <c r="W80" s="27">
        <v>0.0</v>
      </c>
      <c r="X80" s="27">
        <v>0.0</v>
      </c>
      <c r="Y80" s="27">
        <v>0.0</v>
      </c>
      <c r="Z80" s="27">
        <v>0.0</v>
      </c>
      <c r="AA80" s="27">
        <v>0.0</v>
      </c>
      <c r="AB80" s="27">
        <v>0.0</v>
      </c>
      <c r="AC80" s="27">
        <v>0.0</v>
      </c>
      <c r="AD80" s="27">
        <v>0.0</v>
      </c>
      <c r="AE80" s="27">
        <v>0.0</v>
      </c>
      <c r="AF80" s="27">
        <v>0.0</v>
      </c>
    </row>
    <row r="81">
      <c r="A81" s="18" t="s">
        <v>63</v>
      </c>
      <c r="B81" s="27">
        <f t="shared" ref="B81:AF81" si="16">B22*0.2</f>
        <v>0</v>
      </c>
      <c r="C81" s="27">
        <f t="shared" si="16"/>
        <v>0</v>
      </c>
      <c r="D81" s="27">
        <f t="shared" si="16"/>
        <v>0</v>
      </c>
      <c r="E81" s="27">
        <f t="shared" si="16"/>
        <v>0</v>
      </c>
      <c r="F81" s="27">
        <f t="shared" si="16"/>
        <v>0</v>
      </c>
      <c r="G81" s="27">
        <f t="shared" si="16"/>
        <v>0</v>
      </c>
      <c r="H81" s="27">
        <f t="shared" si="16"/>
        <v>0</v>
      </c>
      <c r="I81" s="27">
        <f t="shared" si="16"/>
        <v>0</v>
      </c>
      <c r="J81" s="27">
        <f t="shared" si="16"/>
        <v>0</v>
      </c>
      <c r="K81" s="27">
        <f t="shared" si="16"/>
        <v>0</v>
      </c>
      <c r="L81" s="27">
        <f t="shared" si="16"/>
        <v>0</v>
      </c>
      <c r="M81" s="27">
        <f t="shared" si="16"/>
        <v>0</v>
      </c>
      <c r="N81" s="27">
        <f t="shared" si="16"/>
        <v>0</v>
      </c>
      <c r="O81" s="27">
        <f t="shared" si="16"/>
        <v>0</v>
      </c>
      <c r="P81" s="27">
        <f t="shared" si="16"/>
        <v>0</v>
      </c>
      <c r="Q81" s="27">
        <f t="shared" si="16"/>
        <v>0</v>
      </c>
      <c r="R81" s="27">
        <f t="shared" si="16"/>
        <v>63.6818772</v>
      </c>
      <c r="S81" s="27">
        <f t="shared" si="16"/>
        <v>0</v>
      </c>
      <c r="T81" s="27">
        <f t="shared" si="16"/>
        <v>63.6818772</v>
      </c>
      <c r="U81" s="27">
        <f t="shared" si="16"/>
        <v>0</v>
      </c>
      <c r="V81" s="27">
        <f t="shared" si="16"/>
        <v>0</v>
      </c>
      <c r="W81" s="27">
        <f t="shared" si="16"/>
        <v>0</v>
      </c>
      <c r="X81" s="27">
        <f t="shared" si="16"/>
        <v>0</v>
      </c>
      <c r="Y81" s="27">
        <f t="shared" si="16"/>
        <v>0</v>
      </c>
      <c r="Z81" s="27">
        <f t="shared" si="16"/>
        <v>0</v>
      </c>
      <c r="AA81" s="27">
        <f t="shared" si="16"/>
        <v>0</v>
      </c>
      <c r="AB81" s="27">
        <f t="shared" si="16"/>
        <v>0</v>
      </c>
      <c r="AC81" s="27">
        <f t="shared" si="16"/>
        <v>0</v>
      </c>
      <c r="AD81" s="27">
        <f t="shared" si="16"/>
        <v>0</v>
      </c>
      <c r="AE81" s="27">
        <f t="shared" si="16"/>
        <v>63.6818772</v>
      </c>
      <c r="AF81" s="27">
        <f t="shared" si="16"/>
        <v>0</v>
      </c>
    </row>
    <row r="82">
      <c r="A82" s="18" t="s">
        <v>64</v>
      </c>
      <c r="B82" s="47">
        <f t="shared" ref="B82:AF82" si="17">B26*0.15</f>
        <v>0</v>
      </c>
      <c r="C82" s="47">
        <f t="shared" si="17"/>
        <v>0</v>
      </c>
      <c r="D82" s="47">
        <f t="shared" si="17"/>
        <v>0</v>
      </c>
      <c r="E82" s="47">
        <f t="shared" si="17"/>
        <v>0</v>
      </c>
      <c r="F82" s="47">
        <f t="shared" si="17"/>
        <v>0</v>
      </c>
      <c r="G82" s="47">
        <f t="shared" si="17"/>
        <v>0</v>
      </c>
      <c r="H82" s="47">
        <f t="shared" si="17"/>
        <v>0</v>
      </c>
      <c r="I82" s="47">
        <f t="shared" si="17"/>
        <v>0</v>
      </c>
      <c r="J82" s="47">
        <f t="shared" si="17"/>
        <v>0</v>
      </c>
      <c r="K82" s="47">
        <f t="shared" si="17"/>
        <v>0</v>
      </c>
      <c r="L82" s="47">
        <f t="shared" si="17"/>
        <v>0</v>
      </c>
      <c r="M82" s="47">
        <f t="shared" si="17"/>
        <v>0</v>
      </c>
      <c r="N82" s="47">
        <f t="shared" si="17"/>
        <v>0</v>
      </c>
      <c r="O82" s="47">
        <f t="shared" si="17"/>
        <v>0</v>
      </c>
      <c r="P82" s="47">
        <f t="shared" si="17"/>
        <v>0</v>
      </c>
      <c r="Q82" s="47">
        <f t="shared" si="17"/>
        <v>0</v>
      </c>
      <c r="R82" s="47">
        <f t="shared" si="17"/>
        <v>44.85</v>
      </c>
      <c r="S82" s="47">
        <f t="shared" si="17"/>
        <v>0</v>
      </c>
      <c r="T82" s="47">
        <f t="shared" si="17"/>
        <v>0</v>
      </c>
      <c r="U82" s="47">
        <f t="shared" si="17"/>
        <v>0</v>
      </c>
      <c r="V82" s="47">
        <f t="shared" si="17"/>
        <v>0</v>
      </c>
      <c r="W82" s="47">
        <f t="shared" si="17"/>
        <v>0</v>
      </c>
      <c r="X82" s="47">
        <f t="shared" si="17"/>
        <v>0</v>
      </c>
      <c r="Y82" s="47">
        <f t="shared" si="17"/>
        <v>0</v>
      </c>
      <c r="Z82" s="47">
        <f t="shared" si="17"/>
        <v>0</v>
      </c>
      <c r="AA82" s="47">
        <f t="shared" si="17"/>
        <v>0</v>
      </c>
      <c r="AB82" s="47">
        <f t="shared" si="17"/>
        <v>0</v>
      </c>
      <c r="AC82" s="47">
        <f t="shared" si="17"/>
        <v>0</v>
      </c>
      <c r="AD82" s="47">
        <f t="shared" si="17"/>
        <v>0</v>
      </c>
      <c r="AE82" s="47">
        <f t="shared" si="17"/>
        <v>0</v>
      </c>
      <c r="AF82" s="47">
        <f t="shared" si="17"/>
        <v>0</v>
      </c>
    </row>
    <row r="83">
      <c r="A83" s="48" t="s">
        <v>65</v>
      </c>
      <c r="B83" s="49">
        <f t="shared" ref="B83:AF83" si="18">B73+B74+B75+B76+B78+B80</f>
        <v>8141.217835</v>
      </c>
      <c r="C83" s="49">
        <f t="shared" si="18"/>
        <v>8077.536526</v>
      </c>
      <c r="D83" s="49">
        <f t="shared" si="18"/>
        <v>7613.937425</v>
      </c>
      <c r="E83" s="49">
        <f t="shared" si="18"/>
        <v>7433.402946</v>
      </c>
      <c r="F83" s="49">
        <f t="shared" si="18"/>
        <v>7248.80943</v>
      </c>
      <c r="G83" s="49">
        <f t="shared" si="18"/>
        <v>7076.099775</v>
      </c>
      <c r="H83" s="49">
        <f t="shared" si="18"/>
        <v>7485.79154</v>
      </c>
      <c r="I83" s="49">
        <f t="shared" si="18"/>
        <v>7208.022808</v>
      </c>
      <c r="J83" s="49">
        <f t="shared" si="18"/>
        <v>6998.9099</v>
      </c>
      <c r="K83" s="49">
        <f t="shared" si="18"/>
        <v>5962.774225</v>
      </c>
      <c r="L83" s="49">
        <f t="shared" si="18"/>
        <v>5923.350238</v>
      </c>
      <c r="M83" s="49">
        <f t="shared" si="18"/>
        <v>8189.70517</v>
      </c>
      <c r="N83" s="49">
        <f t="shared" si="18"/>
        <v>9590.904972</v>
      </c>
      <c r="O83" s="49">
        <f t="shared" si="18"/>
        <v>8077.099505</v>
      </c>
      <c r="P83" s="49">
        <f t="shared" si="18"/>
        <v>6244.525725</v>
      </c>
      <c r="Q83" s="49">
        <f t="shared" si="18"/>
        <v>5445.047345</v>
      </c>
      <c r="R83" s="49">
        <f t="shared" si="18"/>
        <v>5314.321555</v>
      </c>
      <c r="S83" s="49">
        <f t="shared" si="18"/>
        <v>5440.823632</v>
      </c>
      <c r="T83" s="49">
        <f t="shared" si="18"/>
        <v>5902.747865</v>
      </c>
      <c r="U83" s="49">
        <f t="shared" si="18"/>
        <v>8089.738335</v>
      </c>
      <c r="V83" s="49">
        <f t="shared" si="18"/>
        <v>8358.363533</v>
      </c>
      <c r="W83" s="49">
        <f t="shared" si="18"/>
        <v>6593.286881</v>
      </c>
      <c r="X83" s="49">
        <f t="shared" si="18"/>
        <v>5802.105172</v>
      </c>
      <c r="Y83" s="49">
        <f t="shared" si="18"/>
        <v>5610.332524</v>
      </c>
      <c r="Z83" s="49">
        <f t="shared" si="18"/>
        <v>5464.28172</v>
      </c>
      <c r="AA83" s="49">
        <f t="shared" si="18"/>
        <v>5750.66428</v>
      </c>
      <c r="AB83" s="49">
        <f t="shared" si="18"/>
        <v>5615.320713</v>
      </c>
      <c r="AC83" s="49">
        <f t="shared" si="18"/>
        <v>5880.383896</v>
      </c>
      <c r="AD83" s="49">
        <f t="shared" si="18"/>
        <v>5411.995691</v>
      </c>
      <c r="AE83" s="49">
        <f t="shared" si="18"/>
        <v>5058.928517</v>
      </c>
      <c r="AF83" s="49">
        <f t="shared" si="18"/>
        <v>4809.078883</v>
      </c>
    </row>
    <row r="84">
      <c r="A84" s="50" t="s">
        <v>66</v>
      </c>
      <c r="B84" s="51">
        <f t="shared" ref="B84:AF84" si="19">SUM(B73:B82)</f>
        <v>10532.13784</v>
      </c>
      <c r="C84" s="51">
        <f t="shared" si="19"/>
        <v>10646.36653</v>
      </c>
      <c r="D84" s="51">
        <f t="shared" si="19"/>
        <v>9527.897425</v>
      </c>
      <c r="E84" s="51">
        <f t="shared" si="19"/>
        <v>8585.512946</v>
      </c>
      <c r="F84" s="51">
        <f t="shared" si="19"/>
        <v>8640.83943</v>
      </c>
      <c r="G84" s="51">
        <f t="shared" si="19"/>
        <v>7076.099775</v>
      </c>
      <c r="H84" s="51">
        <f t="shared" si="19"/>
        <v>7485.79154</v>
      </c>
      <c r="I84" s="51">
        <f t="shared" si="19"/>
        <v>7549.262808</v>
      </c>
      <c r="J84" s="51">
        <f t="shared" si="19"/>
        <v>7891.1599</v>
      </c>
      <c r="K84" s="51">
        <f t="shared" si="19"/>
        <v>6819.774225</v>
      </c>
      <c r="L84" s="51">
        <f t="shared" si="19"/>
        <v>6909.360238</v>
      </c>
      <c r="M84" s="51">
        <f t="shared" si="19"/>
        <v>9369.76517</v>
      </c>
      <c r="N84" s="51">
        <f t="shared" si="19"/>
        <v>10458.38497</v>
      </c>
      <c r="O84" s="51">
        <f t="shared" si="19"/>
        <v>9148.859505</v>
      </c>
      <c r="P84" s="51">
        <f t="shared" si="19"/>
        <v>7256.975725</v>
      </c>
      <c r="Q84" s="51">
        <f t="shared" si="19"/>
        <v>6422.087345</v>
      </c>
      <c r="R84" s="51">
        <f t="shared" si="19"/>
        <v>6359.673432</v>
      </c>
      <c r="S84" s="51">
        <f t="shared" si="19"/>
        <v>6435.953632</v>
      </c>
      <c r="T84" s="51">
        <f t="shared" si="19"/>
        <v>7229.019742</v>
      </c>
      <c r="U84" s="51">
        <f t="shared" si="19"/>
        <v>9498.588335</v>
      </c>
      <c r="V84" s="51">
        <f t="shared" si="19"/>
        <v>9738.613533</v>
      </c>
      <c r="W84" s="51">
        <f t="shared" si="19"/>
        <v>7265.936881</v>
      </c>
      <c r="X84" s="51">
        <f t="shared" si="19"/>
        <v>6511.805172</v>
      </c>
      <c r="Y84" s="51">
        <f t="shared" si="19"/>
        <v>6347.532524</v>
      </c>
      <c r="Z84" s="51">
        <f t="shared" si="19"/>
        <v>6328.18172</v>
      </c>
      <c r="AA84" s="51">
        <f t="shared" si="19"/>
        <v>6941.76428</v>
      </c>
      <c r="AB84" s="51">
        <f t="shared" si="19"/>
        <v>7471.890713</v>
      </c>
      <c r="AC84" s="51">
        <f t="shared" si="19"/>
        <v>8308.683896</v>
      </c>
      <c r="AD84" s="51">
        <f t="shared" si="19"/>
        <v>7277.175691</v>
      </c>
      <c r="AE84" s="51">
        <f t="shared" si="19"/>
        <v>6859.190394</v>
      </c>
      <c r="AF84" s="51">
        <f t="shared" si="19"/>
        <v>6563.348883</v>
      </c>
    </row>
    <row r="86">
      <c r="A86" s="16" t="s">
        <v>67</v>
      </c>
      <c r="AE86" s="52">
        <v>119.17</v>
      </c>
      <c r="AF86" s="52">
        <v>273.37</v>
      </c>
    </row>
    <row r="87">
      <c r="A87" s="4" t="s">
        <v>55</v>
      </c>
      <c r="B87" s="27">
        <v>0.0</v>
      </c>
      <c r="C87" s="27">
        <v>0.0</v>
      </c>
      <c r="D87" s="27">
        <v>0.0</v>
      </c>
      <c r="E87" s="27">
        <v>0.0</v>
      </c>
      <c r="F87" s="27">
        <v>0.0</v>
      </c>
      <c r="G87" s="27">
        <v>0.0</v>
      </c>
      <c r="H87" s="27">
        <v>0.0</v>
      </c>
      <c r="I87" s="27">
        <v>0.0</v>
      </c>
      <c r="J87" s="27">
        <v>0.0</v>
      </c>
      <c r="K87" s="27">
        <v>0.0</v>
      </c>
      <c r="L87" s="27">
        <v>0.0</v>
      </c>
      <c r="M87" s="27">
        <v>0.0</v>
      </c>
      <c r="N87" s="27">
        <v>0.0</v>
      </c>
      <c r="O87" s="27">
        <v>0.0</v>
      </c>
      <c r="P87" s="27">
        <v>0.0</v>
      </c>
      <c r="Q87" s="27">
        <v>0.0</v>
      </c>
      <c r="R87" s="27">
        <v>0.0</v>
      </c>
      <c r="S87" s="27">
        <v>0.0</v>
      </c>
      <c r="T87" s="27">
        <v>0.0</v>
      </c>
      <c r="U87" s="27">
        <v>0.0</v>
      </c>
      <c r="V87" s="27">
        <v>0.0</v>
      </c>
      <c r="W87" s="27">
        <v>0.0</v>
      </c>
      <c r="X87" s="27">
        <v>0.0</v>
      </c>
      <c r="Y87" s="27">
        <v>0.0</v>
      </c>
      <c r="Z87" s="27">
        <v>0.0</v>
      </c>
      <c r="AA87" s="27">
        <v>0.0</v>
      </c>
      <c r="AB87" s="27">
        <v>0.0</v>
      </c>
      <c r="AC87" s="27">
        <v>0.0</v>
      </c>
      <c r="AD87" s="27">
        <v>0.0</v>
      </c>
      <c r="AE87" s="27">
        <f t="shared" ref="AE87:AF87" si="20">AE86*AE72</f>
        <v>129.216031</v>
      </c>
      <c r="AF87" s="27">
        <f t="shared" si="20"/>
        <v>295.321611</v>
      </c>
    </row>
    <row r="88">
      <c r="A88" s="4" t="s">
        <v>68</v>
      </c>
      <c r="B88" s="27">
        <v>100.26</v>
      </c>
      <c r="C88" s="27">
        <v>99.48</v>
      </c>
      <c r="D88" s="27">
        <v>98.52</v>
      </c>
      <c r="E88" s="27">
        <v>95.87</v>
      </c>
      <c r="F88" s="27">
        <v>98.06</v>
      </c>
      <c r="G88" s="27">
        <v>98.72</v>
      </c>
      <c r="H88" s="27">
        <v>99.07</v>
      </c>
      <c r="I88" s="27">
        <v>84.79</v>
      </c>
      <c r="J88" s="27">
        <v>36.01</v>
      </c>
      <c r="K88" s="27">
        <v>19.22</v>
      </c>
      <c r="L88" s="27">
        <v>55.87</v>
      </c>
      <c r="M88" s="27">
        <v>28.3</v>
      </c>
      <c r="N88" s="27">
        <v>45.02</v>
      </c>
      <c r="O88" s="27">
        <v>55.87</v>
      </c>
      <c r="P88" s="27">
        <v>39.8</v>
      </c>
      <c r="Q88" s="27">
        <v>38.97</v>
      </c>
      <c r="R88" s="27">
        <v>19.95</v>
      </c>
      <c r="S88" s="27">
        <v>18.16</v>
      </c>
      <c r="T88" s="27">
        <v>30.52</v>
      </c>
      <c r="U88" s="27">
        <v>42.99</v>
      </c>
      <c r="V88" s="27">
        <v>51.25</v>
      </c>
      <c r="W88" s="27">
        <v>44.38</v>
      </c>
      <c r="X88" s="27">
        <v>25.55</v>
      </c>
      <c r="Y88" s="27">
        <v>20.45</v>
      </c>
      <c r="Z88" s="27">
        <v>52.01</v>
      </c>
      <c r="AA88" s="27">
        <v>47.22</v>
      </c>
      <c r="AB88" s="27">
        <v>55.62</v>
      </c>
      <c r="AC88" s="27">
        <v>42.55</v>
      </c>
      <c r="AD88" s="27">
        <v>45.98</v>
      </c>
      <c r="AE88" s="27">
        <v>36.18</v>
      </c>
      <c r="AF88" s="27">
        <v>54.55</v>
      </c>
    </row>
    <row r="89">
      <c r="A89" s="4" t="s">
        <v>56</v>
      </c>
      <c r="B89" s="27">
        <v>0.0</v>
      </c>
      <c r="C89" s="27">
        <v>0.0</v>
      </c>
      <c r="D89" s="27">
        <v>0.0</v>
      </c>
      <c r="E89" s="27">
        <v>0.0</v>
      </c>
      <c r="F89" s="27">
        <v>0.0</v>
      </c>
      <c r="G89" s="27">
        <v>0.0</v>
      </c>
      <c r="H89" s="27">
        <v>0.0</v>
      </c>
      <c r="I89" s="27">
        <v>0.0</v>
      </c>
      <c r="J89" s="27">
        <v>0.0</v>
      </c>
      <c r="K89" s="27">
        <v>0.0</v>
      </c>
      <c r="L89" s="27">
        <v>0.0</v>
      </c>
      <c r="M89" s="27">
        <v>0.0</v>
      </c>
      <c r="N89" s="27">
        <v>0.0</v>
      </c>
      <c r="O89" s="27">
        <v>0.0</v>
      </c>
      <c r="P89" s="27">
        <v>0.0</v>
      </c>
      <c r="Q89" s="27">
        <v>0.0</v>
      </c>
      <c r="R89" s="27">
        <v>0.0</v>
      </c>
      <c r="S89" s="27">
        <v>0.0</v>
      </c>
      <c r="T89" s="27">
        <v>0.0</v>
      </c>
      <c r="U89" s="27">
        <v>0.0</v>
      </c>
      <c r="V89" s="27">
        <v>0.0</v>
      </c>
      <c r="W89" s="27">
        <v>0.0</v>
      </c>
      <c r="X89" s="27">
        <v>0.0</v>
      </c>
      <c r="Y89" s="27">
        <v>0.0</v>
      </c>
      <c r="Z89" s="27">
        <v>0.0</v>
      </c>
      <c r="AA89" s="27">
        <v>0.0</v>
      </c>
      <c r="AB89" s="27">
        <v>0.0</v>
      </c>
      <c r="AC89" s="27">
        <v>0.0</v>
      </c>
      <c r="AD89" s="27">
        <v>0.0</v>
      </c>
      <c r="AE89" s="27">
        <v>0.0</v>
      </c>
      <c r="AF89" s="27">
        <v>0.0</v>
      </c>
    </row>
    <row r="90">
      <c r="A90" s="53" t="s">
        <v>69</v>
      </c>
      <c r="B90" s="54">
        <f t="shared" ref="B90:AF90" si="21">SUM(B87:B88)</f>
        <v>100.26</v>
      </c>
      <c r="C90" s="54">
        <f t="shared" si="21"/>
        <v>99.48</v>
      </c>
      <c r="D90" s="54">
        <f t="shared" si="21"/>
        <v>98.52</v>
      </c>
      <c r="E90" s="54">
        <f t="shared" si="21"/>
        <v>95.87</v>
      </c>
      <c r="F90" s="54">
        <f t="shared" si="21"/>
        <v>98.06</v>
      </c>
      <c r="G90" s="54">
        <f t="shared" si="21"/>
        <v>98.72</v>
      </c>
      <c r="H90" s="54">
        <f t="shared" si="21"/>
        <v>99.07</v>
      </c>
      <c r="I90" s="54">
        <f t="shared" si="21"/>
        <v>84.79</v>
      </c>
      <c r="J90" s="54">
        <f t="shared" si="21"/>
        <v>36.01</v>
      </c>
      <c r="K90" s="54">
        <f t="shared" si="21"/>
        <v>19.22</v>
      </c>
      <c r="L90" s="54">
        <f t="shared" si="21"/>
        <v>55.87</v>
      </c>
      <c r="M90" s="54">
        <f t="shared" si="21"/>
        <v>28.3</v>
      </c>
      <c r="N90" s="54">
        <f t="shared" si="21"/>
        <v>45.02</v>
      </c>
      <c r="O90" s="54">
        <f t="shared" si="21"/>
        <v>55.87</v>
      </c>
      <c r="P90" s="54">
        <f t="shared" si="21"/>
        <v>39.8</v>
      </c>
      <c r="Q90" s="54">
        <f t="shared" si="21"/>
        <v>38.97</v>
      </c>
      <c r="R90" s="54">
        <f t="shared" si="21"/>
        <v>19.95</v>
      </c>
      <c r="S90" s="54">
        <f t="shared" si="21"/>
        <v>18.16</v>
      </c>
      <c r="T90" s="54">
        <f t="shared" si="21"/>
        <v>30.52</v>
      </c>
      <c r="U90" s="54">
        <f t="shared" si="21"/>
        <v>42.99</v>
      </c>
      <c r="V90" s="54">
        <f t="shared" si="21"/>
        <v>51.25</v>
      </c>
      <c r="W90" s="54">
        <f t="shared" si="21"/>
        <v>44.38</v>
      </c>
      <c r="X90" s="54">
        <f t="shared" si="21"/>
        <v>25.55</v>
      </c>
      <c r="Y90" s="54">
        <f t="shared" si="21"/>
        <v>20.45</v>
      </c>
      <c r="Z90" s="54">
        <f t="shared" si="21"/>
        <v>52.01</v>
      </c>
      <c r="AA90" s="54">
        <f t="shared" si="21"/>
        <v>47.22</v>
      </c>
      <c r="AB90" s="54">
        <f t="shared" si="21"/>
        <v>55.62</v>
      </c>
      <c r="AC90" s="54">
        <f t="shared" si="21"/>
        <v>42.55</v>
      </c>
      <c r="AD90" s="54">
        <f t="shared" si="21"/>
        <v>45.98</v>
      </c>
      <c r="AE90" s="54">
        <f t="shared" si="21"/>
        <v>165.396031</v>
      </c>
      <c r="AF90" s="54">
        <f t="shared" si="21"/>
        <v>349.871611</v>
      </c>
    </row>
    <row r="92">
      <c r="A92" s="55" t="s">
        <v>70</v>
      </c>
      <c r="B92" s="56">
        <f t="shared" ref="B92:AF92" si="22">B30/B84</f>
        <v>3.933322052</v>
      </c>
      <c r="C92" s="56">
        <f t="shared" si="22"/>
        <v>3.824252143</v>
      </c>
      <c r="D92" s="56">
        <f t="shared" si="22"/>
        <v>5.008406144</v>
      </c>
      <c r="E92" s="56">
        <f t="shared" si="22"/>
        <v>4.812342636</v>
      </c>
      <c r="F92" s="56">
        <f t="shared" si="22"/>
        <v>4.895291753</v>
      </c>
      <c r="G92" s="56">
        <f t="shared" si="22"/>
        <v>6.198888003</v>
      </c>
      <c r="H92" s="56">
        <f t="shared" si="22"/>
        <v>5.850424737</v>
      </c>
      <c r="I92" s="56">
        <f t="shared" si="22"/>
        <v>5.301105686</v>
      </c>
      <c r="J92" s="56">
        <f t="shared" si="22"/>
        <v>4.384600038</v>
      </c>
      <c r="K92" s="56">
        <f t="shared" si="22"/>
        <v>4.409068249</v>
      </c>
      <c r="L92" s="56">
        <f t="shared" si="22"/>
        <v>5.154908526</v>
      </c>
      <c r="M92" s="56">
        <f t="shared" si="22"/>
        <v>4.224559451</v>
      </c>
      <c r="N92" s="56">
        <f t="shared" si="22"/>
        <v>3.484194749</v>
      </c>
      <c r="O92" s="56">
        <f t="shared" si="22"/>
        <v>3.624520628</v>
      </c>
      <c r="P92" s="56">
        <f t="shared" si="22"/>
        <v>4.728829377</v>
      </c>
      <c r="Q92" s="56">
        <f t="shared" si="22"/>
        <v>4.812092757</v>
      </c>
      <c r="R92" s="56">
        <f t="shared" si="22"/>
        <v>6.06548745</v>
      </c>
      <c r="S92" s="56">
        <f t="shared" si="22"/>
        <v>5.316181868</v>
      </c>
      <c r="T92" s="56">
        <f t="shared" si="22"/>
        <v>4.865708027</v>
      </c>
      <c r="U92" s="56">
        <f t="shared" si="22"/>
        <v>4.928970322</v>
      </c>
      <c r="V92" s="56">
        <f t="shared" si="22"/>
        <v>3.450844403</v>
      </c>
      <c r="W92" s="56">
        <f t="shared" si="22"/>
        <v>4.762766394</v>
      </c>
      <c r="X92" s="56">
        <f t="shared" si="22"/>
        <v>4.866770298</v>
      </c>
      <c r="Y92" s="56">
        <f t="shared" si="22"/>
        <v>4.702565901</v>
      </c>
      <c r="Z92" s="56">
        <f t="shared" si="22"/>
        <v>4.082207361</v>
      </c>
      <c r="AA92" s="56">
        <f t="shared" si="22"/>
        <v>4.301389214</v>
      </c>
      <c r="AB92" s="56">
        <f t="shared" si="22"/>
        <v>4.065735323</v>
      </c>
      <c r="AC92" s="56">
        <f t="shared" si="22"/>
        <v>4.478704506</v>
      </c>
      <c r="AD92" s="56">
        <f t="shared" si="22"/>
        <v>5.103499156</v>
      </c>
      <c r="AE92" s="56">
        <f t="shared" si="22"/>
        <v>3.868408349</v>
      </c>
      <c r="AF92" s="56">
        <f t="shared" si="22"/>
        <v>4.954489024</v>
      </c>
    </row>
    <row r="93">
      <c r="A93" s="18" t="s">
        <v>71</v>
      </c>
      <c r="B93" s="56">
        <f t="shared" ref="B93:AF93" si="23">B8/B83</f>
        <v>4.073959286</v>
      </c>
      <c r="C93" s="56">
        <f t="shared" si="23"/>
        <v>3.98694576</v>
      </c>
      <c r="D93" s="56">
        <f t="shared" si="23"/>
        <v>4.959272436</v>
      </c>
      <c r="E93" s="56">
        <f t="shared" si="23"/>
        <v>4.586572294</v>
      </c>
      <c r="F93" s="56">
        <f t="shared" si="23"/>
        <v>4.815094166</v>
      </c>
      <c r="G93" s="56">
        <f t="shared" si="23"/>
        <v>5.313901894</v>
      </c>
      <c r="H93" s="56">
        <f t="shared" si="23"/>
        <v>5.118363208</v>
      </c>
      <c r="I93" s="56">
        <f t="shared" si="23"/>
        <v>4.319649206</v>
      </c>
      <c r="J93" s="56">
        <f t="shared" si="23"/>
        <v>3.844552992</v>
      </c>
      <c r="K93" s="56">
        <f t="shared" si="23"/>
        <v>4.034992621</v>
      </c>
      <c r="L93" s="56">
        <f t="shared" si="23"/>
        <v>4.85877229</v>
      </c>
      <c r="M93" s="56">
        <f t="shared" si="23"/>
        <v>3.955817618</v>
      </c>
      <c r="N93" s="56">
        <f t="shared" si="23"/>
        <v>3.089473839</v>
      </c>
      <c r="O93" s="56">
        <f t="shared" si="23"/>
        <v>3.411321104</v>
      </c>
      <c r="P93" s="56">
        <f t="shared" si="23"/>
        <v>4.462995466</v>
      </c>
      <c r="Q93" s="56">
        <f t="shared" si="23"/>
        <v>4.737573131</v>
      </c>
      <c r="R93" s="56">
        <f t="shared" si="23"/>
        <v>6.09745377</v>
      </c>
      <c r="S93" s="56">
        <f t="shared" si="23"/>
        <v>4.946850297</v>
      </c>
      <c r="T93" s="56">
        <f t="shared" si="23"/>
        <v>4.598224525</v>
      </c>
      <c r="U93" s="56">
        <f t="shared" si="23"/>
        <v>4.303607677</v>
      </c>
      <c r="V93" s="56">
        <f t="shared" si="23"/>
        <v>2.259000811</v>
      </c>
      <c r="W93" s="56">
        <f t="shared" si="23"/>
        <v>3.079241108</v>
      </c>
      <c r="X93" s="56">
        <f t="shared" si="23"/>
        <v>3.877666697</v>
      </c>
      <c r="Y93" s="56">
        <f t="shared" si="23"/>
        <v>3.254817771</v>
      </c>
      <c r="Z93" s="56">
        <f t="shared" si="23"/>
        <v>3.328517989</v>
      </c>
      <c r="AA93" s="56">
        <f t="shared" si="23"/>
        <v>3.316792473</v>
      </c>
      <c r="AB93" s="56">
        <f t="shared" si="23"/>
        <v>3.56545441</v>
      </c>
      <c r="AC93" s="56">
        <f t="shared" si="23"/>
        <v>3.647557775</v>
      </c>
      <c r="AD93" s="56">
        <f t="shared" si="23"/>
        <v>3.714382115</v>
      </c>
      <c r="AE93" s="56">
        <f t="shared" si="23"/>
        <v>2.959634624</v>
      </c>
      <c r="AF93" s="56">
        <f t="shared" si="23"/>
        <v>3.711756541</v>
      </c>
    </row>
    <row r="94">
      <c r="A94" s="18" t="s">
        <v>72</v>
      </c>
      <c r="B94" s="56">
        <f t="shared" ref="B94:AF94" si="24">B15/B77</f>
        <v>3.454444314</v>
      </c>
      <c r="C94" s="56">
        <f t="shared" si="24"/>
        <v>3.312671528</v>
      </c>
      <c r="D94" s="56">
        <f t="shared" si="24"/>
        <v>5.203865285</v>
      </c>
      <c r="E94" s="56">
        <f t="shared" si="24"/>
        <v>6.269010772</v>
      </c>
      <c r="F94" s="56">
        <f t="shared" si="24"/>
        <v>5.312909923</v>
      </c>
      <c r="G94" s="56" t="str">
        <f t="shared" si="24"/>
        <v>#DIV/0!</v>
      </c>
      <c r="H94" s="56" t="str">
        <f t="shared" si="24"/>
        <v>#DIV/0!</v>
      </c>
      <c r="I94" s="56">
        <f t="shared" si="24"/>
        <v>26.03244051</v>
      </c>
      <c r="J94" s="56">
        <f t="shared" si="24"/>
        <v>8.620790137</v>
      </c>
      <c r="K94" s="56">
        <f t="shared" si="24"/>
        <v>7.011785298</v>
      </c>
      <c r="L94" s="56">
        <f t="shared" si="24"/>
        <v>6.933915478</v>
      </c>
      <c r="M94" s="56">
        <f t="shared" si="24"/>
        <v>6.089647984</v>
      </c>
      <c r="N94" s="56">
        <f t="shared" si="24"/>
        <v>7.848250104</v>
      </c>
      <c r="O94" s="56">
        <f t="shared" si="24"/>
        <v>5.231255132</v>
      </c>
      <c r="P94" s="56">
        <f t="shared" si="24"/>
        <v>6.368423132</v>
      </c>
      <c r="Q94" s="56">
        <f t="shared" si="24"/>
        <v>5.227390895</v>
      </c>
      <c r="R94" s="56">
        <f t="shared" si="24"/>
        <v>5.927798296</v>
      </c>
      <c r="S94" s="56">
        <f t="shared" si="24"/>
        <v>7.335483806</v>
      </c>
      <c r="T94" s="56">
        <f t="shared" si="24"/>
        <v>6.109449623</v>
      </c>
      <c r="U94" s="56">
        <f t="shared" si="24"/>
        <v>8.519856621</v>
      </c>
      <c r="V94" s="56">
        <f t="shared" si="24"/>
        <v>10.66827749</v>
      </c>
      <c r="W94" s="56">
        <f t="shared" si="24"/>
        <v>21.26461012</v>
      </c>
      <c r="X94" s="56">
        <f t="shared" si="24"/>
        <v>12.95312104</v>
      </c>
      <c r="Y94" s="56">
        <f t="shared" si="24"/>
        <v>15.72040152</v>
      </c>
      <c r="Z94" s="56">
        <f t="shared" si="24"/>
        <v>8.849392291</v>
      </c>
      <c r="AA94" s="56">
        <f t="shared" si="24"/>
        <v>9.055049954</v>
      </c>
      <c r="AB94" s="56">
        <f t="shared" si="24"/>
        <v>5.578868559</v>
      </c>
      <c r="AC94" s="56">
        <f t="shared" si="24"/>
        <v>6.491413746</v>
      </c>
      <c r="AD94" s="56">
        <f t="shared" si="24"/>
        <v>9.134153272</v>
      </c>
      <c r="AE94" s="56">
        <f t="shared" si="24"/>
        <v>6.474311578</v>
      </c>
      <c r="AF94" s="56">
        <f t="shared" si="24"/>
        <v>8.361261379</v>
      </c>
    </row>
    <row r="95">
      <c r="A95" s="18" t="s">
        <v>73</v>
      </c>
      <c r="B95" s="57">
        <f t="shared" ref="B95:AF95" si="25">B46/B90</f>
        <v>173.9726944</v>
      </c>
      <c r="C95" s="57">
        <f t="shared" si="25"/>
        <v>101.7954469</v>
      </c>
      <c r="D95" s="57">
        <f t="shared" si="25"/>
        <v>78.38043473</v>
      </c>
      <c r="E95" s="57">
        <f t="shared" si="25"/>
        <v>77.46236238</v>
      </c>
      <c r="F95" s="57">
        <f t="shared" si="25"/>
        <v>89.92319154</v>
      </c>
      <c r="G95" s="57">
        <f t="shared" si="25"/>
        <v>112.0393622</v>
      </c>
      <c r="H95" s="57">
        <f t="shared" si="25"/>
        <v>105.0273729</v>
      </c>
      <c r="I95" s="57">
        <f t="shared" si="25"/>
        <v>88.29514279</v>
      </c>
      <c r="J95" s="57">
        <f t="shared" si="25"/>
        <v>138.3287976</v>
      </c>
      <c r="K95" s="57">
        <f t="shared" si="25"/>
        <v>231.4406564</v>
      </c>
      <c r="L95" s="57">
        <f t="shared" si="25"/>
        <v>63.4439186</v>
      </c>
      <c r="M95" s="57">
        <f t="shared" si="25"/>
        <v>131.2525508</v>
      </c>
      <c r="N95" s="57">
        <f t="shared" si="25"/>
        <v>119.668811</v>
      </c>
      <c r="O95" s="57">
        <f t="shared" si="25"/>
        <v>115.6422792</v>
      </c>
      <c r="P95" s="57">
        <f t="shared" si="25"/>
        <v>83.80527638</v>
      </c>
      <c r="Q95" s="57">
        <f t="shared" si="25"/>
        <v>57.20348986</v>
      </c>
      <c r="R95" s="57">
        <f t="shared" si="25"/>
        <v>107.0305764</v>
      </c>
      <c r="S95" s="57">
        <f t="shared" si="25"/>
        <v>170.910793</v>
      </c>
      <c r="T95" s="57">
        <f t="shared" si="25"/>
        <v>72.72640891</v>
      </c>
      <c r="U95" s="57">
        <f t="shared" si="25"/>
        <v>120.1342173</v>
      </c>
      <c r="V95" s="57">
        <f t="shared" si="25"/>
        <v>103.195122</v>
      </c>
      <c r="W95" s="57">
        <f t="shared" si="25"/>
        <v>92.72036954</v>
      </c>
      <c r="X95" s="57">
        <f t="shared" si="25"/>
        <v>92.11545988</v>
      </c>
      <c r="Y95" s="57">
        <f t="shared" si="25"/>
        <v>143.596088</v>
      </c>
      <c r="Z95" s="57">
        <f t="shared" si="25"/>
        <v>53.24841377</v>
      </c>
      <c r="AA95" s="57">
        <f t="shared" si="25"/>
        <v>60.83185091</v>
      </c>
      <c r="AB95" s="57">
        <f t="shared" si="25"/>
        <v>96.85346997</v>
      </c>
      <c r="AC95" s="57">
        <f t="shared" si="25"/>
        <v>129.6115159</v>
      </c>
      <c r="AD95" s="57">
        <f t="shared" si="25"/>
        <v>54.16093954</v>
      </c>
      <c r="AE95" s="57">
        <f t="shared" si="25"/>
        <v>13.55189714</v>
      </c>
      <c r="AF95" s="57">
        <f t="shared" si="25"/>
        <v>4.683632363</v>
      </c>
    </row>
    <row r="97">
      <c r="A97" s="55" t="s">
        <v>74</v>
      </c>
      <c r="B97" s="45">
        <f>B84/sum('DTC - P&amp;L'!B58,'AMAZON - P&amp;L'!B32,'Digital Marketplaces - P &amp; L'!B17,'Digital Marketplaces - P &amp; L'!B129)</f>
        <v>103.2562533</v>
      </c>
      <c r="C97" s="45">
        <f>C84/sum('DTC - P&amp;L'!C58,'AMAZON - P&amp;L'!C32,'Digital Marketplaces - P &amp; L'!C17,'Digital Marketplaces - P &amp; L'!C129)</f>
        <v>101.3939669</v>
      </c>
      <c r="D97" s="45">
        <f>D84/sum('DTC - P&amp;L'!D58,'AMAZON - P&amp;L'!D32,'Digital Marketplaces - P &amp; L'!D17,'Digital Marketplaces - P &amp; L'!D129)</f>
        <v>71.6383265</v>
      </c>
      <c r="E97" s="45">
        <f>E84/sum('DTC - P&amp;L'!E58,'AMAZON - P&amp;L'!E32,'Digital Marketplaces - P &amp; L'!E17,'Digital Marketplaces - P &amp; L'!E129)</f>
        <v>75.97799067</v>
      </c>
      <c r="F97" s="45">
        <f>F84/sum('DTC - P&amp;L'!F58,'AMAZON - P&amp;L'!F32,'Digital Marketplaces - P &amp; L'!F17,'Digital Marketplaces - P &amp; L'!F129)</f>
        <v>78.55308573</v>
      </c>
      <c r="G97" s="45">
        <f>G84/sum('DTC - P&amp;L'!G58,'AMAZON - P&amp;L'!G32,'Digital Marketplaces - P &amp; L'!G17,'Digital Marketplaces - P &amp; L'!G129)</f>
        <v>63.17946228</v>
      </c>
      <c r="H97" s="45">
        <f>H84/sum('DTC - P&amp;L'!H58,'AMAZON - P&amp;L'!H32,'Digital Marketplaces - P &amp; L'!H17,'Digital Marketplaces - P &amp; L'!H129)</f>
        <v>72.67758777</v>
      </c>
      <c r="I97" s="45">
        <f>I84/sum('DTC - P&amp;L'!I58,'AMAZON - P&amp;L'!I32,'Digital Marketplaces - P &amp; L'!I17,'Digital Marketplaces - P &amp; L'!I129)</f>
        <v>70.55385802</v>
      </c>
      <c r="J97" s="45">
        <f>J84/sum('DTC - P&amp;L'!J58,'AMAZON - P&amp;L'!J32,'Digital Marketplaces - P &amp; L'!J17,'Digital Marketplaces - P &amp; L'!J129)</f>
        <v>83.06484105</v>
      </c>
      <c r="K97" s="45">
        <f>K84/sum('DTC - P&amp;L'!K58,'AMAZON - P&amp;L'!K32,'Digital Marketplaces - P &amp; L'!K17,'Digital Marketplaces - P &amp; L'!K129)</f>
        <v>82.16595452</v>
      </c>
      <c r="L97" s="45">
        <f>L84/sum('DTC - P&amp;L'!L58,'AMAZON - P&amp;L'!L32,'Digital Marketplaces - P &amp; L'!L17,'Digital Marketplaces - P &amp; L'!L129)</f>
        <v>71.97250248</v>
      </c>
      <c r="M97" s="45">
        <f>M84/sum('DTC - P&amp;L'!M58,'AMAZON - P&amp;L'!M32,'Digital Marketplaces - P &amp; L'!M17,'Digital Marketplaces - P &amp; L'!M129)</f>
        <v>82.19092254</v>
      </c>
      <c r="N97" s="45">
        <f>N84/sum('DTC - P&amp;L'!N58,'AMAZON - P&amp;L'!N32,'Digital Marketplaces - P &amp; L'!N17,'Digital Marketplaces - P &amp; L'!N129)</f>
        <v>113.6780975</v>
      </c>
      <c r="O97" s="45">
        <f>O84/sum('DTC - P&amp;L'!O58,'AMAZON - P&amp;L'!O32,'Digital Marketplaces - P &amp; L'!O17,'Digital Marketplaces - P &amp; L'!O129)</f>
        <v>110.227223</v>
      </c>
      <c r="P97" s="45">
        <f>P84/sum('DTC - P&amp;L'!P58,'AMAZON - P&amp;L'!P32,'Digital Marketplaces - P &amp; L'!P17,'Digital Marketplaces - P &amp; L'!P129)</f>
        <v>78.88017092</v>
      </c>
      <c r="Q97" s="45">
        <f>Q84/sum('DTC - P&amp;L'!Q58,'AMAZON - P&amp;L'!Q32,'Digital Marketplaces - P &amp; L'!Q17,'Digital Marketplaces - P &amp; L'!Q129)</f>
        <v>76.45342077</v>
      </c>
      <c r="R97" s="45">
        <f>R84/sum('DTC - P&amp;L'!R58,'AMAZON - P&amp;L'!R32,'Digital Marketplaces - P &amp; L'!R17,'Digital Marketplaces - P &amp; L'!R129)</f>
        <v>61.15070608</v>
      </c>
      <c r="S97" s="45">
        <f>S84/sum('DTC - P&amp;L'!S58,'AMAZON - P&amp;L'!S32,'Digital Marketplaces - P &amp; L'!S17,'Digital Marketplaces - P &amp; L'!S129)</f>
        <v>69.95601774</v>
      </c>
      <c r="T97" s="45">
        <f>T84/sum('DTC - P&amp;L'!T58,'AMAZON - P&amp;L'!T32,'Digital Marketplaces - P &amp; L'!T17,'Digital Marketplaces - P &amp; L'!T129)</f>
        <v>73.02040144</v>
      </c>
      <c r="U97" s="45">
        <f>U84/sum('DTC - P&amp;L'!U58,'AMAZON - P&amp;L'!U32,'Digital Marketplaces - P &amp; L'!U17,'Digital Marketplaces - P &amp; L'!U129)</f>
        <v>72.5083079</v>
      </c>
      <c r="V97" s="45">
        <f>V84/sum('DTC - P&amp;L'!V58,'AMAZON - P&amp;L'!V32,'Digital Marketplaces - P &amp; L'!V17,'Digital Marketplaces - P &amp; L'!V129)</f>
        <v>111.9380866</v>
      </c>
      <c r="W97" s="45">
        <f>W84/sum('DTC - P&amp;L'!W58,'AMAZON - P&amp;L'!W32,'Digital Marketplaces - P &amp; L'!W17,'Digital Marketplaces - P &amp; L'!W129)</f>
        <v>77.29720086</v>
      </c>
      <c r="X97" s="45">
        <f>X84/sum('DTC - P&amp;L'!X58,'AMAZON - P&amp;L'!X32,'Digital Marketplaces - P &amp; L'!X17,'Digital Marketplaces - P &amp; L'!X129)</f>
        <v>71.55829859</v>
      </c>
      <c r="Y97" s="45">
        <f>Y84/sum('DTC - P&amp;L'!Y58,'AMAZON - P&amp;L'!Y32,'Digital Marketplaces - P &amp; L'!Y17,'Digital Marketplaces - P &amp; L'!Y129)</f>
        <v>74.67685322</v>
      </c>
      <c r="Z97" s="45">
        <f>Z84/sum('DTC - P&amp;L'!Z58,'AMAZON - P&amp;L'!Z32,'Digital Marketplaces - P &amp; L'!Z17,'Digital Marketplaces - P &amp; L'!Z129)</f>
        <v>87.89141278</v>
      </c>
      <c r="AA97" s="45">
        <f>AA84/sum('DTC - P&amp;L'!AA58,'AMAZON - P&amp;L'!AA32,'Digital Marketplaces - P &amp; L'!AA17,'Digital Marketplaces - P &amp; L'!AA129)</f>
        <v>81.66781506</v>
      </c>
      <c r="AB97" s="45">
        <f>AB84/sum('DTC - P&amp;L'!AB58,'AMAZON - P&amp;L'!AB32,'Digital Marketplaces - P &amp; L'!AB17,'Digital Marketplaces - P &amp; L'!AB129)</f>
        <v>90.02277967</v>
      </c>
      <c r="AC97" s="45">
        <f>AC84/sum('DTC - P&amp;L'!AC58,'AMAZON - P&amp;L'!AC32,'Digital Marketplaces - P &amp; L'!AC17,'Digital Marketplaces - P &amp; L'!AC129)</f>
        <v>77.65125136</v>
      </c>
      <c r="AD97" s="45">
        <f>AD84/sum('DTC - P&amp;L'!AD58,'AMAZON - P&amp;L'!AD32,'Digital Marketplaces - P &amp; L'!AD17,'Digital Marketplaces - P &amp; L'!AD129)</f>
        <v>66.76307973</v>
      </c>
      <c r="AE97" s="45">
        <f>AE84/sum('DTC - P&amp;L'!AE58,'AMAZON - P&amp;L'!AE32,'Digital Marketplaces - P &amp; L'!AE17,'Digital Marketplaces - P &amp; L'!AE129)</f>
        <v>86.82519486</v>
      </c>
      <c r="AF97" s="45">
        <f>AF84/sum('DTC - P&amp;L'!AF58,'AMAZON - P&amp;L'!AF32,'Digital Marketplaces - P &amp; L'!AF17,'Digital Marketplaces - P &amp; L'!AF129)</f>
        <v>69.08788298</v>
      </c>
    </row>
    <row r="98">
      <c r="A98" s="18" t="s">
        <v>75</v>
      </c>
      <c r="B98" s="45">
        <f>B83/'DTC - P&amp;L'!B58</f>
        <v>105.7301018</v>
      </c>
      <c r="C98" s="45">
        <f>C83/'DTC - P&amp;L'!C58</f>
        <v>102.2472978</v>
      </c>
      <c r="D98" s="45">
        <f>D83/'DTC - P&amp;L'!D58</f>
        <v>75.38551906</v>
      </c>
      <c r="E98" s="45">
        <f>E83/'DTC - P&amp;L'!E58</f>
        <v>82.59336607</v>
      </c>
      <c r="F98" s="45">
        <f>F83/'DTC - P&amp;L'!F58</f>
        <v>83.31964862</v>
      </c>
      <c r="G98" s="45">
        <f>G83/'DTC - P&amp;L'!G58</f>
        <v>76.08709435</v>
      </c>
      <c r="H98" s="45">
        <f>H83/'DTC - P&amp;L'!H58</f>
        <v>87.04408767</v>
      </c>
      <c r="I98" s="45">
        <f>I83/'DTC - P&amp;L'!I58</f>
        <v>91.24079504</v>
      </c>
      <c r="J98" s="45">
        <f>J83/'DTC - P&amp;L'!J58</f>
        <v>99.98442714</v>
      </c>
      <c r="K98" s="45">
        <f>K83/'DTC - P&amp;L'!K58</f>
        <v>94.64720992</v>
      </c>
      <c r="L98" s="45">
        <f>L83/'DTC - P&amp;L'!L58</f>
        <v>81.14178408</v>
      </c>
      <c r="M98" s="45">
        <f>M83/'DTC - P&amp;L'!M58</f>
        <v>93.06483148</v>
      </c>
      <c r="N98" s="45">
        <f>N83/'DTC - P&amp;L'!N58</f>
        <v>141.0427202</v>
      </c>
      <c r="O98" s="45">
        <f>O83/'DTC - P&amp;L'!O58</f>
        <v>126.2046798</v>
      </c>
      <c r="P98" s="45">
        <f>P83/'DTC - P&amp;L'!P58</f>
        <v>89.20751036</v>
      </c>
      <c r="Q98" s="45">
        <f>Q83/'DTC - P&amp;L'!Q58</f>
        <v>82.50071735</v>
      </c>
      <c r="R98" s="45">
        <f>R83/'DTC - P&amp;L'!R58</f>
        <v>64.02797054</v>
      </c>
      <c r="S98" s="45">
        <f>S83/'DTC - P&amp;L'!S58</f>
        <v>81.20632287</v>
      </c>
      <c r="T98" s="45">
        <f>T83/'DTC - P&amp;L'!T58</f>
        <v>81.98260924</v>
      </c>
      <c r="U98" s="45">
        <f>U83/'DTC - P&amp;L'!U58</f>
        <v>89.8859815</v>
      </c>
      <c r="V98" s="45">
        <f>V83/'DTC - P&amp;L'!V58</f>
        <v>214.3170137</v>
      </c>
      <c r="W98" s="45">
        <f>W83/'DTC - P&amp;L'!W58</f>
        <v>137.3601434</v>
      </c>
      <c r="X98" s="45">
        <f>X83/'DTC - P&amp;L'!X58</f>
        <v>95.11647823</v>
      </c>
      <c r="Y98" s="45">
        <f>Y83/'DTC - P&amp;L'!Y58</f>
        <v>114.4965821</v>
      </c>
      <c r="Z98" s="45">
        <f>Z83/'DTC - P&amp;L'!Z58</f>
        <v>113.8392025</v>
      </c>
      <c r="AA98" s="45">
        <f>AA83/'DTC - P&amp;L'!AA58</f>
        <v>110.5896977</v>
      </c>
      <c r="AB98" s="45">
        <f>AB83/'DTC - P&amp;L'!AB58</f>
        <v>107.9869368</v>
      </c>
      <c r="AC98" s="45">
        <f>AC83/'DTC - P&amp;L'!AC58</f>
        <v>99.66752366</v>
      </c>
      <c r="AD98" s="45">
        <f>AD83/'DTC - P&amp;L'!AD58</f>
        <v>94.94729282</v>
      </c>
      <c r="AE98" s="45">
        <f>AE83/'DTC - P&amp;L'!AE58</f>
        <v>114.9756481</v>
      </c>
      <c r="AF98" s="45">
        <f>AF83/'DTC - P&amp;L'!AF58</f>
        <v>98.144467</v>
      </c>
    </row>
    <row r="99">
      <c r="A99" s="18" t="s">
        <v>76</v>
      </c>
      <c r="B99" s="45">
        <f>B77/'AMAZON - P&amp;L'!B32</f>
        <v>95.6368</v>
      </c>
      <c r="C99" s="45">
        <f>C77/'AMAZON - P&amp;L'!C32</f>
        <v>98.80115385</v>
      </c>
      <c r="D99" s="45">
        <f>D77/'AMAZON - P&amp;L'!D32</f>
        <v>59.81125</v>
      </c>
      <c r="E99" s="45">
        <f>E77/'AMAZON - P&amp;L'!E32</f>
        <v>50.09173913</v>
      </c>
      <c r="F99" s="45">
        <f>F77/'AMAZON - P&amp;L'!F32</f>
        <v>60.52304348</v>
      </c>
      <c r="G99" s="45">
        <f>G77/'AMAZON - P&amp;L'!G32</f>
        <v>0</v>
      </c>
      <c r="H99" s="45">
        <f>H77/'AMAZON - P&amp;L'!H32</f>
        <v>0</v>
      </c>
      <c r="I99" s="45">
        <f>I77/'AMAZON - P&amp;L'!I32</f>
        <v>12.18714286</v>
      </c>
      <c r="J99" s="45">
        <f>J77/'AMAZON - P&amp;L'!J32</f>
        <v>35.69</v>
      </c>
      <c r="K99" s="45">
        <f>K77/'AMAZON - P&amp;L'!K32</f>
        <v>42.85</v>
      </c>
      <c r="L99" s="45">
        <f>L77/'AMAZON - P&amp;L'!L32</f>
        <v>42.87</v>
      </c>
      <c r="M99" s="45">
        <f>M77/'AMAZON - P&amp;L'!M32</f>
        <v>45.38692308</v>
      </c>
      <c r="N99" s="45">
        <f>N77/'AMAZON - P&amp;L'!N32</f>
        <v>36.145</v>
      </c>
      <c r="O99" s="45">
        <f>O77/'AMAZON - P&amp;L'!O32</f>
        <v>56.40842105</v>
      </c>
      <c r="P99" s="45">
        <f>P77/'AMAZON - P&amp;L'!P32</f>
        <v>46.02045455</v>
      </c>
      <c r="Q99" s="45">
        <f>Q77/'AMAZON - P&amp;L'!Q32</f>
        <v>54.28</v>
      </c>
      <c r="R99" s="45">
        <f>R77/'AMAZON - P&amp;L'!R32</f>
        <v>49.30631579</v>
      </c>
      <c r="S99" s="45">
        <f>S77/'AMAZON - P&amp;L'!S32</f>
        <v>39.8052</v>
      </c>
      <c r="T99" s="45">
        <f>T77/'AMAZON - P&amp;L'!T32</f>
        <v>48.56115385</v>
      </c>
      <c r="U99" s="45">
        <f>U77/'AMAZON - P&amp;L'!U32</f>
        <v>34.36219512</v>
      </c>
      <c r="V99" s="45">
        <f>V77/'AMAZON - P&amp;L'!V32</f>
        <v>28.75520833</v>
      </c>
      <c r="W99" s="45">
        <f>W77/'AMAZON - P&amp;L'!W32</f>
        <v>14.62282609</v>
      </c>
      <c r="X99" s="45">
        <f>X77/'AMAZON - P&amp;L'!X32</f>
        <v>23.65666667</v>
      </c>
      <c r="Y99" s="45">
        <f>Y77/'AMAZON - P&amp;L'!Y32</f>
        <v>20.47777778</v>
      </c>
      <c r="Z99" s="45">
        <f>Z77/'AMAZON - P&amp;L'!Z32</f>
        <v>35.99583333</v>
      </c>
      <c r="AA99" s="45">
        <f>AA77/'AMAZON - P&amp;L'!AA32</f>
        <v>36.09393939</v>
      </c>
      <c r="AB99" s="45">
        <f>AB77/'AMAZON - P&amp;L'!AB32</f>
        <v>59.88935484</v>
      </c>
      <c r="AC99" s="45">
        <f>AC77/'AMAZON - P&amp;L'!AC32</f>
        <v>50.58958333</v>
      </c>
      <c r="AD99" s="45">
        <f>AD77/'AMAZON - P&amp;L'!AD32</f>
        <v>35.86884615</v>
      </c>
      <c r="AE99" s="45">
        <f>AE77/'AMAZON - P&amp;L'!AE32</f>
        <v>51.07588235</v>
      </c>
      <c r="AF99" s="45">
        <f>AF77/'AMAZON - P&amp;L'!AF32</f>
        <v>38.13630435</v>
      </c>
    </row>
    <row r="100">
      <c r="A100" s="18" t="s">
        <v>77</v>
      </c>
      <c r="B100" s="45">
        <f t="shared" ref="B100:AF100" si="26">B90/B70</f>
        <v>0.2017303823</v>
      </c>
      <c r="C100" s="45">
        <f t="shared" si="26"/>
        <v>0.3383673469</v>
      </c>
      <c r="D100" s="45">
        <f t="shared" si="26"/>
        <v>0.3988663968</v>
      </c>
      <c r="E100" s="45">
        <f t="shared" si="26"/>
        <v>0.4357727273</v>
      </c>
      <c r="F100" s="45">
        <f t="shared" si="26"/>
        <v>0.400244898</v>
      </c>
      <c r="G100" s="45">
        <f t="shared" si="26"/>
        <v>0.3205194805</v>
      </c>
      <c r="H100" s="45">
        <f t="shared" si="26"/>
        <v>0.3195806452</v>
      </c>
      <c r="I100" s="45">
        <f t="shared" si="26"/>
        <v>0.4304060914</v>
      </c>
      <c r="J100" s="45">
        <f t="shared" si="26"/>
        <v>0.2264779874</v>
      </c>
      <c r="K100" s="45">
        <f t="shared" si="26"/>
        <v>0.1423703704</v>
      </c>
      <c r="L100" s="45">
        <f t="shared" si="26"/>
        <v>0.5033333333</v>
      </c>
      <c r="M100" s="45">
        <f t="shared" si="26"/>
        <v>0.254954955</v>
      </c>
      <c r="N100" s="45">
        <f t="shared" si="26"/>
        <v>0.3041891892</v>
      </c>
      <c r="O100" s="45">
        <f t="shared" si="26"/>
        <v>0.2956084656</v>
      </c>
      <c r="P100" s="45">
        <f t="shared" si="26"/>
        <v>0.3585585586</v>
      </c>
      <c r="Q100" s="45">
        <f t="shared" si="26"/>
        <v>0.4235869565</v>
      </c>
      <c r="R100" s="45">
        <f t="shared" si="26"/>
        <v>0.2432926829</v>
      </c>
      <c r="S100" s="45">
        <f t="shared" si="26"/>
        <v>0.1798019802</v>
      </c>
      <c r="T100" s="45">
        <f t="shared" si="26"/>
        <v>0.3353846154</v>
      </c>
      <c r="U100" s="45">
        <f t="shared" si="26"/>
        <v>0.2738216561</v>
      </c>
      <c r="V100" s="45">
        <f t="shared" si="26"/>
        <v>0.3014705882</v>
      </c>
      <c r="W100" s="45">
        <f t="shared" si="26"/>
        <v>0.3362121212</v>
      </c>
      <c r="X100" s="45">
        <f t="shared" si="26"/>
        <v>0.2903409091</v>
      </c>
      <c r="Y100" s="45">
        <f t="shared" si="26"/>
        <v>0.1911214953</v>
      </c>
      <c r="Z100" s="45">
        <f t="shared" si="26"/>
        <v>0.3095833333</v>
      </c>
      <c r="AA100" s="45">
        <f t="shared" si="26"/>
        <v>0.295125</v>
      </c>
      <c r="AB100" s="45">
        <f t="shared" si="26"/>
        <v>0.2781</v>
      </c>
      <c r="AC100" s="45">
        <f t="shared" si="26"/>
        <v>0.1969907407</v>
      </c>
      <c r="AD100" s="45">
        <f t="shared" si="26"/>
        <v>0.3564341085</v>
      </c>
      <c r="AE100" s="45">
        <f t="shared" si="26"/>
        <v>1.378300258</v>
      </c>
      <c r="AF100" s="45">
        <f t="shared" si="26"/>
        <v>4.165138226</v>
      </c>
    </row>
    <row r="101">
      <c r="C101" s="58"/>
      <c r="M101" s="7"/>
      <c r="N101" s="7"/>
      <c r="O101" s="7"/>
      <c r="P101" s="7"/>
      <c r="Q101" s="7"/>
    </row>
    <row r="102">
      <c r="A102" s="18" t="s">
        <v>78</v>
      </c>
      <c r="B102" s="58">
        <v>0.0117</v>
      </c>
      <c r="C102" s="58">
        <v>0.0102</v>
      </c>
      <c r="D102" s="58">
        <v>0.011</v>
      </c>
      <c r="E102" s="58">
        <v>0.0122</v>
      </c>
      <c r="F102" s="58">
        <v>0.0176</v>
      </c>
      <c r="G102" s="58">
        <v>0.0178</v>
      </c>
      <c r="H102" s="58">
        <v>0.0174</v>
      </c>
      <c r="I102" s="58">
        <v>0.0153</v>
      </c>
      <c r="J102" s="58">
        <v>0.0132</v>
      </c>
      <c r="K102" s="58">
        <v>0.014</v>
      </c>
      <c r="L102" s="58">
        <v>0.0176</v>
      </c>
      <c r="M102" s="58">
        <v>0.0137</v>
      </c>
      <c r="N102" s="58">
        <v>0.0139</v>
      </c>
      <c r="O102" s="58">
        <v>0.0155</v>
      </c>
      <c r="P102" s="58">
        <v>0.0149</v>
      </c>
      <c r="Q102" s="58">
        <v>0.0148</v>
      </c>
      <c r="R102" s="58">
        <v>0.0171</v>
      </c>
      <c r="S102" s="58">
        <v>0.0132</v>
      </c>
      <c r="T102" s="58">
        <v>0.009</v>
      </c>
      <c r="U102" s="58">
        <v>0.0105</v>
      </c>
      <c r="V102" s="58">
        <v>0.0105</v>
      </c>
      <c r="W102" s="58">
        <v>0.0124</v>
      </c>
      <c r="X102" s="58">
        <v>0.0143</v>
      </c>
      <c r="Y102" s="58">
        <v>0.0136</v>
      </c>
      <c r="Z102" s="58">
        <v>0.0152</v>
      </c>
      <c r="AA102" s="58">
        <v>0.0166</v>
      </c>
      <c r="AB102" s="58">
        <v>0.0154</v>
      </c>
      <c r="AC102" s="58">
        <v>0.0153</v>
      </c>
      <c r="AD102" s="58">
        <v>0.0164</v>
      </c>
      <c r="AE102" s="58">
        <v>0.0119</v>
      </c>
      <c r="AF102" s="58">
        <v>0.0116</v>
      </c>
    </row>
    <row r="103">
      <c r="A103" s="18" t="s">
        <v>79</v>
      </c>
      <c r="B103" s="27">
        <f t="shared" ref="B103:AF103" si="27">B8/B49</f>
        <v>173.6491623</v>
      </c>
      <c r="C103" s="27">
        <f t="shared" si="27"/>
        <v>203.8272152</v>
      </c>
      <c r="D103" s="27">
        <f t="shared" si="27"/>
        <v>210.9474302</v>
      </c>
      <c r="E103" s="27">
        <f t="shared" si="27"/>
        <v>218.5502564</v>
      </c>
      <c r="F103" s="27">
        <f t="shared" si="27"/>
        <v>196.0882022</v>
      </c>
      <c r="G103" s="27">
        <f t="shared" si="27"/>
        <v>201.0786096</v>
      </c>
      <c r="H103" s="27">
        <f t="shared" si="27"/>
        <v>196.4871795</v>
      </c>
      <c r="I103" s="27">
        <f t="shared" si="27"/>
        <v>216.223125</v>
      </c>
      <c r="J103" s="27">
        <f t="shared" si="27"/>
        <v>238.1210619</v>
      </c>
      <c r="K103" s="27">
        <f t="shared" si="27"/>
        <v>231.34375</v>
      </c>
      <c r="L103" s="27">
        <f t="shared" si="27"/>
        <v>219.6962595</v>
      </c>
      <c r="M103" s="27">
        <f t="shared" si="27"/>
        <v>234.7607246</v>
      </c>
      <c r="N103" s="27">
        <f t="shared" si="27"/>
        <v>211.6489286</v>
      </c>
      <c r="O103" s="27">
        <f t="shared" si="27"/>
        <v>187.4393197</v>
      </c>
      <c r="P103" s="27">
        <f t="shared" si="27"/>
        <v>217.7288281</v>
      </c>
      <c r="Q103" s="27">
        <f t="shared" si="27"/>
        <v>220.4812821</v>
      </c>
      <c r="R103" s="27">
        <f t="shared" si="27"/>
        <v>241.8196269</v>
      </c>
      <c r="S103" s="27">
        <f t="shared" si="27"/>
        <v>251.5414953</v>
      </c>
      <c r="T103" s="27">
        <f t="shared" si="27"/>
        <v>228.0853782</v>
      </c>
      <c r="U103" s="27">
        <f t="shared" si="27"/>
        <v>232.1004</v>
      </c>
      <c r="V103" s="27">
        <f t="shared" si="27"/>
        <v>164.1873913</v>
      </c>
      <c r="W103" s="27">
        <f t="shared" si="27"/>
        <v>211.4825</v>
      </c>
      <c r="X103" s="27">
        <f t="shared" si="27"/>
        <v>247.2376923</v>
      </c>
      <c r="Y103" s="27">
        <f t="shared" si="27"/>
        <v>212.3326744</v>
      </c>
      <c r="Z103" s="27">
        <f t="shared" si="27"/>
        <v>199.8676923</v>
      </c>
      <c r="AA103" s="27">
        <f t="shared" si="27"/>
        <v>198.685</v>
      </c>
      <c r="AB103" s="27">
        <f t="shared" si="27"/>
        <v>190.6778095</v>
      </c>
      <c r="AC103" s="27">
        <f t="shared" si="27"/>
        <v>206.2407692</v>
      </c>
      <c r="AD103" s="27">
        <f t="shared" si="27"/>
        <v>193.2905769</v>
      </c>
      <c r="AE103" s="27">
        <f t="shared" si="27"/>
        <v>205.1038356</v>
      </c>
      <c r="AF103" s="27">
        <f t="shared" si="27"/>
        <v>258.6975362</v>
      </c>
    </row>
    <row r="104">
      <c r="A104" s="18" t="s">
        <v>80</v>
      </c>
      <c r="B104" s="47">
        <v>184.31</v>
      </c>
      <c r="C104" s="27">
        <v>216.71</v>
      </c>
      <c r="D104" s="59">
        <v>219.62</v>
      </c>
      <c r="E104" s="59">
        <v>228.99</v>
      </c>
      <c r="F104" s="27">
        <v>209.25</v>
      </c>
      <c r="G104" s="27">
        <v>224.39</v>
      </c>
      <c r="H104" s="27">
        <v>205.94</v>
      </c>
      <c r="I104" s="27">
        <v>225.84</v>
      </c>
      <c r="J104" s="27">
        <v>246.15</v>
      </c>
      <c r="K104" s="27">
        <v>250.37</v>
      </c>
      <c r="L104" s="27">
        <v>239.74</v>
      </c>
      <c r="M104" s="27">
        <v>250.05</v>
      </c>
      <c r="N104" s="27">
        <v>220.67</v>
      </c>
      <c r="O104" s="27">
        <v>196.03</v>
      </c>
      <c r="P104" s="27">
        <v>236.36</v>
      </c>
      <c r="Q104" s="27">
        <v>228.67</v>
      </c>
      <c r="R104" s="46">
        <v>249.23</v>
      </c>
      <c r="S104" s="27">
        <v>280.74</v>
      </c>
      <c r="T104" s="27">
        <v>230.74</v>
      </c>
      <c r="U104" s="27">
        <v>253.15</v>
      </c>
      <c r="V104" s="27">
        <v>183.88</v>
      </c>
      <c r="W104" s="27">
        <v>227.41</v>
      </c>
      <c r="X104" s="27">
        <v>266.51</v>
      </c>
      <c r="Y104" s="27">
        <v>229.05</v>
      </c>
      <c r="Z104" s="27">
        <v>204.11</v>
      </c>
      <c r="AA104" s="27">
        <v>195.45</v>
      </c>
      <c r="AB104" s="27">
        <v>212.27</v>
      </c>
      <c r="AC104" s="27">
        <v>214.31</v>
      </c>
      <c r="AD104" s="27">
        <v>214.31</v>
      </c>
      <c r="AE104" s="27">
        <v>206.49</v>
      </c>
      <c r="AF104" s="27">
        <v>275.66</v>
      </c>
    </row>
    <row r="105">
      <c r="A105" s="18" t="s">
        <v>81</v>
      </c>
      <c r="B105" s="27">
        <v>125.14</v>
      </c>
      <c r="C105" s="27">
        <v>156.55</v>
      </c>
      <c r="D105" s="59">
        <v>145.82</v>
      </c>
      <c r="E105" s="59">
        <v>116.11</v>
      </c>
      <c r="F105" s="27">
        <v>119.39</v>
      </c>
      <c r="G105" s="27">
        <v>131.14</v>
      </c>
      <c r="H105" s="27">
        <v>130.08</v>
      </c>
      <c r="I105" s="27">
        <v>157.21</v>
      </c>
      <c r="J105" s="27">
        <v>111.24</v>
      </c>
      <c r="K105" s="27">
        <v>133.27</v>
      </c>
      <c r="L105" s="27">
        <v>134.28</v>
      </c>
      <c r="M105" s="27">
        <v>160.75</v>
      </c>
      <c r="N105" s="27">
        <v>169.51</v>
      </c>
      <c r="O105" s="27">
        <v>131.72</v>
      </c>
      <c r="P105" s="27">
        <v>134.31</v>
      </c>
      <c r="Q105" s="60">
        <v>150.49</v>
      </c>
      <c r="R105" s="27">
        <v>158.05</v>
      </c>
      <c r="S105" s="27">
        <v>138.58</v>
      </c>
      <c r="T105" s="27">
        <v>217.42</v>
      </c>
      <c r="U105" s="27">
        <v>150.05</v>
      </c>
      <c r="V105" s="27">
        <v>80.15</v>
      </c>
      <c r="W105" s="27">
        <v>143.38</v>
      </c>
      <c r="X105" s="27">
        <v>172.61</v>
      </c>
      <c r="Y105" s="27">
        <v>106.67</v>
      </c>
      <c r="Z105" s="27">
        <v>124.15</v>
      </c>
      <c r="AA105" s="27">
        <v>175.75</v>
      </c>
      <c r="AB105" s="27">
        <v>118.74</v>
      </c>
      <c r="AC105" s="27">
        <v>126.24</v>
      </c>
      <c r="AD105" s="27">
        <v>126.24</v>
      </c>
      <c r="AE105" s="27">
        <v>169.91</v>
      </c>
      <c r="AF105" s="27">
        <v>106.09</v>
      </c>
    </row>
    <row r="107">
      <c r="A107" s="18" t="s">
        <v>82</v>
      </c>
    </row>
    <row r="108">
      <c r="A108" s="58" t="s">
        <v>83</v>
      </c>
      <c r="B108" s="58">
        <v>0.144</v>
      </c>
      <c r="C108" s="58">
        <v>0.162</v>
      </c>
      <c r="D108" s="58">
        <v>0.088</v>
      </c>
      <c r="E108" s="58">
        <v>0.134</v>
      </c>
      <c r="F108" s="58">
        <v>0.155</v>
      </c>
      <c r="G108" s="58">
        <v>0.214</v>
      </c>
      <c r="H108" s="58">
        <v>0.13</v>
      </c>
      <c r="I108" s="58">
        <v>0.162</v>
      </c>
      <c r="J108" s="58">
        <v>0.083</v>
      </c>
      <c r="K108" s="58">
        <v>0.17</v>
      </c>
      <c r="L108" s="58">
        <v>0.159</v>
      </c>
      <c r="M108" s="58">
        <v>0.123</v>
      </c>
      <c r="N108" s="58">
        <v>0.154</v>
      </c>
      <c r="O108" s="58">
        <v>0.139</v>
      </c>
      <c r="P108" s="58">
        <v>0.168</v>
      </c>
      <c r="Q108" s="58">
        <v>0.156</v>
      </c>
      <c r="R108" s="58">
        <v>0.135</v>
      </c>
      <c r="S108" s="58">
        <v>0.189</v>
      </c>
      <c r="T108" s="58">
        <v>0.1005</v>
      </c>
      <c r="U108" s="58">
        <v>0.188</v>
      </c>
      <c r="V108" s="58">
        <v>0.216</v>
      </c>
      <c r="W108" s="58">
        <v>0.228</v>
      </c>
      <c r="X108" s="58">
        <v>0.146</v>
      </c>
      <c r="Y108" s="58">
        <v>0.111</v>
      </c>
      <c r="Z108" s="58">
        <v>0.08</v>
      </c>
      <c r="AA108" s="58">
        <v>0.149</v>
      </c>
      <c r="AB108" s="58">
        <v>0.243</v>
      </c>
      <c r="AC108" s="58">
        <v>0.136</v>
      </c>
      <c r="AD108" s="58">
        <v>0.136</v>
      </c>
      <c r="AE108" s="58">
        <v>0.139</v>
      </c>
      <c r="AF108" s="58">
        <v>0.119</v>
      </c>
    </row>
    <row r="109">
      <c r="A109" s="4" t="s">
        <v>84</v>
      </c>
      <c r="B109" s="58">
        <f t="shared" ref="B109:AF109" si="28">1-B108</f>
        <v>0.856</v>
      </c>
      <c r="C109" s="58">
        <f t="shared" si="28"/>
        <v>0.838</v>
      </c>
      <c r="D109" s="58">
        <f t="shared" si="28"/>
        <v>0.912</v>
      </c>
      <c r="E109" s="58">
        <f t="shared" si="28"/>
        <v>0.866</v>
      </c>
      <c r="F109" s="58">
        <f t="shared" si="28"/>
        <v>0.845</v>
      </c>
      <c r="G109" s="58">
        <f t="shared" si="28"/>
        <v>0.786</v>
      </c>
      <c r="H109" s="58">
        <f t="shared" si="28"/>
        <v>0.87</v>
      </c>
      <c r="I109" s="58">
        <f t="shared" si="28"/>
        <v>0.838</v>
      </c>
      <c r="J109" s="58">
        <f t="shared" si="28"/>
        <v>0.917</v>
      </c>
      <c r="K109" s="58">
        <f t="shared" si="28"/>
        <v>0.83</v>
      </c>
      <c r="L109" s="58">
        <f t="shared" si="28"/>
        <v>0.841</v>
      </c>
      <c r="M109" s="58">
        <f t="shared" si="28"/>
        <v>0.877</v>
      </c>
      <c r="N109" s="58">
        <f t="shared" si="28"/>
        <v>0.846</v>
      </c>
      <c r="O109" s="58">
        <f t="shared" si="28"/>
        <v>0.861</v>
      </c>
      <c r="P109" s="58">
        <f t="shared" si="28"/>
        <v>0.832</v>
      </c>
      <c r="Q109" s="58">
        <f t="shared" si="28"/>
        <v>0.844</v>
      </c>
      <c r="R109" s="58">
        <f t="shared" si="28"/>
        <v>0.865</v>
      </c>
      <c r="S109" s="58">
        <f t="shared" si="28"/>
        <v>0.811</v>
      </c>
      <c r="T109" s="58">
        <f t="shared" si="28"/>
        <v>0.8995</v>
      </c>
      <c r="U109" s="58">
        <f t="shared" si="28"/>
        <v>0.812</v>
      </c>
      <c r="V109" s="58">
        <f t="shared" si="28"/>
        <v>0.784</v>
      </c>
      <c r="W109" s="58">
        <f t="shared" si="28"/>
        <v>0.772</v>
      </c>
      <c r="X109" s="58">
        <f t="shared" si="28"/>
        <v>0.854</v>
      </c>
      <c r="Y109" s="58">
        <f t="shared" si="28"/>
        <v>0.889</v>
      </c>
      <c r="Z109" s="58">
        <f t="shared" si="28"/>
        <v>0.92</v>
      </c>
      <c r="AA109" s="58">
        <f t="shared" si="28"/>
        <v>0.851</v>
      </c>
      <c r="AB109" s="58">
        <f t="shared" si="28"/>
        <v>0.757</v>
      </c>
      <c r="AC109" s="58">
        <f t="shared" si="28"/>
        <v>0.864</v>
      </c>
      <c r="AD109" s="58">
        <f t="shared" si="28"/>
        <v>0.864</v>
      </c>
      <c r="AE109" s="58">
        <f t="shared" si="28"/>
        <v>0.861</v>
      </c>
      <c r="AF109" s="58">
        <f t="shared" si="28"/>
        <v>0.881</v>
      </c>
    </row>
    <row r="111">
      <c r="B111" s="61">
        <v>45292.0</v>
      </c>
      <c r="C111" s="62" t="s">
        <v>85</v>
      </c>
      <c r="D111" s="62" t="s">
        <v>86</v>
      </c>
      <c r="AD111" s="58"/>
    </row>
    <row r="112">
      <c r="A112" s="4" t="s">
        <v>87</v>
      </c>
      <c r="B112" s="45">
        <f>SUM(B30:AF30)+SUM(B46:AF46)</f>
        <v>1284673.232</v>
      </c>
      <c r="C112" s="63">
        <v>1200000.0</v>
      </c>
      <c r="D112" s="64">
        <f t="shared" ref="D112:D114" si="29">B112/C112</f>
        <v>1.070561027</v>
      </c>
      <c r="X112" s="65"/>
      <c r="AA112" s="56"/>
    </row>
    <row r="113">
      <c r="A113" s="4" t="s">
        <v>88</v>
      </c>
      <c r="B113" s="45">
        <f>SUM(B84:AF84)+SUM(B90:AF90)</f>
        <v>245563.3618</v>
      </c>
      <c r="C113" s="63">
        <f>C112/C114</f>
        <v>300000</v>
      </c>
      <c r="D113" s="64">
        <f t="shared" si="29"/>
        <v>0.8185445395</v>
      </c>
      <c r="X113" s="65"/>
      <c r="AA113" s="56"/>
    </row>
    <row r="114">
      <c r="A114" s="4" t="s">
        <v>89</v>
      </c>
      <c r="B114" s="66">
        <f>B112/B113</f>
        <v>5.231534633</v>
      </c>
      <c r="C114" s="67">
        <v>4.0</v>
      </c>
      <c r="D114" s="64">
        <f t="shared" si="29"/>
        <v>1.307883658</v>
      </c>
    </row>
    <row r="115">
      <c r="A115" s="4" t="s">
        <v>90</v>
      </c>
      <c r="B115" s="45">
        <f>SUM(B84:AF84)/SUM('DTC - P&amp;L'!B58:AF58,'AMAZON - P&amp;L'!B32:AF32,'Digital Marketplaces - P &amp; L'!B17:AF17,'Digital Marketplaces - P &amp; L'!B129:AF129)</f>
        <v>80.16385716</v>
      </c>
      <c r="C115" s="68"/>
      <c r="D115" s="64"/>
      <c r="W115" s="4" t="s">
        <v>91</v>
      </c>
    </row>
    <row r="116">
      <c r="A116" s="4" t="s">
        <v>92</v>
      </c>
      <c r="B116" s="65">
        <f>IFERROR(__xludf.DUMMYFUNCTION("AVERAGE.WEIGHTED(B102:AF102,B49:AF49)"),0.01408046122655854)</f>
        <v>0.01408046123</v>
      </c>
      <c r="C116" s="69"/>
      <c r="D116" s="64"/>
    </row>
    <row r="117">
      <c r="A117" s="4" t="s">
        <v>93</v>
      </c>
      <c r="B117" s="27">
        <f>AVERAGE(B103:AF103)</f>
        <v>213.5297327</v>
      </c>
      <c r="C117" s="68"/>
      <c r="D117" s="64"/>
    </row>
    <row r="118">
      <c r="A118" s="4" t="s">
        <v>80</v>
      </c>
      <c r="B118" s="47">
        <f>IFERROR(__xludf.DUMMYFUNCTION("AVERAGE.WEIGHTED(B104:AF104,B49:AF49)"),224.76954637607705)</f>
        <v>224.7695464</v>
      </c>
    </row>
    <row r="119">
      <c r="A119" s="4" t="s">
        <v>81</v>
      </c>
      <c r="B119" s="27">
        <f>IFERROR(__xludf.DUMMYFUNCTION("AVERAGE.weighted(B105:AF105,B49:AF49)"),139.27943740496707)</f>
        <v>139.2794374</v>
      </c>
    </row>
    <row r="120">
      <c r="A120" s="4" t="s">
        <v>94</v>
      </c>
      <c r="B120" s="70">
        <f>SUM(B60:AF60)</f>
        <v>5022</v>
      </c>
      <c r="C120" s="71"/>
      <c r="D120" s="64"/>
      <c r="L120" s="4" t="s">
        <v>91</v>
      </c>
    </row>
    <row r="121">
      <c r="A121" s="4" t="s">
        <v>95</v>
      </c>
      <c r="B121" s="72">
        <f>'DTC - P&amp;L'!AG58 +'AMAZON - P&amp;L'!AG32+'Digital Marketplaces - P &amp; L'!AG17+'Digital Marketplaces - P &amp; L'!AG129</f>
        <v>3037</v>
      </c>
      <c r="C121" s="73">
        <v>4000.0</v>
      </c>
      <c r="D121" s="64">
        <f>B121/C121</f>
        <v>0.75925</v>
      </c>
    </row>
    <row r="122">
      <c r="A122" s="4" t="s">
        <v>96</v>
      </c>
      <c r="B122" s="45">
        <f>(SUM(B84:AF84)/B121)</f>
        <v>80.16385716</v>
      </c>
      <c r="C122" s="68"/>
      <c r="D122" s="64"/>
    </row>
    <row r="123">
      <c r="A123" s="4" t="s">
        <v>97</v>
      </c>
      <c r="B123" s="65">
        <f>IFERROR(__xludf.DUMMYFUNCTION("AVERAGE.WEIGHTED(B109:AF109,B49:AF49)"),0.8493587176887988)</f>
        <v>0.8493587177</v>
      </c>
    </row>
    <row r="124">
      <c r="A124" s="4" t="s">
        <v>98</v>
      </c>
      <c r="B124" s="65">
        <f>IFERROR(__xludf.DUMMYFUNCTION("AVERAGE.WEIGHTED(B108:AF108,B49:AF49)"),0.15064128231120122)</f>
        <v>0.1506412823</v>
      </c>
    </row>
    <row r="134">
      <c r="Y134" s="58"/>
      <c r="Z134" s="58"/>
      <c r="AA134" s="58"/>
      <c r="AB134" s="58"/>
      <c r="AC134" s="58"/>
      <c r="AD134" s="58"/>
      <c r="AE134" s="58"/>
      <c r="AF134" s="58"/>
    </row>
    <row r="135">
      <c r="Y135" s="58"/>
      <c r="Z135" s="58"/>
      <c r="AA135" s="58"/>
      <c r="AB135" s="58"/>
      <c r="AC135" s="58"/>
      <c r="AD135" s="58"/>
      <c r="AE135" s="58"/>
      <c r="AF135" s="58"/>
    </row>
    <row r="136">
      <c r="Y136" s="58"/>
      <c r="Z136" s="58"/>
      <c r="AA136" s="58"/>
      <c r="AB136" s="58"/>
      <c r="AC136" s="58"/>
      <c r="AD136" s="58"/>
      <c r="AE136" s="58"/>
      <c r="AF136" s="58"/>
    </row>
    <row r="137">
      <c r="Y137" s="74"/>
      <c r="AC137" s="58"/>
      <c r="AD137" s="58"/>
      <c r="AE137" s="58"/>
      <c r="AF137" s="58"/>
    </row>
    <row r="142">
      <c r="Y142" s="4" t="s">
        <v>91</v>
      </c>
    </row>
    <row r="230">
      <c r="G230" s="75"/>
    </row>
    <row r="231">
      <c r="G231" s="75"/>
    </row>
  </sheetData>
  <mergeCells count="2">
    <mergeCell ref="A4:A6"/>
    <mergeCell ref="Y6:AF6"/>
  </mergeCells>
  <conditionalFormatting sqref="Y134:Y137 Z134:AB136 AC134:AF137">
    <cfRule type="colorScale" priority="1">
      <colorScale>
        <cfvo type="min"/>
        <cfvo type="max"/>
        <color rgb="FFFFFFFF"/>
        <color rgb="FF57BB8A"/>
      </colorScale>
    </cfRule>
  </conditionalFormatting>
  <conditionalFormatting sqref="B108:AF108">
    <cfRule type="colorScale" priority="2">
      <colorScale>
        <cfvo type="min"/>
        <cfvo type="max"/>
        <color rgb="FFFFFFFF"/>
        <color rgb="FF57BB8A"/>
      </colorScale>
    </cfRule>
  </conditionalFormatting>
  <conditionalFormatting sqref="B97:AF97">
    <cfRule type="colorScale" priority="3">
      <colorScale>
        <cfvo type="min"/>
        <cfvo type="max"/>
        <color rgb="FF57BB8A"/>
        <color rgb="FFFFFFFF"/>
      </colorScale>
    </cfRule>
  </conditionalFormatting>
  <conditionalFormatting sqref="B92:AF92">
    <cfRule type="colorScale" priority="4">
      <colorScale>
        <cfvo type="min"/>
        <cfvo type="max"/>
        <color rgb="FFFFFFFF"/>
        <color rgb="FF57BB8A"/>
      </colorScale>
    </cfRule>
  </conditionalFormatting>
  <conditionalFormatting sqref="C101 B102 D102:AF102">
    <cfRule type="colorScale" priority="5">
      <colorScale>
        <cfvo type="min"/>
        <cfvo type="max"/>
        <color rgb="FFFFFFFF"/>
        <color rgb="FF57BB8A"/>
      </colorScale>
    </cfRule>
  </conditionalFormatting>
  <conditionalFormatting sqref="B103:AF103">
    <cfRule type="colorScale" priority="6">
      <colorScale>
        <cfvo type="min"/>
        <cfvo type="max"/>
        <color rgb="FFFFFFFF"/>
        <color rgb="FF57BB8A"/>
      </colorScale>
    </cfRule>
  </conditionalFormatting>
  <conditionalFormatting sqref="H63:AF64">
    <cfRule type="colorScale" priority="7">
      <colorScale>
        <cfvo type="min"/>
        <cfvo type="max"/>
        <color rgb="FFFFFFFF"/>
        <color rgb="FF57BB8A"/>
      </colorScale>
    </cfRule>
  </conditionalFormatting>
  <conditionalFormatting sqref="B49:AF49">
    <cfRule type="colorScale" priority="8">
      <colorScale>
        <cfvo type="min"/>
        <cfvo type="max"/>
        <color rgb="FFFFFFFF"/>
        <color rgb="FF57BB8A"/>
      </colorScale>
    </cfRule>
  </conditionalFormatting>
  <conditionalFormatting sqref="B67:AF70">
    <cfRule type="colorScale" priority="9">
      <colorScale>
        <cfvo type="min"/>
        <cfvo type="max"/>
        <color rgb="FFFFFFFF"/>
        <color rgb="FF57BB8A"/>
      </colorScale>
    </cfRule>
  </conditionalFormatting>
  <conditionalFormatting sqref="B54:AF54">
    <cfRule type="colorScale" priority="10">
      <colorScale>
        <cfvo type="min"/>
        <cfvo type="max"/>
        <color rgb="FFFFFFFF"/>
        <color rgb="FF57BB8A"/>
      </colorScale>
    </cfRule>
  </conditionalFormatting>
  <conditionalFormatting sqref="B57:AF57">
    <cfRule type="colorScale" priority="11">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76" t="s">
        <v>99</v>
      </c>
      <c r="B1" s="77">
        <v>45292.0</v>
      </c>
      <c r="C1" s="77">
        <v>45293.0</v>
      </c>
      <c r="D1" s="77">
        <v>45294.0</v>
      </c>
      <c r="E1" s="77">
        <v>45295.0</v>
      </c>
      <c r="F1" s="77">
        <v>45296.0</v>
      </c>
      <c r="G1" s="77">
        <v>45297.0</v>
      </c>
      <c r="H1" s="77">
        <v>45298.0</v>
      </c>
      <c r="I1" s="77">
        <v>45299.0</v>
      </c>
      <c r="J1" s="77">
        <v>45300.0</v>
      </c>
      <c r="K1" s="77">
        <v>45301.0</v>
      </c>
      <c r="L1" s="77">
        <v>45302.0</v>
      </c>
      <c r="M1" s="77">
        <v>45303.0</v>
      </c>
      <c r="N1" s="77">
        <v>45304.0</v>
      </c>
      <c r="O1" s="77">
        <v>45305.0</v>
      </c>
      <c r="P1" s="77">
        <v>45306.0</v>
      </c>
      <c r="Q1" s="77">
        <v>45307.0</v>
      </c>
      <c r="R1" s="77">
        <v>45308.0</v>
      </c>
      <c r="S1" s="77">
        <v>45309.0</v>
      </c>
      <c r="T1" s="77">
        <v>45310.0</v>
      </c>
      <c r="U1" s="77">
        <v>45311.0</v>
      </c>
      <c r="V1" s="77">
        <v>45312.0</v>
      </c>
      <c r="W1" s="77">
        <v>45313.0</v>
      </c>
      <c r="X1" s="77">
        <v>45314.0</v>
      </c>
      <c r="Y1" s="77">
        <v>45315.0</v>
      </c>
      <c r="Z1" s="77">
        <v>45316.0</v>
      </c>
      <c r="AA1" s="77">
        <v>45317.0</v>
      </c>
      <c r="AB1" s="77">
        <v>45318.0</v>
      </c>
      <c r="AC1" s="77">
        <v>45319.0</v>
      </c>
      <c r="AD1" s="77">
        <v>45320.0</v>
      </c>
      <c r="AE1" s="77">
        <v>45321.0</v>
      </c>
      <c r="AF1" s="77">
        <v>45322.0</v>
      </c>
      <c r="AG1" s="78"/>
    </row>
    <row r="2">
      <c r="A2" s="79" t="s">
        <v>100</v>
      </c>
      <c r="B2" s="80" t="s">
        <v>0</v>
      </c>
      <c r="C2" s="80" t="s">
        <v>7</v>
      </c>
      <c r="D2" s="80" t="s">
        <v>2</v>
      </c>
      <c r="E2" s="80" t="s">
        <v>3</v>
      </c>
      <c r="F2" s="80" t="s">
        <v>4</v>
      </c>
      <c r="G2" s="80" t="s">
        <v>5</v>
      </c>
      <c r="H2" s="80" t="s">
        <v>6</v>
      </c>
      <c r="I2" s="80" t="s">
        <v>0</v>
      </c>
      <c r="J2" s="80" t="s">
        <v>7</v>
      </c>
      <c r="K2" s="80" t="s">
        <v>2</v>
      </c>
      <c r="L2" s="80" t="s">
        <v>3</v>
      </c>
      <c r="M2" s="80" t="s">
        <v>4</v>
      </c>
      <c r="N2" s="80" t="s">
        <v>5</v>
      </c>
      <c r="O2" s="80" t="s">
        <v>6</v>
      </c>
      <c r="P2" s="80" t="s">
        <v>0</v>
      </c>
      <c r="Q2" s="80" t="s">
        <v>7</v>
      </c>
      <c r="R2" s="80" t="s">
        <v>2</v>
      </c>
      <c r="S2" s="80" t="s">
        <v>3</v>
      </c>
      <c r="T2" s="80" t="s">
        <v>4</v>
      </c>
      <c r="U2" s="80" t="s">
        <v>5</v>
      </c>
      <c r="V2" s="80" t="s">
        <v>6</v>
      </c>
      <c r="W2" s="80" t="s">
        <v>0</v>
      </c>
      <c r="X2" s="80" t="s">
        <v>7</v>
      </c>
      <c r="Y2" s="80" t="s">
        <v>2</v>
      </c>
      <c r="Z2" s="80" t="s">
        <v>3</v>
      </c>
      <c r="AA2" s="80" t="s">
        <v>4</v>
      </c>
      <c r="AB2" s="80" t="s">
        <v>5</v>
      </c>
      <c r="AC2" s="80" t="s">
        <v>6</v>
      </c>
      <c r="AD2" s="80" t="s">
        <v>0</v>
      </c>
      <c r="AE2" s="80" t="s">
        <v>7</v>
      </c>
      <c r="AF2" s="80" t="s">
        <v>2</v>
      </c>
      <c r="AG2" s="78"/>
    </row>
    <row r="3">
      <c r="A3" s="81" t="s">
        <v>101</v>
      </c>
      <c r="B3" s="82"/>
      <c r="C3" s="82"/>
      <c r="D3" s="82"/>
      <c r="E3" s="82"/>
      <c r="F3" s="82"/>
      <c r="G3" s="82"/>
      <c r="H3" s="82"/>
      <c r="I3" s="82"/>
      <c r="J3" s="82"/>
      <c r="K3" s="82"/>
      <c r="L3" s="82"/>
      <c r="M3" s="82"/>
      <c r="N3" s="82"/>
      <c r="O3" s="82"/>
      <c r="P3" s="82"/>
      <c r="Q3" s="82"/>
      <c r="R3" s="82"/>
      <c r="S3" s="82"/>
      <c r="T3" s="82"/>
      <c r="U3" s="82"/>
      <c r="V3" s="82"/>
      <c r="W3" s="82"/>
      <c r="X3" s="82"/>
      <c r="Y3" s="82"/>
      <c r="Z3" s="82"/>
      <c r="AA3" s="82"/>
      <c r="AB3" s="83"/>
      <c r="AC3" s="82"/>
      <c r="AD3" s="82"/>
      <c r="AE3" s="82"/>
      <c r="AF3" s="82"/>
      <c r="AG3" s="78"/>
    </row>
    <row r="4">
      <c r="A4" s="84" t="s">
        <v>94</v>
      </c>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78"/>
    </row>
    <row r="5">
      <c r="A5" s="85" t="s">
        <v>102</v>
      </c>
      <c r="B5" s="86">
        <v>46.0</v>
      </c>
      <c r="C5" s="87">
        <v>40.0</v>
      </c>
      <c r="D5" s="87">
        <v>39.0</v>
      </c>
      <c r="E5" s="88">
        <v>38.0</v>
      </c>
      <c r="F5" s="88">
        <v>40.0</v>
      </c>
      <c r="G5" s="88">
        <v>44.0</v>
      </c>
      <c r="H5" s="88">
        <v>47.0</v>
      </c>
      <c r="I5" s="87">
        <v>42.0</v>
      </c>
      <c r="J5" s="87">
        <v>32.0</v>
      </c>
      <c r="K5" s="87">
        <v>42.0</v>
      </c>
      <c r="L5" s="87">
        <v>25.0</v>
      </c>
      <c r="M5" s="89">
        <v>29.0</v>
      </c>
      <c r="N5" s="87">
        <v>30.0</v>
      </c>
      <c r="O5" s="87">
        <v>38.0</v>
      </c>
      <c r="P5" s="87">
        <v>29.0</v>
      </c>
      <c r="Q5" s="87">
        <v>15.0</v>
      </c>
      <c r="R5" s="87">
        <v>30.0</v>
      </c>
      <c r="S5" s="90">
        <v>29.0</v>
      </c>
      <c r="T5" s="87">
        <v>31.0</v>
      </c>
      <c r="U5" s="90">
        <v>40.0</v>
      </c>
      <c r="V5" s="90">
        <v>28.0</v>
      </c>
      <c r="W5" s="90">
        <v>27.0</v>
      </c>
      <c r="X5" s="90">
        <v>23.0</v>
      </c>
      <c r="Y5" s="91">
        <v>23.0</v>
      </c>
      <c r="Z5" s="91">
        <v>24.0</v>
      </c>
      <c r="AA5" s="90">
        <v>22.0</v>
      </c>
      <c r="AB5" s="90">
        <v>26.0</v>
      </c>
      <c r="AC5" s="90">
        <v>25.0</v>
      </c>
      <c r="AD5" s="90">
        <v>27.0</v>
      </c>
      <c r="AE5" s="90">
        <v>23.0</v>
      </c>
      <c r="AF5" s="90">
        <v>24.0</v>
      </c>
      <c r="AG5" s="92">
        <f t="shared" ref="AG5:AG12" si="1">SUM(B5:AF5)</f>
        <v>978</v>
      </c>
    </row>
    <row r="6">
      <c r="A6" s="85" t="s">
        <v>103</v>
      </c>
      <c r="B6" s="93">
        <v>75.36</v>
      </c>
      <c r="C6" s="94">
        <v>44.92</v>
      </c>
      <c r="D6" s="95">
        <v>51.85</v>
      </c>
      <c r="E6" s="95">
        <v>52.24</v>
      </c>
      <c r="F6" s="95">
        <v>57.44</v>
      </c>
      <c r="G6" s="94">
        <v>63.57</v>
      </c>
      <c r="H6" s="94">
        <v>68.06</v>
      </c>
      <c r="I6" s="94">
        <v>42.02</v>
      </c>
      <c r="J6" s="94">
        <v>35.0</v>
      </c>
      <c r="K6" s="94">
        <v>36.0</v>
      </c>
      <c r="L6" s="95">
        <v>47.08</v>
      </c>
      <c r="M6" s="94">
        <v>39.0</v>
      </c>
      <c r="N6" s="94">
        <v>42.0</v>
      </c>
      <c r="O6" s="94">
        <v>43.0</v>
      </c>
      <c r="P6" s="94">
        <v>46.0</v>
      </c>
      <c r="Q6" s="94">
        <v>33.0</v>
      </c>
      <c r="R6" s="94">
        <v>51.0</v>
      </c>
      <c r="S6" s="96">
        <v>40.0</v>
      </c>
      <c r="T6" s="94">
        <v>34.0</v>
      </c>
      <c r="U6" s="96">
        <v>49.0</v>
      </c>
      <c r="V6" s="96">
        <v>42.0</v>
      </c>
      <c r="W6" s="96">
        <v>32.0</v>
      </c>
      <c r="X6" s="96">
        <v>34.0</v>
      </c>
      <c r="Y6" s="96">
        <v>18.0</v>
      </c>
      <c r="Z6" s="96">
        <v>27.0</v>
      </c>
      <c r="AA6" s="96">
        <v>30.0</v>
      </c>
      <c r="AB6" s="96">
        <v>48.0</v>
      </c>
      <c r="AC6" s="96">
        <v>31.0</v>
      </c>
      <c r="AD6" s="96">
        <v>30.0</v>
      </c>
      <c r="AE6" s="96">
        <v>24.0</v>
      </c>
      <c r="AF6" s="96">
        <v>25.0</v>
      </c>
      <c r="AG6" s="97">
        <f t="shared" si="1"/>
        <v>1291.54</v>
      </c>
    </row>
    <row r="7">
      <c r="A7" s="98" t="s">
        <v>104</v>
      </c>
      <c r="B7" s="87">
        <v>0.0</v>
      </c>
      <c r="C7" s="87">
        <v>0.0</v>
      </c>
      <c r="D7" s="87">
        <v>0.0</v>
      </c>
      <c r="E7" s="88">
        <v>0.0</v>
      </c>
      <c r="F7" s="87">
        <v>0.0</v>
      </c>
      <c r="G7" s="87">
        <v>0.0</v>
      </c>
      <c r="H7" s="87">
        <v>0.0</v>
      </c>
      <c r="I7" s="87">
        <v>0.0</v>
      </c>
      <c r="J7" s="87">
        <v>0.0</v>
      </c>
      <c r="K7" s="87">
        <v>0.0</v>
      </c>
      <c r="L7" s="87">
        <v>0.0</v>
      </c>
      <c r="M7" s="87">
        <v>0.0</v>
      </c>
      <c r="N7" s="87">
        <v>0.0</v>
      </c>
      <c r="O7" s="87">
        <v>0.0</v>
      </c>
      <c r="P7" s="87">
        <v>0.0</v>
      </c>
      <c r="Q7" s="87">
        <v>0.0</v>
      </c>
      <c r="R7" s="87">
        <v>0.0</v>
      </c>
      <c r="S7" s="87">
        <v>0.0</v>
      </c>
      <c r="T7" s="87">
        <v>0.0</v>
      </c>
      <c r="U7" s="87">
        <v>0.0</v>
      </c>
      <c r="V7" s="87">
        <v>0.0</v>
      </c>
      <c r="W7" s="87">
        <v>0.0</v>
      </c>
      <c r="X7" s="87">
        <v>0.0</v>
      </c>
      <c r="Y7" s="87">
        <v>0.0</v>
      </c>
      <c r="Z7" s="87">
        <v>0.0</v>
      </c>
      <c r="AA7" s="87">
        <v>0.0</v>
      </c>
      <c r="AB7" s="87">
        <v>0.0</v>
      </c>
      <c r="AC7" s="87">
        <v>0.0</v>
      </c>
      <c r="AD7" s="87">
        <v>0.0</v>
      </c>
      <c r="AE7" s="87">
        <v>0.0</v>
      </c>
      <c r="AF7" s="87">
        <v>0.0</v>
      </c>
      <c r="AG7" s="92">
        <f t="shared" si="1"/>
        <v>0</v>
      </c>
    </row>
    <row r="8">
      <c r="A8" s="85" t="s">
        <v>105</v>
      </c>
      <c r="B8" s="86">
        <v>16.0</v>
      </c>
      <c r="C8" s="87">
        <v>4.0</v>
      </c>
      <c r="D8" s="87">
        <v>18.0</v>
      </c>
      <c r="E8" s="88">
        <v>16.0</v>
      </c>
      <c r="F8" s="87">
        <v>8.0</v>
      </c>
      <c r="G8" s="87">
        <v>14.0</v>
      </c>
      <c r="H8" s="87">
        <v>14.0</v>
      </c>
      <c r="I8" s="87">
        <v>14.0</v>
      </c>
      <c r="J8" s="87">
        <v>4.0</v>
      </c>
      <c r="K8" s="87">
        <v>8.0</v>
      </c>
      <c r="L8" s="88">
        <v>8.0</v>
      </c>
      <c r="M8" s="87">
        <v>16.0</v>
      </c>
      <c r="N8" s="87">
        <v>6.0</v>
      </c>
      <c r="O8" s="87">
        <v>4.0</v>
      </c>
      <c r="P8" s="87">
        <v>6.0</v>
      </c>
      <c r="Q8" s="87">
        <v>10.0</v>
      </c>
      <c r="R8" s="87">
        <v>14.0</v>
      </c>
      <c r="S8" s="90">
        <v>10.0</v>
      </c>
      <c r="T8" s="87">
        <v>8.0</v>
      </c>
      <c r="U8" s="90">
        <v>4.0</v>
      </c>
      <c r="V8" s="90">
        <v>10.0</v>
      </c>
      <c r="W8" s="90">
        <v>2.0</v>
      </c>
      <c r="X8" s="90">
        <v>2.0</v>
      </c>
      <c r="Y8" s="90">
        <v>10.0</v>
      </c>
      <c r="Z8" s="90">
        <v>6.0</v>
      </c>
      <c r="AA8" s="90">
        <v>4.0</v>
      </c>
      <c r="AB8" s="90">
        <v>6.0</v>
      </c>
      <c r="AC8" s="90">
        <v>10.0</v>
      </c>
      <c r="AD8" s="90">
        <v>4.0</v>
      </c>
      <c r="AE8" s="90">
        <v>2.0</v>
      </c>
      <c r="AF8" s="90">
        <v>4.0</v>
      </c>
      <c r="AG8" s="92">
        <f t="shared" si="1"/>
        <v>262</v>
      </c>
    </row>
    <row r="9">
      <c r="A9" s="85" t="s">
        <v>106</v>
      </c>
      <c r="B9" s="90">
        <v>0.0</v>
      </c>
      <c r="C9" s="90">
        <v>0.0</v>
      </c>
      <c r="D9" s="90">
        <v>0.0</v>
      </c>
      <c r="E9" s="90">
        <v>0.0</v>
      </c>
      <c r="F9" s="90">
        <v>0.0</v>
      </c>
      <c r="G9" s="90">
        <v>0.0</v>
      </c>
      <c r="H9" s="90">
        <v>0.0</v>
      </c>
      <c r="I9" s="90">
        <v>0.0</v>
      </c>
      <c r="J9" s="90">
        <v>0.0</v>
      </c>
      <c r="K9" s="90">
        <v>0.0</v>
      </c>
      <c r="L9" s="90">
        <v>0.0</v>
      </c>
      <c r="M9" s="90">
        <v>0.0</v>
      </c>
      <c r="N9" s="90">
        <v>0.0</v>
      </c>
      <c r="O9" s="90">
        <v>0.0</v>
      </c>
      <c r="P9" s="90">
        <v>0.0</v>
      </c>
      <c r="Q9" s="90">
        <v>0.0</v>
      </c>
      <c r="R9" s="90">
        <v>0.0</v>
      </c>
      <c r="S9" s="90">
        <v>0.0</v>
      </c>
      <c r="T9" s="90">
        <v>0.0</v>
      </c>
      <c r="U9" s="90">
        <v>0.0</v>
      </c>
      <c r="V9" s="90">
        <v>0.0</v>
      </c>
      <c r="W9" s="90">
        <v>0.0</v>
      </c>
      <c r="X9" s="90">
        <v>0.0</v>
      </c>
      <c r="Y9" s="90">
        <v>0.0</v>
      </c>
      <c r="Z9" s="90">
        <v>0.0</v>
      </c>
      <c r="AA9" s="90">
        <v>0.0</v>
      </c>
      <c r="AB9" s="90">
        <v>0.0</v>
      </c>
      <c r="AC9" s="90">
        <v>0.0</v>
      </c>
      <c r="AD9" s="90">
        <v>0.0</v>
      </c>
      <c r="AE9" s="90">
        <v>0.0</v>
      </c>
      <c r="AF9" s="90">
        <v>0.0</v>
      </c>
      <c r="AG9" s="92">
        <f t="shared" si="1"/>
        <v>0</v>
      </c>
    </row>
    <row r="10">
      <c r="A10" s="99" t="s">
        <v>107</v>
      </c>
      <c r="B10" s="87">
        <v>0.0</v>
      </c>
      <c r="C10" s="87">
        <v>0.0</v>
      </c>
      <c r="D10" s="87">
        <v>0.0</v>
      </c>
      <c r="E10" s="87">
        <v>0.0</v>
      </c>
      <c r="F10" s="87">
        <v>0.0</v>
      </c>
      <c r="G10" s="87">
        <v>0.0</v>
      </c>
      <c r="H10" s="87">
        <v>0.0</v>
      </c>
      <c r="I10" s="87">
        <v>0.0</v>
      </c>
      <c r="J10" s="87">
        <v>1.0</v>
      </c>
      <c r="K10" s="87">
        <v>0.0</v>
      </c>
      <c r="L10" s="87">
        <v>1.0</v>
      </c>
      <c r="M10" s="87">
        <v>0.0</v>
      </c>
      <c r="N10" s="87">
        <v>0.0</v>
      </c>
      <c r="O10" s="87">
        <v>0.0</v>
      </c>
      <c r="P10" s="87">
        <v>0.0</v>
      </c>
      <c r="Q10" s="87">
        <v>0.0</v>
      </c>
      <c r="R10" s="87">
        <v>0.0</v>
      </c>
      <c r="S10" s="88">
        <v>0.0</v>
      </c>
      <c r="T10" s="88">
        <v>1.0</v>
      </c>
      <c r="U10" s="88">
        <v>0.0</v>
      </c>
      <c r="V10" s="88">
        <v>0.0</v>
      </c>
      <c r="W10" s="88">
        <v>0.0</v>
      </c>
      <c r="X10" s="88">
        <v>0.0</v>
      </c>
      <c r="Y10" s="88">
        <v>0.0</v>
      </c>
      <c r="Z10" s="88"/>
      <c r="AA10" s="88"/>
      <c r="AB10" s="88"/>
      <c r="AC10" s="88"/>
      <c r="AD10" s="88"/>
      <c r="AE10" s="88"/>
      <c r="AF10" s="88"/>
      <c r="AG10" s="92">
        <f t="shared" si="1"/>
        <v>3</v>
      </c>
    </row>
    <row r="11">
      <c r="A11" s="100" t="s">
        <v>108</v>
      </c>
      <c r="B11" s="101">
        <v>1.0</v>
      </c>
      <c r="C11" s="101">
        <v>3.0</v>
      </c>
      <c r="D11" s="101">
        <v>2.0</v>
      </c>
      <c r="E11" s="101">
        <v>2.0</v>
      </c>
      <c r="F11" s="102">
        <v>4.0</v>
      </c>
      <c r="G11" s="101">
        <v>3.0</v>
      </c>
      <c r="H11" s="101">
        <v>1.0</v>
      </c>
      <c r="I11" s="101">
        <v>1.0</v>
      </c>
      <c r="J11" s="101">
        <v>4.0</v>
      </c>
      <c r="K11" s="101">
        <v>0.0</v>
      </c>
      <c r="L11" s="102">
        <v>0.0</v>
      </c>
      <c r="M11" s="101">
        <v>0.0</v>
      </c>
      <c r="N11" s="101">
        <v>0.0</v>
      </c>
      <c r="O11" s="101">
        <v>0.0</v>
      </c>
      <c r="P11" s="101">
        <v>2.0</v>
      </c>
      <c r="Q11" s="101">
        <v>1.0</v>
      </c>
      <c r="R11" s="101">
        <v>0.0</v>
      </c>
      <c r="S11" s="101">
        <v>0.0</v>
      </c>
      <c r="T11" s="101">
        <v>0.0</v>
      </c>
      <c r="U11" s="101">
        <v>0.0</v>
      </c>
      <c r="V11" s="101">
        <v>0.0</v>
      </c>
      <c r="W11" s="101">
        <v>0.0</v>
      </c>
      <c r="X11" s="101">
        <v>0.0</v>
      </c>
      <c r="Y11" s="101">
        <v>0.0</v>
      </c>
      <c r="Z11" s="101">
        <v>0.0</v>
      </c>
      <c r="AA11" s="101">
        <v>0.0</v>
      </c>
      <c r="AB11" s="101">
        <v>0.0</v>
      </c>
      <c r="AC11" s="101">
        <v>0.0</v>
      </c>
      <c r="AD11" s="101">
        <v>0.0</v>
      </c>
      <c r="AE11" s="101">
        <v>1.0</v>
      </c>
      <c r="AF11" s="101">
        <v>2.0</v>
      </c>
      <c r="AG11" s="103">
        <f t="shared" si="1"/>
        <v>27</v>
      </c>
    </row>
    <row r="12">
      <c r="A12" s="104" t="s">
        <v>109</v>
      </c>
      <c r="B12" s="105">
        <f t="shared" ref="B12:AF12" si="2">SUM(B5:B11)</f>
        <v>138.36</v>
      </c>
      <c r="C12" s="105">
        <f t="shared" si="2"/>
        <v>91.92</v>
      </c>
      <c r="D12" s="105">
        <f t="shared" si="2"/>
        <v>110.85</v>
      </c>
      <c r="E12" s="105">
        <f t="shared" si="2"/>
        <v>108.24</v>
      </c>
      <c r="F12" s="105">
        <f t="shared" si="2"/>
        <v>109.44</v>
      </c>
      <c r="G12" s="105">
        <f t="shared" si="2"/>
        <v>124.57</v>
      </c>
      <c r="H12" s="105">
        <f t="shared" si="2"/>
        <v>130.06</v>
      </c>
      <c r="I12" s="105">
        <f t="shared" si="2"/>
        <v>99.02</v>
      </c>
      <c r="J12" s="105">
        <f t="shared" si="2"/>
        <v>76</v>
      </c>
      <c r="K12" s="105">
        <f t="shared" si="2"/>
        <v>86</v>
      </c>
      <c r="L12" s="105">
        <f t="shared" si="2"/>
        <v>81.08</v>
      </c>
      <c r="M12" s="105">
        <f t="shared" si="2"/>
        <v>84</v>
      </c>
      <c r="N12" s="105">
        <f t="shared" si="2"/>
        <v>78</v>
      </c>
      <c r="O12" s="105">
        <f t="shared" si="2"/>
        <v>85</v>
      </c>
      <c r="P12" s="105">
        <f t="shared" si="2"/>
        <v>83</v>
      </c>
      <c r="Q12" s="105">
        <f t="shared" si="2"/>
        <v>59</v>
      </c>
      <c r="R12" s="105">
        <f t="shared" si="2"/>
        <v>95</v>
      </c>
      <c r="S12" s="105">
        <f t="shared" si="2"/>
        <v>79</v>
      </c>
      <c r="T12" s="105">
        <f t="shared" si="2"/>
        <v>74</v>
      </c>
      <c r="U12" s="105">
        <f t="shared" si="2"/>
        <v>93</v>
      </c>
      <c r="V12" s="105">
        <f t="shared" si="2"/>
        <v>80</v>
      </c>
      <c r="W12" s="105">
        <f t="shared" si="2"/>
        <v>61</v>
      </c>
      <c r="X12" s="105">
        <f t="shared" si="2"/>
        <v>59</v>
      </c>
      <c r="Y12" s="105">
        <f t="shared" si="2"/>
        <v>51</v>
      </c>
      <c r="Z12" s="105">
        <f t="shared" si="2"/>
        <v>57</v>
      </c>
      <c r="AA12" s="105">
        <f t="shared" si="2"/>
        <v>56</v>
      </c>
      <c r="AB12" s="105">
        <f t="shared" si="2"/>
        <v>80</v>
      </c>
      <c r="AC12" s="105">
        <f t="shared" si="2"/>
        <v>66</v>
      </c>
      <c r="AD12" s="105">
        <f t="shared" si="2"/>
        <v>61</v>
      </c>
      <c r="AE12" s="105">
        <f t="shared" si="2"/>
        <v>50</v>
      </c>
      <c r="AF12" s="105">
        <f t="shared" si="2"/>
        <v>55</v>
      </c>
      <c r="AG12" s="97">
        <f t="shared" si="1"/>
        <v>2561.54</v>
      </c>
    </row>
    <row r="13">
      <c r="A13" s="98"/>
      <c r="B13" s="82"/>
      <c r="C13" s="82"/>
      <c r="D13" s="82"/>
      <c r="E13" s="82"/>
      <c r="F13" s="82"/>
      <c r="G13" s="82"/>
      <c r="H13" s="82"/>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92"/>
    </row>
    <row r="14">
      <c r="A14" s="106" t="s">
        <v>87</v>
      </c>
      <c r="B14" s="107"/>
      <c r="C14" s="107"/>
      <c r="D14" s="107"/>
      <c r="E14" s="107"/>
      <c r="F14" s="107"/>
      <c r="G14" s="107"/>
      <c r="H14" s="107"/>
      <c r="I14" s="107"/>
      <c r="J14" s="107"/>
      <c r="K14" s="107"/>
      <c r="L14" s="107"/>
      <c r="M14" s="107"/>
      <c r="N14" s="107"/>
      <c r="O14" s="107"/>
      <c r="P14" s="107"/>
      <c r="Q14" s="107"/>
      <c r="R14" s="107"/>
      <c r="S14" s="107"/>
      <c r="T14" s="107"/>
      <c r="U14" s="107"/>
      <c r="V14" s="107"/>
      <c r="W14" s="107"/>
      <c r="X14" s="108">
        <v>3897.41</v>
      </c>
      <c r="Y14" s="109">
        <v>5024.95</v>
      </c>
      <c r="Z14" s="109">
        <v>3806.16</v>
      </c>
      <c r="AA14" s="109">
        <v>3508.79</v>
      </c>
      <c r="AB14" s="109">
        <v>4514.54</v>
      </c>
      <c r="AC14" s="109">
        <v>4610.42</v>
      </c>
      <c r="AD14" s="109">
        <v>3934.98</v>
      </c>
      <c r="AE14" s="109">
        <v>4850.18</v>
      </c>
      <c r="AF14" s="110">
        <v>5786.64</v>
      </c>
      <c r="AG14" s="92"/>
    </row>
    <row r="15">
      <c r="A15" s="85" t="s">
        <v>102</v>
      </c>
      <c r="B15" s="111">
        <v>7702.52</v>
      </c>
      <c r="C15" s="112">
        <v>7138.57</v>
      </c>
      <c r="D15" s="112">
        <v>6423.15</v>
      </c>
      <c r="E15" s="112">
        <v>8526.55</v>
      </c>
      <c r="F15" s="112">
        <v>8258.93</v>
      </c>
      <c r="G15" s="112">
        <v>7744.22</v>
      </c>
      <c r="H15" s="112">
        <v>7829.67</v>
      </c>
      <c r="I15" s="112">
        <v>9745.49</v>
      </c>
      <c r="J15" s="112">
        <v>8673.92</v>
      </c>
      <c r="K15" s="112">
        <v>9781.56</v>
      </c>
      <c r="L15" s="112">
        <v>5720.11</v>
      </c>
      <c r="M15" s="112">
        <v>7411.6</v>
      </c>
      <c r="N15" s="112">
        <v>6010.77</v>
      </c>
      <c r="O15" s="112">
        <v>6211.61</v>
      </c>
      <c r="P15" s="112">
        <v>5940.8639</v>
      </c>
      <c r="Q15" s="112">
        <v>2839.2095</v>
      </c>
      <c r="R15" s="112">
        <v>7473.512</v>
      </c>
      <c r="S15" s="113">
        <v>7249.34</v>
      </c>
      <c r="T15" s="112">
        <v>7038.1</v>
      </c>
      <c r="U15" s="113">
        <v>8068.47</v>
      </c>
      <c r="V15" s="113">
        <v>4105.76</v>
      </c>
      <c r="W15" s="113">
        <v>5139.4</v>
      </c>
      <c r="X15" s="113">
        <f>X14*Summary!X72</f>
        <v>4231.418037</v>
      </c>
      <c r="Y15" s="113">
        <f>Y14*Summary!Y72</f>
        <v>5468.15059</v>
      </c>
      <c r="Z15" s="113">
        <f>Z14*Summary!Z72</f>
        <v>4129.302984</v>
      </c>
      <c r="AA15" s="113">
        <f>AA14*Summary!AA72</f>
        <v>3811.598577</v>
      </c>
      <c r="AB15" s="113">
        <f>AB14*Summary!AB72</f>
        <v>4904.144802</v>
      </c>
      <c r="AC15" s="113">
        <f>AC14*Summary!AC72</f>
        <v>4999.078406</v>
      </c>
      <c r="AD15" s="113">
        <f>AD14*Summary!AD72</f>
        <v>4262.763834</v>
      </c>
      <c r="AE15" s="113">
        <f>AE14*Summary!AE72</f>
        <v>5259.050174</v>
      </c>
      <c r="AF15" s="113">
        <f>AF14*Summary!AF72</f>
        <v>6251.307192</v>
      </c>
      <c r="AG15" s="114">
        <f t="shared" ref="AG15:AG22" si="3">SUM(B15:AF15)</f>
        <v>198350.14</v>
      </c>
    </row>
    <row r="16">
      <c r="A16" s="85" t="s">
        <v>103</v>
      </c>
      <c r="B16" s="111">
        <v>15176.01</v>
      </c>
      <c r="C16" s="112">
        <v>9959.28</v>
      </c>
      <c r="D16" s="112">
        <v>11082.87</v>
      </c>
      <c r="E16" s="115">
        <v>11276.45</v>
      </c>
      <c r="F16" s="115">
        <v>10964.0</v>
      </c>
      <c r="G16" s="112">
        <v>11756.22</v>
      </c>
      <c r="H16" s="112">
        <v>13968.19</v>
      </c>
      <c r="I16" s="112">
        <v>10252.98</v>
      </c>
      <c r="J16" s="112">
        <v>9054.0</v>
      </c>
      <c r="K16" s="112">
        <v>8915.82</v>
      </c>
      <c r="L16" s="115">
        <v>10439.04</v>
      </c>
      <c r="M16" s="112">
        <v>10492.28</v>
      </c>
      <c r="N16" s="112">
        <v>8424.68</v>
      </c>
      <c r="O16" s="112">
        <v>8581.54</v>
      </c>
      <c r="P16" s="112">
        <v>10279.53</v>
      </c>
      <c r="Q16" s="112">
        <v>8030.91</v>
      </c>
      <c r="R16" s="112">
        <v>13839.06</v>
      </c>
      <c r="S16" s="113">
        <v>9981.81</v>
      </c>
      <c r="T16" s="112">
        <v>9309.72</v>
      </c>
      <c r="U16" s="113">
        <v>11501.61</v>
      </c>
      <c r="V16" s="113">
        <v>7553.1</v>
      </c>
      <c r="W16" s="113">
        <v>8294.24</v>
      </c>
      <c r="X16" s="113">
        <v>8946.96</v>
      </c>
      <c r="Y16" s="113">
        <v>3117.79</v>
      </c>
      <c r="Z16" s="113">
        <v>6076.85</v>
      </c>
      <c r="AA16" s="113">
        <v>7215.22</v>
      </c>
      <c r="AB16" s="113">
        <v>10924.31</v>
      </c>
      <c r="AC16" s="113">
        <v>7074.07</v>
      </c>
      <c r="AD16" s="112">
        <v>5895.44</v>
      </c>
      <c r="AE16" s="113">
        <v>4831.05</v>
      </c>
      <c r="AF16" s="113">
        <v>5492.07</v>
      </c>
      <c r="AG16" s="114">
        <f t="shared" si="3"/>
        <v>288707.1</v>
      </c>
    </row>
    <row r="17">
      <c r="A17" s="98" t="s">
        <v>104</v>
      </c>
      <c r="B17" s="112">
        <v>0.0</v>
      </c>
      <c r="C17" s="112">
        <v>0.0</v>
      </c>
      <c r="D17" s="112">
        <v>0.0</v>
      </c>
      <c r="E17" s="115">
        <v>0.0</v>
      </c>
      <c r="F17" s="112">
        <v>0.0</v>
      </c>
      <c r="G17" s="112">
        <v>0.0</v>
      </c>
      <c r="H17" s="112">
        <v>0.0</v>
      </c>
      <c r="I17" s="112">
        <v>0.0</v>
      </c>
      <c r="J17" s="112">
        <v>0.0</v>
      </c>
      <c r="K17" s="112">
        <v>0.0</v>
      </c>
      <c r="L17" s="112">
        <v>0.0</v>
      </c>
      <c r="M17" s="112">
        <v>0.0</v>
      </c>
      <c r="N17" s="112">
        <v>0.0</v>
      </c>
      <c r="O17" s="112">
        <v>0.0</v>
      </c>
      <c r="P17" s="112">
        <v>0.0</v>
      </c>
      <c r="Q17" s="112">
        <v>0.0</v>
      </c>
      <c r="R17" s="112">
        <v>0.0</v>
      </c>
      <c r="S17" s="112">
        <v>0.0</v>
      </c>
      <c r="T17" s="112">
        <v>0.0</v>
      </c>
      <c r="U17" s="112">
        <v>0.0</v>
      </c>
      <c r="V17" s="112">
        <v>0.0</v>
      </c>
      <c r="W17" s="112">
        <v>0.0</v>
      </c>
      <c r="X17" s="112">
        <v>0.0</v>
      </c>
      <c r="Y17" s="112">
        <v>0.0</v>
      </c>
      <c r="Z17" s="112">
        <v>0.0</v>
      </c>
      <c r="AA17" s="112">
        <v>0.0</v>
      </c>
      <c r="AB17" s="112">
        <v>0.0</v>
      </c>
      <c r="AC17" s="112">
        <v>0.0</v>
      </c>
      <c r="AD17" s="112">
        <v>0.0</v>
      </c>
      <c r="AE17" s="112">
        <v>0.0</v>
      </c>
      <c r="AF17" s="112">
        <v>0.0</v>
      </c>
      <c r="AG17" s="114">
        <f t="shared" si="3"/>
        <v>0</v>
      </c>
    </row>
    <row r="18">
      <c r="A18" s="85" t="s">
        <v>105</v>
      </c>
      <c r="B18" s="111">
        <v>2008.0</v>
      </c>
      <c r="C18" s="112">
        <v>502.0</v>
      </c>
      <c r="D18" s="112">
        <v>2259.0</v>
      </c>
      <c r="E18" s="115">
        <v>2008.0</v>
      </c>
      <c r="F18" s="112">
        <v>1004.0</v>
      </c>
      <c r="G18" s="112">
        <v>1757.0</v>
      </c>
      <c r="H18" s="112">
        <v>1757.0</v>
      </c>
      <c r="I18" s="112">
        <v>1757.0</v>
      </c>
      <c r="J18" s="112">
        <v>502.0</v>
      </c>
      <c r="K18" s="112">
        <v>1004.0</v>
      </c>
      <c r="L18" s="115">
        <v>1004.0</v>
      </c>
      <c r="M18" s="112">
        <v>2008.0</v>
      </c>
      <c r="N18" s="112">
        <v>753.0</v>
      </c>
      <c r="O18" s="112">
        <v>502.0</v>
      </c>
      <c r="P18" s="112">
        <v>753.0</v>
      </c>
      <c r="Q18" s="112">
        <v>1255.0</v>
      </c>
      <c r="R18" s="112">
        <v>1757.0</v>
      </c>
      <c r="S18" s="116">
        <v>1255.0</v>
      </c>
      <c r="T18" s="112">
        <v>1004.0</v>
      </c>
      <c r="U18" s="112">
        <v>502.0</v>
      </c>
      <c r="V18" s="113">
        <v>1255.0</v>
      </c>
      <c r="W18" s="113">
        <v>251.0</v>
      </c>
      <c r="X18" s="113">
        <v>251.0</v>
      </c>
      <c r="Y18" s="113">
        <v>1255.0</v>
      </c>
      <c r="Z18" s="113">
        <v>753.0</v>
      </c>
      <c r="AA18" s="112">
        <v>502.0</v>
      </c>
      <c r="AB18" s="113">
        <v>753.0</v>
      </c>
      <c r="AC18" s="113">
        <v>1255.0</v>
      </c>
      <c r="AD18" s="113">
        <v>502.0</v>
      </c>
      <c r="AE18" s="113">
        <v>251.0</v>
      </c>
      <c r="AF18" s="113">
        <v>502.0</v>
      </c>
      <c r="AG18" s="114">
        <f t="shared" si="3"/>
        <v>32881</v>
      </c>
    </row>
    <row r="19" ht="17.25" customHeight="1">
      <c r="A19" s="85" t="s">
        <v>106</v>
      </c>
      <c r="B19" s="117">
        <v>0.0</v>
      </c>
      <c r="C19" s="116">
        <v>0.0</v>
      </c>
      <c r="D19" s="116">
        <v>0.0</v>
      </c>
      <c r="E19" s="116">
        <v>0.0</v>
      </c>
      <c r="F19" s="116">
        <v>0.0</v>
      </c>
      <c r="G19" s="116">
        <v>0.0</v>
      </c>
      <c r="H19" s="116">
        <v>0.0</v>
      </c>
      <c r="I19" s="116">
        <v>0.0</v>
      </c>
      <c r="J19" s="116">
        <v>0.0</v>
      </c>
      <c r="K19" s="116">
        <v>0.0</v>
      </c>
      <c r="L19" s="116">
        <v>0.0</v>
      </c>
      <c r="M19" s="116">
        <v>0.0</v>
      </c>
      <c r="N19" s="116">
        <v>0.0</v>
      </c>
      <c r="O19" s="116">
        <v>0.0</v>
      </c>
      <c r="P19" s="116">
        <v>0.0</v>
      </c>
      <c r="Q19" s="116">
        <v>0.0</v>
      </c>
      <c r="R19" s="116">
        <v>0.0</v>
      </c>
      <c r="S19" s="116">
        <v>0.0</v>
      </c>
      <c r="T19" s="116">
        <v>0.0</v>
      </c>
      <c r="U19" s="116">
        <v>0.0</v>
      </c>
      <c r="V19" s="116">
        <v>0.0</v>
      </c>
      <c r="W19" s="116">
        <v>0.0</v>
      </c>
      <c r="X19" s="116">
        <v>0.0</v>
      </c>
      <c r="Y19" s="116">
        <v>0.0</v>
      </c>
      <c r="Z19" s="116">
        <v>0.0</v>
      </c>
      <c r="AA19" s="116">
        <v>0.0</v>
      </c>
      <c r="AB19" s="116">
        <v>0.0</v>
      </c>
      <c r="AC19" s="116">
        <v>0.0</v>
      </c>
      <c r="AD19" s="116">
        <v>0.0</v>
      </c>
      <c r="AE19" s="116">
        <v>0.0</v>
      </c>
      <c r="AF19" s="116">
        <v>0.0</v>
      </c>
      <c r="AG19" s="114">
        <f t="shared" si="3"/>
        <v>0</v>
      </c>
    </row>
    <row r="20">
      <c r="A20" s="99" t="s">
        <v>107</v>
      </c>
      <c r="B20" s="116">
        <v>0.0</v>
      </c>
      <c r="C20" s="116">
        <v>0.0</v>
      </c>
      <c r="D20" s="116">
        <v>0.0</v>
      </c>
      <c r="E20" s="116">
        <v>0.0</v>
      </c>
      <c r="F20" s="116">
        <v>0.0</v>
      </c>
      <c r="G20" s="116">
        <v>0.0</v>
      </c>
      <c r="H20" s="116">
        <v>0.0</v>
      </c>
      <c r="I20" s="116">
        <v>0.0</v>
      </c>
      <c r="J20" s="116">
        <v>341.0</v>
      </c>
      <c r="K20" s="116">
        <v>0.0</v>
      </c>
      <c r="L20" s="116">
        <v>92.0</v>
      </c>
      <c r="M20" s="116">
        <v>0.0</v>
      </c>
      <c r="N20" s="116">
        <v>0.0</v>
      </c>
      <c r="O20" s="116">
        <v>0.0</v>
      </c>
      <c r="P20" s="116">
        <v>0.0</v>
      </c>
      <c r="Q20" s="112">
        <v>0.0</v>
      </c>
      <c r="R20" s="116">
        <v>0.0</v>
      </c>
      <c r="S20" s="112">
        <v>0.0</v>
      </c>
      <c r="T20" s="116">
        <v>394.0</v>
      </c>
      <c r="U20" s="116">
        <v>0.0</v>
      </c>
      <c r="V20" s="116">
        <v>0.0</v>
      </c>
      <c r="W20" s="116">
        <v>0.0</v>
      </c>
      <c r="X20" s="116">
        <v>0.0</v>
      </c>
      <c r="Y20" s="116">
        <v>0.0</v>
      </c>
      <c r="Z20" s="116"/>
      <c r="AA20" s="116"/>
      <c r="AB20" s="116"/>
      <c r="AC20" s="116"/>
      <c r="AD20" s="116"/>
      <c r="AE20" s="116"/>
      <c r="AF20" s="116"/>
      <c r="AG20" s="114">
        <f t="shared" si="3"/>
        <v>827</v>
      </c>
    </row>
    <row r="21">
      <c r="A21" s="118" t="s">
        <v>108</v>
      </c>
      <c r="B21" s="119">
        <v>276.11</v>
      </c>
      <c r="C21" s="119">
        <v>408.0</v>
      </c>
      <c r="D21" s="120">
        <v>365.4</v>
      </c>
      <c r="E21" s="119">
        <v>149.07</v>
      </c>
      <c r="F21" s="121">
        <v>427.95</v>
      </c>
      <c r="G21" s="119">
        <v>189.41</v>
      </c>
      <c r="H21" s="119">
        <v>53.05</v>
      </c>
      <c r="I21" s="119">
        <v>98.0</v>
      </c>
      <c r="J21" s="119">
        <v>161.95</v>
      </c>
      <c r="K21" s="119">
        <v>0.0</v>
      </c>
      <c r="L21" s="121">
        <v>0.0</v>
      </c>
      <c r="M21" s="119">
        <v>0.0</v>
      </c>
      <c r="N21" s="119">
        <v>0.0</v>
      </c>
      <c r="O21" s="120">
        <v>0.0</v>
      </c>
      <c r="P21" s="122">
        <v>374.7</v>
      </c>
      <c r="Q21" s="122">
        <v>50.81</v>
      </c>
      <c r="R21" s="119">
        <v>0.0</v>
      </c>
      <c r="S21" s="120">
        <v>0.0</v>
      </c>
      <c r="T21" s="123">
        <v>0.0</v>
      </c>
      <c r="U21" s="122">
        <v>0.0</v>
      </c>
      <c r="V21" s="122">
        <v>0.0</v>
      </c>
      <c r="W21" s="122">
        <v>0.0</v>
      </c>
      <c r="X21" s="122">
        <v>0.0</v>
      </c>
      <c r="Y21" s="122">
        <v>0.0</v>
      </c>
      <c r="Z21" s="122">
        <v>0.0</v>
      </c>
      <c r="AA21" s="122">
        <v>0.0</v>
      </c>
      <c r="AB21" s="122">
        <v>0.0</v>
      </c>
      <c r="AC21" s="122">
        <v>0.0</v>
      </c>
      <c r="AD21" s="122">
        <v>0.0</v>
      </c>
      <c r="AE21" s="122">
        <v>40.74</v>
      </c>
      <c r="AF21" s="122">
        <v>675.93</v>
      </c>
      <c r="AG21" s="124">
        <f t="shared" si="3"/>
        <v>3271.12</v>
      </c>
    </row>
    <row r="22">
      <c r="A22" s="104" t="s">
        <v>109</v>
      </c>
      <c r="B22" s="125">
        <f t="shared" ref="B22:AF22" si="4">SUM(B15:B21)</f>
        <v>25162.64</v>
      </c>
      <c r="C22" s="125">
        <f t="shared" si="4"/>
        <v>18007.85</v>
      </c>
      <c r="D22" s="125">
        <f t="shared" si="4"/>
        <v>20130.42</v>
      </c>
      <c r="E22" s="125">
        <f t="shared" si="4"/>
        <v>21960.07</v>
      </c>
      <c r="F22" s="125">
        <f t="shared" si="4"/>
        <v>20654.88</v>
      </c>
      <c r="G22" s="125">
        <f t="shared" si="4"/>
        <v>21446.85</v>
      </c>
      <c r="H22" s="125">
        <f t="shared" si="4"/>
        <v>23607.91</v>
      </c>
      <c r="I22" s="125">
        <f t="shared" si="4"/>
        <v>21853.47</v>
      </c>
      <c r="J22" s="125">
        <f t="shared" si="4"/>
        <v>18732.87</v>
      </c>
      <c r="K22" s="125">
        <f t="shared" si="4"/>
        <v>19701.38</v>
      </c>
      <c r="L22" s="125">
        <f t="shared" si="4"/>
        <v>17255.15</v>
      </c>
      <c r="M22" s="125">
        <f t="shared" si="4"/>
        <v>19911.88</v>
      </c>
      <c r="N22" s="125">
        <f t="shared" si="4"/>
        <v>15188.45</v>
      </c>
      <c r="O22" s="125">
        <f t="shared" si="4"/>
        <v>15295.15</v>
      </c>
      <c r="P22" s="125">
        <f t="shared" si="4"/>
        <v>17348.0939</v>
      </c>
      <c r="Q22" s="125">
        <f t="shared" si="4"/>
        <v>12175.9295</v>
      </c>
      <c r="R22" s="125">
        <f t="shared" si="4"/>
        <v>23069.572</v>
      </c>
      <c r="S22" s="125">
        <f t="shared" si="4"/>
        <v>18486.15</v>
      </c>
      <c r="T22" s="125">
        <f t="shared" si="4"/>
        <v>17745.82</v>
      </c>
      <c r="U22" s="125">
        <f t="shared" si="4"/>
        <v>20072.08</v>
      </c>
      <c r="V22" s="125">
        <f t="shared" si="4"/>
        <v>12913.86</v>
      </c>
      <c r="W22" s="125">
        <f t="shared" si="4"/>
        <v>13684.64</v>
      </c>
      <c r="X22" s="125">
        <f t="shared" si="4"/>
        <v>13429.37804</v>
      </c>
      <c r="Y22" s="125">
        <f t="shared" si="4"/>
        <v>9840.94059</v>
      </c>
      <c r="Z22" s="125">
        <f t="shared" si="4"/>
        <v>10959.15298</v>
      </c>
      <c r="AA22" s="125">
        <f t="shared" si="4"/>
        <v>11528.81858</v>
      </c>
      <c r="AB22" s="125">
        <f t="shared" si="4"/>
        <v>16581.4548</v>
      </c>
      <c r="AC22" s="125">
        <f t="shared" si="4"/>
        <v>13328.14841</v>
      </c>
      <c r="AD22" s="125">
        <f t="shared" si="4"/>
        <v>10660.20383</v>
      </c>
      <c r="AE22" s="125">
        <f t="shared" si="4"/>
        <v>10381.84017</v>
      </c>
      <c r="AF22" s="125">
        <f t="shared" si="4"/>
        <v>12921.30719</v>
      </c>
      <c r="AG22" s="126">
        <f t="shared" si="3"/>
        <v>524036.36</v>
      </c>
    </row>
    <row r="23">
      <c r="A23" s="98"/>
      <c r="B23" s="82"/>
      <c r="C23" s="82"/>
      <c r="D23" s="82"/>
      <c r="E23" s="82"/>
      <c r="F23" s="82"/>
      <c r="G23" s="82"/>
      <c r="H23" s="82"/>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92"/>
    </row>
    <row r="24">
      <c r="A24" s="127" t="s">
        <v>110</v>
      </c>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92"/>
    </row>
    <row r="25">
      <c r="A25" s="85" t="s">
        <v>102</v>
      </c>
      <c r="B25" s="128">
        <f>Summary!B73</f>
        <v>5875.927835</v>
      </c>
      <c r="C25" s="128">
        <f>Summary!C73</f>
        <v>5387.326526</v>
      </c>
      <c r="D25" s="128">
        <f>Summary!D73</f>
        <v>5162.947425</v>
      </c>
      <c r="E25" s="128">
        <f>Summary!E73</f>
        <v>5166.522946</v>
      </c>
      <c r="F25" s="128">
        <f>Summary!F73</f>
        <v>5194.26943</v>
      </c>
      <c r="G25" s="128">
        <f>Summary!G73</f>
        <v>5203.679775</v>
      </c>
      <c r="H25" s="128">
        <f>Summary!H73</f>
        <v>5447.96154</v>
      </c>
      <c r="I25" s="128">
        <f>Summary!I73</f>
        <v>5395.272808</v>
      </c>
      <c r="J25" s="128">
        <f>Summary!J73</f>
        <v>5275.5099</v>
      </c>
      <c r="K25" s="128">
        <f>Summary!K73</f>
        <v>4221.764225</v>
      </c>
      <c r="L25" s="128">
        <f>Summary!L73</f>
        <v>4422.550238</v>
      </c>
      <c r="M25" s="128">
        <f>Summary!M73</f>
        <v>6501.56517</v>
      </c>
      <c r="N25" s="128">
        <f>Summary!N73</f>
        <v>7759.474972</v>
      </c>
      <c r="O25" s="128">
        <f>Summary!O73</f>
        <v>5776.869505</v>
      </c>
      <c r="P25" s="128">
        <f>Summary!P73</f>
        <v>4244.525725</v>
      </c>
      <c r="Q25" s="128">
        <f>Summary!Q73</f>
        <v>3383.967345</v>
      </c>
      <c r="R25" s="128">
        <f>Summary!R73</f>
        <v>3299.711555</v>
      </c>
      <c r="S25" s="128">
        <f>Summary!S73</f>
        <v>3296.863632</v>
      </c>
      <c r="T25" s="128">
        <f>Summary!T73</f>
        <v>3267.197865</v>
      </c>
      <c r="U25" s="128">
        <f>Summary!U73</f>
        <v>5129.788335</v>
      </c>
      <c r="V25" s="128">
        <f>Summary!V73</f>
        <v>6005.983533</v>
      </c>
      <c r="W25" s="128">
        <f>Summary!W73</f>
        <v>4843.016881</v>
      </c>
      <c r="X25" s="128">
        <f>Summary!X73</f>
        <v>4232.015172</v>
      </c>
      <c r="Y25" s="128">
        <f>Summary!Y73</f>
        <v>3930.382524</v>
      </c>
      <c r="Z25" s="128">
        <f>Summary!Z73</f>
        <v>3648.30172</v>
      </c>
      <c r="AA25" s="128">
        <f>Summary!AA73</f>
        <v>3992.80428</v>
      </c>
      <c r="AB25" s="128">
        <f>Summary!AB73</f>
        <v>3595.120713</v>
      </c>
      <c r="AC25" s="128">
        <f>Summary!AC73</f>
        <v>3821.853896</v>
      </c>
      <c r="AD25" s="128">
        <f>Summary!AD73</f>
        <v>3687.845691</v>
      </c>
      <c r="AE25" s="128">
        <f>Summary!AE73</f>
        <v>3551.288517</v>
      </c>
      <c r="AF25" s="128">
        <f>Summary!AF73</f>
        <v>3277.208883</v>
      </c>
      <c r="AG25" s="126">
        <f t="shared" ref="AG25:AG31" si="5">SUM(B25:AF25)</f>
        <v>143999.5186</v>
      </c>
    </row>
    <row r="26">
      <c r="A26" s="85" t="s">
        <v>103</v>
      </c>
      <c r="B26" s="128">
        <f>Summary!B74</f>
        <v>2110.5</v>
      </c>
      <c r="C26" s="128">
        <f>Summary!C74</f>
        <v>2483.96</v>
      </c>
      <c r="D26" s="128">
        <f>Summary!D74</f>
        <v>2246.44</v>
      </c>
      <c r="E26" s="128">
        <f>Summary!E74</f>
        <v>2102.96</v>
      </c>
      <c r="F26" s="128">
        <f>Summary!F74</f>
        <v>1929.45</v>
      </c>
      <c r="G26" s="128">
        <f>Summary!G74</f>
        <v>1781.1</v>
      </c>
      <c r="H26" s="128">
        <f>Summary!H74</f>
        <v>1937.55</v>
      </c>
      <c r="I26" s="128">
        <f>Summary!I74</f>
        <v>1693.38</v>
      </c>
      <c r="J26" s="128">
        <f>Summary!J74</f>
        <v>1540.91</v>
      </c>
      <c r="K26" s="128">
        <f>Summary!K74</f>
        <v>1576.04</v>
      </c>
      <c r="L26" s="128">
        <f>Summary!L74</f>
        <v>1309.01</v>
      </c>
      <c r="M26" s="128">
        <f>Summary!M74</f>
        <v>1489.27</v>
      </c>
      <c r="N26" s="128">
        <f>Summary!N74</f>
        <v>1724.12</v>
      </c>
      <c r="O26" s="128">
        <f>Summary!O74</f>
        <v>2074</v>
      </c>
      <c r="P26" s="128">
        <f>Summary!P74</f>
        <v>1820.73</v>
      </c>
      <c r="Q26" s="128">
        <f>Summary!Q74</f>
        <v>1864.95</v>
      </c>
      <c r="R26" s="128">
        <f>Summary!R74</f>
        <v>1843.23</v>
      </c>
      <c r="S26" s="128">
        <f>Summary!S74</f>
        <v>1950.48</v>
      </c>
      <c r="T26" s="128">
        <f>Summary!T74</f>
        <v>2375.74</v>
      </c>
      <c r="U26" s="128">
        <f>Summary!U74</f>
        <v>2773.66</v>
      </c>
      <c r="V26" s="128">
        <f>Summary!V74</f>
        <v>2163.89</v>
      </c>
      <c r="W26" s="128">
        <f>Summary!W74</f>
        <v>1611.87</v>
      </c>
      <c r="X26" s="128">
        <f>Summary!X74</f>
        <v>1388.18</v>
      </c>
      <c r="Y26" s="128">
        <f>Summary!Y74</f>
        <v>1565.56</v>
      </c>
      <c r="Z26" s="128">
        <f>Summary!Z74</f>
        <v>1697.69</v>
      </c>
      <c r="AA26" s="128">
        <f>Summary!AA74</f>
        <v>1648.68</v>
      </c>
      <c r="AB26" s="128">
        <f>Summary!AB74</f>
        <v>1938</v>
      </c>
      <c r="AC26" s="128">
        <f>Summary!AC74</f>
        <v>1950.33</v>
      </c>
      <c r="AD26" s="128">
        <f>Summary!AD74</f>
        <v>1627.89</v>
      </c>
      <c r="AE26" s="128">
        <f>Summary!AE74</f>
        <v>1410.82</v>
      </c>
      <c r="AF26" s="128">
        <f>Summary!AF74</f>
        <v>1435.36</v>
      </c>
      <c r="AG26" s="126">
        <f t="shared" si="5"/>
        <v>57065.75</v>
      </c>
    </row>
    <row r="27">
      <c r="A27" s="85" t="s">
        <v>104</v>
      </c>
      <c r="B27" s="128">
        <f>Summary!B76</f>
        <v>0</v>
      </c>
      <c r="C27" s="128">
        <f>Summary!C76</f>
        <v>0</v>
      </c>
      <c r="D27" s="128">
        <f>Summary!D76</f>
        <v>0</v>
      </c>
      <c r="E27" s="128">
        <f>Summary!E76</f>
        <v>0</v>
      </c>
      <c r="F27" s="128">
        <f>Summary!F76</f>
        <v>0</v>
      </c>
      <c r="G27" s="128">
        <f>Summary!G76</f>
        <v>0</v>
      </c>
      <c r="H27" s="128">
        <f>Summary!H76</f>
        <v>0</v>
      </c>
      <c r="I27" s="128">
        <f>Summary!I76</f>
        <v>0</v>
      </c>
      <c r="J27" s="128">
        <f>Summary!J76</f>
        <v>0</v>
      </c>
      <c r="K27" s="128">
        <f>Summary!K76</f>
        <v>0</v>
      </c>
      <c r="L27" s="128">
        <f>Summary!L76</f>
        <v>0</v>
      </c>
      <c r="M27" s="128">
        <f>Summary!M76</f>
        <v>0</v>
      </c>
      <c r="N27" s="128">
        <f>Summary!N76</f>
        <v>0</v>
      </c>
      <c r="O27" s="128">
        <f>Summary!O76</f>
        <v>0</v>
      </c>
      <c r="P27" s="128">
        <f>Summary!P76</f>
        <v>0</v>
      </c>
      <c r="Q27" s="128">
        <f>Summary!Q76</f>
        <v>0</v>
      </c>
      <c r="R27" s="128">
        <f>Summary!R76</f>
        <v>0</v>
      </c>
      <c r="S27" s="128">
        <f>Summary!S76</f>
        <v>0</v>
      </c>
      <c r="T27" s="128">
        <f>Summary!T76</f>
        <v>0</v>
      </c>
      <c r="U27" s="128">
        <f>Summary!U76</f>
        <v>0</v>
      </c>
      <c r="V27" s="128">
        <f>Summary!V76</f>
        <v>0</v>
      </c>
      <c r="W27" s="128">
        <f>Summary!W76</f>
        <v>0</v>
      </c>
      <c r="X27" s="128">
        <f>Summary!X76</f>
        <v>0</v>
      </c>
      <c r="Y27" s="128">
        <f>Summary!Y76</f>
        <v>0</v>
      </c>
      <c r="Z27" s="128">
        <f>Summary!Z76</f>
        <v>0</v>
      </c>
      <c r="AA27" s="128">
        <f>Summary!AA76</f>
        <v>0</v>
      </c>
      <c r="AB27" s="128">
        <f>Summary!AB76</f>
        <v>0</v>
      </c>
      <c r="AC27" s="128">
        <f>Summary!AC76</f>
        <v>0</v>
      </c>
      <c r="AD27" s="128">
        <f>Summary!AD76</f>
        <v>0</v>
      </c>
      <c r="AE27" s="128">
        <f>Summary!AE76</f>
        <v>0</v>
      </c>
      <c r="AF27" s="128">
        <f>Summary!AF76</f>
        <v>0</v>
      </c>
      <c r="AG27" s="126">
        <f t="shared" si="5"/>
        <v>0</v>
      </c>
    </row>
    <row r="28">
      <c r="A28" s="85" t="s">
        <v>105</v>
      </c>
      <c r="B28" s="128">
        <f>Summary!B75</f>
        <v>154.79</v>
      </c>
      <c r="C28" s="128">
        <f>Summary!C75</f>
        <v>206.25</v>
      </c>
      <c r="D28" s="128">
        <f>Summary!D75</f>
        <v>204.55</v>
      </c>
      <c r="E28" s="128">
        <f>Summary!E75</f>
        <v>163.92</v>
      </c>
      <c r="F28" s="128">
        <f>Summary!F75</f>
        <v>125.09</v>
      </c>
      <c r="G28" s="128">
        <f>Summary!G75</f>
        <v>91.32</v>
      </c>
      <c r="H28" s="128">
        <f>Summary!H75</f>
        <v>100.28</v>
      </c>
      <c r="I28" s="128">
        <f>Summary!I75</f>
        <v>119.37</v>
      </c>
      <c r="J28" s="128">
        <f>Summary!J75</f>
        <v>114.29</v>
      </c>
      <c r="K28" s="128">
        <f>Summary!K75</f>
        <v>164.97</v>
      </c>
      <c r="L28" s="128">
        <f>Summary!L75</f>
        <v>168.88</v>
      </c>
      <c r="M28" s="128">
        <f>Summary!M75</f>
        <v>198.87</v>
      </c>
      <c r="N28" s="128">
        <f>Summary!N75</f>
        <v>107.31</v>
      </c>
      <c r="O28" s="128">
        <f>Summary!O75</f>
        <v>226.23</v>
      </c>
      <c r="P28" s="128">
        <f>Summary!P75</f>
        <v>179.27</v>
      </c>
      <c r="Q28" s="128">
        <f>Summary!Q75</f>
        <v>196.13</v>
      </c>
      <c r="R28" s="128">
        <f>Summary!R75</f>
        <v>171.38</v>
      </c>
      <c r="S28" s="128">
        <f>Summary!S75</f>
        <v>193.48</v>
      </c>
      <c r="T28" s="128">
        <f>Summary!T75</f>
        <v>180.95</v>
      </c>
      <c r="U28" s="128">
        <f>Summary!U75</f>
        <v>186.29</v>
      </c>
      <c r="V28" s="128">
        <f>Summary!V75</f>
        <v>188.49</v>
      </c>
      <c r="W28" s="128">
        <f>Summary!W75</f>
        <v>138.4</v>
      </c>
      <c r="X28" s="128">
        <f>Summary!X75</f>
        <v>181.91</v>
      </c>
      <c r="Y28" s="128">
        <f>Summary!Y75</f>
        <v>114.39</v>
      </c>
      <c r="Z28" s="128">
        <f>Summary!Z75</f>
        <v>118.29</v>
      </c>
      <c r="AA28" s="128">
        <f>Summary!AA75</f>
        <v>109.18</v>
      </c>
      <c r="AB28" s="128">
        <f>Summary!AB75</f>
        <v>82.2</v>
      </c>
      <c r="AC28" s="128">
        <f>Summary!AC75</f>
        <v>108.2</v>
      </c>
      <c r="AD28" s="128">
        <f>Summary!AD75</f>
        <v>96.26</v>
      </c>
      <c r="AE28" s="128">
        <f>Summary!AE75</f>
        <v>96.82</v>
      </c>
      <c r="AF28" s="128">
        <f>Summary!AF75</f>
        <v>96.51</v>
      </c>
      <c r="AG28" s="126">
        <f t="shared" si="5"/>
        <v>4584.27</v>
      </c>
    </row>
    <row r="29">
      <c r="A29" s="85" t="s">
        <v>106</v>
      </c>
      <c r="B29" s="128">
        <f>Summary!B78</f>
        <v>0</v>
      </c>
      <c r="C29" s="128">
        <f>Summary!C78</f>
        <v>0</v>
      </c>
      <c r="D29" s="128">
        <f>Summary!D78</f>
        <v>0</v>
      </c>
      <c r="E29" s="128">
        <f>Summary!E78</f>
        <v>0</v>
      </c>
      <c r="F29" s="128">
        <f>Summary!F78</f>
        <v>0</v>
      </c>
      <c r="G29" s="128">
        <f>Summary!G78</f>
        <v>0</v>
      </c>
      <c r="H29" s="128">
        <f>Summary!H78</f>
        <v>0</v>
      </c>
      <c r="I29" s="128">
        <f>Summary!I78</f>
        <v>0</v>
      </c>
      <c r="J29" s="128">
        <f>Summary!J78</f>
        <v>0</v>
      </c>
      <c r="K29" s="128">
        <f>Summary!K78</f>
        <v>0</v>
      </c>
      <c r="L29" s="128">
        <f>Summary!L78</f>
        <v>0</v>
      </c>
      <c r="M29" s="128">
        <f>Summary!M78</f>
        <v>0</v>
      </c>
      <c r="N29" s="128">
        <f>Summary!N78</f>
        <v>0</v>
      </c>
      <c r="O29" s="128">
        <f>Summary!O78</f>
        <v>0</v>
      </c>
      <c r="P29" s="128">
        <f>Summary!P78</f>
        <v>0</v>
      </c>
      <c r="Q29" s="128">
        <f>Summary!Q78</f>
        <v>0</v>
      </c>
      <c r="R29" s="128">
        <f>Summary!R78</f>
        <v>0</v>
      </c>
      <c r="S29" s="128">
        <f>Summary!S78</f>
        <v>0</v>
      </c>
      <c r="T29" s="128">
        <f>Summary!T78</f>
        <v>0</v>
      </c>
      <c r="U29" s="128">
        <f>Summary!U78</f>
        <v>0</v>
      </c>
      <c r="V29" s="128">
        <f>Summary!V78</f>
        <v>0</v>
      </c>
      <c r="W29" s="128">
        <f>Summary!W78</f>
        <v>0</v>
      </c>
      <c r="X29" s="128">
        <f>Summary!X78</f>
        <v>0</v>
      </c>
      <c r="Y29" s="128">
        <f>Summary!Y78</f>
        <v>0</v>
      </c>
      <c r="Z29" s="128">
        <f>Summary!Z78</f>
        <v>0</v>
      </c>
      <c r="AA29" s="128">
        <f>Summary!AA78</f>
        <v>0</v>
      </c>
      <c r="AB29" s="128">
        <f>Summary!AB78</f>
        <v>0</v>
      </c>
      <c r="AC29" s="128">
        <f>Summary!AC78</f>
        <v>0</v>
      </c>
      <c r="AD29" s="128">
        <f>Summary!AD78</f>
        <v>0</v>
      </c>
      <c r="AE29" s="128">
        <f>Summary!AE78</f>
        <v>0</v>
      </c>
      <c r="AF29" s="128">
        <f>Summary!AF78</f>
        <v>0</v>
      </c>
      <c r="AG29" s="126">
        <f t="shared" si="5"/>
        <v>0</v>
      </c>
    </row>
    <row r="30">
      <c r="A30" s="129" t="s">
        <v>111</v>
      </c>
      <c r="B30" s="130">
        <f>Summary!B80</f>
        <v>0</v>
      </c>
      <c r="C30" s="131">
        <f>Summary!C80</f>
        <v>0</v>
      </c>
      <c r="D30" s="131">
        <f>Summary!D80</f>
        <v>0</v>
      </c>
      <c r="E30" s="131">
        <f>Summary!E80</f>
        <v>0</v>
      </c>
      <c r="F30" s="131">
        <f>Summary!F80</f>
        <v>0</v>
      </c>
      <c r="G30" s="131">
        <f>Summary!G80</f>
        <v>0</v>
      </c>
      <c r="H30" s="131">
        <f>Summary!H80</f>
        <v>0</v>
      </c>
      <c r="I30" s="131">
        <f>Summary!I80</f>
        <v>0</v>
      </c>
      <c r="J30" s="131">
        <f>Summary!J80</f>
        <v>68.2</v>
      </c>
      <c r="K30" s="131">
        <f>Summary!K80</f>
        <v>0</v>
      </c>
      <c r="L30" s="131">
        <f>Summary!L80</f>
        <v>22.91</v>
      </c>
      <c r="M30" s="131">
        <f>Summary!M80</f>
        <v>0</v>
      </c>
      <c r="N30" s="131">
        <f>Summary!N80</f>
        <v>0</v>
      </c>
      <c r="O30" s="131">
        <f>Summary!O80</f>
        <v>0</v>
      </c>
      <c r="P30" s="131">
        <f>Summary!P80</f>
        <v>0</v>
      </c>
      <c r="Q30" s="131">
        <f>Summary!Q80</f>
        <v>0</v>
      </c>
      <c r="R30" s="131">
        <f>Summary!R80</f>
        <v>0</v>
      </c>
      <c r="S30" s="131">
        <f>Summary!S80</f>
        <v>0</v>
      </c>
      <c r="T30" s="131">
        <f>Summary!T80</f>
        <v>78.86</v>
      </c>
      <c r="U30" s="131">
        <f>Summary!U80</f>
        <v>0</v>
      </c>
      <c r="V30" s="131">
        <f>Summary!V80</f>
        <v>0</v>
      </c>
      <c r="W30" s="131">
        <f>Summary!W80</f>
        <v>0</v>
      </c>
      <c r="X30" s="131">
        <f>Summary!X80</f>
        <v>0</v>
      </c>
      <c r="Y30" s="131">
        <f>Summary!Y80</f>
        <v>0</v>
      </c>
      <c r="Z30" s="131">
        <f>Summary!Z80</f>
        <v>0</v>
      </c>
      <c r="AA30" s="131">
        <f>Summary!AA80</f>
        <v>0</v>
      </c>
      <c r="AB30" s="131">
        <f>Summary!AB80</f>
        <v>0</v>
      </c>
      <c r="AC30" s="131">
        <f>Summary!AC80</f>
        <v>0</v>
      </c>
      <c r="AD30" s="131">
        <f>Summary!AD80</f>
        <v>0</v>
      </c>
      <c r="AE30" s="131">
        <f>Summary!AE80</f>
        <v>0</v>
      </c>
      <c r="AF30" s="131">
        <f>Summary!AF80</f>
        <v>0</v>
      </c>
      <c r="AG30" s="132">
        <f t="shared" si="5"/>
        <v>169.97</v>
      </c>
    </row>
    <row r="31">
      <c r="A31" s="104" t="s">
        <v>109</v>
      </c>
      <c r="B31" s="125">
        <f t="shared" ref="B31:AF31" si="6">SUM(B25:B30)</f>
        <v>8141.217835</v>
      </c>
      <c r="C31" s="125">
        <f t="shared" si="6"/>
        <v>8077.536526</v>
      </c>
      <c r="D31" s="125">
        <f t="shared" si="6"/>
        <v>7613.937425</v>
      </c>
      <c r="E31" s="125">
        <f t="shared" si="6"/>
        <v>7433.402946</v>
      </c>
      <c r="F31" s="125">
        <f t="shared" si="6"/>
        <v>7248.80943</v>
      </c>
      <c r="G31" s="125">
        <f t="shared" si="6"/>
        <v>7076.099775</v>
      </c>
      <c r="H31" s="125">
        <f t="shared" si="6"/>
        <v>7485.79154</v>
      </c>
      <c r="I31" s="125">
        <f t="shared" si="6"/>
        <v>7208.022808</v>
      </c>
      <c r="J31" s="125">
        <f t="shared" si="6"/>
        <v>6998.9099</v>
      </c>
      <c r="K31" s="125">
        <f t="shared" si="6"/>
        <v>5962.774225</v>
      </c>
      <c r="L31" s="125">
        <f t="shared" si="6"/>
        <v>5923.350238</v>
      </c>
      <c r="M31" s="125">
        <f t="shared" si="6"/>
        <v>8189.70517</v>
      </c>
      <c r="N31" s="125">
        <f t="shared" si="6"/>
        <v>9590.904972</v>
      </c>
      <c r="O31" s="125">
        <f t="shared" si="6"/>
        <v>8077.099505</v>
      </c>
      <c r="P31" s="125">
        <f t="shared" si="6"/>
        <v>6244.525725</v>
      </c>
      <c r="Q31" s="125">
        <f t="shared" si="6"/>
        <v>5445.047345</v>
      </c>
      <c r="R31" s="125">
        <f t="shared" si="6"/>
        <v>5314.321555</v>
      </c>
      <c r="S31" s="125">
        <f t="shared" si="6"/>
        <v>5440.823632</v>
      </c>
      <c r="T31" s="125">
        <f t="shared" si="6"/>
        <v>5902.747865</v>
      </c>
      <c r="U31" s="125">
        <f t="shared" si="6"/>
        <v>8089.738335</v>
      </c>
      <c r="V31" s="125">
        <f t="shared" si="6"/>
        <v>8358.363533</v>
      </c>
      <c r="W31" s="125">
        <f t="shared" si="6"/>
        <v>6593.286881</v>
      </c>
      <c r="X31" s="125">
        <f t="shared" si="6"/>
        <v>5802.105172</v>
      </c>
      <c r="Y31" s="125">
        <f t="shared" si="6"/>
        <v>5610.332524</v>
      </c>
      <c r="Z31" s="125">
        <f t="shared" si="6"/>
        <v>5464.28172</v>
      </c>
      <c r="AA31" s="125">
        <f t="shared" si="6"/>
        <v>5750.66428</v>
      </c>
      <c r="AB31" s="125">
        <f t="shared" si="6"/>
        <v>5615.320713</v>
      </c>
      <c r="AC31" s="125">
        <f t="shared" si="6"/>
        <v>5880.383896</v>
      </c>
      <c r="AD31" s="133">
        <f t="shared" si="6"/>
        <v>5411.995691</v>
      </c>
      <c r="AE31" s="133">
        <f t="shared" si="6"/>
        <v>5058.928517</v>
      </c>
      <c r="AF31" s="133">
        <f t="shared" si="6"/>
        <v>4809.078883</v>
      </c>
      <c r="AG31" s="126">
        <f t="shared" si="5"/>
        <v>205819.5086</v>
      </c>
    </row>
    <row r="32">
      <c r="A32" s="98"/>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92"/>
    </row>
    <row r="33">
      <c r="A33" s="134"/>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6"/>
    </row>
    <row r="34">
      <c r="A34" s="137"/>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78"/>
    </row>
    <row r="35">
      <c r="A35" s="98"/>
      <c r="B35" s="139"/>
      <c r="C35" s="139"/>
      <c r="D35" s="139"/>
      <c r="E35" s="139"/>
      <c r="F35" s="139"/>
      <c r="G35" s="139"/>
      <c r="H35" s="139"/>
      <c r="I35" s="139"/>
      <c r="J35" s="139"/>
      <c r="K35" s="139"/>
      <c r="L35" s="139"/>
      <c r="M35" s="139"/>
      <c r="N35" s="139"/>
      <c r="O35" s="139"/>
      <c r="P35" s="139"/>
      <c r="Q35" s="139"/>
      <c r="R35" s="139"/>
      <c r="S35" s="139"/>
      <c r="T35" s="139"/>
      <c r="U35" s="139"/>
      <c r="V35" s="139"/>
      <c r="W35" s="139"/>
      <c r="X35" s="139"/>
      <c r="Y35" s="139"/>
      <c r="Z35" s="139"/>
      <c r="AA35" s="139"/>
      <c r="AB35" s="139"/>
      <c r="AC35" s="139"/>
      <c r="AD35" s="139"/>
      <c r="AE35" s="139"/>
      <c r="AF35" s="139"/>
      <c r="AG35" s="78"/>
    </row>
    <row r="36">
      <c r="A36" s="140" t="s">
        <v>87</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78"/>
    </row>
    <row r="37">
      <c r="A37" s="141" t="s">
        <v>112</v>
      </c>
      <c r="B37" s="142">
        <f>Summary!B8</f>
        <v>33166.99</v>
      </c>
      <c r="C37" s="142">
        <f>Summary!C8</f>
        <v>32204.7</v>
      </c>
      <c r="D37" s="142">
        <f>Summary!D8</f>
        <v>37759.59</v>
      </c>
      <c r="E37" s="142">
        <f>Summary!E8</f>
        <v>34093.84</v>
      </c>
      <c r="F37" s="142">
        <f>Summary!F8</f>
        <v>34903.7</v>
      </c>
      <c r="G37" s="142">
        <f>Summary!G8</f>
        <v>37601.7</v>
      </c>
      <c r="H37" s="142">
        <f>Summary!H8</f>
        <v>38315</v>
      </c>
      <c r="I37" s="142">
        <f>Summary!I8</f>
        <v>31136.13</v>
      </c>
      <c r="J37" s="142">
        <f>Summary!J8</f>
        <v>26907.68</v>
      </c>
      <c r="K37" s="142">
        <f>Summary!K8</f>
        <v>24059.75</v>
      </c>
      <c r="L37" s="142">
        <f>Summary!L8</f>
        <v>28780.21</v>
      </c>
      <c r="M37" s="142">
        <f>Summary!M8</f>
        <v>32396.98</v>
      </c>
      <c r="N37" s="142">
        <f>Summary!N8</f>
        <v>29630.85</v>
      </c>
      <c r="O37" s="142">
        <f>Summary!O8</f>
        <v>27553.58</v>
      </c>
      <c r="P37" s="142">
        <f>Summary!P8</f>
        <v>27869.29</v>
      </c>
      <c r="Q37" s="142">
        <f>Summary!Q8</f>
        <v>25796.31</v>
      </c>
      <c r="R37" s="142">
        <f>Summary!R8</f>
        <v>32403.83</v>
      </c>
      <c r="S37" s="142">
        <f>Summary!S8</f>
        <v>26914.94</v>
      </c>
      <c r="T37" s="142">
        <f>Summary!T8</f>
        <v>27142.16</v>
      </c>
      <c r="U37" s="142">
        <f>Summary!U8</f>
        <v>34815.06</v>
      </c>
      <c r="V37" s="142">
        <f>Summary!V8</f>
        <v>18881.55</v>
      </c>
      <c r="W37" s="142">
        <f>Summary!W8</f>
        <v>20302.32</v>
      </c>
      <c r="X37" s="142">
        <f>Summary!X8</f>
        <v>22498.63</v>
      </c>
      <c r="Y37" s="142">
        <f>Summary!Y8</f>
        <v>18260.61</v>
      </c>
      <c r="Z37" s="142">
        <f>Summary!Z8</f>
        <v>18187.96</v>
      </c>
      <c r="AA37" s="142">
        <f>Summary!AA8</f>
        <v>19073.76</v>
      </c>
      <c r="AB37" s="142">
        <f>Summary!AB8</f>
        <v>20021.17</v>
      </c>
      <c r="AC37" s="142">
        <f>Summary!AC8</f>
        <v>21449.04</v>
      </c>
      <c r="AD37" s="142">
        <f>Summary!AD8</f>
        <v>20102.22</v>
      </c>
      <c r="AE37" s="142">
        <f>Summary!AE8</f>
        <v>14972.58</v>
      </c>
      <c r="AF37" s="142">
        <f>Summary!AF8</f>
        <v>17850.13</v>
      </c>
      <c r="AG37" s="143">
        <f t="shared" ref="AG37:AG38" si="8">sum(B37:AF37)</f>
        <v>835052.26</v>
      </c>
    </row>
    <row r="38">
      <c r="A38" s="144" t="s">
        <v>113</v>
      </c>
      <c r="B38" s="145">
        <f t="shared" ref="B38:AF38" si="7">SUM(B37)</f>
        <v>33166.99</v>
      </c>
      <c r="C38" s="145">
        <f t="shared" si="7"/>
        <v>32204.7</v>
      </c>
      <c r="D38" s="145">
        <f t="shared" si="7"/>
        <v>37759.59</v>
      </c>
      <c r="E38" s="145">
        <f t="shared" si="7"/>
        <v>34093.84</v>
      </c>
      <c r="F38" s="145">
        <f t="shared" si="7"/>
        <v>34903.7</v>
      </c>
      <c r="G38" s="145">
        <f t="shared" si="7"/>
        <v>37601.7</v>
      </c>
      <c r="H38" s="145">
        <f t="shared" si="7"/>
        <v>38315</v>
      </c>
      <c r="I38" s="145">
        <f t="shared" si="7"/>
        <v>31136.13</v>
      </c>
      <c r="J38" s="145">
        <f t="shared" si="7"/>
        <v>26907.68</v>
      </c>
      <c r="K38" s="145">
        <f t="shared" si="7"/>
        <v>24059.75</v>
      </c>
      <c r="L38" s="145">
        <f t="shared" si="7"/>
        <v>28780.21</v>
      </c>
      <c r="M38" s="145">
        <f t="shared" si="7"/>
        <v>32396.98</v>
      </c>
      <c r="N38" s="145">
        <f t="shared" si="7"/>
        <v>29630.85</v>
      </c>
      <c r="O38" s="145">
        <f t="shared" si="7"/>
        <v>27553.58</v>
      </c>
      <c r="P38" s="145">
        <f t="shared" si="7"/>
        <v>27869.29</v>
      </c>
      <c r="Q38" s="145">
        <f t="shared" si="7"/>
        <v>25796.31</v>
      </c>
      <c r="R38" s="145">
        <f t="shared" si="7"/>
        <v>32403.83</v>
      </c>
      <c r="S38" s="145">
        <f t="shared" si="7"/>
        <v>26914.94</v>
      </c>
      <c r="T38" s="145">
        <f t="shared" si="7"/>
        <v>27142.16</v>
      </c>
      <c r="U38" s="145">
        <f t="shared" si="7"/>
        <v>34815.06</v>
      </c>
      <c r="V38" s="145">
        <f t="shared" si="7"/>
        <v>18881.55</v>
      </c>
      <c r="W38" s="145">
        <f t="shared" si="7"/>
        <v>20302.32</v>
      </c>
      <c r="X38" s="145">
        <f t="shared" si="7"/>
        <v>22498.63</v>
      </c>
      <c r="Y38" s="145">
        <f t="shared" si="7"/>
        <v>18260.61</v>
      </c>
      <c r="Z38" s="145">
        <f t="shared" si="7"/>
        <v>18187.96</v>
      </c>
      <c r="AA38" s="145">
        <f t="shared" si="7"/>
        <v>19073.76</v>
      </c>
      <c r="AB38" s="145">
        <f t="shared" si="7"/>
        <v>20021.17</v>
      </c>
      <c r="AC38" s="145">
        <f t="shared" si="7"/>
        <v>21449.04</v>
      </c>
      <c r="AD38" s="145">
        <f t="shared" si="7"/>
        <v>20102.22</v>
      </c>
      <c r="AE38" s="145">
        <f t="shared" si="7"/>
        <v>14972.58</v>
      </c>
      <c r="AF38" s="145">
        <f t="shared" si="7"/>
        <v>17850.13</v>
      </c>
      <c r="AG38" s="143">
        <f t="shared" si="8"/>
        <v>835052.26</v>
      </c>
    </row>
    <row r="39">
      <c r="A39" s="98"/>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146"/>
    </row>
    <row r="40">
      <c r="A40" s="147" t="s">
        <v>94</v>
      </c>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146"/>
    </row>
    <row r="41">
      <c r="A41" s="148" t="s">
        <v>114</v>
      </c>
      <c r="B41" s="149">
        <f>Summary!B49</f>
        <v>191</v>
      </c>
      <c r="C41" s="150">
        <f>Summary!C49</f>
        <v>158</v>
      </c>
      <c r="D41" s="150">
        <f>Summary!D49</f>
        <v>179</v>
      </c>
      <c r="E41" s="150">
        <f>Summary!E49</f>
        <v>156</v>
      </c>
      <c r="F41" s="150">
        <f>Summary!F49</f>
        <v>178</v>
      </c>
      <c r="G41" s="151">
        <f>Summary!G49</f>
        <v>187</v>
      </c>
      <c r="H41" s="151">
        <f>Summary!H49</f>
        <v>195</v>
      </c>
      <c r="I41" s="151">
        <f>Summary!I49</f>
        <v>144</v>
      </c>
      <c r="J41" s="151">
        <f>Summary!J49</f>
        <v>113</v>
      </c>
      <c r="K41" s="151">
        <f>Summary!K49</f>
        <v>104</v>
      </c>
      <c r="L41" s="151">
        <f>Summary!L49</f>
        <v>131</v>
      </c>
      <c r="M41" s="151">
        <f>Summary!M49</f>
        <v>138</v>
      </c>
      <c r="N41" s="151">
        <f>Summary!N49</f>
        <v>140</v>
      </c>
      <c r="O41" s="150">
        <f>Summary!O49</f>
        <v>147</v>
      </c>
      <c r="P41" s="150">
        <f>Summary!P49</f>
        <v>128</v>
      </c>
      <c r="Q41" s="150">
        <f>Summary!Q49</f>
        <v>117</v>
      </c>
      <c r="R41" s="150">
        <f>Summary!R49</f>
        <v>134</v>
      </c>
      <c r="S41" s="150">
        <f>Summary!S49</f>
        <v>107</v>
      </c>
      <c r="T41" s="150">
        <f>Summary!T49</f>
        <v>119</v>
      </c>
      <c r="U41" s="150">
        <f>Summary!U49</f>
        <v>150</v>
      </c>
      <c r="V41" s="150">
        <f>Summary!V49</f>
        <v>115</v>
      </c>
      <c r="W41" s="151">
        <f>Summary!W49</f>
        <v>96</v>
      </c>
      <c r="X41" s="151">
        <f>Summary!X49</f>
        <v>91</v>
      </c>
      <c r="Y41" s="151">
        <f>Summary!Y49</f>
        <v>86</v>
      </c>
      <c r="Z41" s="151">
        <f>Summary!Z49</f>
        <v>91</v>
      </c>
      <c r="AA41" s="151">
        <f>Summary!AA49</f>
        <v>96</v>
      </c>
      <c r="AB41" s="151">
        <f>Summary!AB49</f>
        <v>105</v>
      </c>
      <c r="AC41" s="151">
        <f>Summary!AC49</f>
        <v>104</v>
      </c>
      <c r="AD41" s="151">
        <f>Summary!AD49</f>
        <v>104</v>
      </c>
      <c r="AE41" s="151">
        <f>Summary!AE49</f>
        <v>73</v>
      </c>
      <c r="AF41" s="151">
        <f>Summary!AF49</f>
        <v>69</v>
      </c>
      <c r="AG41" s="143">
        <f t="shared" ref="AG41:AG42" si="10">sum(B41:AF41)</f>
        <v>3946</v>
      </c>
    </row>
    <row r="42">
      <c r="A42" s="152" t="s">
        <v>113</v>
      </c>
      <c r="B42" s="153">
        <f t="shared" ref="B42:AF42" si="9">SUM(B41)</f>
        <v>191</v>
      </c>
      <c r="C42" s="154">
        <f t="shared" si="9"/>
        <v>158</v>
      </c>
      <c r="D42" s="154">
        <f t="shared" si="9"/>
        <v>179</v>
      </c>
      <c r="E42" s="154">
        <f t="shared" si="9"/>
        <v>156</v>
      </c>
      <c r="F42" s="154">
        <f t="shared" si="9"/>
        <v>178</v>
      </c>
      <c r="G42" s="153">
        <f t="shared" si="9"/>
        <v>187</v>
      </c>
      <c r="H42" s="153">
        <f t="shared" si="9"/>
        <v>195</v>
      </c>
      <c r="I42" s="153">
        <f t="shared" si="9"/>
        <v>144</v>
      </c>
      <c r="J42" s="153">
        <f t="shared" si="9"/>
        <v>113</v>
      </c>
      <c r="K42" s="153">
        <f t="shared" si="9"/>
        <v>104</v>
      </c>
      <c r="L42" s="153">
        <f t="shared" si="9"/>
        <v>131</v>
      </c>
      <c r="M42" s="153">
        <f t="shared" si="9"/>
        <v>138</v>
      </c>
      <c r="N42" s="153">
        <f t="shared" si="9"/>
        <v>140</v>
      </c>
      <c r="O42" s="154">
        <f t="shared" si="9"/>
        <v>147</v>
      </c>
      <c r="P42" s="154">
        <f t="shared" si="9"/>
        <v>128</v>
      </c>
      <c r="Q42" s="154">
        <f t="shared" si="9"/>
        <v>117</v>
      </c>
      <c r="R42" s="154">
        <f t="shared" si="9"/>
        <v>134</v>
      </c>
      <c r="S42" s="154">
        <f t="shared" si="9"/>
        <v>107</v>
      </c>
      <c r="T42" s="154">
        <f t="shared" si="9"/>
        <v>119</v>
      </c>
      <c r="U42" s="154">
        <f t="shared" si="9"/>
        <v>150</v>
      </c>
      <c r="V42" s="154">
        <f t="shared" si="9"/>
        <v>115</v>
      </c>
      <c r="W42" s="153">
        <f t="shared" si="9"/>
        <v>96</v>
      </c>
      <c r="X42" s="153">
        <f t="shared" si="9"/>
        <v>91</v>
      </c>
      <c r="Y42" s="153">
        <f t="shared" si="9"/>
        <v>86</v>
      </c>
      <c r="Z42" s="153">
        <f t="shared" si="9"/>
        <v>91</v>
      </c>
      <c r="AA42" s="153">
        <f t="shared" si="9"/>
        <v>96</v>
      </c>
      <c r="AB42" s="153">
        <f t="shared" si="9"/>
        <v>105</v>
      </c>
      <c r="AC42" s="153">
        <f t="shared" si="9"/>
        <v>104</v>
      </c>
      <c r="AD42" s="153">
        <f t="shared" si="9"/>
        <v>104</v>
      </c>
      <c r="AE42" s="153">
        <f t="shared" si="9"/>
        <v>73</v>
      </c>
      <c r="AF42" s="153">
        <f t="shared" si="9"/>
        <v>69</v>
      </c>
      <c r="AG42" s="143">
        <f t="shared" si="10"/>
        <v>3946</v>
      </c>
    </row>
    <row r="43">
      <c r="A43" s="98"/>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146"/>
    </row>
    <row r="44">
      <c r="A44" s="155" t="s">
        <v>115</v>
      </c>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46"/>
    </row>
    <row r="45">
      <c r="A45" s="157" t="s">
        <v>20</v>
      </c>
      <c r="B45" s="158">
        <f>Summary!B9</f>
        <v>20897.8</v>
      </c>
      <c r="C45" s="158">
        <f>Summary!C9</f>
        <v>21180.8</v>
      </c>
      <c r="D45" s="158">
        <f>Summary!D9</f>
        <v>27090.25</v>
      </c>
      <c r="E45" s="158">
        <f>Summary!E9</f>
        <v>24278.75</v>
      </c>
      <c r="F45" s="158">
        <f>Summary!F9</f>
        <v>23606.1</v>
      </c>
      <c r="G45" s="158">
        <f>Summary!G9</f>
        <v>25814.7</v>
      </c>
      <c r="H45" s="158">
        <f>Summary!H9</f>
        <v>24168.1</v>
      </c>
      <c r="I45" s="158">
        <f>Summary!I9</f>
        <v>21712.3</v>
      </c>
      <c r="J45" s="158">
        <f>Summary!J9</f>
        <v>19451.11</v>
      </c>
      <c r="K45" s="158">
        <f>Summary!K9</f>
        <v>17573.24</v>
      </c>
      <c r="L45" s="158">
        <f>Summary!L9</f>
        <v>20147.05</v>
      </c>
      <c r="M45" s="158">
        <f>Summary!M9</f>
        <v>24321.85</v>
      </c>
      <c r="N45" s="158">
        <f>Summary!N9</f>
        <v>19256.53</v>
      </c>
      <c r="O45" s="158">
        <f>Summary!O9</f>
        <v>17973.25</v>
      </c>
      <c r="P45" s="158">
        <f>Summary!P9</f>
        <v>19669.35</v>
      </c>
      <c r="Q45" s="158">
        <f>Summary!Q9</f>
        <v>18340.13</v>
      </c>
      <c r="R45" s="158">
        <f>Summary!R9</f>
        <v>23673.5</v>
      </c>
      <c r="S45" s="158">
        <f>Summary!S9</f>
        <v>19148.68</v>
      </c>
      <c r="T45" s="158">
        <f>Summary!T9</f>
        <v>19822.35</v>
      </c>
      <c r="U45" s="158">
        <f>Summary!U9</f>
        <v>25440.05</v>
      </c>
      <c r="V45" s="158">
        <f>Summary!V9</f>
        <v>10620.2</v>
      </c>
      <c r="W45" s="158">
        <f>Summary!W9</f>
        <v>13425.9</v>
      </c>
      <c r="X45" s="158">
        <f>Summary!X9</f>
        <v>16754.05</v>
      </c>
      <c r="Y45" s="158">
        <f>Summary!Y9</f>
        <v>13233.25</v>
      </c>
      <c r="Z45" s="158">
        <f>Summary!Z9</f>
        <v>12355.35</v>
      </c>
      <c r="AA45" s="158">
        <f>Summary!AA9</f>
        <v>12852.2</v>
      </c>
      <c r="AB45" s="158">
        <f>Summary!AB9</f>
        <v>13490.2</v>
      </c>
      <c r="AC45" s="158">
        <f>Summary!AC9</f>
        <v>15059.01</v>
      </c>
      <c r="AD45" s="158">
        <f>Summary!AD9</f>
        <v>14025.8</v>
      </c>
      <c r="AE45" s="158">
        <f>Summary!AE9</f>
        <v>10521.8</v>
      </c>
      <c r="AF45" s="158">
        <f>Summary!AF9</f>
        <v>13440.2</v>
      </c>
      <c r="AG45" s="126">
        <f t="shared" ref="AG45:AG51" si="11">SUM(B45:AF45)</f>
        <v>579343.85</v>
      </c>
    </row>
    <row r="46">
      <c r="A46" s="157" t="s">
        <v>21</v>
      </c>
      <c r="B46" s="158">
        <f>Summary!B10</f>
        <v>8056.4</v>
      </c>
      <c r="C46" s="158">
        <f>Summary!C10</f>
        <v>7124.45</v>
      </c>
      <c r="D46" s="158">
        <f>Summary!D10</f>
        <v>6099.95</v>
      </c>
      <c r="E46" s="158">
        <f>Summary!E10</f>
        <v>5641.95</v>
      </c>
      <c r="F46" s="158">
        <f>Summary!F10</f>
        <v>6929.25</v>
      </c>
      <c r="G46" s="158">
        <f>Summary!G10</f>
        <v>7182.45</v>
      </c>
      <c r="H46" s="158">
        <f>Summary!H10</f>
        <v>9316.05</v>
      </c>
      <c r="I46" s="158">
        <f>Summary!I10</f>
        <v>5724.7</v>
      </c>
      <c r="J46" s="158">
        <f>Summary!J10</f>
        <v>4332.49</v>
      </c>
      <c r="K46" s="158">
        <f>Summary!K10</f>
        <v>3659.35</v>
      </c>
      <c r="L46" s="158">
        <f>Summary!L10</f>
        <v>5253.45</v>
      </c>
      <c r="M46" s="158">
        <f>Summary!M10</f>
        <v>4228.2</v>
      </c>
      <c r="N46" s="158">
        <f>Summary!N10</f>
        <v>6530.02</v>
      </c>
      <c r="O46" s="158">
        <f>Summary!O10</f>
        <v>5810</v>
      </c>
      <c r="P46" s="158">
        <f>Summary!P10</f>
        <v>4647</v>
      </c>
      <c r="Q46" s="158">
        <f>Summary!Q10</f>
        <v>4200.82</v>
      </c>
      <c r="R46" s="158">
        <f>Summary!R10</f>
        <v>4763.7</v>
      </c>
      <c r="S46" s="158">
        <f>Summary!S10</f>
        <v>4177.27</v>
      </c>
      <c r="T46" s="158">
        <f>Summary!T10</f>
        <v>3701.15</v>
      </c>
      <c r="U46" s="158">
        <f>Summary!U10</f>
        <v>4704.8</v>
      </c>
      <c r="V46" s="158">
        <f>Summary!V10</f>
        <v>5101.75</v>
      </c>
      <c r="W46" s="158">
        <f>Summary!W10</f>
        <v>3964.65</v>
      </c>
      <c r="X46" s="158">
        <f>Summary!X10</f>
        <v>2996.15</v>
      </c>
      <c r="Y46" s="158">
        <f>Summary!Y10</f>
        <v>2759.5</v>
      </c>
      <c r="Z46" s="158">
        <f>Summary!Z10</f>
        <v>3347.65</v>
      </c>
      <c r="AA46" s="158">
        <f>Summary!AA10</f>
        <v>3426.65</v>
      </c>
      <c r="AB46" s="158">
        <f>Summary!AB10</f>
        <v>3644.4</v>
      </c>
      <c r="AC46" s="158">
        <f>Summary!AC10</f>
        <v>3290.09</v>
      </c>
      <c r="AD46" s="158">
        <f>Summary!AD10</f>
        <v>3086.35</v>
      </c>
      <c r="AE46" s="158">
        <f>Summary!AE10</f>
        <v>2426</v>
      </c>
      <c r="AF46" s="158">
        <f>Summary!AF10</f>
        <v>2053.65</v>
      </c>
      <c r="AG46" s="126">
        <f t="shared" si="11"/>
        <v>148180.29</v>
      </c>
    </row>
    <row r="47">
      <c r="A47" s="157" t="s">
        <v>22</v>
      </c>
      <c r="B47" s="158">
        <f>Summary!B11</f>
        <v>58.14</v>
      </c>
      <c r="C47" s="158">
        <f>Summary!C11</f>
        <v>0</v>
      </c>
      <c r="D47" s="158">
        <f>Summary!D11</f>
        <v>76</v>
      </c>
      <c r="E47" s="158">
        <f>Summary!E11</f>
        <v>19</v>
      </c>
      <c r="F47" s="158">
        <f>Summary!F11</f>
        <v>44.99</v>
      </c>
      <c r="G47" s="158">
        <f>Summary!G11</f>
        <v>19</v>
      </c>
      <c r="H47" s="158">
        <f>Summary!H11</f>
        <v>130.15</v>
      </c>
      <c r="I47" s="158">
        <f>Summary!I11</f>
        <v>0</v>
      </c>
      <c r="J47" s="158">
        <f>Summary!J11</f>
        <v>58.99</v>
      </c>
      <c r="K47" s="158">
        <f>Summary!K11</f>
        <v>25.5</v>
      </c>
      <c r="L47" s="158">
        <f>Summary!L11</f>
        <v>39.99</v>
      </c>
      <c r="M47" s="158">
        <f>Summary!M11</f>
        <v>0</v>
      </c>
      <c r="N47" s="158">
        <f>Summary!N11</f>
        <v>0</v>
      </c>
      <c r="O47" s="158">
        <f>Summary!O11</f>
        <v>0</v>
      </c>
      <c r="P47" s="158">
        <f>Summary!P11</f>
        <v>39.99</v>
      </c>
      <c r="Q47" s="158">
        <f>Summary!Q11</f>
        <v>0</v>
      </c>
      <c r="R47" s="158">
        <f>Summary!R11</f>
        <v>0</v>
      </c>
      <c r="S47" s="158">
        <f>Summary!S11</f>
        <v>0</v>
      </c>
      <c r="T47" s="158">
        <f>Summary!T11</f>
        <v>0</v>
      </c>
      <c r="U47" s="158">
        <f>Summary!U11</f>
        <v>0</v>
      </c>
      <c r="V47" s="158">
        <f>Summary!V11</f>
        <v>29.99</v>
      </c>
      <c r="W47" s="158">
        <f>Summary!W11</f>
        <v>0</v>
      </c>
      <c r="X47" s="158">
        <f>Summary!X11</f>
        <v>0</v>
      </c>
      <c r="Y47" s="158">
        <f>Summary!Y11</f>
        <v>0</v>
      </c>
      <c r="Z47" s="158">
        <f>Summary!Z11</f>
        <v>0</v>
      </c>
      <c r="AA47" s="158">
        <f>Summary!AA11</f>
        <v>0</v>
      </c>
      <c r="AB47" s="158">
        <f>Summary!AB11</f>
        <v>0</v>
      </c>
      <c r="AC47" s="158">
        <f>Summary!AC11</f>
        <v>0</v>
      </c>
      <c r="AD47" s="158">
        <f>Summary!AD11</f>
        <v>0</v>
      </c>
      <c r="AE47" s="158">
        <f>Summary!AE11</f>
        <v>0</v>
      </c>
      <c r="AF47" s="158">
        <f>Summary!AF11</f>
        <v>0</v>
      </c>
      <c r="AG47" s="126">
        <f t="shared" si="11"/>
        <v>541.74</v>
      </c>
    </row>
    <row r="48">
      <c r="A48" s="157" t="s">
        <v>23</v>
      </c>
      <c r="B48" s="158">
        <f>Summary!B12</f>
        <v>0</v>
      </c>
      <c r="C48" s="158">
        <f>Summary!C12</f>
        <v>0</v>
      </c>
      <c r="D48" s="158">
        <f>Summary!D12</f>
        <v>0</v>
      </c>
      <c r="E48" s="158">
        <f>Summary!E12</f>
        <v>0</v>
      </c>
      <c r="F48" s="158">
        <f>Summary!F12</f>
        <v>0</v>
      </c>
      <c r="G48" s="158">
        <f>Summary!G12</f>
        <v>0</v>
      </c>
      <c r="H48" s="158">
        <f>Summary!H12</f>
        <v>0</v>
      </c>
      <c r="I48" s="158">
        <f>Summary!I12</f>
        <v>0</v>
      </c>
      <c r="J48" s="158">
        <f>Summary!J12</f>
        <v>0</v>
      </c>
      <c r="K48" s="158">
        <f>Summary!K12</f>
        <v>0</v>
      </c>
      <c r="L48" s="158">
        <f>Summary!L12</f>
        <v>0</v>
      </c>
      <c r="M48" s="158">
        <f>Summary!M12</f>
        <v>0</v>
      </c>
      <c r="N48" s="158">
        <f>Summary!N12</f>
        <v>0</v>
      </c>
      <c r="O48" s="158">
        <f>Summary!O12</f>
        <v>0</v>
      </c>
      <c r="P48" s="158">
        <f>Summary!P12</f>
        <v>32.8</v>
      </c>
      <c r="Q48" s="158">
        <f>Summary!Q12</f>
        <v>91</v>
      </c>
      <c r="R48" s="158">
        <f>Summary!R12</f>
        <v>157.8</v>
      </c>
      <c r="S48" s="158">
        <f>Summary!S12</f>
        <v>297</v>
      </c>
      <c r="T48" s="158">
        <f>Summary!T12</f>
        <v>285.64</v>
      </c>
      <c r="U48" s="158">
        <f>Summary!U12</f>
        <v>272.37</v>
      </c>
      <c r="V48" s="158">
        <f>Summary!V12</f>
        <v>326.37</v>
      </c>
      <c r="W48" s="158">
        <f>Summary!W12</f>
        <v>271.72</v>
      </c>
      <c r="X48" s="158">
        <f>Summary!X12</f>
        <v>79.6</v>
      </c>
      <c r="Y48" s="158">
        <f>Summary!Y12</f>
        <v>39.8</v>
      </c>
      <c r="Z48" s="158">
        <f>Summary!Z12</f>
        <v>109.6</v>
      </c>
      <c r="AA48" s="158">
        <f>Summary!AA12</f>
        <v>185.67</v>
      </c>
      <c r="AB48" s="158">
        <f>Summary!AB12</f>
        <v>181.72</v>
      </c>
      <c r="AC48" s="158">
        <f>Summary!AC12</f>
        <v>257.3</v>
      </c>
      <c r="AD48" s="158">
        <f>Summary!AD12</f>
        <v>279.41</v>
      </c>
      <c r="AE48" s="158">
        <f>Summary!AE12</f>
        <v>76.62</v>
      </c>
      <c r="AF48" s="159">
        <f>Summary!AF12</f>
        <v>163.2</v>
      </c>
      <c r="AG48" s="126">
        <f t="shared" si="11"/>
        <v>3107.62</v>
      </c>
    </row>
    <row r="49">
      <c r="A49" s="157" t="s">
        <v>24</v>
      </c>
      <c r="B49" s="158">
        <f>Summary!B13</f>
        <v>1684.65</v>
      </c>
      <c r="C49" s="158">
        <f>Summary!C13</f>
        <v>1759.45</v>
      </c>
      <c r="D49" s="158">
        <f>Summary!D13</f>
        <v>2003.39</v>
      </c>
      <c r="E49" s="158">
        <f>Summary!E13</f>
        <v>1819.14</v>
      </c>
      <c r="F49" s="158">
        <f>Summary!F13</f>
        <v>1928.36</v>
      </c>
      <c r="G49" s="158">
        <f>Summary!G13</f>
        <v>2080.55</v>
      </c>
      <c r="H49" s="158">
        <f>Summary!H13</f>
        <v>1985.7</v>
      </c>
      <c r="I49" s="158">
        <f>Summary!I13</f>
        <v>1559.13</v>
      </c>
      <c r="J49" s="158">
        <f>Summary!J13</f>
        <v>1380.09</v>
      </c>
      <c r="K49" s="158">
        <f>Summary!K13</f>
        <v>1121.66</v>
      </c>
      <c r="L49" s="158">
        <f>Summary!L13</f>
        <v>1469.72</v>
      </c>
      <c r="M49" s="158">
        <f>Summary!M13</f>
        <v>1786.93</v>
      </c>
      <c r="N49" s="158">
        <f>Summary!N13</f>
        <v>1504.3</v>
      </c>
      <c r="O49" s="158">
        <f>Summary!O13</f>
        <v>1380.33</v>
      </c>
      <c r="P49" s="158">
        <f>Summary!P13</f>
        <v>1460.15</v>
      </c>
      <c r="Q49" s="158">
        <f>Summary!Q13</f>
        <v>1348.36</v>
      </c>
      <c r="R49" s="158">
        <f>Summary!R13</f>
        <v>1757.83</v>
      </c>
      <c r="S49" s="158">
        <f>Summary!S13</f>
        <v>1417.99</v>
      </c>
      <c r="T49" s="158">
        <f>Summary!T13</f>
        <v>1343.02</v>
      </c>
      <c r="U49" s="158">
        <f>Summary!U13</f>
        <v>2054.84</v>
      </c>
      <c r="V49" s="158">
        <f>Summary!V13</f>
        <v>1013.24</v>
      </c>
      <c r="W49" s="158">
        <f>Summary!W13</f>
        <v>1121.05</v>
      </c>
      <c r="X49" s="158">
        <f>Summary!X13</f>
        <v>1175.83</v>
      </c>
      <c r="Y49" s="158">
        <f>Summary!Y13</f>
        <v>939.06</v>
      </c>
      <c r="Z49" s="158">
        <f>Summary!Z13</f>
        <v>1036.36</v>
      </c>
      <c r="AA49" s="158">
        <f>Summary!AA13</f>
        <v>1084.24</v>
      </c>
      <c r="AB49" s="158">
        <f>Summary!AB13</f>
        <v>1022.85</v>
      </c>
      <c r="AC49" s="158">
        <f>Summary!AC13</f>
        <v>1131.64</v>
      </c>
      <c r="AD49" s="158">
        <f>Summary!AD13</f>
        <v>1033.66</v>
      </c>
      <c r="AE49" s="158">
        <f>Summary!AE13</f>
        <v>620.16</v>
      </c>
      <c r="AF49" s="158">
        <f>Summary!AF13</f>
        <v>1017.08</v>
      </c>
      <c r="AG49" s="126">
        <f t="shared" si="11"/>
        <v>44040.76</v>
      </c>
    </row>
    <row r="50">
      <c r="A50" s="157" t="s">
        <v>25</v>
      </c>
      <c r="B50" s="158">
        <f>Summary!B14</f>
        <v>2470</v>
      </c>
      <c r="C50" s="158">
        <f>Summary!C14</f>
        <v>2140</v>
      </c>
      <c r="D50" s="158">
        <f>Summary!D14</f>
        <v>2490</v>
      </c>
      <c r="E50" s="158">
        <f>Summary!E14</f>
        <v>2335</v>
      </c>
      <c r="F50" s="158">
        <f>Summary!F14</f>
        <v>2395</v>
      </c>
      <c r="G50" s="158">
        <f>Summary!G14</f>
        <v>2505</v>
      </c>
      <c r="H50" s="158">
        <f>Summary!H14</f>
        <v>2715</v>
      </c>
      <c r="I50" s="158">
        <f>Summary!I14</f>
        <v>2140</v>
      </c>
      <c r="J50" s="158">
        <f>Summary!J14</f>
        <v>1685</v>
      </c>
      <c r="K50" s="158">
        <f>Summary!K14</f>
        <v>1680</v>
      </c>
      <c r="L50" s="158">
        <f>Summary!L14</f>
        <v>1870</v>
      </c>
      <c r="M50" s="158">
        <f>Summary!M14</f>
        <v>2060</v>
      </c>
      <c r="N50" s="158">
        <f>Summary!N14</f>
        <v>2340</v>
      </c>
      <c r="O50" s="158">
        <f>Summary!O14</f>
        <v>2390</v>
      </c>
      <c r="P50" s="158">
        <f>Summary!P14</f>
        <v>2020</v>
      </c>
      <c r="Q50" s="158">
        <f>Summary!Q14</f>
        <v>1816</v>
      </c>
      <c r="R50" s="158">
        <f>Summary!R14</f>
        <v>2051</v>
      </c>
      <c r="S50" s="158">
        <f>Summary!S14</f>
        <v>1874</v>
      </c>
      <c r="T50" s="158">
        <f>Summary!T14</f>
        <v>1990</v>
      </c>
      <c r="U50" s="158">
        <f>Summary!U14</f>
        <v>2343</v>
      </c>
      <c r="V50" s="158">
        <f>Summary!V14</f>
        <v>1790</v>
      </c>
      <c r="W50" s="158">
        <f>Summary!W14</f>
        <v>1519</v>
      </c>
      <c r="X50" s="158">
        <f>Summary!X14</f>
        <v>1493</v>
      </c>
      <c r="Y50" s="158">
        <f>Summary!Y14</f>
        <v>1289</v>
      </c>
      <c r="Z50" s="158">
        <f>Summary!Z14</f>
        <v>1339</v>
      </c>
      <c r="AA50" s="158">
        <f>Summary!AA14</f>
        <v>1525</v>
      </c>
      <c r="AB50" s="158">
        <f>Summary!AB14</f>
        <v>1682</v>
      </c>
      <c r="AC50" s="158">
        <f>Summary!AC14</f>
        <v>1711</v>
      </c>
      <c r="AD50" s="158">
        <f>Summary!AD14</f>
        <v>1677</v>
      </c>
      <c r="AE50" s="158">
        <f>Summary!AE14</f>
        <v>1328</v>
      </c>
      <c r="AF50" s="158">
        <f>Summary!AF14</f>
        <v>1176</v>
      </c>
      <c r="AG50" s="126">
        <f t="shared" si="11"/>
        <v>59838</v>
      </c>
    </row>
    <row r="51">
      <c r="A51" s="160" t="s">
        <v>113</v>
      </c>
      <c r="B51" s="161">
        <f t="shared" ref="B51:AF51" si="12">SUM(B45:B50)</f>
        <v>33166.99</v>
      </c>
      <c r="C51" s="161">
        <f t="shared" si="12"/>
        <v>32204.7</v>
      </c>
      <c r="D51" s="161">
        <f t="shared" si="12"/>
        <v>37759.59</v>
      </c>
      <c r="E51" s="161">
        <f t="shared" si="12"/>
        <v>34093.84</v>
      </c>
      <c r="F51" s="161">
        <f t="shared" si="12"/>
        <v>34903.7</v>
      </c>
      <c r="G51" s="161">
        <f t="shared" si="12"/>
        <v>37601.7</v>
      </c>
      <c r="H51" s="161">
        <f t="shared" si="12"/>
        <v>38315</v>
      </c>
      <c r="I51" s="161">
        <f t="shared" si="12"/>
        <v>31136.13</v>
      </c>
      <c r="J51" s="161">
        <f t="shared" si="12"/>
        <v>26907.68</v>
      </c>
      <c r="K51" s="161">
        <f t="shared" si="12"/>
        <v>24059.75</v>
      </c>
      <c r="L51" s="161">
        <f t="shared" si="12"/>
        <v>28780.21</v>
      </c>
      <c r="M51" s="161">
        <f t="shared" si="12"/>
        <v>32396.98</v>
      </c>
      <c r="N51" s="161">
        <f t="shared" si="12"/>
        <v>29630.85</v>
      </c>
      <c r="O51" s="161">
        <f t="shared" si="12"/>
        <v>27553.58</v>
      </c>
      <c r="P51" s="161">
        <f t="shared" si="12"/>
        <v>27869.29</v>
      </c>
      <c r="Q51" s="161">
        <f t="shared" si="12"/>
        <v>25796.31</v>
      </c>
      <c r="R51" s="161">
        <f t="shared" si="12"/>
        <v>32403.83</v>
      </c>
      <c r="S51" s="161">
        <f t="shared" si="12"/>
        <v>26914.94</v>
      </c>
      <c r="T51" s="161">
        <f t="shared" si="12"/>
        <v>27142.16</v>
      </c>
      <c r="U51" s="161">
        <f t="shared" si="12"/>
        <v>34815.06</v>
      </c>
      <c r="V51" s="161">
        <f t="shared" si="12"/>
        <v>18881.55</v>
      </c>
      <c r="W51" s="161">
        <f t="shared" si="12"/>
        <v>20302.32</v>
      </c>
      <c r="X51" s="161">
        <f t="shared" si="12"/>
        <v>22498.63</v>
      </c>
      <c r="Y51" s="161">
        <f t="shared" si="12"/>
        <v>18260.61</v>
      </c>
      <c r="Z51" s="161">
        <f t="shared" si="12"/>
        <v>18187.96</v>
      </c>
      <c r="AA51" s="161">
        <f t="shared" si="12"/>
        <v>19073.76</v>
      </c>
      <c r="AB51" s="161">
        <f t="shared" si="12"/>
        <v>20021.17</v>
      </c>
      <c r="AC51" s="161">
        <f t="shared" si="12"/>
        <v>21449.04</v>
      </c>
      <c r="AD51" s="161">
        <f t="shared" si="12"/>
        <v>20102.22</v>
      </c>
      <c r="AE51" s="161">
        <f t="shared" si="12"/>
        <v>14972.58</v>
      </c>
      <c r="AF51" s="161">
        <f t="shared" si="12"/>
        <v>17850.13</v>
      </c>
      <c r="AG51" s="126">
        <f t="shared" si="11"/>
        <v>835052.26</v>
      </c>
    </row>
    <row r="52">
      <c r="A52" s="98"/>
      <c r="B52" s="82"/>
      <c r="C52" s="82"/>
      <c r="D52" s="82"/>
      <c r="E52" s="82"/>
      <c r="F52" s="82"/>
      <c r="G52" s="82"/>
      <c r="H52" s="82"/>
      <c r="I52" s="82"/>
      <c r="J52" s="82"/>
      <c r="K52" s="82"/>
      <c r="L52" s="82"/>
      <c r="M52" s="82"/>
      <c r="N52" s="82"/>
      <c r="O52" s="82"/>
      <c r="P52" s="82"/>
      <c r="Q52" s="82"/>
      <c r="R52" s="82"/>
      <c r="S52" s="82"/>
      <c r="T52" s="82"/>
      <c r="U52" s="82"/>
      <c r="V52" s="82"/>
      <c r="W52" s="82"/>
      <c r="X52" s="82"/>
      <c r="Y52" s="82"/>
      <c r="Z52" s="82"/>
      <c r="AA52" s="82"/>
      <c r="AB52" s="82"/>
      <c r="AC52" s="82"/>
      <c r="AD52" s="82"/>
      <c r="AE52" s="82"/>
      <c r="AF52" s="82"/>
      <c r="AG52" s="146"/>
    </row>
    <row r="53">
      <c r="A53" s="155" t="s">
        <v>116</v>
      </c>
      <c r="B53" s="162"/>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c r="AG53" s="143"/>
    </row>
    <row r="54">
      <c r="A54" s="163" t="s">
        <v>117</v>
      </c>
      <c r="B54" s="164">
        <v>0.0</v>
      </c>
      <c r="C54" s="165">
        <v>0.0</v>
      </c>
      <c r="D54" s="165">
        <v>0.0</v>
      </c>
      <c r="E54" s="165">
        <v>0.0</v>
      </c>
      <c r="F54" s="164">
        <v>0.0</v>
      </c>
      <c r="G54" s="165">
        <v>0.0</v>
      </c>
      <c r="H54" s="165">
        <v>0.0</v>
      </c>
      <c r="I54" s="166">
        <v>0.0</v>
      </c>
      <c r="J54" s="166">
        <v>0.0</v>
      </c>
      <c r="K54" s="166">
        <v>0.0</v>
      </c>
      <c r="L54" s="166">
        <v>0.0</v>
      </c>
      <c r="M54" s="166">
        <v>0.0</v>
      </c>
      <c r="N54" s="166">
        <v>0.0</v>
      </c>
      <c r="O54" s="149">
        <v>0.0</v>
      </c>
      <c r="P54" s="166">
        <v>0.0</v>
      </c>
      <c r="Q54" s="166">
        <v>0.0</v>
      </c>
      <c r="R54" s="166">
        <v>0.0</v>
      </c>
      <c r="S54" s="83">
        <v>0.0</v>
      </c>
      <c r="T54" s="83">
        <v>0.0</v>
      </c>
      <c r="U54" s="83">
        <v>0.0</v>
      </c>
      <c r="V54" s="83">
        <v>0.0</v>
      </c>
      <c r="W54" s="83">
        <v>0.0</v>
      </c>
      <c r="X54" s="83">
        <v>0.0</v>
      </c>
      <c r="Y54" s="83">
        <v>7.0</v>
      </c>
      <c r="Z54" s="167">
        <v>9.0</v>
      </c>
      <c r="AA54" s="83">
        <v>8.0</v>
      </c>
      <c r="AB54" s="83">
        <v>8.0</v>
      </c>
      <c r="AC54" s="167">
        <v>10.0</v>
      </c>
      <c r="AD54" s="167">
        <v>13.0</v>
      </c>
      <c r="AE54" s="167">
        <v>7.0</v>
      </c>
      <c r="AF54" s="167">
        <v>10.0</v>
      </c>
      <c r="AG54" s="143">
        <f t="shared" ref="AG54:AG58" si="13">sum(B54:AF54)</f>
        <v>72</v>
      </c>
    </row>
    <row r="55">
      <c r="A55" s="163" t="s">
        <v>118</v>
      </c>
      <c r="B55" s="164">
        <v>17.0</v>
      </c>
      <c r="C55" s="165">
        <v>22.0</v>
      </c>
      <c r="D55" s="165">
        <v>35.0</v>
      </c>
      <c r="E55" s="165">
        <v>28.0</v>
      </c>
      <c r="F55" s="164">
        <v>29.0</v>
      </c>
      <c r="G55" s="165">
        <v>20.0</v>
      </c>
      <c r="H55" s="166">
        <v>15.0</v>
      </c>
      <c r="I55" s="166">
        <v>19.0</v>
      </c>
      <c r="J55" s="166">
        <v>12.0</v>
      </c>
      <c r="K55" s="166">
        <v>9.0</v>
      </c>
      <c r="L55" s="166">
        <v>12.0</v>
      </c>
      <c r="M55" s="166">
        <v>18.0</v>
      </c>
      <c r="N55" s="166">
        <v>10.0</v>
      </c>
      <c r="O55" s="149">
        <v>7.0</v>
      </c>
      <c r="P55" s="166">
        <v>13.0</v>
      </c>
      <c r="Q55" s="166">
        <v>13.0</v>
      </c>
      <c r="R55" s="166">
        <v>11.0</v>
      </c>
      <c r="S55" s="83">
        <v>7.0</v>
      </c>
      <c r="T55" s="83">
        <v>21.0</v>
      </c>
      <c r="U55" s="83">
        <v>17.0</v>
      </c>
      <c r="V55" s="83">
        <v>11.0</v>
      </c>
      <c r="W55" s="83">
        <v>11.0</v>
      </c>
      <c r="X55" s="83">
        <v>9.0</v>
      </c>
      <c r="Y55" s="83">
        <v>3.0</v>
      </c>
      <c r="Z55" s="167">
        <v>4.0</v>
      </c>
      <c r="AA55" s="83">
        <v>8.0</v>
      </c>
      <c r="AB55" s="83">
        <v>4.0</v>
      </c>
      <c r="AC55" s="167">
        <v>12.0</v>
      </c>
      <c r="AD55" s="167">
        <v>3.0</v>
      </c>
      <c r="AE55" s="167">
        <v>4.0</v>
      </c>
      <c r="AF55" s="167">
        <v>1.0</v>
      </c>
      <c r="AG55" s="143">
        <f t="shared" si="13"/>
        <v>405</v>
      </c>
    </row>
    <row r="56">
      <c r="A56" s="163" t="s">
        <v>119</v>
      </c>
      <c r="B56" s="165">
        <v>0.0</v>
      </c>
      <c r="C56" s="165">
        <v>0.0</v>
      </c>
      <c r="D56" s="165">
        <v>0.0</v>
      </c>
      <c r="E56" s="165">
        <v>0.0</v>
      </c>
      <c r="F56" s="165">
        <v>0.0</v>
      </c>
      <c r="G56" s="165">
        <v>0.0</v>
      </c>
      <c r="H56" s="165">
        <v>0.0</v>
      </c>
      <c r="I56" s="166">
        <v>19.0</v>
      </c>
      <c r="J56" s="166">
        <v>35.0</v>
      </c>
      <c r="K56" s="166">
        <v>35.0</v>
      </c>
      <c r="L56" s="166">
        <v>44.0</v>
      </c>
      <c r="M56" s="166">
        <v>46.0</v>
      </c>
      <c r="N56" s="166">
        <v>42.0</v>
      </c>
      <c r="O56" s="149">
        <v>41.0</v>
      </c>
      <c r="P56" s="166">
        <v>44.0</v>
      </c>
      <c r="Q56" s="166">
        <v>37.0</v>
      </c>
      <c r="R56" s="166">
        <v>41.0</v>
      </c>
      <c r="S56" s="83">
        <v>37.0</v>
      </c>
      <c r="T56" s="83">
        <v>47.0</v>
      </c>
      <c r="U56" s="83">
        <v>73.0</v>
      </c>
      <c r="V56" s="83">
        <v>28.0</v>
      </c>
      <c r="W56" s="83">
        <v>37.0</v>
      </c>
      <c r="X56" s="83">
        <v>52.0</v>
      </c>
      <c r="Y56" s="83">
        <v>28.0</v>
      </c>
      <c r="Z56" s="168">
        <v>24.0</v>
      </c>
      <c r="AA56" s="83">
        <v>25.0</v>
      </c>
      <c r="AB56" s="83">
        <v>32.0</v>
      </c>
      <c r="AC56" s="83">
        <v>25.0</v>
      </c>
      <c r="AD56" s="83">
        <v>30.0</v>
      </c>
      <c r="AE56" s="83">
        <v>23.0</v>
      </c>
      <c r="AF56" s="83">
        <v>31.0</v>
      </c>
      <c r="AG56" s="143">
        <f t="shared" si="13"/>
        <v>876</v>
      </c>
    </row>
    <row r="57">
      <c r="A57" s="163" t="s">
        <v>120</v>
      </c>
      <c r="B57" s="164">
        <v>60.0</v>
      </c>
      <c r="C57" s="165">
        <v>57.0</v>
      </c>
      <c r="D57" s="165">
        <v>66.0</v>
      </c>
      <c r="E57" s="165">
        <v>62.0</v>
      </c>
      <c r="F57" s="165">
        <v>58.0</v>
      </c>
      <c r="G57" s="165">
        <v>73.0</v>
      </c>
      <c r="H57" s="165">
        <v>71.0</v>
      </c>
      <c r="I57" s="166">
        <v>41.0</v>
      </c>
      <c r="J57" s="166">
        <v>23.0</v>
      </c>
      <c r="K57" s="166">
        <v>19.0</v>
      </c>
      <c r="L57" s="166">
        <v>17.0</v>
      </c>
      <c r="M57" s="149">
        <v>24.0</v>
      </c>
      <c r="N57" s="166">
        <v>16.0</v>
      </c>
      <c r="O57" s="149">
        <v>16.0</v>
      </c>
      <c r="P57" s="166">
        <v>13.0</v>
      </c>
      <c r="Q57" s="166">
        <v>16.0</v>
      </c>
      <c r="R57" s="166">
        <v>31.0</v>
      </c>
      <c r="S57" s="83">
        <v>23.0</v>
      </c>
      <c r="T57" s="83">
        <v>4.0</v>
      </c>
      <c r="U57" s="83">
        <v>0.0</v>
      </c>
      <c r="V57" s="83">
        <v>0.0</v>
      </c>
      <c r="W57" s="83">
        <v>0.0</v>
      </c>
      <c r="X57" s="83">
        <v>0.0</v>
      </c>
      <c r="Y57" s="83">
        <v>11.0</v>
      </c>
      <c r="Z57" s="168">
        <v>11.0</v>
      </c>
      <c r="AA57" s="83">
        <v>11.0</v>
      </c>
      <c r="AB57" s="83">
        <v>8.0</v>
      </c>
      <c r="AC57" s="83">
        <v>12.0</v>
      </c>
      <c r="AD57" s="83">
        <v>11.0</v>
      </c>
      <c r="AE57" s="83">
        <v>10.0</v>
      </c>
      <c r="AF57" s="83">
        <v>7.0</v>
      </c>
      <c r="AG57" s="143">
        <f t="shared" si="13"/>
        <v>771</v>
      </c>
    </row>
    <row r="58">
      <c r="A58" s="169" t="s">
        <v>121</v>
      </c>
      <c r="B58" s="170">
        <f t="shared" ref="B58:AF58" si="14">SUM(B54:B57)</f>
        <v>77</v>
      </c>
      <c r="C58" s="170">
        <f t="shared" si="14"/>
        <v>79</v>
      </c>
      <c r="D58" s="170">
        <f t="shared" si="14"/>
        <v>101</v>
      </c>
      <c r="E58" s="170">
        <f t="shared" si="14"/>
        <v>90</v>
      </c>
      <c r="F58" s="170">
        <f t="shared" si="14"/>
        <v>87</v>
      </c>
      <c r="G58" s="170">
        <f t="shared" si="14"/>
        <v>93</v>
      </c>
      <c r="H58" s="170">
        <f t="shared" si="14"/>
        <v>86</v>
      </c>
      <c r="I58" s="170">
        <f t="shared" si="14"/>
        <v>79</v>
      </c>
      <c r="J58" s="170">
        <f t="shared" si="14"/>
        <v>70</v>
      </c>
      <c r="K58" s="170">
        <f t="shared" si="14"/>
        <v>63</v>
      </c>
      <c r="L58" s="170">
        <f t="shared" si="14"/>
        <v>73</v>
      </c>
      <c r="M58" s="170">
        <f t="shared" si="14"/>
        <v>88</v>
      </c>
      <c r="N58" s="170">
        <f t="shared" si="14"/>
        <v>68</v>
      </c>
      <c r="O58" s="170">
        <f t="shared" si="14"/>
        <v>64</v>
      </c>
      <c r="P58" s="170">
        <f t="shared" si="14"/>
        <v>70</v>
      </c>
      <c r="Q58" s="170">
        <f t="shared" si="14"/>
        <v>66</v>
      </c>
      <c r="R58" s="170">
        <f t="shared" si="14"/>
        <v>83</v>
      </c>
      <c r="S58" s="170">
        <f t="shared" si="14"/>
        <v>67</v>
      </c>
      <c r="T58" s="170">
        <f t="shared" si="14"/>
        <v>72</v>
      </c>
      <c r="U58" s="170">
        <f t="shared" si="14"/>
        <v>90</v>
      </c>
      <c r="V58" s="170">
        <f t="shared" si="14"/>
        <v>39</v>
      </c>
      <c r="W58" s="170">
        <f t="shared" si="14"/>
        <v>48</v>
      </c>
      <c r="X58" s="170">
        <f t="shared" si="14"/>
        <v>61</v>
      </c>
      <c r="Y58" s="170">
        <f t="shared" si="14"/>
        <v>49</v>
      </c>
      <c r="Z58" s="170">
        <f t="shared" si="14"/>
        <v>48</v>
      </c>
      <c r="AA58" s="170">
        <f t="shared" si="14"/>
        <v>52</v>
      </c>
      <c r="AB58" s="170">
        <f t="shared" si="14"/>
        <v>52</v>
      </c>
      <c r="AC58" s="170">
        <f t="shared" si="14"/>
        <v>59</v>
      </c>
      <c r="AD58" s="170">
        <f t="shared" si="14"/>
        <v>57</v>
      </c>
      <c r="AE58" s="170">
        <f t="shared" si="14"/>
        <v>44</v>
      </c>
      <c r="AF58" s="170">
        <f t="shared" si="14"/>
        <v>49</v>
      </c>
      <c r="AG58" s="143">
        <f t="shared" si="13"/>
        <v>2124</v>
      </c>
    </row>
    <row r="59">
      <c r="A59" s="98"/>
      <c r="B59" s="171"/>
      <c r="C59" s="171"/>
      <c r="D59" s="171"/>
      <c r="E59" s="171"/>
      <c r="F59" s="171"/>
      <c r="G59" s="171"/>
      <c r="H59" s="171"/>
      <c r="I59" s="171"/>
      <c r="J59" s="82"/>
      <c r="K59" s="82"/>
      <c r="L59" s="82"/>
      <c r="M59" s="82"/>
      <c r="N59" s="82"/>
      <c r="O59" s="82"/>
      <c r="P59" s="82"/>
      <c r="Q59" s="82"/>
      <c r="R59" s="82"/>
      <c r="S59" s="82"/>
      <c r="T59" s="82"/>
      <c r="U59" s="82"/>
      <c r="V59" s="82"/>
      <c r="W59" s="82"/>
      <c r="X59" s="82"/>
      <c r="Y59" s="82"/>
      <c r="Z59" s="82"/>
      <c r="AA59" s="82"/>
      <c r="AB59" s="82"/>
      <c r="AC59" s="82"/>
      <c r="AD59" s="82"/>
      <c r="AE59" s="82"/>
      <c r="AF59" s="82"/>
      <c r="AG59" s="172"/>
    </row>
    <row r="60">
      <c r="A60" s="163" t="s">
        <v>122</v>
      </c>
      <c r="B60" s="165">
        <v>59.0</v>
      </c>
      <c r="C60" s="165">
        <v>51.0</v>
      </c>
      <c r="D60" s="165">
        <v>46.0</v>
      </c>
      <c r="E60" s="165">
        <v>55.0</v>
      </c>
      <c r="F60" s="165">
        <v>43.0</v>
      </c>
      <c r="G60" s="165">
        <v>56.0</v>
      </c>
      <c r="H60" s="165">
        <v>58.0</v>
      </c>
      <c r="I60" s="166">
        <v>31.0</v>
      </c>
      <c r="J60" s="166">
        <v>26.0</v>
      </c>
      <c r="K60" s="166">
        <v>23.0</v>
      </c>
      <c r="L60" s="166">
        <v>27.0</v>
      </c>
      <c r="M60" s="166">
        <v>22.0</v>
      </c>
      <c r="N60" s="166">
        <v>35.0</v>
      </c>
      <c r="O60" s="166">
        <v>34.0</v>
      </c>
      <c r="P60" s="166">
        <v>31.0</v>
      </c>
      <c r="Q60" s="166">
        <v>20.0</v>
      </c>
      <c r="R60" s="166">
        <v>30.0</v>
      </c>
      <c r="S60" s="83">
        <v>20.0</v>
      </c>
      <c r="T60" s="83">
        <v>23.0</v>
      </c>
      <c r="U60" s="83">
        <v>36.0</v>
      </c>
      <c r="V60" s="83">
        <v>27.0</v>
      </c>
      <c r="W60" s="83">
        <v>23.0</v>
      </c>
      <c r="X60" s="83">
        <v>17.0</v>
      </c>
      <c r="Y60" s="83">
        <v>11.0</v>
      </c>
      <c r="Z60" s="173">
        <v>11.0</v>
      </c>
      <c r="AA60" s="83">
        <v>19.0</v>
      </c>
      <c r="AB60" s="83">
        <v>17.0</v>
      </c>
      <c r="AC60" s="173">
        <v>16.0</v>
      </c>
      <c r="AD60" s="173">
        <v>20.0</v>
      </c>
      <c r="AE60" s="173">
        <v>13.0</v>
      </c>
      <c r="AF60" s="173">
        <v>13.0</v>
      </c>
      <c r="AG60" s="143">
        <f t="shared" ref="AG60:AG68" si="15">sum(B60:AF60)</f>
        <v>913</v>
      </c>
    </row>
    <row r="61">
      <c r="A61" s="163" t="s">
        <v>123</v>
      </c>
      <c r="B61" s="165">
        <v>56.0</v>
      </c>
      <c r="C61" s="165">
        <v>47.0</v>
      </c>
      <c r="D61" s="165">
        <v>38.0</v>
      </c>
      <c r="E61" s="165">
        <v>35.0</v>
      </c>
      <c r="F61" s="165">
        <v>46.0</v>
      </c>
      <c r="G61" s="165">
        <v>42.0</v>
      </c>
      <c r="H61" s="165">
        <v>51.0</v>
      </c>
      <c r="I61" s="166">
        <v>29.0</v>
      </c>
      <c r="J61" s="166">
        <v>30.0</v>
      </c>
      <c r="K61" s="166">
        <v>31.0</v>
      </c>
      <c r="L61" s="166">
        <v>31.0</v>
      </c>
      <c r="M61" s="166">
        <v>26.0</v>
      </c>
      <c r="N61" s="165">
        <v>35.0</v>
      </c>
      <c r="O61" s="166">
        <v>30.0</v>
      </c>
      <c r="P61" s="165">
        <v>23.0</v>
      </c>
      <c r="Q61" s="166">
        <v>14.0</v>
      </c>
      <c r="R61" s="166">
        <v>23.0</v>
      </c>
      <c r="S61" s="83">
        <v>21.0</v>
      </c>
      <c r="T61" s="83">
        <v>16.0</v>
      </c>
      <c r="U61" s="83">
        <v>24.0</v>
      </c>
      <c r="V61" s="83">
        <v>26.0</v>
      </c>
      <c r="W61" s="83">
        <v>13.0</v>
      </c>
      <c r="X61" s="83">
        <v>18.0</v>
      </c>
      <c r="Y61" s="83">
        <v>17.0</v>
      </c>
      <c r="Z61" s="167">
        <v>23.0</v>
      </c>
      <c r="AA61" s="174">
        <v>27.0</v>
      </c>
      <c r="AB61" s="83">
        <v>22.0</v>
      </c>
      <c r="AC61" s="174">
        <v>19.0</v>
      </c>
      <c r="AD61" s="174">
        <v>25.0</v>
      </c>
      <c r="AE61" s="174">
        <v>12.0</v>
      </c>
      <c r="AF61" s="174">
        <v>10.0</v>
      </c>
      <c r="AG61" s="143">
        <f t="shared" si="15"/>
        <v>860</v>
      </c>
    </row>
    <row r="62">
      <c r="A62" s="163" t="s">
        <v>124</v>
      </c>
      <c r="B62" s="165">
        <v>9.0</v>
      </c>
      <c r="C62" s="165">
        <v>7.0</v>
      </c>
      <c r="D62" s="165">
        <v>4.0</v>
      </c>
      <c r="E62" s="165">
        <v>8.0</v>
      </c>
      <c r="F62" s="165">
        <v>9.0</v>
      </c>
      <c r="G62" s="165">
        <v>6.0</v>
      </c>
      <c r="H62" s="165">
        <v>8.0</v>
      </c>
      <c r="I62" s="165">
        <v>7.0</v>
      </c>
      <c r="J62" s="165">
        <v>8.0</v>
      </c>
      <c r="K62" s="165">
        <v>2.0</v>
      </c>
      <c r="L62" s="165">
        <v>12.0</v>
      </c>
      <c r="M62" s="165">
        <v>5.0</v>
      </c>
      <c r="N62" s="165">
        <v>11.0</v>
      </c>
      <c r="O62" s="165">
        <v>8.0</v>
      </c>
      <c r="P62" s="165">
        <v>14.0</v>
      </c>
      <c r="Q62" s="165">
        <v>9.0</v>
      </c>
      <c r="R62" s="165">
        <v>9.0</v>
      </c>
      <c r="S62" s="165">
        <v>9.0</v>
      </c>
      <c r="T62" s="165">
        <v>5.0</v>
      </c>
      <c r="U62" s="165">
        <v>12.0</v>
      </c>
      <c r="V62" s="165">
        <v>19.0</v>
      </c>
      <c r="W62" s="165">
        <v>11.0</v>
      </c>
      <c r="X62" s="165">
        <v>11.0</v>
      </c>
      <c r="Y62" s="165">
        <v>10.0</v>
      </c>
      <c r="Z62" s="175">
        <v>8.0</v>
      </c>
      <c r="AA62" s="165">
        <v>10.0</v>
      </c>
      <c r="AB62" s="165">
        <v>14.0</v>
      </c>
      <c r="AC62" s="175">
        <v>7.0</v>
      </c>
      <c r="AD62" s="175">
        <v>11.0</v>
      </c>
      <c r="AE62" s="175">
        <v>2.0</v>
      </c>
      <c r="AF62" s="175">
        <v>5.0</v>
      </c>
      <c r="AG62" s="143">
        <f t="shared" si="15"/>
        <v>270</v>
      </c>
    </row>
    <row r="63">
      <c r="A63" s="163" t="s">
        <v>125</v>
      </c>
      <c r="B63" s="164">
        <v>27.0</v>
      </c>
      <c r="C63" s="165">
        <v>19.0</v>
      </c>
      <c r="D63" s="165">
        <v>22.0</v>
      </c>
      <c r="E63" s="165">
        <v>27.0</v>
      </c>
      <c r="F63" s="165">
        <v>23.0</v>
      </c>
      <c r="G63" s="165">
        <v>31.0</v>
      </c>
      <c r="H63" s="165">
        <v>34.0</v>
      </c>
      <c r="I63" s="166">
        <v>17.0</v>
      </c>
      <c r="J63" s="166">
        <v>15.0</v>
      </c>
      <c r="K63" s="166">
        <v>12.0</v>
      </c>
      <c r="L63" s="166">
        <v>11.0</v>
      </c>
      <c r="M63" s="166">
        <v>14.0</v>
      </c>
      <c r="N63" s="166">
        <v>17.0</v>
      </c>
      <c r="O63" s="149">
        <v>8.0</v>
      </c>
      <c r="P63" s="166">
        <v>8.0</v>
      </c>
      <c r="Q63" s="166">
        <v>7.0</v>
      </c>
      <c r="R63" s="166">
        <v>16.0</v>
      </c>
      <c r="S63" s="83">
        <v>11.0</v>
      </c>
      <c r="T63" s="176">
        <v>4.0</v>
      </c>
      <c r="U63" s="165">
        <v>6.0</v>
      </c>
      <c r="V63" s="165">
        <v>4.0</v>
      </c>
      <c r="W63" s="165">
        <v>1.0</v>
      </c>
      <c r="X63" s="165">
        <v>2.0</v>
      </c>
      <c r="Y63" s="165">
        <v>2.0</v>
      </c>
      <c r="Z63" s="175">
        <v>4.0</v>
      </c>
      <c r="AA63" s="165">
        <v>2.0</v>
      </c>
      <c r="AB63" s="165">
        <v>2.0</v>
      </c>
      <c r="AC63" s="175">
        <v>1.0</v>
      </c>
      <c r="AD63" s="175">
        <v>1.0</v>
      </c>
      <c r="AE63" s="175">
        <v>5.0</v>
      </c>
      <c r="AF63" s="175">
        <v>3.0</v>
      </c>
      <c r="AG63" s="143">
        <f t="shared" si="15"/>
        <v>356</v>
      </c>
    </row>
    <row r="64">
      <c r="A64" s="163" t="s">
        <v>126</v>
      </c>
      <c r="B64" s="165">
        <v>11.0</v>
      </c>
      <c r="C64" s="165">
        <v>14.0</v>
      </c>
      <c r="D64" s="165">
        <v>7.0</v>
      </c>
      <c r="E64" s="165">
        <v>4.0</v>
      </c>
      <c r="F64" s="165">
        <v>6.0</v>
      </c>
      <c r="G64" s="165">
        <v>11.0</v>
      </c>
      <c r="H64" s="165">
        <v>11.0</v>
      </c>
      <c r="I64" s="165">
        <v>8.0</v>
      </c>
      <c r="J64" s="165">
        <v>4.0</v>
      </c>
      <c r="K64" s="165">
        <v>1.0</v>
      </c>
      <c r="L64" s="165">
        <v>9.0</v>
      </c>
      <c r="M64" s="165">
        <v>8.0</v>
      </c>
      <c r="N64" s="165">
        <v>13.0</v>
      </c>
      <c r="O64" s="165">
        <v>13.0</v>
      </c>
      <c r="P64" s="165">
        <v>6.0</v>
      </c>
      <c r="Q64" s="165">
        <v>7.0</v>
      </c>
      <c r="R64" s="165">
        <v>6.0</v>
      </c>
      <c r="S64" s="165">
        <v>6.0</v>
      </c>
      <c r="T64" s="165">
        <v>2.0</v>
      </c>
      <c r="U64" s="165">
        <v>7.0</v>
      </c>
      <c r="V64" s="165">
        <v>9.0</v>
      </c>
      <c r="W64" s="165">
        <v>6.0</v>
      </c>
      <c r="X64" s="165">
        <v>4.0</v>
      </c>
      <c r="Y64" s="165">
        <v>8.0</v>
      </c>
      <c r="Z64" s="165">
        <v>4.0</v>
      </c>
      <c r="AA64" s="83">
        <v>7.0</v>
      </c>
      <c r="AB64" s="165">
        <v>4.0</v>
      </c>
      <c r="AC64" s="175">
        <v>3.0</v>
      </c>
      <c r="AD64" s="175">
        <v>4.0</v>
      </c>
      <c r="AE64" s="175">
        <v>10.0</v>
      </c>
      <c r="AF64" s="175">
        <v>3.0</v>
      </c>
      <c r="AG64" s="143">
        <f t="shared" si="15"/>
        <v>216</v>
      </c>
    </row>
    <row r="65">
      <c r="A65" s="163" t="s">
        <v>127</v>
      </c>
      <c r="B65" s="164">
        <v>9.0</v>
      </c>
      <c r="C65" s="165">
        <v>9.0</v>
      </c>
      <c r="D65" s="165">
        <v>8.0</v>
      </c>
      <c r="E65" s="165">
        <v>6.0</v>
      </c>
      <c r="F65" s="165">
        <v>5.0</v>
      </c>
      <c r="G65" s="165">
        <v>3.0</v>
      </c>
      <c r="H65" s="165">
        <v>12.0</v>
      </c>
      <c r="I65" s="166">
        <v>9.0</v>
      </c>
      <c r="J65" s="166">
        <v>4.0</v>
      </c>
      <c r="K65" s="166">
        <v>6.0</v>
      </c>
      <c r="L65" s="166">
        <v>8.0</v>
      </c>
      <c r="M65" s="166">
        <v>3.0</v>
      </c>
      <c r="N65" s="166">
        <v>5.0</v>
      </c>
      <c r="O65" s="149">
        <v>2.0</v>
      </c>
      <c r="P65" s="166">
        <v>1.0</v>
      </c>
      <c r="Q65" s="166">
        <v>2.0</v>
      </c>
      <c r="R65" s="166">
        <v>5.0</v>
      </c>
      <c r="S65" s="83">
        <v>5.0</v>
      </c>
      <c r="T65" s="176">
        <v>6.0</v>
      </c>
      <c r="U65" s="165">
        <v>4.0</v>
      </c>
      <c r="V65" s="165">
        <v>5.0</v>
      </c>
      <c r="W65" s="165">
        <v>7.0</v>
      </c>
      <c r="X65" s="165">
        <v>2.0</v>
      </c>
      <c r="Y65" s="165">
        <v>1.0</v>
      </c>
      <c r="Z65" s="165">
        <v>5.0</v>
      </c>
      <c r="AA65" s="83">
        <v>3.0</v>
      </c>
      <c r="AB65" s="165">
        <v>4.0</v>
      </c>
      <c r="AC65" s="175">
        <v>7.0</v>
      </c>
      <c r="AD65" s="175">
        <v>3.0</v>
      </c>
      <c r="AE65" s="175">
        <v>1.0</v>
      </c>
      <c r="AF65" s="175">
        <v>1.0</v>
      </c>
      <c r="AG65" s="143">
        <f t="shared" si="15"/>
        <v>151</v>
      </c>
    </row>
    <row r="66">
      <c r="A66" s="163" t="s">
        <v>128</v>
      </c>
      <c r="B66" s="165">
        <v>37.0</v>
      </c>
      <c r="C66" s="165">
        <v>31.0</v>
      </c>
      <c r="D66" s="165">
        <v>22.0</v>
      </c>
      <c r="E66" s="165">
        <v>21.0</v>
      </c>
      <c r="F66" s="165">
        <v>42.0</v>
      </c>
      <c r="G66" s="165">
        <v>39.0</v>
      </c>
      <c r="H66" s="165">
        <v>49.0</v>
      </c>
      <c r="I66" s="165">
        <v>33.0</v>
      </c>
      <c r="J66" s="165">
        <v>31.0</v>
      </c>
      <c r="K66" s="165">
        <v>22.0</v>
      </c>
      <c r="L66" s="165">
        <v>27.0</v>
      </c>
      <c r="M66" s="165">
        <v>33.0</v>
      </c>
      <c r="N66" s="165">
        <v>35.0</v>
      </c>
      <c r="O66" s="165">
        <v>44.0</v>
      </c>
      <c r="P66" s="165">
        <v>34.0</v>
      </c>
      <c r="Q66" s="165">
        <v>30.0</v>
      </c>
      <c r="R66" s="165">
        <v>23.0</v>
      </c>
      <c r="S66" s="165">
        <v>29.0</v>
      </c>
      <c r="T66" s="165">
        <v>42.0</v>
      </c>
      <c r="U66" s="165">
        <v>48.0</v>
      </c>
      <c r="V66" s="165">
        <v>53.0</v>
      </c>
      <c r="W66" s="165">
        <v>39.0</v>
      </c>
      <c r="X66" s="165">
        <v>36.0</v>
      </c>
      <c r="Y66" s="165">
        <v>20.0</v>
      </c>
      <c r="Z66" s="165">
        <v>30.0</v>
      </c>
      <c r="AA66" s="83">
        <v>29.0</v>
      </c>
      <c r="AB66" s="165">
        <v>35.0</v>
      </c>
      <c r="AC66" s="175">
        <v>29.0</v>
      </c>
      <c r="AD66" s="175">
        <v>24.0</v>
      </c>
      <c r="AE66" s="175">
        <v>24.0</v>
      </c>
      <c r="AF66" s="175">
        <v>23.0</v>
      </c>
      <c r="AG66" s="143">
        <f t="shared" si="15"/>
        <v>1014</v>
      </c>
    </row>
    <row r="67">
      <c r="A67" s="163" t="s">
        <v>129</v>
      </c>
      <c r="B67" s="165">
        <v>54.0</v>
      </c>
      <c r="C67" s="165">
        <v>42.0</v>
      </c>
      <c r="D67" s="165">
        <v>38.0</v>
      </c>
      <c r="E67" s="165">
        <v>38.0</v>
      </c>
      <c r="F67" s="165">
        <v>45.0</v>
      </c>
      <c r="G67" s="165">
        <v>49.0</v>
      </c>
      <c r="H67" s="165">
        <v>67.0</v>
      </c>
      <c r="I67" s="165">
        <v>28.0</v>
      </c>
      <c r="J67" s="165">
        <v>25.0</v>
      </c>
      <c r="K67" s="165">
        <v>22.0</v>
      </c>
      <c r="L67" s="165">
        <v>25.0</v>
      </c>
      <c r="M67" s="165">
        <v>27.0</v>
      </c>
      <c r="N67" s="165">
        <v>36.0</v>
      </c>
      <c r="O67" s="165">
        <v>21.0</v>
      </c>
      <c r="P67" s="165">
        <v>18.0</v>
      </c>
      <c r="Q67" s="165">
        <v>20.0</v>
      </c>
      <c r="R67" s="165">
        <v>28.0</v>
      </c>
      <c r="S67" s="83">
        <v>22.0</v>
      </c>
      <c r="T67" s="83">
        <v>16.0</v>
      </c>
      <c r="U67" s="165">
        <v>14.0</v>
      </c>
      <c r="V67" s="165">
        <v>15.0</v>
      </c>
      <c r="W67" s="165">
        <v>11.0</v>
      </c>
      <c r="X67" s="165">
        <v>9.0</v>
      </c>
      <c r="Y67" s="165">
        <v>12.0</v>
      </c>
      <c r="Z67" s="165">
        <v>19.0</v>
      </c>
      <c r="AA67" s="83">
        <v>14.0</v>
      </c>
      <c r="AB67" s="165">
        <v>15.0</v>
      </c>
      <c r="AC67" s="175">
        <v>19.0</v>
      </c>
      <c r="AD67" s="175">
        <v>12.0</v>
      </c>
      <c r="AE67" s="175">
        <v>5.0</v>
      </c>
      <c r="AF67" s="175">
        <v>10.0</v>
      </c>
      <c r="AG67" s="143">
        <f t="shared" si="15"/>
        <v>776</v>
      </c>
    </row>
    <row r="68">
      <c r="A68" s="169" t="s">
        <v>130</v>
      </c>
      <c r="B68" s="170">
        <f t="shared" ref="B68:AF68" si="16">SUM(B60:B67)</f>
        <v>262</v>
      </c>
      <c r="C68" s="170">
        <f t="shared" si="16"/>
        <v>220</v>
      </c>
      <c r="D68" s="170">
        <f t="shared" si="16"/>
        <v>185</v>
      </c>
      <c r="E68" s="170">
        <f t="shared" si="16"/>
        <v>194</v>
      </c>
      <c r="F68" s="170">
        <f t="shared" si="16"/>
        <v>219</v>
      </c>
      <c r="G68" s="170">
        <f t="shared" si="16"/>
        <v>237</v>
      </c>
      <c r="H68" s="170">
        <f t="shared" si="16"/>
        <v>290</v>
      </c>
      <c r="I68" s="170">
        <f t="shared" si="16"/>
        <v>162</v>
      </c>
      <c r="J68" s="170">
        <f t="shared" si="16"/>
        <v>143</v>
      </c>
      <c r="K68" s="170">
        <f t="shared" si="16"/>
        <v>119</v>
      </c>
      <c r="L68" s="170">
        <f t="shared" si="16"/>
        <v>150</v>
      </c>
      <c r="M68" s="170">
        <f t="shared" si="16"/>
        <v>138</v>
      </c>
      <c r="N68" s="170">
        <f t="shared" si="16"/>
        <v>187</v>
      </c>
      <c r="O68" s="170">
        <f t="shared" si="16"/>
        <v>160</v>
      </c>
      <c r="P68" s="170">
        <f t="shared" si="16"/>
        <v>135</v>
      </c>
      <c r="Q68" s="170">
        <f t="shared" si="16"/>
        <v>109</v>
      </c>
      <c r="R68" s="170">
        <f t="shared" si="16"/>
        <v>140</v>
      </c>
      <c r="S68" s="170">
        <f t="shared" si="16"/>
        <v>123</v>
      </c>
      <c r="T68" s="170">
        <f t="shared" si="16"/>
        <v>114</v>
      </c>
      <c r="U68" s="170">
        <f t="shared" si="16"/>
        <v>151</v>
      </c>
      <c r="V68" s="170">
        <f t="shared" si="16"/>
        <v>158</v>
      </c>
      <c r="W68" s="170">
        <f t="shared" si="16"/>
        <v>111</v>
      </c>
      <c r="X68" s="170">
        <f t="shared" si="16"/>
        <v>99</v>
      </c>
      <c r="Y68" s="170">
        <f t="shared" si="16"/>
        <v>81</v>
      </c>
      <c r="Z68" s="170">
        <f t="shared" si="16"/>
        <v>104</v>
      </c>
      <c r="AA68" s="170">
        <f t="shared" si="16"/>
        <v>111</v>
      </c>
      <c r="AB68" s="170">
        <f t="shared" si="16"/>
        <v>113</v>
      </c>
      <c r="AC68" s="170">
        <f t="shared" si="16"/>
        <v>101</v>
      </c>
      <c r="AD68" s="170">
        <f t="shared" si="16"/>
        <v>100</v>
      </c>
      <c r="AE68" s="170">
        <f t="shared" si="16"/>
        <v>72</v>
      </c>
      <c r="AF68" s="170">
        <f t="shared" si="16"/>
        <v>68</v>
      </c>
      <c r="AG68" s="143">
        <f t="shared" si="15"/>
        <v>4556</v>
      </c>
    </row>
    <row r="69">
      <c r="A69" s="177"/>
      <c r="AG69" s="143"/>
    </row>
    <row r="70">
      <c r="A70" s="163" t="s">
        <v>131</v>
      </c>
      <c r="B70" s="178"/>
      <c r="C70" s="178"/>
      <c r="D70" s="178"/>
      <c r="E70" s="178"/>
      <c r="F70" s="178"/>
      <c r="G70" s="178"/>
      <c r="H70" s="178"/>
      <c r="I70" s="178"/>
      <c r="J70" s="178"/>
      <c r="K70" s="178"/>
      <c r="L70" s="178"/>
      <c r="M70" s="178"/>
      <c r="N70" s="178"/>
      <c r="O70" s="178"/>
      <c r="P70" s="164">
        <v>0.0</v>
      </c>
      <c r="Q70" s="164">
        <v>3.0</v>
      </c>
      <c r="R70" s="164">
        <v>2.0</v>
      </c>
      <c r="S70" s="164">
        <v>2.0</v>
      </c>
      <c r="T70" s="164">
        <v>0.0</v>
      </c>
      <c r="U70" s="164">
        <v>1.0</v>
      </c>
      <c r="V70" s="164">
        <v>2.0</v>
      </c>
      <c r="W70" s="164">
        <v>0.0</v>
      </c>
      <c r="X70" s="164">
        <v>0.0</v>
      </c>
      <c r="Y70" s="164">
        <v>0.0</v>
      </c>
      <c r="Z70" s="164">
        <v>0.0</v>
      </c>
      <c r="AA70" s="164">
        <v>1.0</v>
      </c>
      <c r="AB70" s="164">
        <v>2.0</v>
      </c>
      <c r="AC70" s="164">
        <v>2.0</v>
      </c>
      <c r="AD70" s="164">
        <v>1.0</v>
      </c>
      <c r="AE70" s="164">
        <v>0.0</v>
      </c>
      <c r="AF70" s="164">
        <v>1.0</v>
      </c>
      <c r="AG70" s="143">
        <f t="shared" ref="AG70:AG77" si="17">sum(B70:AF70)</f>
        <v>17</v>
      </c>
    </row>
    <row r="71">
      <c r="A71" s="163" t="s">
        <v>132</v>
      </c>
      <c r="B71" s="178"/>
      <c r="C71" s="178"/>
      <c r="D71" s="178"/>
      <c r="E71" s="178"/>
      <c r="F71" s="178"/>
      <c r="G71" s="178"/>
      <c r="H71" s="178"/>
      <c r="I71" s="178"/>
      <c r="J71" s="178"/>
      <c r="K71" s="178"/>
      <c r="L71" s="178"/>
      <c r="M71" s="178"/>
      <c r="N71" s="178"/>
      <c r="O71" s="178"/>
      <c r="P71" s="164">
        <v>1.0</v>
      </c>
      <c r="Q71" s="164">
        <v>0.0</v>
      </c>
      <c r="R71" s="164">
        <v>2.0</v>
      </c>
      <c r="S71" s="164">
        <v>2.0</v>
      </c>
      <c r="T71" s="164">
        <v>1.0</v>
      </c>
      <c r="U71" s="164">
        <v>0.0</v>
      </c>
      <c r="V71" s="164">
        <v>1.0</v>
      </c>
      <c r="W71" s="164">
        <v>2.0</v>
      </c>
      <c r="X71" s="164">
        <v>0.0</v>
      </c>
      <c r="Y71" s="164">
        <v>0.0</v>
      </c>
      <c r="Z71" s="164">
        <v>0.0</v>
      </c>
      <c r="AA71" s="164">
        <v>2.0</v>
      </c>
      <c r="AB71" s="164">
        <v>1.0</v>
      </c>
      <c r="AC71" s="164">
        <v>2.0</v>
      </c>
      <c r="AD71" s="164">
        <v>1.0</v>
      </c>
      <c r="AE71" s="164">
        <v>0.0</v>
      </c>
      <c r="AF71" s="164">
        <v>0.0</v>
      </c>
      <c r="AG71" s="143">
        <f t="shared" si="17"/>
        <v>15</v>
      </c>
    </row>
    <row r="72">
      <c r="A72" s="163" t="s">
        <v>133</v>
      </c>
      <c r="B72" s="178"/>
      <c r="C72" s="178"/>
      <c r="D72" s="178"/>
      <c r="E72" s="178"/>
      <c r="F72" s="178"/>
      <c r="G72" s="178"/>
      <c r="H72" s="178"/>
      <c r="I72" s="178"/>
      <c r="J72" s="178"/>
      <c r="K72" s="178"/>
      <c r="L72" s="178"/>
      <c r="M72" s="178"/>
      <c r="N72" s="178"/>
      <c r="O72" s="178"/>
      <c r="P72" s="164">
        <v>0.0</v>
      </c>
      <c r="Q72" s="164">
        <v>0.0</v>
      </c>
      <c r="R72" s="164">
        <v>1.0</v>
      </c>
      <c r="S72" s="164">
        <v>6.0</v>
      </c>
      <c r="T72" s="164">
        <v>6.0</v>
      </c>
      <c r="U72" s="164">
        <v>6.0</v>
      </c>
      <c r="V72" s="164">
        <v>7.0</v>
      </c>
      <c r="W72" s="164">
        <v>3.0</v>
      </c>
      <c r="X72" s="164">
        <v>2.0</v>
      </c>
      <c r="Y72" s="164">
        <v>2.0</v>
      </c>
      <c r="Z72" s="164">
        <v>2.0</v>
      </c>
      <c r="AA72" s="164">
        <v>2.0</v>
      </c>
      <c r="AB72" s="164">
        <v>4.0</v>
      </c>
      <c r="AC72" s="164">
        <v>3.0</v>
      </c>
      <c r="AD72" s="164">
        <v>4.0</v>
      </c>
      <c r="AE72" s="164">
        <v>4.0</v>
      </c>
      <c r="AF72" s="164">
        <v>1.0</v>
      </c>
      <c r="AG72" s="143">
        <f t="shared" si="17"/>
        <v>53</v>
      </c>
    </row>
    <row r="73">
      <c r="A73" s="163" t="s">
        <v>134</v>
      </c>
      <c r="B73" s="178"/>
      <c r="C73" s="178"/>
      <c r="D73" s="178"/>
      <c r="E73" s="178"/>
      <c r="F73" s="178"/>
      <c r="G73" s="178"/>
      <c r="H73" s="178"/>
      <c r="I73" s="178"/>
      <c r="J73" s="178"/>
      <c r="K73" s="178"/>
      <c r="L73" s="178"/>
      <c r="M73" s="178"/>
      <c r="N73" s="178"/>
      <c r="O73" s="178"/>
      <c r="P73" s="164">
        <v>0.0</v>
      </c>
      <c r="Q73" s="164">
        <v>0.0</v>
      </c>
      <c r="R73" s="164">
        <v>1.0</v>
      </c>
      <c r="S73" s="164">
        <v>0.0</v>
      </c>
      <c r="T73" s="164">
        <v>1.0</v>
      </c>
      <c r="U73" s="164">
        <v>1.0</v>
      </c>
      <c r="V73" s="164">
        <v>0.0</v>
      </c>
      <c r="W73" s="164">
        <v>1.0</v>
      </c>
      <c r="X73" s="164">
        <v>0.0</v>
      </c>
      <c r="Y73" s="164">
        <v>0.0</v>
      </c>
      <c r="Z73" s="164">
        <v>1.0</v>
      </c>
      <c r="AA73" s="164">
        <v>0.0</v>
      </c>
      <c r="AB73" s="164">
        <v>1.0</v>
      </c>
      <c r="AC73" s="164">
        <v>0.0</v>
      </c>
      <c r="AD73" s="164">
        <v>1.0</v>
      </c>
      <c r="AE73" s="164">
        <v>0.0</v>
      </c>
      <c r="AF73" s="164">
        <v>2.0</v>
      </c>
      <c r="AG73" s="143">
        <f t="shared" si="17"/>
        <v>9</v>
      </c>
    </row>
    <row r="74">
      <c r="A74" s="163" t="s">
        <v>135</v>
      </c>
      <c r="B74" s="179"/>
      <c r="C74" s="179"/>
      <c r="D74" s="179"/>
      <c r="E74" s="179"/>
      <c r="F74" s="179"/>
      <c r="G74" s="179"/>
      <c r="H74" s="179"/>
      <c r="I74" s="179"/>
      <c r="J74" s="179"/>
      <c r="K74" s="179"/>
      <c r="L74" s="179"/>
      <c r="M74" s="179"/>
      <c r="N74" s="179"/>
      <c r="O74" s="179"/>
      <c r="P74" s="164">
        <v>0.0</v>
      </c>
      <c r="Q74" s="164">
        <v>0.0</v>
      </c>
      <c r="R74" s="164">
        <v>0.0</v>
      </c>
      <c r="S74" s="164">
        <v>1.0</v>
      </c>
      <c r="T74" s="164">
        <v>1.0</v>
      </c>
      <c r="U74" s="164">
        <v>0.0</v>
      </c>
      <c r="V74" s="164">
        <v>0.0</v>
      </c>
      <c r="W74" s="164">
        <v>1.0</v>
      </c>
      <c r="X74" s="164">
        <v>1.0</v>
      </c>
      <c r="Y74" s="164">
        <v>1.0</v>
      </c>
      <c r="Z74" s="164">
        <v>0.0</v>
      </c>
      <c r="AA74" s="164">
        <v>1.0</v>
      </c>
      <c r="AB74" s="164">
        <v>0.0</v>
      </c>
      <c r="AC74" s="164">
        <v>2.0</v>
      </c>
      <c r="AD74" s="164">
        <v>1.0</v>
      </c>
      <c r="AE74" s="164">
        <v>0.0</v>
      </c>
      <c r="AF74" s="164">
        <v>0.0</v>
      </c>
      <c r="AG74" s="143">
        <f t="shared" si="17"/>
        <v>9</v>
      </c>
    </row>
    <row r="75">
      <c r="A75" s="163" t="s">
        <v>136</v>
      </c>
      <c r="B75" s="179"/>
      <c r="C75" s="179"/>
      <c r="D75" s="179"/>
      <c r="E75" s="179"/>
      <c r="F75" s="179"/>
      <c r="G75" s="179"/>
      <c r="H75" s="179"/>
      <c r="I75" s="179"/>
      <c r="J75" s="179"/>
      <c r="K75" s="179"/>
      <c r="L75" s="179"/>
      <c r="M75" s="179"/>
      <c r="N75" s="179"/>
      <c r="O75" s="179"/>
      <c r="P75" s="164">
        <v>0.0</v>
      </c>
      <c r="Q75" s="164">
        <v>0.0</v>
      </c>
      <c r="R75" s="164">
        <v>0.0</v>
      </c>
      <c r="S75" s="164">
        <v>0.0</v>
      </c>
      <c r="T75" s="164">
        <v>1.0</v>
      </c>
      <c r="U75" s="164">
        <v>1.0</v>
      </c>
      <c r="V75" s="164">
        <v>1.0</v>
      </c>
      <c r="W75" s="164">
        <v>0.0</v>
      </c>
      <c r="X75" s="164">
        <v>0.0</v>
      </c>
      <c r="Y75" s="164">
        <v>0.0</v>
      </c>
      <c r="Z75" s="164">
        <v>1.0</v>
      </c>
      <c r="AA75" s="164">
        <v>0.0</v>
      </c>
      <c r="AB75" s="164">
        <v>0.0</v>
      </c>
      <c r="AC75" s="164">
        <v>0.0</v>
      </c>
      <c r="AD75" s="164">
        <v>1.0</v>
      </c>
      <c r="AE75" s="164">
        <v>0.0</v>
      </c>
      <c r="AF75" s="164">
        <v>1.0</v>
      </c>
      <c r="AG75" s="143">
        <f t="shared" si="17"/>
        <v>6</v>
      </c>
    </row>
    <row r="76">
      <c r="A76" s="163" t="s">
        <v>137</v>
      </c>
      <c r="B76" s="179"/>
      <c r="C76" s="179"/>
      <c r="D76" s="179"/>
      <c r="E76" s="179"/>
      <c r="F76" s="179"/>
      <c r="G76" s="179"/>
      <c r="H76" s="179"/>
      <c r="I76" s="179"/>
      <c r="J76" s="179"/>
      <c r="K76" s="179"/>
      <c r="L76" s="179"/>
      <c r="M76" s="179"/>
      <c r="N76" s="179"/>
      <c r="O76" s="179"/>
      <c r="P76" s="164">
        <v>0.0</v>
      </c>
      <c r="Q76" s="164">
        <v>0.0</v>
      </c>
      <c r="R76" s="164">
        <v>0.0</v>
      </c>
      <c r="S76" s="164">
        <v>3.0</v>
      </c>
      <c r="T76" s="164">
        <v>3.0</v>
      </c>
      <c r="U76" s="164">
        <v>2.0</v>
      </c>
      <c r="V76" s="164">
        <v>1.0</v>
      </c>
      <c r="W76" s="164">
        <v>3.0</v>
      </c>
      <c r="X76" s="164">
        <v>1.0</v>
      </c>
      <c r="Y76" s="164">
        <v>0.0</v>
      </c>
      <c r="Z76" s="164">
        <v>0.0</v>
      </c>
      <c r="AA76" s="164">
        <v>0.0</v>
      </c>
      <c r="AB76" s="164">
        <v>0.0</v>
      </c>
      <c r="AC76" s="164">
        <v>1.0</v>
      </c>
      <c r="AD76" s="164">
        <v>0.0</v>
      </c>
      <c r="AE76" s="164">
        <v>0.0</v>
      </c>
      <c r="AF76" s="164">
        <v>1.0</v>
      </c>
      <c r="AG76" s="143">
        <f t="shared" si="17"/>
        <v>15</v>
      </c>
    </row>
    <row r="77">
      <c r="A77" s="163" t="s">
        <v>138</v>
      </c>
      <c r="B77" s="179"/>
      <c r="C77" s="179"/>
      <c r="D77" s="179"/>
      <c r="E77" s="179"/>
      <c r="F77" s="179"/>
      <c r="G77" s="179"/>
      <c r="H77" s="179"/>
      <c r="I77" s="179"/>
      <c r="J77" s="179"/>
      <c r="K77" s="179"/>
      <c r="L77" s="179"/>
      <c r="M77" s="179"/>
      <c r="N77" s="179"/>
      <c r="O77" s="179"/>
      <c r="P77" s="164">
        <v>0.0</v>
      </c>
      <c r="Q77" s="164">
        <v>1.0</v>
      </c>
      <c r="R77" s="164">
        <v>0.0</v>
      </c>
      <c r="S77" s="164">
        <v>0.0</v>
      </c>
      <c r="T77" s="164">
        <v>0.0</v>
      </c>
      <c r="U77" s="164">
        <v>1.0</v>
      </c>
      <c r="V77" s="164">
        <v>2.0</v>
      </c>
      <c r="W77" s="164">
        <v>1.0</v>
      </c>
      <c r="X77" s="164">
        <v>0.0</v>
      </c>
      <c r="Y77" s="164">
        <v>0.0</v>
      </c>
      <c r="Z77" s="164">
        <v>0.0</v>
      </c>
      <c r="AA77" s="164">
        <v>1.0</v>
      </c>
      <c r="AB77" s="164">
        <v>0.0</v>
      </c>
      <c r="AC77" s="164">
        <v>1.0</v>
      </c>
      <c r="AD77" s="164">
        <v>2.0</v>
      </c>
      <c r="AE77" s="164">
        <v>0.0</v>
      </c>
      <c r="AF77" s="164">
        <v>0.0</v>
      </c>
      <c r="AG77" s="143">
        <f t="shared" si="17"/>
        <v>9</v>
      </c>
    </row>
    <row r="78">
      <c r="A78" s="169" t="s">
        <v>139</v>
      </c>
      <c r="B78" s="170">
        <f t="shared" ref="B78:AF78" si="18">SUM(B70:B77)</f>
        <v>0</v>
      </c>
      <c r="C78" s="170">
        <f t="shared" si="18"/>
        <v>0</v>
      </c>
      <c r="D78" s="170">
        <f t="shared" si="18"/>
        <v>0</v>
      </c>
      <c r="E78" s="170">
        <f t="shared" si="18"/>
        <v>0</v>
      </c>
      <c r="F78" s="170">
        <f t="shared" si="18"/>
        <v>0</v>
      </c>
      <c r="G78" s="170">
        <f t="shared" si="18"/>
        <v>0</v>
      </c>
      <c r="H78" s="170">
        <f t="shared" si="18"/>
        <v>0</v>
      </c>
      <c r="I78" s="170">
        <f t="shared" si="18"/>
        <v>0</v>
      </c>
      <c r="J78" s="170">
        <f t="shared" si="18"/>
        <v>0</v>
      </c>
      <c r="K78" s="170">
        <f t="shared" si="18"/>
        <v>0</v>
      </c>
      <c r="L78" s="170">
        <f t="shared" si="18"/>
        <v>0</v>
      </c>
      <c r="M78" s="170">
        <f t="shared" si="18"/>
        <v>0</v>
      </c>
      <c r="N78" s="170">
        <f t="shared" si="18"/>
        <v>0</v>
      </c>
      <c r="O78" s="170">
        <f t="shared" si="18"/>
        <v>0</v>
      </c>
      <c r="P78" s="170">
        <f t="shared" si="18"/>
        <v>1</v>
      </c>
      <c r="Q78" s="170">
        <f t="shared" si="18"/>
        <v>4</v>
      </c>
      <c r="R78" s="170">
        <f t="shared" si="18"/>
        <v>6</v>
      </c>
      <c r="S78" s="170">
        <f t="shared" si="18"/>
        <v>14</v>
      </c>
      <c r="T78" s="170">
        <f t="shared" si="18"/>
        <v>13</v>
      </c>
      <c r="U78" s="170">
        <f t="shared" si="18"/>
        <v>12</v>
      </c>
      <c r="V78" s="170">
        <f t="shared" si="18"/>
        <v>14</v>
      </c>
      <c r="W78" s="170">
        <f t="shared" si="18"/>
        <v>11</v>
      </c>
      <c r="X78" s="170">
        <f t="shared" si="18"/>
        <v>4</v>
      </c>
      <c r="Y78" s="170">
        <f t="shared" si="18"/>
        <v>3</v>
      </c>
      <c r="Z78" s="170">
        <f t="shared" si="18"/>
        <v>4</v>
      </c>
      <c r="AA78" s="170">
        <f t="shared" si="18"/>
        <v>7</v>
      </c>
      <c r="AB78" s="170">
        <f t="shared" si="18"/>
        <v>8</v>
      </c>
      <c r="AC78" s="170">
        <f t="shared" si="18"/>
        <v>11</v>
      </c>
      <c r="AD78" s="170">
        <f t="shared" si="18"/>
        <v>11</v>
      </c>
      <c r="AE78" s="170">
        <f t="shared" si="18"/>
        <v>4</v>
      </c>
      <c r="AF78" s="170">
        <f t="shared" si="18"/>
        <v>6</v>
      </c>
      <c r="AG78" s="143">
        <f>SUM(B78:AF78)</f>
        <v>133</v>
      </c>
    </row>
    <row r="79">
      <c r="A79" s="177"/>
      <c r="AG79" s="143"/>
    </row>
    <row r="80">
      <c r="A80" s="155" t="s">
        <v>140</v>
      </c>
      <c r="AG80" s="143"/>
    </row>
    <row r="81">
      <c r="A81" s="180" t="s">
        <v>141</v>
      </c>
      <c r="B81" s="181">
        <v>3.0</v>
      </c>
      <c r="C81" s="182">
        <v>0.0</v>
      </c>
      <c r="D81" s="182">
        <v>4.0</v>
      </c>
      <c r="E81" s="182">
        <v>1.0</v>
      </c>
      <c r="F81" s="182">
        <v>1.0</v>
      </c>
      <c r="G81" s="182">
        <v>1.0</v>
      </c>
      <c r="H81" s="182">
        <v>7.0</v>
      </c>
      <c r="I81" s="182">
        <v>0.0</v>
      </c>
      <c r="J81" s="182">
        <v>2.0</v>
      </c>
      <c r="K81" s="182">
        <v>1.0</v>
      </c>
      <c r="L81" s="182">
        <v>1.0</v>
      </c>
      <c r="M81" s="182">
        <v>0.0</v>
      </c>
      <c r="N81" s="182">
        <v>0.0</v>
      </c>
      <c r="O81" s="182">
        <v>0.0</v>
      </c>
      <c r="P81" s="182">
        <v>1.0</v>
      </c>
      <c r="Q81" s="182">
        <v>0.0</v>
      </c>
      <c r="R81" s="182">
        <v>0.0</v>
      </c>
      <c r="S81" s="182">
        <v>0.0</v>
      </c>
      <c r="T81" s="182">
        <v>0.0</v>
      </c>
      <c r="U81" s="182">
        <v>0.0</v>
      </c>
      <c r="V81" s="182">
        <v>1.0</v>
      </c>
      <c r="W81" s="182">
        <v>0.0</v>
      </c>
      <c r="X81" s="182">
        <v>0.0</v>
      </c>
      <c r="Y81" s="182">
        <v>0.0</v>
      </c>
      <c r="Z81" s="182">
        <v>0.0</v>
      </c>
      <c r="AA81" s="182">
        <v>0.0</v>
      </c>
      <c r="AB81" s="182">
        <v>0.0</v>
      </c>
      <c r="AC81" s="182">
        <v>0.0</v>
      </c>
      <c r="AD81" s="182">
        <v>0.0</v>
      </c>
      <c r="AE81" s="182">
        <v>0.0</v>
      </c>
      <c r="AF81" s="182">
        <v>0.0</v>
      </c>
      <c r="AG81" s="143">
        <f>sum(B81:AF81)</f>
        <v>23</v>
      </c>
    </row>
    <row r="82">
      <c r="A82" s="177"/>
      <c r="AG82" s="143"/>
    </row>
    <row r="83">
      <c r="A83" s="155" t="s">
        <v>142</v>
      </c>
      <c r="B83" s="183"/>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c r="AA83" s="183"/>
      <c r="AB83" s="183"/>
      <c r="AC83" s="183"/>
      <c r="AD83" s="183"/>
      <c r="AE83" s="183"/>
      <c r="AF83" s="183"/>
      <c r="AG83" s="143"/>
    </row>
    <row r="84">
      <c r="A84" s="163" t="s">
        <v>143</v>
      </c>
      <c r="B84" s="184">
        <f t="shared" ref="B84:AF84" si="19">B54-B101</f>
        <v>0</v>
      </c>
      <c r="C84" s="184">
        <f t="shared" si="19"/>
        <v>0</v>
      </c>
      <c r="D84" s="184">
        <f t="shared" si="19"/>
        <v>0</v>
      </c>
      <c r="E84" s="184">
        <f t="shared" si="19"/>
        <v>0</v>
      </c>
      <c r="F84" s="184">
        <f t="shared" si="19"/>
        <v>0</v>
      </c>
      <c r="G84" s="184">
        <f t="shared" si="19"/>
        <v>0</v>
      </c>
      <c r="H84" s="184">
        <f t="shared" si="19"/>
        <v>0</v>
      </c>
      <c r="I84" s="184">
        <f t="shared" si="19"/>
        <v>0</v>
      </c>
      <c r="J84" s="184">
        <f t="shared" si="19"/>
        <v>0</v>
      </c>
      <c r="K84" s="184">
        <f t="shared" si="19"/>
        <v>0</v>
      </c>
      <c r="L84" s="184">
        <f t="shared" si="19"/>
        <v>0</v>
      </c>
      <c r="M84" s="184">
        <f t="shared" si="19"/>
        <v>0</v>
      </c>
      <c r="N84" s="184">
        <f t="shared" si="19"/>
        <v>0</v>
      </c>
      <c r="O84" s="184">
        <f t="shared" si="19"/>
        <v>0</v>
      </c>
      <c r="P84" s="184">
        <f t="shared" si="19"/>
        <v>0</v>
      </c>
      <c r="Q84" s="184">
        <f t="shared" si="19"/>
        <v>0</v>
      </c>
      <c r="R84" s="184">
        <f t="shared" si="19"/>
        <v>0</v>
      </c>
      <c r="S84" s="184">
        <f t="shared" si="19"/>
        <v>0</v>
      </c>
      <c r="T84" s="184">
        <f t="shared" si="19"/>
        <v>0</v>
      </c>
      <c r="U84" s="184">
        <f t="shared" si="19"/>
        <v>0</v>
      </c>
      <c r="V84" s="184">
        <f t="shared" si="19"/>
        <v>0</v>
      </c>
      <c r="W84" s="184">
        <f t="shared" si="19"/>
        <v>0</v>
      </c>
      <c r="X84" s="184">
        <f t="shared" si="19"/>
        <v>0</v>
      </c>
      <c r="Y84" s="184">
        <f t="shared" si="19"/>
        <v>7</v>
      </c>
      <c r="Z84" s="184">
        <f t="shared" si="19"/>
        <v>8</v>
      </c>
      <c r="AA84" s="184">
        <f t="shared" si="19"/>
        <v>7</v>
      </c>
      <c r="AB84" s="184">
        <f t="shared" si="19"/>
        <v>8</v>
      </c>
      <c r="AC84" s="184">
        <f t="shared" si="19"/>
        <v>9</v>
      </c>
      <c r="AD84" s="184">
        <f t="shared" si="19"/>
        <v>13</v>
      </c>
      <c r="AE84" s="184">
        <f t="shared" si="19"/>
        <v>7</v>
      </c>
      <c r="AF84" s="184">
        <f t="shared" si="19"/>
        <v>9</v>
      </c>
      <c r="AG84" s="143">
        <f t="shared" ref="AG84:AG88" si="21">sum(B84:AF84)</f>
        <v>68</v>
      </c>
    </row>
    <row r="85">
      <c r="A85" s="163" t="s">
        <v>144</v>
      </c>
      <c r="B85" s="184">
        <f t="shared" ref="B85:AF85" si="20">B55-B102</f>
        <v>14</v>
      </c>
      <c r="C85" s="184">
        <f t="shared" si="20"/>
        <v>20</v>
      </c>
      <c r="D85" s="184">
        <f t="shared" si="20"/>
        <v>33</v>
      </c>
      <c r="E85" s="184">
        <f t="shared" si="20"/>
        <v>27</v>
      </c>
      <c r="F85" s="184">
        <f t="shared" si="20"/>
        <v>27</v>
      </c>
      <c r="G85" s="184">
        <f t="shared" si="20"/>
        <v>16</v>
      </c>
      <c r="H85" s="184">
        <f t="shared" si="20"/>
        <v>14</v>
      </c>
      <c r="I85" s="184">
        <f t="shared" si="20"/>
        <v>16</v>
      </c>
      <c r="J85" s="184">
        <f t="shared" si="20"/>
        <v>12</v>
      </c>
      <c r="K85" s="184">
        <f t="shared" si="20"/>
        <v>8</v>
      </c>
      <c r="L85" s="184">
        <f t="shared" si="20"/>
        <v>10</v>
      </c>
      <c r="M85" s="184">
        <f t="shared" si="20"/>
        <v>18</v>
      </c>
      <c r="N85" s="184">
        <f t="shared" si="20"/>
        <v>9</v>
      </c>
      <c r="O85" s="184">
        <f t="shared" si="20"/>
        <v>7</v>
      </c>
      <c r="P85" s="184">
        <f t="shared" si="20"/>
        <v>13</v>
      </c>
      <c r="Q85" s="184">
        <f t="shared" si="20"/>
        <v>12</v>
      </c>
      <c r="R85" s="184">
        <f t="shared" si="20"/>
        <v>11</v>
      </c>
      <c r="S85" s="184">
        <f t="shared" si="20"/>
        <v>7</v>
      </c>
      <c r="T85" s="184">
        <f t="shared" si="20"/>
        <v>21</v>
      </c>
      <c r="U85" s="184">
        <f t="shared" si="20"/>
        <v>12</v>
      </c>
      <c r="V85" s="184">
        <f t="shared" si="20"/>
        <v>8</v>
      </c>
      <c r="W85" s="184">
        <f t="shared" si="20"/>
        <v>9</v>
      </c>
      <c r="X85" s="184">
        <f t="shared" si="20"/>
        <v>9</v>
      </c>
      <c r="Y85" s="184">
        <f t="shared" si="20"/>
        <v>3</v>
      </c>
      <c r="Z85" s="184">
        <f t="shared" si="20"/>
        <v>4</v>
      </c>
      <c r="AA85" s="184">
        <f t="shared" si="20"/>
        <v>8</v>
      </c>
      <c r="AB85" s="184">
        <f t="shared" si="20"/>
        <v>4</v>
      </c>
      <c r="AC85" s="184">
        <f t="shared" si="20"/>
        <v>11</v>
      </c>
      <c r="AD85" s="184">
        <f t="shared" si="20"/>
        <v>3</v>
      </c>
      <c r="AE85" s="184">
        <f t="shared" si="20"/>
        <v>4</v>
      </c>
      <c r="AF85" s="184">
        <f t="shared" si="20"/>
        <v>1</v>
      </c>
      <c r="AG85" s="143">
        <f t="shared" si="21"/>
        <v>371</v>
      </c>
    </row>
    <row r="86">
      <c r="A86" s="163" t="s">
        <v>145</v>
      </c>
      <c r="B86" s="184">
        <f t="shared" ref="B86:AF86" si="22">B56-B103</f>
        <v>0</v>
      </c>
      <c r="C86" s="184">
        <f t="shared" si="22"/>
        <v>0</v>
      </c>
      <c r="D86" s="184">
        <f t="shared" si="22"/>
        <v>0</v>
      </c>
      <c r="E86" s="184">
        <f t="shared" si="22"/>
        <v>0</v>
      </c>
      <c r="F86" s="184">
        <f t="shared" si="22"/>
        <v>0</v>
      </c>
      <c r="G86" s="184">
        <f t="shared" si="22"/>
        <v>0</v>
      </c>
      <c r="H86" s="184">
        <f t="shared" si="22"/>
        <v>0</v>
      </c>
      <c r="I86" s="184">
        <f t="shared" si="22"/>
        <v>18</v>
      </c>
      <c r="J86" s="184">
        <f t="shared" si="22"/>
        <v>32</v>
      </c>
      <c r="K86" s="184">
        <f t="shared" si="22"/>
        <v>31</v>
      </c>
      <c r="L86" s="184">
        <f t="shared" si="22"/>
        <v>43</v>
      </c>
      <c r="M86" s="184">
        <f t="shared" si="22"/>
        <v>44</v>
      </c>
      <c r="N86" s="184">
        <f t="shared" si="22"/>
        <v>37</v>
      </c>
      <c r="O86" s="184">
        <f t="shared" si="22"/>
        <v>38</v>
      </c>
      <c r="P86" s="184">
        <f t="shared" si="22"/>
        <v>42</v>
      </c>
      <c r="Q86" s="184">
        <f t="shared" si="22"/>
        <v>36</v>
      </c>
      <c r="R86" s="184">
        <f t="shared" si="22"/>
        <v>39</v>
      </c>
      <c r="S86" s="184">
        <f t="shared" si="22"/>
        <v>35</v>
      </c>
      <c r="T86" s="184">
        <f t="shared" si="22"/>
        <v>41</v>
      </c>
      <c r="U86" s="184">
        <f t="shared" si="22"/>
        <v>67</v>
      </c>
      <c r="V86" s="184">
        <f t="shared" si="22"/>
        <v>27</v>
      </c>
      <c r="W86" s="184">
        <f t="shared" si="22"/>
        <v>33</v>
      </c>
      <c r="X86" s="184">
        <f t="shared" si="22"/>
        <v>47</v>
      </c>
      <c r="Y86" s="184">
        <f t="shared" si="22"/>
        <v>27</v>
      </c>
      <c r="Z86" s="184">
        <f t="shared" si="22"/>
        <v>22</v>
      </c>
      <c r="AA86" s="184">
        <f t="shared" si="22"/>
        <v>22</v>
      </c>
      <c r="AB86" s="184">
        <f t="shared" si="22"/>
        <v>27</v>
      </c>
      <c r="AC86" s="184">
        <f t="shared" si="22"/>
        <v>23</v>
      </c>
      <c r="AD86" s="184">
        <f t="shared" si="22"/>
        <v>29</v>
      </c>
      <c r="AE86" s="184">
        <f t="shared" si="22"/>
        <v>21</v>
      </c>
      <c r="AF86" s="184">
        <f t="shared" si="22"/>
        <v>30</v>
      </c>
      <c r="AG86" s="143">
        <f t="shared" si="21"/>
        <v>811</v>
      </c>
    </row>
    <row r="87">
      <c r="A87" s="163" t="s">
        <v>146</v>
      </c>
      <c r="B87" s="184">
        <f t="shared" ref="B87:AF87" si="23">B57-B104</f>
        <v>55</v>
      </c>
      <c r="C87" s="184">
        <f t="shared" si="23"/>
        <v>50</v>
      </c>
      <c r="D87" s="184">
        <f t="shared" si="23"/>
        <v>61</v>
      </c>
      <c r="E87" s="184">
        <f t="shared" si="23"/>
        <v>59</v>
      </c>
      <c r="F87" s="184">
        <f t="shared" si="23"/>
        <v>54</v>
      </c>
      <c r="G87" s="184">
        <f t="shared" si="23"/>
        <v>64</v>
      </c>
      <c r="H87" s="184">
        <f t="shared" si="23"/>
        <v>64</v>
      </c>
      <c r="I87" s="184">
        <f t="shared" si="23"/>
        <v>37</v>
      </c>
      <c r="J87" s="184">
        <f t="shared" si="23"/>
        <v>22</v>
      </c>
      <c r="K87" s="184">
        <f t="shared" si="23"/>
        <v>19</v>
      </c>
      <c r="L87" s="184">
        <f t="shared" si="23"/>
        <v>16</v>
      </c>
      <c r="M87" s="184">
        <f t="shared" si="23"/>
        <v>20</v>
      </c>
      <c r="N87" s="184">
        <f t="shared" si="23"/>
        <v>11</v>
      </c>
      <c r="O87" s="184">
        <f t="shared" si="23"/>
        <v>15</v>
      </c>
      <c r="P87" s="184">
        <f t="shared" si="23"/>
        <v>11</v>
      </c>
      <c r="Q87" s="184">
        <f t="shared" si="23"/>
        <v>13</v>
      </c>
      <c r="R87" s="184">
        <f t="shared" si="23"/>
        <v>28</v>
      </c>
      <c r="S87" s="184">
        <f t="shared" si="23"/>
        <v>20</v>
      </c>
      <c r="T87" s="184">
        <f t="shared" si="23"/>
        <v>3</v>
      </c>
      <c r="U87" s="184">
        <f t="shared" si="23"/>
        <v>0</v>
      </c>
      <c r="V87" s="184">
        <f t="shared" si="23"/>
        <v>0</v>
      </c>
      <c r="W87" s="184">
        <f t="shared" si="23"/>
        <v>0</v>
      </c>
      <c r="X87" s="184">
        <f t="shared" si="23"/>
        <v>0</v>
      </c>
      <c r="Y87" s="184">
        <f t="shared" si="23"/>
        <v>10</v>
      </c>
      <c r="Z87" s="184">
        <f t="shared" si="23"/>
        <v>11</v>
      </c>
      <c r="AA87" s="184">
        <f t="shared" si="23"/>
        <v>10</v>
      </c>
      <c r="AB87" s="184">
        <f t="shared" si="23"/>
        <v>7</v>
      </c>
      <c r="AC87" s="184">
        <f t="shared" si="23"/>
        <v>12</v>
      </c>
      <c r="AD87" s="184">
        <f t="shared" si="23"/>
        <v>11</v>
      </c>
      <c r="AE87" s="184">
        <f t="shared" si="23"/>
        <v>8</v>
      </c>
      <c r="AF87" s="184">
        <f t="shared" si="23"/>
        <v>7</v>
      </c>
      <c r="AG87" s="143">
        <f t="shared" si="21"/>
        <v>698</v>
      </c>
    </row>
    <row r="88">
      <c r="A88" s="169" t="s">
        <v>121</v>
      </c>
      <c r="B88" s="185">
        <f t="shared" ref="B88:AF88" si="24">SUM(B84:B87)</f>
        <v>69</v>
      </c>
      <c r="C88" s="185">
        <f t="shared" si="24"/>
        <v>70</v>
      </c>
      <c r="D88" s="185">
        <f t="shared" si="24"/>
        <v>94</v>
      </c>
      <c r="E88" s="185">
        <f t="shared" si="24"/>
        <v>86</v>
      </c>
      <c r="F88" s="185">
        <f t="shared" si="24"/>
        <v>81</v>
      </c>
      <c r="G88" s="185">
        <f t="shared" si="24"/>
        <v>80</v>
      </c>
      <c r="H88" s="185">
        <f t="shared" si="24"/>
        <v>78</v>
      </c>
      <c r="I88" s="185">
        <f t="shared" si="24"/>
        <v>71</v>
      </c>
      <c r="J88" s="185">
        <f t="shared" si="24"/>
        <v>66</v>
      </c>
      <c r="K88" s="185">
        <f t="shared" si="24"/>
        <v>58</v>
      </c>
      <c r="L88" s="185">
        <f t="shared" si="24"/>
        <v>69</v>
      </c>
      <c r="M88" s="185">
        <f t="shared" si="24"/>
        <v>82</v>
      </c>
      <c r="N88" s="185">
        <f t="shared" si="24"/>
        <v>57</v>
      </c>
      <c r="O88" s="185">
        <f t="shared" si="24"/>
        <v>60</v>
      </c>
      <c r="P88" s="185">
        <f t="shared" si="24"/>
        <v>66</v>
      </c>
      <c r="Q88" s="185">
        <f t="shared" si="24"/>
        <v>61</v>
      </c>
      <c r="R88" s="185">
        <f t="shared" si="24"/>
        <v>78</v>
      </c>
      <c r="S88" s="185">
        <f t="shared" si="24"/>
        <v>62</v>
      </c>
      <c r="T88" s="185">
        <f t="shared" si="24"/>
        <v>65</v>
      </c>
      <c r="U88" s="185">
        <f t="shared" si="24"/>
        <v>79</v>
      </c>
      <c r="V88" s="185">
        <f t="shared" si="24"/>
        <v>35</v>
      </c>
      <c r="W88" s="185">
        <f t="shared" si="24"/>
        <v>42</v>
      </c>
      <c r="X88" s="185">
        <f t="shared" si="24"/>
        <v>56</v>
      </c>
      <c r="Y88" s="185">
        <f t="shared" si="24"/>
        <v>47</v>
      </c>
      <c r="Z88" s="185">
        <f t="shared" si="24"/>
        <v>45</v>
      </c>
      <c r="AA88" s="185">
        <f t="shared" si="24"/>
        <v>47</v>
      </c>
      <c r="AB88" s="185">
        <f t="shared" si="24"/>
        <v>46</v>
      </c>
      <c r="AC88" s="185">
        <f t="shared" si="24"/>
        <v>55</v>
      </c>
      <c r="AD88" s="185">
        <f t="shared" si="24"/>
        <v>56</v>
      </c>
      <c r="AE88" s="185">
        <f t="shared" si="24"/>
        <v>40</v>
      </c>
      <c r="AF88" s="185">
        <f t="shared" si="24"/>
        <v>47</v>
      </c>
      <c r="AG88" s="143">
        <f t="shared" si="21"/>
        <v>1948</v>
      </c>
    </row>
    <row r="89">
      <c r="A89" s="98"/>
      <c r="AF89" s="65"/>
      <c r="AG89" s="143"/>
    </row>
    <row r="90">
      <c r="A90" s="163" t="s">
        <v>122</v>
      </c>
      <c r="B90" s="184">
        <f t="shared" ref="B90:AF90" si="25">B60-B107</f>
        <v>52</v>
      </c>
      <c r="C90" s="184">
        <f t="shared" si="25"/>
        <v>44</v>
      </c>
      <c r="D90" s="184">
        <f t="shared" si="25"/>
        <v>42</v>
      </c>
      <c r="E90" s="184">
        <f t="shared" si="25"/>
        <v>46</v>
      </c>
      <c r="F90" s="184">
        <f t="shared" si="25"/>
        <v>40</v>
      </c>
      <c r="G90" s="184">
        <f t="shared" si="25"/>
        <v>45</v>
      </c>
      <c r="H90" s="184">
        <f t="shared" si="25"/>
        <v>47</v>
      </c>
      <c r="I90" s="184">
        <f t="shared" si="25"/>
        <v>29</v>
      </c>
      <c r="J90" s="184">
        <f t="shared" si="25"/>
        <v>26</v>
      </c>
      <c r="K90" s="184">
        <f t="shared" si="25"/>
        <v>23</v>
      </c>
      <c r="L90" s="184">
        <f t="shared" si="25"/>
        <v>25</v>
      </c>
      <c r="M90" s="184">
        <f t="shared" si="25"/>
        <v>19</v>
      </c>
      <c r="N90" s="184">
        <f t="shared" si="25"/>
        <v>26</v>
      </c>
      <c r="O90" s="184">
        <f t="shared" si="25"/>
        <v>32</v>
      </c>
      <c r="P90" s="184">
        <f t="shared" si="25"/>
        <v>26</v>
      </c>
      <c r="Q90" s="184">
        <f t="shared" si="25"/>
        <v>18</v>
      </c>
      <c r="R90" s="184">
        <f t="shared" si="25"/>
        <v>25</v>
      </c>
      <c r="S90" s="184">
        <f t="shared" si="25"/>
        <v>18</v>
      </c>
      <c r="T90" s="184">
        <f t="shared" si="25"/>
        <v>19</v>
      </c>
      <c r="U90" s="184">
        <f t="shared" si="25"/>
        <v>31</v>
      </c>
      <c r="V90" s="184">
        <f t="shared" si="25"/>
        <v>24</v>
      </c>
      <c r="W90" s="184">
        <f t="shared" si="25"/>
        <v>17</v>
      </c>
      <c r="X90" s="184">
        <f t="shared" si="25"/>
        <v>15</v>
      </c>
      <c r="Y90" s="184">
        <f t="shared" si="25"/>
        <v>11</v>
      </c>
      <c r="Z90" s="184">
        <f t="shared" si="25"/>
        <v>10</v>
      </c>
      <c r="AA90" s="184">
        <f t="shared" si="25"/>
        <v>16</v>
      </c>
      <c r="AB90" s="184">
        <f t="shared" si="25"/>
        <v>12</v>
      </c>
      <c r="AC90" s="184">
        <f t="shared" si="25"/>
        <v>14</v>
      </c>
      <c r="AD90" s="184">
        <f t="shared" si="25"/>
        <v>18</v>
      </c>
      <c r="AE90" s="184">
        <f t="shared" si="25"/>
        <v>11</v>
      </c>
      <c r="AF90" s="184">
        <f t="shared" si="25"/>
        <v>11</v>
      </c>
      <c r="AG90" s="143">
        <f t="shared" ref="AG90:AG98" si="27">sum(B90:AF90)</f>
        <v>792</v>
      </c>
    </row>
    <row r="91">
      <c r="A91" s="163" t="s">
        <v>123</v>
      </c>
      <c r="B91" s="184">
        <f t="shared" ref="B91:AF91" si="26">B61-B108</f>
        <v>50</v>
      </c>
      <c r="C91" s="184">
        <f t="shared" si="26"/>
        <v>32</v>
      </c>
      <c r="D91" s="184">
        <f t="shared" si="26"/>
        <v>32</v>
      </c>
      <c r="E91" s="184">
        <f t="shared" si="26"/>
        <v>29</v>
      </c>
      <c r="F91" s="184">
        <f t="shared" si="26"/>
        <v>39</v>
      </c>
      <c r="G91" s="184">
        <f t="shared" si="26"/>
        <v>33</v>
      </c>
      <c r="H91" s="184">
        <f t="shared" si="26"/>
        <v>47</v>
      </c>
      <c r="I91" s="184">
        <f t="shared" si="26"/>
        <v>24</v>
      </c>
      <c r="J91" s="184">
        <f t="shared" si="26"/>
        <v>26</v>
      </c>
      <c r="K91" s="184">
        <f t="shared" si="26"/>
        <v>21</v>
      </c>
      <c r="L91" s="184">
        <f t="shared" si="26"/>
        <v>23</v>
      </c>
      <c r="M91" s="184">
        <f t="shared" si="26"/>
        <v>19</v>
      </c>
      <c r="N91" s="184">
        <f t="shared" si="26"/>
        <v>28</v>
      </c>
      <c r="O91" s="184">
        <f t="shared" si="26"/>
        <v>22</v>
      </c>
      <c r="P91" s="184">
        <f t="shared" si="26"/>
        <v>17</v>
      </c>
      <c r="Q91" s="184">
        <f t="shared" si="26"/>
        <v>11</v>
      </c>
      <c r="R91" s="184">
        <f t="shared" si="26"/>
        <v>19</v>
      </c>
      <c r="S91" s="184">
        <f t="shared" si="26"/>
        <v>18</v>
      </c>
      <c r="T91" s="184">
        <f t="shared" si="26"/>
        <v>9</v>
      </c>
      <c r="U91" s="184">
        <f t="shared" si="26"/>
        <v>20</v>
      </c>
      <c r="V91" s="184">
        <f t="shared" si="26"/>
        <v>20</v>
      </c>
      <c r="W91" s="184">
        <f t="shared" si="26"/>
        <v>10</v>
      </c>
      <c r="X91" s="184">
        <f t="shared" si="26"/>
        <v>15</v>
      </c>
      <c r="Y91" s="184">
        <f t="shared" si="26"/>
        <v>12</v>
      </c>
      <c r="Z91" s="184">
        <f t="shared" si="26"/>
        <v>19</v>
      </c>
      <c r="AA91" s="184">
        <f t="shared" si="26"/>
        <v>19</v>
      </c>
      <c r="AB91" s="184">
        <f t="shared" si="26"/>
        <v>13</v>
      </c>
      <c r="AC91" s="184">
        <f t="shared" si="26"/>
        <v>15</v>
      </c>
      <c r="AD91" s="184">
        <f t="shared" si="26"/>
        <v>14</v>
      </c>
      <c r="AE91" s="184">
        <f t="shared" si="26"/>
        <v>8</v>
      </c>
      <c r="AF91" s="184">
        <f t="shared" si="26"/>
        <v>9</v>
      </c>
      <c r="AG91" s="143">
        <f t="shared" si="27"/>
        <v>673</v>
      </c>
    </row>
    <row r="92">
      <c r="A92" s="163" t="s">
        <v>147</v>
      </c>
      <c r="B92" s="184">
        <f t="shared" ref="B92:AF92" si="28">B62-B109</f>
        <v>9</v>
      </c>
      <c r="C92" s="184">
        <f t="shared" si="28"/>
        <v>5</v>
      </c>
      <c r="D92" s="184">
        <f t="shared" si="28"/>
        <v>3</v>
      </c>
      <c r="E92" s="184">
        <f t="shared" si="28"/>
        <v>6</v>
      </c>
      <c r="F92" s="184">
        <f t="shared" si="28"/>
        <v>9</v>
      </c>
      <c r="G92" s="184">
        <f t="shared" si="28"/>
        <v>3</v>
      </c>
      <c r="H92" s="184">
        <f t="shared" si="28"/>
        <v>8</v>
      </c>
      <c r="I92" s="184">
        <f t="shared" si="28"/>
        <v>6</v>
      </c>
      <c r="J92" s="184">
        <f t="shared" si="28"/>
        <v>7</v>
      </c>
      <c r="K92" s="184">
        <f t="shared" si="28"/>
        <v>2</v>
      </c>
      <c r="L92" s="184">
        <f t="shared" si="28"/>
        <v>9</v>
      </c>
      <c r="M92" s="184">
        <f t="shared" si="28"/>
        <v>4</v>
      </c>
      <c r="N92" s="184">
        <f t="shared" si="28"/>
        <v>9</v>
      </c>
      <c r="O92" s="184">
        <f t="shared" si="28"/>
        <v>4</v>
      </c>
      <c r="P92" s="184">
        <f t="shared" si="28"/>
        <v>11</v>
      </c>
      <c r="Q92" s="184">
        <f t="shared" si="28"/>
        <v>7</v>
      </c>
      <c r="R92" s="184">
        <f t="shared" si="28"/>
        <v>7</v>
      </c>
      <c r="S92" s="184">
        <f t="shared" si="28"/>
        <v>9</v>
      </c>
      <c r="T92" s="184">
        <f t="shared" si="28"/>
        <v>3</v>
      </c>
      <c r="U92" s="184">
        <f t="shared" si="28"/>
        <v>12</v>
      </c>
      <c r="V92" s="184">
        <f t="shared" si="28"/>
        <v>17</v>
      </c>
      <c r="W92" s="184">
        <f t="shared" si="28"/>
        <v>9</v>
      </c>
      <c r="X92" s="184">
        <f t="shared" si="28"/>
        <v>10</v>
      </c>
      <c r="Y92" s="184">
        <f t="shared" si="28"/>
        <v>8</v>
      </c>
      <c r="Z92" s="184">
        <f t="shared" si="28"/>
        <v>7</v>
      </c>
      <c r="AA92" s="184">
        <f t="shared" si="28"/>
        <v>7</v>
      </c>
      <c r="AB92" s="184">
        <f t="shared" si="28"/>
        <v>8</v>
      </c>
      <c r="AC92" s="184">
        <f t="shared" si="28"/>
        <v>6</v>
      </c>
      <c r="AD92" s="184">
        <f t="shared" si="28"/>
        <v>9</v>
      </c>
      <c r="AE92" s="184">
        <f t="shared" si="28"/>
        <v>2</v>
      </c>
      <c r="AF92" s="184">
        <f t="shared" si="28"/>
        <v>5</v>
      </c>
      <c r="AG92" s="143">
        <f t="shared" si="27"/>
        <v>221</v>
      </c>
    </row>
    <row r="93">
      <c r="A93" s="163" t="s">
        <v>148</v>
      </c>
      <c r="B93" s="184">
        <f t="shared" ref="B93:AF93" si="29">B63-B110</f>
        <v>23</v>
      </c>
      <c r="C93" s="184">
        <f t="shared" si="29"/>
        <v>16</v>
      </c>
      <c r="D93" s="184">
        <f t="shared" si="29"/>
        <v>18</v>
      </c>
      <c r="E93" s="184">
        <f t="shared" si="29"/>
        <v>25</v>
      </c>
      <c r="F93" s="184">
        <f t="shared" si="29"/>
        <v>22</v>
      </c>
      <c r="G93" s="184">
        <f t="shared" si="29"/>
        <v>25</v>
      </c>
      <c r="H93" s="184">
        <f t="shared" si="29"/>
        <v>30</v>
      </c>
      <c r="I93" s="184">
        <f t="shared" si="29"/>
        <v>14</v>
      </c>
      <c r="J93" s="184">
        <f t="shared" si="29"/>
        <v>15</v>
      </c>
      <c r="K93" s="184">
        <f t="shared" si="29"/>
        <v>12</v>
      </c>
      <c r="L93" s="184">
        <f t="shared" si="29"/>
        <v>10</v>
      </c>
      <c r="M93" s="184">
        <f t="shared" si="29"/>
        <v>12</v>
      </c>
      <c r="N93" s="184">
        <f t="shared" si="29"/>
        <v>13</v>
      </c>
      <c r="O93" s="184">
        <f t="shared" si="29"/>
        <v>8</v>
      </c>
      <c r="P93" s="184">
        <f t="shared" si="29"/>
        <v>6</v>
      </c>
      <c r="Q93" s="184">
        <f t="shared" si="29"/>
        <v>4</v>
      </c>
      <c r="R93" s="184">
        <f t="shared" si="29"/>
        <v>14</v>
      </c>
      <c r="S93" s="184">
        <f t="shared" si="29"/>
        <v>10</v>
      </c>
      <c r="T93" s="184">
        <f t="shared" si="29"/>
        <v>1</v>
      </c>
      <c r="U93" s="184">
        <f t="shared" si="29"/>
        <v>5</v>
      </c>
      <c r="V93" s="184">
        <f t="shared" si="29"/>
        <v>2</v>
      </c>
      <c r="W93" s="184">
        <f t="shared" si="29"/>
        <v>1</v>
      </c>
      <c r="X93" s="184">
        <f t="shared" si="29"/>
        <v>2</v>
      </c>
      <c r="Y93" s="184">
        <f t="shared" si="29"/>
        <v>2</v>
      </c>
      <c r="Z93" s="184">
        <f t="shared" si="29"/>
        <v>4</v>
      </c>
      <c r="AA93" s="184">
        <f t="shared" si="29"/>
        <v>2</v>
      </c>
      <c r="AB93" s="184">
        <f t="shared" si="29"/>
        <v>2</v>
      </c>
      <c r="AC93" s="184">
        <f t="shared" si="29"/>
        <v>1</v>
      </c>
      <c r="AD93" s="184">
        <f t="shared" si="29"/>
        <v>1</v>
      </c>
      <c r="AE93" s="184">
        <f t="shared" si="29"/>
        <v>4</v>
      </c>
      <c r="AF93" s="184">
        <f t="shared" si="29"/>
        <v>2</v>
      </c>
      <c r="AG93" s="143">
        <f t="shared" si="27"/>
        <v>306</v>
      </c>
    </row>
    <row r="94">
      <c r="A94" s="163" t="s">
        <v>149</v>
      </c>
      <c r="B94" s="184">
        <f t="shared" ref="B94:AF94" si="30">B64-B111</f>
        <v>9</v>
      </c>
      <c r="C94" s="184">
        <f t="shared" si="30"/>
        <v>12</v>
      </c>
      <c r="D94" s="184">
        <f t="shared" si="30"/>
        <v>7</v>
      </c>
      <c r="E94" s="184">
        <f t="shared" si="30"/>
        <v>4</v>
      </c>
      <c r="F94" s="184">
        <f t="shared" si="30"/>
        <v>4</v>
      </c>
      <c r="G94" s="184">
        <f t="shared" si="30"/>
        <v>10</v>
      </c>
      <c r="H94" s="184">
        <f t="shared" si="30"/>
        <v>11</v>
      </c>
      <c r="I94" s="184">
        <f t="shared" si="30"/>
        <v>4</v>
      </c>
      <c r="J94" s="184">
        <f t="shared" si="30"/>
        <v>2</v>
      </c>
      <c r="K94" s="184">
        <f t="shared" si="30"/>
        <v>1</v>
      </c>
      <c r="L94" s="184">
        <f t="shared" si="30"/>
        <v>9</v>
      </c>
      <c r="M94" s="184">
        <f t="shared" si="30"/>
        <v>8</v>
      </c>
      <c r="N94" s="184">
        <f t="shared" si="30"/>
        <v>12</v>
      </c>
      <c r="O94" s="184">
        <f t="shared" si="30"/>
        <v>12</v>
      </c>
      <c r="P94" s="184">
        <f t="shared" si="30"/>
        <v>3</v>
      </c>
      <c r="Q94" s="184">
        <f t="shared" si="30"/>
        <v>4</v>
      </c>
      <c r="R94" s="184">
        <f t="shared" si="30"/>
        <v>3</v>
      </c>
      <c r="S94" s="184">
        <f t="shared" si="30"/>
        <v>6</v>
      </c>
      <c r="T94" s="184">
        <f t="shared" si="30"/>
        <v>2</v>
      </c>
      <c r="U94" s="184">
        <f t="shared" si="30"/>
        <v>5</v>
      </c>
      <c r="V94" s="184">
        <f t="shared" si="30"/>
        <v>5</v>
      </c>
      <c r="W94" s="184">
        <f t="shared" si="30"/>
        <v>4</v>
      </c>
      <c r="X94" s="184">
        <f t="shared" si="30"/>
        <v>4</v>
      </c>
      <c r="Y94" s="184">
        <f t="shared" si="30"/>
        <v>7</v>
      </c>
      <c r="Z94" s="184">
        <f t="shared" si="30"/>
        <v>4</v>
      </c>
      <c r="AA94" s="184">
        <f t="shared" si="30"/>
        <v>6</v>
      </c>
      <c r="AB94" s="184">
        <f t="shared" si="30"/>
        <v>3</v>
      </c>
      <c r="AC94" s="184">
        <f t="shared" si="30"/>
        <v>3</v>
      </c>
      <c r="AD94" s="184">
        <f t="shared" si="30"/>
        <v>1</v>
      </c>
      <c r="AE94" s="184">
        <f t="shared" si="30"/>
        <v>9</v>
      </c>
      <c r="AF94" s="184">
        <f t="shared" si="30"/>
        <v>3</v>
      </c>
      <c r="AG94" s="143">
        <f t="shared" si="27"/>
        <v>177</v>
      </c>
    </row>
    <row r="95">
      <c r="A95" s="163" t="s">
        <v>150</v>
      </c>
      <c r="B95" s="184">
        <f t="shared" ref="B95:AF95" si="31">B65-B112</f>
        <v>8</v>
      </c>
      <c r="C95" s="184">
        <f t="shared" si="31"/>
        <v>7</v>
      </c>
      <c r="D95" s="184">
        <f t="shared" si="31"/>
        <v>7</v>
      </c>
      <c r="E95" s="184">
        <f t="shared" si="31"/>
        <v>5</v>
      </c>
      <c r="F95" s="184">
        <f t="shared" si="31"/>
        <v>4</v>
      </c>
      <c r="G95" s="184">
        <f t="shared" si="31"/>
        <v>2</v>
      </c>
      <c r="H95" s="184">
        <f t="shared" si="31"/>
        <v>9</v>
      </c>
      <c r="I95" s="184">
        <f t="shared" si="31"/>
        <v>4</v>
      </c>
      <c r="J95" s="184">
        <f t="shared" si="31"/>
        <v>4</v>
      </c>
      <c r="K95" s="184">
        <f t="shared" si="31"/>
        <v>4</v>
      </c>
      <c r="L95" s="184">
        <f t="shared" si="31"/>
        <v>2</v>
      </c>
      <c r="M95" s="184">
        <f t="shared" si="31"/>
        <v>3</v>
      </c>
      <c r="N95" s="184">
        <f t="shared" si="31"/>
        <v>4</v>
      </c>
      <c r="O95" s="184">
        <f t="shared" si="31"/>
        <v>2</v>
      </c>
      <c r="P95" s="184">
        <f t="shared" si="31"/>
        <v>1</v>
      </c>
      <c r="Q95" s="184">
        <f t="shared" si="31"/>
        <v>2</v>
      </c>
      <c r="R95" s="184">
        <f t="shared" si="31"/>
        <v>5</v>
      </c>
      <c r="S95" s="184">
        <f t="shared" si="31"/>
        <v>3</v>
      </c>
      <c r="T95" s="184">
        <f t="shared" si="31"/>
        <v>5</v>
      </c>
      <c r="U95" s="184">
        <f t="shared" si="31"/>
        <v>3</v>
      </c>
      <c r="V95" s="184">
        <f t="shared" si="31"/>
        <v>5</v>
      </c>
      <c r="W95" s="184">
        <f t="shared" si="31"/>
        <v>6</v>
      </c>
      <c r="X95" s="184">
        <f t="shared" si="31"/>
        <v>2</v>
      </c>
      <c r="Y95" s="184">
        <f t="shared" si="31"/>
        <v>0</v>
      </c>
      <c r="Z95" s="184">
        <f t="shared" si="31"/>
        <v>5</v>
      </c>
      <c r="AA95" s="184">
        <f t="shared" si="31"/>
        <v>3</v>
      </c>
      <c r="AB95" s="184">
        <f t="shared" si="31"/>
        <v>4</v>
      </c>
      <c r="AC95" s="184">
        <f t="shared" si="31"/>
        <v>5</v>
      </c>
      <c r="AD95" s="184">
        <f t="shared" si="31"/>
        <v>2</v>
      </c>
      <c r="AE95" s="184">
        <f t="shared" si="31"/>
        <v>1</v>
      </c>
      <c r="AF95" s="184">
        <f t="shared" si="31"/>
        <v>1</v>
      </c>
      <c r="AG95" s="143">
        <f t="shared" si="27"/>
        <v>118</v>
      </c>
    </row>
    <row r="96">
      <c r="A96" s="163" t="s">
        <v>151</v>
      </c>
      <c r="B96" s="184">
        <f t="shared" ref="B96:AF96" si="32">B66-B113</f>
        <v>32</v>
      </c>
      <c r="C96" s="184">
        <f t="shared" si="32"/>
        <v>27</v>
      </c>
      <c r="D96" s="184">
        <f t="shared" si="32"/>
        <v>22</v>
      </c>
      <c r="E96" s="184">
        <f t="shared" si="32"/>
        <v>21</v>
      </c>
      <c r="F96" s="184">
        <f t="shared" si="32"/>
        <v>30</v>
      </c>
      <c r="G96" s="184">
        <f t="shared" si="32"/>
        <v>27</v>
      </c>
      <c r="H96" s="184">
        <f t="shared" si="32"/>
        <v>42</v>
      </c>
      <c r="I96" s="184">
        <f t="shared" si="32"/>
        <v>28</v>
      </c>
      <c r="J96" s="184">
        <f t="shared" si="32"/>
        <v>30</v>
      </c>
      <c r="K96" s="184">
        <f t="shared" si="32"/>
        <v>19</v>
      </c>
      <c r="L96" s="184">
        <f t="shared" si="32"/>
        <v>24</v>
      </c>
      <c r="M96" s="184">
        <f t="shared" si="32"/>
        <v>26</v>
      </c>
      <c r="N96" s="184">
        <f t="shared" si="32"/>
        <v>29</v>
      </c>
      <c r="O96" s="184">
        <f t="shared" si="32"/>
        <v>35</v>
      </c>
      <c r="P96" s="184">
        <f t="shared" si="32"/>
        <v>26</v>
      </c>
      <c r="Q96" s="184">
        <f t="shared" si="32"/>
        <v>26</v>
      </c>
      <c r="R96" s="184">
        <f t="shared" si="32"/>
        <v>20</v>
      </c>
      <c r="S96" s="184">
        <f t="shared" si="32"/>
        <v>18</v>
      </c>
      <c r="T96" s="184">
        <f t="shared" si="32"/>
        <v>36</v>
      </c>
      <c r="U96" s="184">
        <f t="shared" si="32"/>
        <v>44</v>
      </c>
      <c r="V96" s="184">
        <f t="shared" si="32"/>
        <v>47</v>
      </c>
      <c r="W96" s="184">
        <f t="shared" si="32"/>
        <v>32</v>
      </c>
      <c r="X96" s="184">
        <f t="shared" si="32"/>
        <v>26</v>
      </c>
      <c r="Y96" s="184">
        <f t="shared" si="32"/>
        <v>18</v>
      </c>
      <c r="Z96" s="184">
        <f t="shared" si="32"/>
        <v>26</v>
      </c>
      <c r="AA96" s="184">
        <f t="shared" si="32"/>
        <v>22</v>
      </c>
      <c r="AB96" s="184">
        <f t="shared" si="32"/>
        <v>28</v>
      </c>
      <c r="AC96" s="184">
        <f t="shared" si="32"/>
        <v>25</v>
      </c>
      <c r="AD96" s="184">
        <f t="shared" si="32"/>
        <v>18</v>
      </c>
      <c r="AE96" s="184">
        <f t="shared" si="32"/>
        <v>16</v>
      </c>
      <c r="AF96" s="184">
        <f t="shared" si="32"/>
        <v>22</v>
      </c>
      <c r="AG96" s="143">
        <f t="shared" si="27"/>
        <v>842</v>
      </c>
    </row>
    <row r="97">
      <c r="A97" s="163" t="s">
        <v>152</v>
      </c>
      <c r="B97" s="184">
        <f t="shared" ref="B97:AF97" si="33">B67-B114</f>
        <v>43</v>
      </c>
      <c r="C97" s="184">
        <f t="shared" si="33"/>
        <v>33</v>
      </c>
      <c r="D97" s="184">
        <f t="shared" si="33"/>
        <v>30</v>
      </c>
      <c r="E97" s="184">
        <f t="shared" si="33"/>
        <v>32</v>
      </c>
      <c r="F97" s="184">
        <f t="shared" si="33"/>
        <v>40</v>
      </c>
      <c r="G97" s="184">
        <f t="shared" si="33"/>
        <v>37</v>
      </c>
      <c r="H97" s="184">
        <f t="shared" si="33"/>
        <v>57</v>
      </c>
      <c r="I97" s="184">
        <f t="shared" si="33"/>
        <v>21</v>
      </c>
      <c r="J97" s="184">
        <f t="shared" si="33"/>
        <v>25</v>
      </c>
      <c r="K97" s="184">
        <f t="shared" si="33"/>
        <v>19</v>
      </c>
      <c r="L97" s="184">
        <f t="shared" si="33"/>
        <v>18</v>
      </c>
      <c r="M97" s="184">
        <f t="shared" si="33"/>
        <v>21</v>
      </c>
      <c r="N97" s="184">
        <f t="shared" si="33"/>
        <v>28</v>
      </c>
      <c r="O97" s="184">
        <f t="shared" si="33"/>
        <v>18</v>
      </c>
      <c r="P97" s="184">
        <f t="shared" si="33"/>
        <v>15</v>
      </c>
      <c r="Q97" s="184">
        <f t="shared" si="33"/>
        <v>14</v>
      </c>
      <c r="R97" s="184">
        <f t="shared" si="33"/>
        <v>23</v>
      </c>
      <c r="S97" s="184">
        <f t="shared" si="33"/>
        <v>21</v>
      </c>
      <c r="T97" s="184">
        <f t="shared" si="33"/>
        <v>12</v>
      </c>
      <c r="U97" s="184">
        <f t="shared" si="33"/>
        <v>9</v>
      </c>
      <c r="V97" s="184">
        <f t="shared" si="33"/>
        <v>9</v>
      </c>
      <c r="W97" s="184">
        <f t="shared" si="33"/>
        <v>7</v>
      </c>
      <c r="X97" s="184">
        <f t="shared" si="33"/>
        <v>8</v>
      </c>
      <c r="Y97" s="184">
        <f t="shared" si="33"/>
        <v>9</v>
      </c>
      <c r="Z97" s="184">
        <f t="shared" si="33"/>
        <v>19</v>
      </c>
      <c r="AA97" s="184">
        <f t="shared" si="33"/>
        <v>12</v>
      </c>
      <c r="AB97" s="184">
        <f t="shared" si="33"/>
        <v>12</v>
      </c>
      <c r="AC97" s="184">
        <f t="shared" si="33"/>
        <v>18</v>
      </c>
      <c r="AD97" s="184">
        <f t="shared" si="33"/>
        <v>5</v>
      </c>
      <c r="AE97" s="184">
        <f t="shared" si="33"/>
        <v>5</v>
      </c>
      <c r="AF97" s="184">
        <f t="shared" si="33"/>
        <v>8</v>
      </c>
      <c r="AG97" s="143">
        <f t="shared" si="27"/>
        <v>628</v>
      </c>
    </row>
    <row r="98">
      <c r="A98" s="169" t="s">
        <v>130</v>
      </c>
      <c r="B98" s="185">
        <f t="shared" ref="B98:AF98" si="34">SUM(B90:B97)</f>
        <v>226</v>
      </c>
      <c r="C98" s="185">
        <f t="shared" si="34"/>
        <v>176</v>
      </c>
      <c r="D98" s="185">
        <f t="shared" si="34"/>
        <v>161</v>
      </c>
      <c r="E98" s="185">
        <f t="shared" si="34"/>
        <v>168</v>
      </c>
      <c r="F98" s="185">
        <f t="shared" si="34"/>
        <v>188</v>
      </c>
      <c r="G98" s="185">
        <f t="shared" si="34"/>
        <v>182</v>
      </c>
      <c r="H98" s="185">
        <f t="shared" si="34"/>
        <v>251</v>
      </c>
      <c r="I98" s="185">
        <f t="shared" si="34"/>
        <v>130</v>
      </c>
      <c r="J98" s="185">
        <f t="shared" si="34"/>
        <v>135</v>
      </c>
      <c r="K98" s="185">
        <f t="shared" si="34"/>
        <v>101</v>
      </c>
      <c r="L98" s="185">
        <f t="shared" si="34"/>
        <v>120</v>
      </c>
      <c r="M98" s="185">
        <f t="shared" si="34"/>
        <v>112</v>
      </c>
      <c r="N98" s="185">
        <f t="shared" si="34"/>
        <v>149</v>
      </c>
      <c r="O98" s="185">
        <f t="shared" si="34"/>
        <v>133</v>
      </c>
      <c r="P98" s="185">
        <f t="shared" si="34"/>
        <v>105</v>
      </c>
      <c r="Q98" s="185">
        <f t="shared" si="34"/>
        <v>86</v>
      </c>
      <c r="R98" s="185">
        <f t="shared" si="34"/>
        <v>116</v>
      </c>
      <c r="S98" s="185">
        <f t="shared" si="34"/>
        <v>103</v>
      </c>
      <c r="T98" s="185">
        <f t="shared" si="34"/>
        <v>87</v>
      </c>
      <c r="U98" s="185">
        <f t="shared" si="34"/>
        <v>129</v>
      </c>
      <c r="V98" s="185">
        <f t="shared" si="34"/>
        <v>129</v>
      </c>
      <c r="W98" s="185">
        <f t="shared" si="34"/>
        <v>86</v>
      </c>
      <c r="X98" s="185">
        <f t="shared" si="34"/>
        <v>82</v>
      </c>
      <c r="Y98" s="185">
        <f t="shared" si="34"/>
        <v>67</v>
      </c>
      <c r="Z98" s="185">
        <f t="shared" si="34"/>
        <v>94</v>
      </c>
      <c r="AA98" s="185">
        <f t="shared" si="34"/>
        <v>87</v>
      </c>
      <c r="AB98" s="185">
        <f t="shared" si="34"/>
        <v>82</v>
      </c>
      <c r="AC98" s="185">
        <f t="shared" si="34"/>
        <v>87</v>
      </c>
      <c r="AD98" s="185">
        <f t="shared" si="34"/>
        <v>68</v>
      </c>
      <c r="AE98" s="185">
        <f t="shared" si="34"/>
        <v>56</v>
      </c>
      <c r="AF98" s="185">
        <f t="shared" si="34"/>
        <v>61</v>
      </c>
      <c r="AG98" s="143">
        <f t="shared" si="27"/>
        <v>3757</v>
      </c>
    </row>
    <row r="99">
      <c r="A99" s="177"/>
      <c r="AG99" s="143"/>
    </row>
    <row r="100">
      <c r="A100" s="155" t="s">
        <v>153</v>
      </c>
      <c r="B100" s="183"/>
      <c r="C100" s="183"/>
      <c r="D100" s="183"/>
      <c r="E100" s="183"/>
      <c r="F100" s="183"/>
      <c r="G100" s="183"/>
      <c r="H100" s="183"/>
      <c r="I100" s="183"/>
      <c r="J100" s="183"/>
      <c r="K100" s="183"/>
      <c r="L100" s="183"/>
      <c r="M100" s="183"/>
      <c r="N100" s="183"/>
      <c r="O100" s="183"/>
      <c r="P100" s="183"/>
      <c r="Q100" s="183"/>
      <c r="R100" s="183"/>
      <c r="S100" s="183"/>
      <c r="T100" s="183"/>
      <c r="U100" s="183"/>
      <c r="V100" s="183"/>
      <c r="W100" s="183"/>
      <c r="X100" s="183"/>
      <c r="Y100" s="183"/>
      <c r="Z100" s="183"/>
      <c r="AA100" s="183"/>
      <c r="AB100" s="183"/>
      <c r="AC100" s="183"/>
      <c r="AD100" s="183"/>
      <c r="AE100" s="183"/>
      <c r="AF100" s="183"/>
      <c r="AG100" s="143"/>
    </row>
    <row r="101">
      <c r="A101" s="163" t="s">
        <v>154</v>
      </c>
      <c r="B101" s="184">
        <v>0.0</v>
      </c>
      <c r="C101" s="184">
        <v>0.0</v>
      </c>
      <c r="D101" s="184">
        <v>0.0</v>
      </c>
      <c r="E101" s="184">
        <v>0.0</v>
      </c>
      <c r="F101" s="184">
        <v>0.0</v>
      </c>
      <c r="G101" s="184">
        <v>0.0</v>
      </c>
      <c r="H101" s="184">
        <v>0.0</v>
      </c>
      <c r="I101" s="184">
        <v>0.0</v>
      </c>
      <c r="J101" s="184">
        <v>0.0</v>
      </c>
      <c r="K101" s="184">
        <v>0.0</v>
      </c>
      <c r="L101" s="184">
        <v>0.0</v>
      </c>
      <c r="M101" s="184">
        <v>0.0</v>
      </c>
      <c r="N101" s="184">
        <v>0.0</v>
      </c>
      <c r="O101" s="184">
        <v>0.0</v>
      </c>
      <c r="P101" s="184">
        <v>0.0</v>
      </c>
      <c r="Q101" s="166">
        <v>0.0</v>
      </c>
      <c r="R101" s="184">
        <v>0.0</v>
      </c>
      <c r="S101" s="184">
        <v>0.0</v>
      </c>
      <c r="T101" s="184">
        <v>0.0</v>
      </c>
      <c r="U101" s="184">
        <v>0.0</v>
      </c>
      <c r="V101" s="184">
        <v>0.0</v>
      </c>
      <c r="W101" s="184">
        <v>0.0</v>
      </c>
      <c r="X101" s="184">
        <v>0.0</v>
      </c>
      <c r="Y101" s="184">
        <v>0.0</v>
      </c>
      <c r="Z101" s="184">
        <v>1.0</v>
      </c>
      <c r="AA101" s="186">
        <v>1.0</v>
      </c>
      <c r="AB101" s="184">
        <v>0.0</v>
      </c>
      <c r="AC101" s="184">
        <v>1.0</v>
      </c>
      <c r="AD101" s="184">
        <v>0.0</v>
      </c>
      <c r="AE101" s="184">
        <v>0.0</v>
      </c>
      <c r="AF101" s="184">
        <v>1.0</v>
      </c>
      <c r="AG101" s="143">
        <f t="shared" ref="AG101:AG105" si="35">sum(B101:AF101)</f>
        <v>4</v>
      </c>
    </row>
    <row r="102">
      <c r="A102" s="163" t="s">
        <v>155</v>
      </c>
      <c r="B102" s="165">
        <v>3.0</v>
      </c>
      <c r="C102" s="165">
        <v>2.0</v>
      </c>
      <c r="D102" s="165">
        <v>2.0</v>
      </c>
      <c r="E102" s="165">
        <v>1.0</v>
      </c>
      <c r="F102" s="165">
        <v>2.0</v>
      </c>
      <c r="G102" s="165">
        <v>4.0</v>
      </c>
      <c r="H102" s="165">
        <v>1.0</v>
      </c>
      <c r="I102" s="165">
        <v>3.0</v>
      </c>
      <c r="J102" s="165">
        <v>0.0</v>
      </c>
      <c r="K102" s="165">
        <v>1.0</v>
      </c>
      <c r="L102" s="165">
        <v>2.0</v>
      </c>
      <c r="M102" s="165">
        <v>0.0</v>
      </c>
      <c r="N102" s="165">
        <v>1.0</v>
      </c>
      <c r="O102" s="165">
        <v>0.0</v>
      </c>
      <c r="P102" s="165">
        <v>0.0</v>
      </c>
      <c r="Q102" s="166">
        <v>1.0</v>
      </c>
      <c r="R102" s="165">
        <v>0.0</v>
      </c>
      <c r="S102" s="83">
        <v>0.0</v>
      </c>
      <c r="T102" s="83">
        <v>0.0</v>
      </c>
      <c r="U102" s="184">
        <v>5.0</v>
      </c>
      <c r="V102" s="184">
        <v>3.0</v>
      </c>
      <c r="W102" s="184">
        <v>2.0</v>
      </c>
      <c r="X102" s="184">
        <v>0.0</v>
      </c>
      <c r="Y102" s="184">
        <v>0.0</v>
      </c>
      <c r="Z102" s="184">
        <v>0.0</v>
      </c>
      <c r="AA102" s="186">
        <v>0.0</v>
      </c>
      <c r="AB102" s="184">
        <v>0.0</v>
      </c>
      <c r="AC102" s="184">
        <v>1.0</v>
      </c>
      <c r="AD102" s="184">
        <v>0.0</v>
      </c>
      <c r="AE102" s="184">
        <v>0.0</v>
      </c>
      <c r="AF102" s="184">
        <v>0.0</v>
      </c>
      <c r="AG102" s="143">
        <f t="shared" si="35"/>
        <v>34</v>
      </c>
    </row>
    <row r="103">
      <c r="A103" s="163" t="s">
        <v>156</v>
      </c>
      <c r="B103" s="184">
        <v>0.0</v>
      </c>
      <c r="C103" s="184">
        <v>0.0</v>
      </c>
      <c r="D103" s="184">
        <v>0.0</v>
      </c>
      <c r="E103" s="184">
        <v>0.0</v>
      </c>
      <c r="F103" s="184">
        <v>0.0</v>
      </c>
      <c r="G103" s="184">
        <v>0.0</v>
      </c>
      <c r="H103" s="184">
        <v>0.0</v>
      </c>
      <c r="I103" s="184">
        <v>1.0</v>
      </c>
      <c r="J103" s="184">
        <v>3.0</v>
      </c>
      <c r="K103" s="184">
        <v>4.0</v>
      </c>
      <c r="L103" s="184">
        <v>1.0</v>
      </c>
      <c r="M103" s="184">
        <v>2.0</v>
      </c>
      <c r="N103" s="184">
        <v>5.0</v>
      </c>
      <c r="O103" s="184">
        <v>3.0</v>
      </c>
      <c r="P103" s="184">
        <v>2.0</v>
      </c>
      <c r="Q103" s="166">
        <v>1.0</v>
      </c>
      <c r="R103" s="184">
        <v>2.0</v>
      </c>
      <c r="S103" s="184">
        <v>2.0</v>
      </c>
      <c r="T103" s="184">
        <v>6.0</v>
      </c>
      <c r="U103" s="184">
        <v>6.0</v>
      </c>
      <c r="V103" s="184">
        <v>1.0</v>
      </c>
      <c r="W103" s="184">
        <v>4.0</v>
      </c>
      <c r="X103" s="184">
        <v>5.0</v>
      </c>
      <c r="Y103" s="184">
        <v>1.0</v>
      </c>
      <c r="Z103" s="184">
        <v>2.0</v>
      </c>
      <c r="AA103" s="186">
        <v>3.0</v>
      </c>
      <c r="AB103" s="184">
        <v>5.0</v>
      </c>
      <c r="AC103" s="184">
        <v>2.0</v>
      </c>
      <c r="AD103" s="184">
        <v>1.0</v>
      </c>
      <c r="AE103" s="184">
        <v>2.0</v>
      </c>
      <c r="AF103" s="184">
        <v>1.0</v>
      </c>
      <c r="AG103" s="143">
        <f t="shared" si="35"/>
        <v>65</v>
      </c>
    </row>
    <row r="104">
      <c r="A104" s="163" t="s">
        <v>157</v>
      </c>
      <c r="B104" s="165">
        <v>5.0</v>
      </c>
      <c r="C104" s="165">
        <v>7.0</v>
      </c>
      <c r="D104" s="165">
        <v>5.0</v>
      </c>
      <c r="E104" s="165">
        <v>3.0</v>
      </c>
      <c r="F104" s="165">
        <v>4.0</v>
      </c>
      <c r="G104" s="165">
        <v>9.0</v>
      </c>
      <c r="H104" s="165">
        <v>7.0</v>
      </c>
      <c r="I104" s="165">
        <v>4.0</v>
      </c>
      <c r="J104" s="165">
        <v>1.0</v>
      </c>
      <c r="K104" s="165">
        <v>0.0</v>
      </c>
      <c r="L104" s="165">
        <v>1.0</v>
      </c>
      <c r="M104" s="165">
        <v>4.0</v>
      </c>
      <c r="N104" s="165">
        <v>5.0</v>
      </c>
      <c r="O104" s="165">
        <v>1.0</v>
      </c>
      <c r="P104" s="165">
        <v>2.0</v>
      </c>
      <c r="Q104" s="166">
        <v>3.0</v>
      </c>
      <c r="R104" s="165">
        <v>3.0</v>
      </c>
      <c r="S104" s="83">
        <v>3.0</v>
      </c>
      <c r="T104" s="83">
        <v>1.0</v>
      </c>
      <c r="U104" s="184">
        <v>0.0</v>
      </c>
      <c r="V104" s="184">
        <v>0.0</v>
      </c>
      <c r="W104" s="184">
        <v>0.0</v>
      </c>
      <c r="X104" s="184">
        <v>0.0</v>
      </c>
      <c r="Y104" s="184">
        <v>1.0</v>
      </c>
      <c r="Z104" s="184">
        <v>0.0</v>
      </c>
      <c r="AA104" s="186">
        <v>1.0</v>
      </c>
      <c r="AB104" s="184">
        <v>1.0</v>
      </c>
      <c r="AC104" s="184">
        <v>0.0</v>
      </c>
      <c r="AD104" s="184">
        <v>0.0</v>
      </c>
      <c r="AE104" s="184">
        <v>2.0</v>
      </c>
      <c r="AF104" s="184">
        <v>0.0</v>
      </c>
      <c r="AG104" s="143">
        <f t="shared" si="35"/>
        <v>73</v>
      </c>
    </row>
    <row r="105">
      <c r="A105" s="169" t="s">
        <v>121</v>
      </c>
      <c r="B105" s="185">
        <f t="shared" ref="B105:AF105" si="36">SUM(B101:B104)</f>
        <v>8</v>
      </c>
      <c r="C105" s="185">
        <f t="shared" si="36"/>
        <v>9</v>
      </c>
      <c r="D105" s="185">
        <f t="shared" si="36"/>
        <v>7</v>
      </c>
      <c r="E105" s="185">
        <f t="shared" si="36"/>
        <v>4</v>
      </c>
      <c r="F105" s="185">
        <f t="shared" si="36"/>
        <v>6</v>
      </c>
      <c r="G105" s="185">
        <f t="shared" si="36"/>
        <v>13</v>
      </c>
      <c r="H105" s="185">
        <f t="shared" si="36"/>
        <v>8</v>
      </c>
      <c r="I105" s="185">
        <f t="shared" si="36"/>
        <v>8</v>
      </c>
      <c r="J105" s="185">
        <f t="shared" si="36"/>
        <v>4</v>
      </c>
      <c r="K105" s="185">
        <f t="shared" si="36"/>
        <v>5</v>
      </c>
      <c r="L105" s="185">
        <f t="shared" si="36"/>
        <v>4</v>
      </c>
      <c r="M105" s="185">
        <f t="shared" si="36"/>
        <v>6</v>
      </c>
      <c r="N105" s="185">
        <f t="shared" si="36"/>
        <v>11</v>
      </c>
      <c r="O105" s="185">
        <f t="shared" si="36"/>
        <v>4</v>
      </c>
      <c r="P105" s="185">
        <f t="shared" si="36"/>
        <v>4</v>
      </c>
      <c r="Q105" s="185">
        <f t="shared" si="36"/>
        <v>5</v>
      </c>
      <c r="R105" s="185">
        <f t="shared" si="36"/>
        <v>5</v>
      </c>
      <c r="S105" s="185">
        <f t="shared" si="36"/>
        <v>5</v>
      </c>
      <c r="T105" s="185">
        <f t="shared" si="36"/>
        <v>7</v>
      </c>
      <c r="U105" s="185">
        <f t="shared" si="36"/>
        <v>11</v>
      </c>
      <c r="V105" s="185">
        <f t="shared" si="36"/>
        <v>4</v>
      </c>
      <c r="W105" s="185">
        <f t="shared" si="36"/>
        <v>6</v>
      </c>
      <c r="X105" s="185">
        <f t="shared" si="36"/>
        <v>5</v>
      </c>
      <c r="Y105" s="185">
        <f t="shared" si="36"/>
        <v>2</v>
      </c>
      <c r="Z105" s="185">
        <f t="shared" si="36"/>
        <v>3</v>
      </c>
      <c r="AA105" s="185">
        <f t="shared" si="36"/>
        <v>5</v>
      </c>
      <c r="AB105" s="185">
        <f t="shared" si="36"/>
        <v>6</v>
      </c>
      <c r="AC105" s="185">
        <f t="shared" si="36"/>
        <v>4</v>
      </c>
      <c r="AD105" s="185">
        <f t="shared" si="36"/>
        <v>1</v>
      </c>
      <c r="AE105" s="185">
        <f t="shared" si="36"/>
        <v>4</v>
      </c>
      <c r="AF105" s="185">
        <f t="shared" si="36"/>
        <v>2</v>
      </c>
      <c r="AG105" s="143">
        <f t="shared" si="35"/>
        <v>176</v>
      </c>
    </row>
    <row r="106">
      <c r="A106" s="98"/>
      <c r="AB106" s="187"/>
      <c r="AC106" s="187"/>
      <c r="AF106" s="65"/>
      <c r="AG106" s="143"/>
    </row>
    <row r="107">
      <c r="A107" s="163" t="s">
        <v>122</v>
      </c>
      <c r="B107" s="184">
        <v>7.0</v>
      </c>
      <c r="C107" s="184">
        <v>7.0</v>
      </c>
      <c r="D107" s="184">
        <v>4.0</v>
      </c>
      <c r="E107" s="184">
        <v>9.0</v>
      </c>
      <c r="F107" s="184">
        <v>3.0</v>
      </c>
      <c r="G107" s="184">
        <v>11.0</v>
      </c>
      <c r="H107" s="184">
        <v>11.0</v>
      </c>
      <c r="I107" s="184">
        <v>2.0</v>
      </c>
      <c r="J107" s="184">
        <v>0.0</v>
      </c>
      <c r="K107" s="184">
        <v>0.0</v>
      </c>
      <c r="L107" s="184">
        <v>2.0</v>
      </c>
      <c r="M107" s="184">
        <v>3.0</v>
      </c>
      <c r="N107" s="184">
        <v>9.0</v>
      </c>
      <c r="O107" s="184">
        <v>2.0</v>
      </c>
      <c r="P107" s="184">
        <v>5.0</v>
      </c>
      <c r="Q107" s="166">
        <v>2.0</v>
      </c>
      <c r="R107" s="184">
        <v>5.0</v>
      </c>
      <c r="S107" s="184">
        <v>2.0</v>
      </c>
      <c r="T107" s="184">
        <v>4.0</v>
      </c>
      <c r="U107" s="184">
        <v>5.0</v>
      </c>
      <c r="V107" s="184">
        <v>3.0</v>
      </c>
      <c r="W107" s="184">
        <v>6.0</v>
      </c>
      <c r="X107" s="184">
        <v>2.0</v>
      </c>
      <c r="Y107" s="184">
        <v>0.0</v>
      </c>
      <c r="Z107" s="184">
        <v>1.0</v>
      </c>
      <c r="AA107" s="184">
        <v>3.0</v>
      </c>
      <c r="AB107" s="184">
        <v>5.0</v>
      </c>
      <c r="AC107" s="184">
        <v>2.0</v>
      </c>
      <c r="AD107" s="184">
        <v>2.0</v>
      </c>
      <c r="AE107" s="184">
        <v>2.0</v>
      </c>
      <c r="AF107" s="184">
        <v>2.0</v>
      </c>
      <c r="AG107" s="143">
        <f t="shared" ref="AG107:AG115" si="37">sum(B107:AF107)</f>
        <v>121</v>
      </c>
    </row>
    <row r="108">
      <c r="A108" s="163" t="s">
        <v>123</v>
      </c>
      <c r="B108" s="184">
        <v>6.0</v>
      </c>
      <c r="C108" s="184">
        <v>15.0</v>
      </c>
      <c r="D108" s="184">
        <v>6.0</v>
      </c>
      <c r="E108" s="184">
        <v>6.0</v>
      </c>
      <c r="F108" s="184">
        <v>7.0</v>
      </c>
      <c r="G108" s="184">
        <v>9.0</v>
      </c>
      <c r="H108" s="184">
        <v>4.0</v>
      </c>
      <c r="I108" s="184">
        <v>5.0</v>
      </c>
      <c r="J108" s="184">
        <v>4.0</v>
      </c>
      <c r="K108" s="184">
        <v>10.0</v>
      </c>
      <c r="L108" s="184">
        <v>8.0</v>
      </c>
      <c r="M108" s="184">
        <v>7.0</v>
      </c>
      <c r="N108" s="184">
        <v>7.0</v>
      </c>
      <c r="O108" s="184">
        <v>8.0</v>
      </c>
      <c r="P108" s="184">
        <v>6.0</v>
      </c>
      <c r="Q108" s="166">
        <v>3.0</v>
      </c>
      <c r="R108" s="184">
        <v>4.0</v>
      </c>
      <c r="S108" s="184">
        <v>3.0</v>
      </c>
      <c r="T108" s="184">
        <v>7.0</v>
      </c>
      <c r="U108" s="184">
        <v>4.0</v>
      </c>
      <c r="V108" s="184">
        <v>6.0</v>
      </c>
      <c r="W108" s="184">
        <v>3.0</v>
      </c>
      <c r="X108" s="184">
        <v>3.0</v>
      </c>
      <c r="Y108" s="184">
        <v>5.0</v>
      </c>
      <c r="Z108" s="184">
        <v>4.0</v>
      </c>
      <c r="AA108" s="184">
        <v>8.0</v>
      </c>
      <c r="AB108" s="184">
        <v>9.0</v>
      </c>
      <c r="AC108" s="184">
        <v>4.0</v>
      </c>
      <c r="AD108" s="184">
        <v>11.0</v>
      </c>
      <c r="AE108" s="184">
        <v>4.0</v>
      </c>
      <c r="AF108" s="184">
        <v>1.0</v>
      </c>
      <c r="AG108" s="143">
        <f t="shared" si="37"/>
        <v>187</v>
      </c>
    </row>
    <row r="109">
      <c r="A109" s="163" t="s">
        <v>158</v>
      </c>
      <c r="B109" s="184">
        <v>0.0</v>
      </c>
      <c r="C109" s="184">
        <v>2.0</v>
      </c>
      <c r="D109" s="184">
        <v>1.0</v>
      </c>
      <c r="E109" s="184">
        <v>2.0</v>
      </c>
      <c r="F109" s="184">
        <v>0.0</v>
      </c>
      <c r="G109" s="184">
        <v>3.0</v>
      </c>
      <c r="H109" s="184">
        <v>0.0</v>
      </c>
      <c r="I109" s="184">
        <v>1.0</v>
      </c>
      <c r="J109" s="184">
        <v>1.0</v>
      </c>
      <c r="K109" s="184">
        <v>0.0</v>
      </c>
      <c r="L109" s="184">
        <v>3.0</v>
      </c>
      <c r="M109" s="184">
        <v>1.0</v>
      </c>
      <c r="N109" s="184">
        <v>2.0</v>
      </c>
      <c r="O109" s="184">
        <v>4.0</v>
      </c>
      <c r="P109" s="184">
        <v>3.0</v>
      </c>
      <c r="Q109" s="165">
        <v>2.0</v>
      </c>
      <c r="R109" s="184">
        <v>2.0</v>
      </c>
      <c r="S109" s="184">
        <v>0.0</v>
      </c>
      <c r="T109" s="184">
        <v>2.0</v>
      </c>
      <c r="U109" s="184">
        <v>0.0</v>
      </c>
      <c r="V109" s="184">
        <v>2.0</v>
      </c>
      <c r="W109" s="184">
        <v>2.0</v>
      </c>
      <c r="X109" s="184">
        <v>1.0</v>
      </c>
      <c r="Y109" s="184">
        <v>2.0</v>
      </c>
      <c r="Z109" s="184">
        <v>1.0</v>
      </c>
      <c r="AA109" s="184">
        <v>3.0</v>
      </c>
      <c r="AB109" s="184">
        <v>6.0</v>
      </c>
      <c r="AC109" s="184">
        <v>1.0</v>
      </c>
      <c r="AD109" s="184">
        <v>2.0</v>
      </c>
      <c r="AE109" s="184">
        <v>0.0</v>
      </c>
      <c r="AF109" s="184">
        <v>0.0</v>
      </c>
      <c r="AG109" s="143">
        <f t="shared" si="37"/>
        <v>49</v>
      </c>
    </row>
    <row r="110">
      <c r="A110" s="163" t="s">
        <v>159</v>
      </c>
      <c r="B110" s="165">
        <v>4.0</v>
      </c>
      <c r="C110" s="165">
        <v>3.0</v>
      </c>
      <c r="D110" s="165">
        <v>4.0</v>
      </c>
      <c r="E110" s="165">
        <v>2.0</v>
      </c>
      <c r="F110" s="165">
        <v>1.0</v>
      </c>
      <c r="G110" s="165">
        <v>6.0</v>
      </c>
      <c r="H110" s="165">
        <v>4.0</v>
      </c>
      <c r="I110" s="165">
        <v>3.0</v>
      </c>
      <c r="J110" s="165">
        <v>0.0</v>
      </c>
      <c r="K110" s="165">
        <v>0.0</v>
      </c>
      <c r="L110" s="165">
        <v>1.0</v>
      </c>
      <c r="M110" s="165">
        <v>2.0</v>
      </c>
      <c r="N110" s="165">
        <v>4.0</v>
      </c>
      <c r="O110" s="165">
        <v>0.0</v>
      </c>
      <c r="P110" s="165">
        <v>2.0</v>
      </c>
      <c r="Q110" s="166">
        <v>3.0</v>
      </c>
      <c r="R110" s="165">
        <v>2.0</v>
      </c>
      <c r="S110" s="83">
        <v>1.0</v>
      </c>
      <c r="T110" s="83">
        <v>3.0</v>
      </c>
      <c r="U110" s="184">
        <v>1.0</v>
      </c>
      <c r="V110" s="184">
        <v>2.0</v>
      </c>
      <c r="W110" s="184">
        <v>0.0</v>
      </c>
      <c r="X110" s="184">
        <v>0.0</v>
      </c>
      <c r="Y110" s="184">
        <v>0.0</v>
      </c>
      <c r="Z110" s="184">
        <v>0.0</v>
      </c>
      <c r="AA110" s="184">
        <v>0.0</v>
      </c>
      <c r="AB110" s="184">
        <v>0.0</v>
      </c>
      <c r="AC110" s="184">
        <v>0.0</v>
      </c>
      <c r="AD110" s="184">
        <v>0.0</v>
      </c>
      <c r="AE110" s="184">
        <v>1.0</v>
      </c>
      <c r="AF110" s="184">
        <v>1.0</v>
      </c>
      <c r="AG110" s="143">
        <f t="shared" si="37"/>
        <v>50</v>
      </c>
    </row>
    <row r="111">
      <c r="A111" s="163" t="s">
        <v>160</v>
      </c>
      <c r="B111" s="184">
        <v>2.0</v>
      </c>
      <c r="C111" s="184">
        <v>2.0</v>
      </c>
      <c r="D111" s="184">
        <v>0.0</v>
      </c>
      <c r="E111" s="184">
        <v>0.0</v>
      </c>
      <c r="F111" s="184">
        <v>2.0</v>
      </c>
      <c r="G111" s="184">
        <v>1.0</v>
      </c>
      <c r="H111" s="184">
        <v>0.0</v>
      </c>
      <c r="I111" s="184">
        <v>4.0</v>
      </c>
      <c r="J111" s="184">
        <v>2.0</v>
      </c>
      <c r="K111" s="184">
        <v>0.0</v>
      </c>
      <c r="L111" s="184">
        <v>0.0</v>
      </c>
      <c r="M111" s="184">
        <v>0.0</v>
      </c>
      <c r="N111" s="184">
        <v>1.0</v>
      </c>
      <c r="O111" s="184">
        <v>1.0</v>
      </c>
      <c r="P111" s="184">
        <v>3.0</v>
      </c>
      <c r="Q111" s="165">
        <v>3.0</v>
      </c>
      <c r="R111" s="184">
        <v>3.0</v>
      </c>
      <c r="S111" s="184">
        <v>0.0</v>
      </c>
      <c r="T111" s="184">
        <v>0.0</v>
      </c>
      <c r="U111" s="184">
        <v>2.0</v>
      </c>
      <c r="V111" s="184">
        <v>4.0</v>
      </c>
      <c r="W111" s="184">
        <v>2.0</v>
      </c>
      <c r="X111" s="184">
        <v>0.0</v>
      </c>
      <c r="Y111" s="184">
        <v>1.0</v>
      </c>
      <c r="Z111" s="184">
        <v>0.0</v>
      </c>
      <c r="AA111" s="184">
        <v>1.0</v>
      </c>
      <c r="AB111" s="184">
        <v>1.0</v>
      </c>
      <c r="AC111" s="184">
        <v>0.0</v>
      </c>
      <c r="AD111" s="184">
        <v>3.0</v>
      </c>
      <c r="AE111" s="184">
        <v>1.0</v>
      </c>
      <c r="AF111" s="184">
        <v>0.0</v>
      </c>
      <c r="AG111" s="143">
        <f t="shared" si="37"/>
        <v>39</v>
      </c>
    </row>
    <row r="112">
      <c r="A112" s="163" t="s">
        <v>161</v>
      </c>
      <c r="B112" s="165">
        <v>1.0</v>
      </c>
      <c r="C112" s="165">
        <v>2.0</v>
      </c>
      <c r="D112" s="165">
        <v>1.0</v>
      </c>
      <c r="E112" s="165">
        <v>1.0</v>
      </c>
      <c r="F112" s="165">
        <v>1.0</v>
      </c>
      <c r="G112" s="165">
        <v>1.0</v>
      </c>
      <c r="H112" s="165">
        <v>3.0</v>
      </c>
      <c r="I112" s="165">
        <v>5.0</v>
      </c>
      <c r="J112" s="165">
        <v>0.0</v>
      </c>
      <c r="K112" s="165">
        <v>2.0</v>
      </c>
      <c r="L112" s="165">
        <v>6.0</v>
      </c>
      <c r="M112" s="165">
        <v>0.0</v>
      </c>
      <c r="N112" s="165">
        <v>1.0</v>
      </c>
      <c r="O112" s="165">
        <v>0.0</v>
      </c>
      <c r="P112" s="165">
        <v>0.0</v>
      </c>
      <c r="Q112" s="166">
        <v>0.0</v>
      </c>
      <c r="R112" s="165">
        <v>0.0</v>
      </c>
      <c r="S112" s="83">
        <v>2.0</v>
      </c>
      <c r="T112" s="83">
        <v>1.0</v>
      </c>
      <c r="U112" s="184">
        <v>1.0</v>
      </c>
      <c r="V112" s="184">
        <v>0.0</v>
      </c>
      <c r="W112" s="184">
        <v>1.0</v>
      </c>
      <c r="X112" s="184">
        <v>0.0</v>
      </c>
      <c r="Y112" s="184">
        <v>1.0</v>
      </c>
      <c r="Z112" s="184">
        <v>0.0</v>
      </c>
      <c r="AA112" s="184">
        <v>0.0</v>
      </c>
      <c r="AB112" s="184">
        <v>0.0</v>
      </c>
      <c r="AC112" s="184">
        <v>2.0</v>
      </c>
      <c r="AD112" s="184">
        <v>1.0</v>
      </c>
      <c r="AE112" s="184">
        <v>0.0</v>
      </c>
      <c r="AF112" s="184">
        <v>0.0</v>
      </c>
      <c r="AG112" s="143">
        <f t="shared" si="37"/>
        <v>33</v>
      </c>
    </row>
    <row r="113">
      <c r="A113" s="163" t="s">
        <v>162</v>
      </c>
      <c r="B113" s="184">
        <v>5.0</v>
      </c>
      <c r="C113" s="184">
        <v>4.0</v>
      </c>
      <c r="D113" s="184">
        <v>0.0</v>
      </c>
      <c r="E113" s="184">
        <v>0.0</v>
      </c>
      <c r="F113" s="184">
        <v>12.0</v>
      </c>
      <c r="G113" s="184">
        <v>12.0</v>
      </c>
      <c r="H113" s="184">
        <v>7.0</v>
      </c>
      <c r="I113" s="184">
        <v>5.0</v>
      </c>
      <c r="J113" s="184">
        <v>1.0</v>
      </c>
      <c r="K113" s="184">
        <v>3.0</v>
      </c>
      <c r="L113" s="184">
        <v>3.0</v>
      </c>
      <c r="M113" s="184">
        <v>7.0</v>
      </c>
      <c r="N113" s="184">
        <v>6.0</v>
      </c>
      <c r="O113" s="184">
        <v>9.0</v>
      </c>
      <c r="P113" s="184">
        <v>8.0</v>
      </c>
      <c r="Q113" s="165">
        <v>4.0</v>
      </c>
      <c r="R113" s="184">
        <v>3.0</v>
      </c>
      <c r="S113" s="184">
        <v>11.0</v>
      </c>
      <c r="T113" s="184">
        <v>6.0</v>
      </c>
      <c r="U113" s="184">
        <v>4.0</v>
      </c>
      <c r="V113" s="184">
        <v>6.0</v>
      </c>
      <c r="W113" s="184">
        <v>7.0</v>
      </c>
      <c r="X113" s="184">
        <v>10.0</v>
      </c>
      <c r="Y113" s="184">
        <v>2.0</v>
      </c>
      <c r="Z113" s="184">
        <v>4.0</v>
      </c>
      <c r="AA113" s="184">
        <v>7.0</v>
      </c>
      <c r="AB113" s="184">
        <v>7.0</v>
      </c>
      <c r="AC113" s="184">
        <v>4.0</v>
      </c>
      <c r="AD113" s="184">
        <v>6.0</v>
      </c>
      <c r="AE113" s="184">
        <v>8.0</v>
      </c>
      <c r="AF113" s="184">
        <v>1.0</v>
      </c>
      <c r="AG113" s="143">
        <f t="shared" si="37"/>
        <v>172</v>
      </c>
    </row>
    <row r="114">
      <c r="A114" s="163" t="s">
        <v>163</v>
      </c>
      <c r="B114" s="184">
        <v>11.0</v>
      </c>
      <c r="C114" s="184">
        <v>9.0</v>
      </c>
      <c r="D114" s="184">
        <v>8.0</v>
      </c>
      <c r="E114" s="184">
        <v>6.0</v>
      </c>
      <c r="F114" s="184">
        <v>5.0</v>
      </c>
      <c r="G114" s="184">
        <v>12.0</v>
      </c>
      <c r="H114" s="184">
        <v>10.0</v>
      </c>
      <c r="I114" s="184">
        <v>7.0</v>
      </c>
      <c r="J114" s="184">
        <v>0.0</v>
      </c>
      <c r="K114" s="184">
        <v>3.0</v>
      </c>
      <c r="L114" s="184">
        <v>7.0</v>
      </c>
      <c r="M114" s="184">
        <v>6.0</v>
      </c>
      <c r="N114" s="184">
        <v>8.0</v>
      </c>
      <c r="O114" s="184">
        <v>3.0</v>
      </c>
      <c r="P114" s="184">
        <v>3.0</v>
      </c>
      <c r="Q114" s="165">
        <v>6.0</v>
      </c>
      <c r="R114" s="184">
        <v>5.0</v>
      </c>
      <c r="S114" s="83">
        <v>1.0</v>
      </c>
      <c r="T114" s="83">
        <v>4.0</v>
      </c>
      <c r="U114" s="184">
        <v>5.0</v>
      </c>
      <c r="V114" s="184">
        <v>6.0</v>
      </c>
      <c r="W114" s="184">
        <v>4.0</v>
      </c>
      <c r="X114" s="184">
        <v>1.0</v>
      </c>
      <c r="Y114" s="184">
        <v>3.0</v>
      </c>
      <c r="Z114" s="184">
        <v>0.0</v>
      </c>
      <c r="AA114" s="184">
        <v>2.0</v>
      </c>
      <c r="AB114" s="184">
        <v>3.0</v>
      </c>
      <c r="AC114" s="184">
        <v>1.0</v>
      </c>
      <c r="AD114" s="184">
        <v>7.0</v>
      </c>
      <c r="AE114" s="184">
        <v>0.0</v>
      </c>
      <c r="AF114" s="184">
        <v>2.0</v>
      </c>
      <c r="AG114" s="143">
        <f t="shared" si="37"/>
        <v>148</v>
      </c>
    </row>
    <row r="115">
      <c r="A115" s="169" t="s">
        <v>130</v>
      </c>
      <c r="B115" s="185">
        <f t="shared" ref="B115:AF115" si="38">SUM(B107:B114)</f>
        <v>36</v>
      </c>
      <c r="C115" s="185">
        <f t="shared" si="38"/>
        <v>44</v>
      </c>
      <c r="D115" s="185">
        <f t="shared" si="38"/>
        <v>24</v>
      </c>
      <c r="E115" s="185">
        <f t="shared" si="38"/>
        <v>26</v>
      </c>
      <c r="F115" s="185">
        <f t="shared" si="38"/>
        <v>31</v>
      </c>
      <c r="G115" s="185">
        <f t="shared" si="38"/>
        <v>55</v>
      </c>
      <c r="H115" s="185">
        <f t="shared" si="38"/>
        <v>39</v>
      </c>
      <c r="I115" s="185">
        <f t="shared" si="38"/>
        <v>32</v>
      </c>
      <c r="J115" s="185">
        <f t="shared" si="38"/>
        <v>8</v>
      </c>
      <c r="K115" s="185">
        <f t="shared" si="38"/>
        <v>18</v>
      </c>
      <c r="L115" s="185">
        <f t="shared" si="38"/>
        <v>30</v>
      </c>
      <c r="M115" s="185">
        <f t="shared" si="38"/>
        <v>26</v>
      </c>
      <c r="N115" s="185">
        <f t="shared" si="38"/>
        <v>38</v>
      </c>
      <c r="O115" s="185">
        <f t="shared" si="38"/>
        <v>27</v>
      </c>
      <c r="P115" s="185">
        <f t="shared" si="38"/>
        <v>30</v>
      </c>
      <c r="Q115" s="185">
        <f t="shared" si="38"/>
        <v>23</v>
      </c>
      <c r="R115" s="185">
        <f t="shared" si="38"/>
        <v>24</v>
      </c>
      <c r="S115" s="185">
        <f t="shared" si="38"/>
        <v>20</v>
      </c>
      <c r="T115" s="185">
        <f t="shared" si="38"/>
        <v>27</v>
      </c>
      <c r="U115" s="185">
        <f t="shared" si="38"/>
        <v>22</v>
      </c>
      <c r="V115" s="185">
        <f t="shared" si="38"/>
        <v>29</v>
      </c>
      <c r="W115" s="185">
        <f t="shared" si="38"/>
        <v>25</v>
      </c>
      <c r="X115" s="185">
        <f t="shared" si="38"/>
        <v>17</v>
      </c>
      <c r="Y115" s="185">
        <f t="shared" si="38"/>
        <v>14</v>
      </c>
      <c r="Z115" s="185">
        <f t="shared" si="38"/>
        <v>10</v>
      </c>
      <c r="AA115" s="185">
        <f t="shared" si="38"/>
        <v>24</v>
      </c>
      <c r="AB115" s="185">
        <f t="shared" si="38"/>
        <v>31</v>
      </c>
      <c r="AC115" s="185">
        <f t="shared" si="38"/>
        <v>14</v>
      </c>
      <c r="AD115" s="185">
        <f t="shared" si="38"/>
        <v>32</v>
      </c>
      <c r="AE115" s="185">
        <f t="shared" si="38"/>
        <v>16</v>
      </c>
      <c r="AF115" s="185">
        <f t="shared" si="38"/>
        <v>7</v>
      </c>
      <c r="AG115" s="143">
        <f t="shared" si="37"/>
        <v>799</v>
      </c>
    </row>
    <row r="116">
      <c r="A116" s="177"/>
      <c r="AG116" s="143"/>
    </row>
    <row r="117">
      <c r="A117" s="163" t="s">
        <v>164</v>
      </c>
      <c r="B117" s="164">
        <v>0.0</v>
      </c>
      <c r="C117" s="164">
        <v>0.0</v>
      </c>
      <c r="D117" s="164">
        <v>0.0</v>
      </c>
      <c r="E117" s="164">
        <v>0.0</v>
      </c>
      <c r="F117" s="164">
        <v>0.0</v>
      </c>
      <c r="G117" s="164">
        <v>0.0</v>
      </c>
      <c r="H117" s="164">
        <v>0.0</v>
      </c>
      <c r="I117" s="164">
        <v>0.0</v>
      </c>
      <c r="J117" s="164">
        <v>0.0</v>
      </c>
      <c r="K117" s="164">
        <v>0.0</v>
      </c>
      <c r="L117" s="164">
        <v>0.0</v>
      </c>
      <c r="M117" s="164">
        <v>0.0</v>
      </c>
      <c r="N117" s="164">
        <v>0.0</v>
      </c>
      <c r="O117" s="164">
        <v>0.0</v>
      </c>
      <c r="P117" s="164">
        <v>0.0</v>
      </c>
      <c r="Q117" s="164">
        <v>1.0</v>
      </c>
      <c r="R117" s="164">
        <v>0.0</v>
      </c>
      <c r="S117" s="164">
        <v>2.0</v>
      </c>
      <c r="T117" s="164">
        <v>0.0</v>
      </c>
      <c r="U117" s="164">
        <v>1.0</v>
      </c>
      <c r="V117" s="164">
        <v>2.0</v>
      </c>
      <c r="W117" s="164">
        <v>0.0</v>
      </c>
      <c r="X117" s="164">
        <v>0.0</v>
      </c>
      <c r="Y117" s="164">
        <v>0.0</v>
      </c>
      <c r="Z117" s="164">
        <v>0.0</v>
      </c>
      <c r="AA117" s="164">
        <v>1.0</v>
      </c>
      <c r="AB117" s="164">
        <v>2.0</v>
      </c>
      <c r="AC117" s="164">
        <v>1.0</v>
      </c>
      <c r="AD117" s="164">
        <v>1.0</v>
      </c>
      <c r="AE117" s="164">
        <v>0.0</v>
      </c>
      <c r="AF117" s="164">
        <v>1.0</v>
      </c>
      <c r="AG117" s="143">
        <f t="shared" ref="AG117:AG125" si="39">sum(B117:AF117)</f>
        <v>12</v>
      </c>
    </row>
    <row r="118">
      <c r="A118" s="163" t="s">
        <v>165</v>
      </c>
      <c r="B118" s="164">
        <v>0.0</v>
      </c>
      <c r="C118" s="164">
        <v>0.0</v>
      </c>
      <c r="D118" s="164">
        <v>0.0</v>
      </c>
      <c r="E118" s="164">
        <v>0.0</v>
      </c>
      <c r="F118" s="164">
        <v>0.0</v>
      </c>
      <c r="G118" s="164">
        <v>0.0</v>
      </c>
      <c r="H118" s="164">
        <v>0.0</v>
      </c>
      <c r="I118" s="164">
        <v>0.0</v>
      </c>
      <c r="J118" s="164">
        <v>0.0</v>
      </c>
      <c r="K118" s="164">
        <v>0.0</v>
      </c>
      <c r="L118" s="164">
        <v>0.0</v>
      </c>
      <c r="M118" s="164">
        <v>0.0</v>
      </c>
      <c r="N118" s="164">
        <v>0.0</v>
      </c>
      <c r="O118" s="164">
        <v>0.0</v>
      </c>
      <c r="P118" s="164">
        <v>1.0</v>
      </c>
      <c r="Q118" s="164">
        <v>0.0</v>
      </c>
      <c r="R118" s="164">
        <v>2.0</v>
      </c>
      <c r="S118" s="164">
        <v>2.0</v>
      </c>
      <c r="T118" s="164">
        <v>0.0</v>
      </c>
      <c r="U118" s="164">
        <v>0.0</v>
      </c>
      <c r="V118" s="164">
        <v>1.0</v>
      </c>
      <c r="W118" s="164">
        <v>1.0</v>
      </c>
      <c r="X118" s="164">
        <v>0.0</v>
      </c>
      <c r="Y118" s="164">
        <v>0.0</v>
      </c>
      <c r="Z118" s="164">
        <v>0.0</v>
      </c>
      <c r="AA118" s="164">
        <v>2.0</v>
      </c>
      <c r="AB118" s="164">
        <v>1.0</v>
      </c>
      <c r="AC118" s="164">
        <v>1.0</v>
      </c>
      <c r="AD118" s="164">
        <v>0.0</v>
      </c>
      <c r="AE118" s="164">
        <v>0.0</v>
      </c>
      <c r="AF118" s="164">
        <v>0.0</v>
      </c>
      <c r="AG118" s="143">
        <f t="shared" si="39"/>
        <v>11</v>
      </c>
    </row>
    <row r="119">
      <c r="A119" s="163" t="s">
        <v>166</v>
      </c>
      <c r="B119" s="164">
        <v>0.0</v>
      </c>
      <c r="C119" s="164">
        <v>0.0</v>
      </c>
      <c r="D119" s="164">
        <v>0.0</v>
      </c>
      <c r="E119" s="164">
        <v>0.0</v>
      </c>
      <c r="F119" s="164">
        <v>0.0</v>
      </c>
      <c r="G119" s="164">
        <v>0.0</v>
      </c>
      <c r="H119" s="164">
        <v>0.0</v>
      </c>
      <c r="I119" s="164">
        <v>0.0</v>
      </c>
      <c r="J119" s="164">
        <v>0.0</v>
      </c>
      <c r="K119" s="164">
        <v>0.0</v>
      </c>
      <c r="L119" s="164">
        <v>0.0</v>
      </c>
      <c r="M119" s="164">
        <v>0.0</v>
      </c>
      <c r="N119" s="164">
        <v>0.0</v>
      </c>
      <c r="O119" s="164">
        <v>0.0</v>
      </c>
      <c r="P119" s="164">
        <v>0.0</v>
      </c>
      <c r="Q119" s="164">
        <v>0.0</v>
      </c>
      <c r="R119" s="164">
        <v>0.0</v>
      </c>
      <c r="S119" s="164">
        <v>3.0</v>
      </c>
      <c r="T119" s="164">
        <v>1.0</v>
      </c>
      <c r="U119" s="164">
        <v>0.0</v>
      </c>
      <c r="V119" s="164">
        <v>2.0</v>
      </c>
      <c r="W119" s="164">
        <v>0.0</v>
      </c>
      <c r="X119" s="164">
        <v>0.0</v>
      </c>
      <c r="Y119" s="164">
        <v>0.0</v>
      </c>
      <c r="Z119" s="164">
        <v>0.0</v>
      </c>
      <c r="AA119" s="164">
        <v>0.0</v>
      </c>
      <c r="AB119" s="164">
        <v>2.0</v>
      </c>
      <c r="AC119" s="164">
        <v>0.0</v>
      </c>
      <c r="AD119" s="164">
        <v>1.0</v>
      </c>
      <c r="AE119" s="164">
        <v>0.0</v>
      </c>
      <c r="AF119" s="164">
        <v>0.0</v>
      </c>
      <c r="AG119" s="143">
        <f t="shared" si="39"/>
        <v>9</v>
      </c>
    </row>
    <row r="120">
      <c r="A120" s="163" t="s">
        <v>167</v>
      </c>
      <c r="B120" s="164">
        <v>0.0</v>
      </c>
      <c r="C120" s="164">
        <v>0.0</v>
      </c>
      <c r="D120" s="164">
        <v>0.0</v>
      </c>
      <c r="E120" s="164">
        <v>0.0</v>
      </c>
      <c r="F120" s="164">
        <v>0.0</v>
      </c>
      <c r="G120" s="164">
        <v>0.0</v>
      </c>
      <c r="H120" s="164">
        <v>0.0</v>
      </c>
      <c r="I120" s="164">
        <v>0.0</v>
      </c>
      <c r="J120" s="164">
        <v>0.0</v>
      </c>
      <c r="K120" s="164">
        <v>0.0</v>
      </c>
      <c r="L120" s="164">
        <v>0.0</v>
      </c>
      <c r="M120" s="164">
        <v>0.0</v>
      </c>
      <c r="N120" s="164">
        <v>0.0</v>
      </c>
      <c r="O120" s="164">
        <v>0.0</v>
      </c>
      <c r="P120" s="164">
        <v>0.0</v>
      </c>
      <c r="Q120" s="164">
        <v>0.0</v>
      </c>
      <c r="R120" s="164">
        <v>0.0</v>
      </c>
      <c r="S120" s="164">
        <v>0.0</v>
      </c>
      <c r="T120" s="164">
        <v>1.0</v>
      </c>
      <c r="U120" s="164">
        <v>1.0</v>
      </c>
      <c r="V120" s="164">
        <v>0.0</v>
      </c>
      <c r="W120" s="164">
        <v>1.0</v>
      </c>
      <c r="X120" s="164">
        <v>0.0</v>
      </c>
      <c r="Y120" s="164">
        <v>0.0</v>
      </c>
      <c r="Z120" s="164">
        <v>0.0</v>
      </c>
      <c r="AA120" s="164">
        <v>0.0</v>
      </c>
      <c r="AB120" s="164">
        <v>1.0</v>
      </c>
      <c r="AC120" s="164">
        <v>0.0</v>
      </c>
      <c r="AD120" s="164">
        <v>0.0</v>
      </c>
      <c r="AE120" s="164">
        <v>0.0</v>
      </c>
      <c r="AF120" s="164">
        <v>0.0</v>
      </c>
      <c r="AG120" s="143">
        <f t="shared" si="39"/>
        <v>4</v>
      </c>
    </row>
    <row r="121">
      <c r="A121" s="163" t="s">
        <v>168</v>
      </c>
      <c r="B121" s="164">
        <v>0.0</v>
      </c>
      <c r="C121" s="164">
        <v>0.0</v>
      </c>
      <c r="D121" s="164">
        <v>0.0</v>
      </c>
      <c r="E121" s="164">
        <v>0.0</v>
      </c>
      <c r="F121" s="164">
        <v>0.0</v>
      </c>
      <c r="G121" s="164">
        <v>0.0</v>
      </c>
      <c r="H121" s="164">
        <v>0.0</v>
      </c>
      <c r="I121" s="164">
        <v>0.0</v>
      </c>
      <c r="J121" s="164">
        <v>0.0</v>
      </c>
      <c r="K121" s="164">
        <v>0.0</v>
      </c>
      <c r="L121" s="164">
        <v>0.0</v>
      </c>
      <c r="M121" s="164">
        <v>0.0</v>
      </c>
      <c r="N121" s="164">
        <v>0.0</v>
      </c>
      <c r="O121" s="164">
        <v>0.0</v>
      </c>
      <c r="P121" s="164">
        <v>0.0</v>
      </c>
      <c r="Q121" s="164">
        <v>0.0</v>
      </c>
      <c r="R121" s="164">
        <v>0.0</v>
      </c>
      <c r="S121" s="164">
        <v>1.0</v>
      </c>
      <c r="T121" s="164">
        <v>1.0</v>
      </c>
      <c r="U121" s="164">
        <v>0.0</v>
      </c>
      <c r="V121" s="164">
        <v>0.0</v>
      </c>
      <c r="W121" s="164">
        <v>0.0</v>
      </c>
      <c r="X121" s="164">
        <v>0.0</v>
      </c>
      <c r="Y121" s="164">
        <v>0.0</v>
      </c>
      <c r="Z121" s="164">
        <v>0.0</v>
      </c>
      <c r="AA121" s="164">
        <v>0.0</v>
      </c>
      <c r="AB121" s="164">
        <v>0.0</v>
      </c>
      <c r="AC121" s="164">
        <v>0.0</v>
      </c>
      <c r="AD121" s="164">
        <v>1.0</v>
      </c>
      <c r="AE121" s="164">
        <v>0.0</v>
      </c>
      <c r="AF121" s="164">
        <v>0.0</v>
      </c>
      <c r="AG121" s="143">
        <f t="shared" si="39"/>
        <v>3</v>
      </c>
    </row>
    <row r="122">
      <c r="A122" s="163" t="s">
        <v>169</v>
      </c>
      <c r="B122" s="164">
        <v>0.0</v>
      </c>
      <c r="C122" s="164">
        <v>0.0</v>
      </c>
      <c r="D122" s="164">
        <v>0.0</v>
      </c>
      <c r="E122" s="164">
        <v>0.0</v>
      </c>
      <c r="F122" s="164">
        <v>0.0</v>
      </c>
      <c r="G122" s="164">
        <v>0.0</v>
      </c>
      <c r="H122" s="164">
        <v>0.0</v>
      </c>
      <c r="I122" s="164">
        <v>0.0</v>
      </c>
      <c r="J122" s="164">
        <v>0.0</v>
      </c>
      <c r="K122" s="164">
        <v>0.0</v>
      </c>
      <c r="L122" s="164">
        <v>0.0</v>
      </c>
      <c r="M122" s="164">
        <v>0.0</v>
      </c>
      <c r="N122" s="164">
        <v>0.0</v>
      </c>
      <c r="O122" s="164">
        <v>0.0</v>
      </c>
      <c r="P122" s="164">
        <v>0.0</v>
      </c>
      <c r="Q122" s="164">
        <v>0.0</v>
      </c>
      <c r="R122" s="164">
        <v>0.0</v>
      </c>
      <c r="S122" s="164">
        <v>0.0</v>
      </c>
      <c r="T122" s="164">
        <v>1.0</v>
      </c>
      <c r="U122" s="164">
        <v>0.0</v>
      </c>
      <c r="V122" s="164">
        <v>0.0</v>
      </c>
      <c r="W122" s="164">
        <v>0.0</v>
      </c>
      <c r="X122" s="164">
        <v>0.0</v>
      </c>
      <c r="Y122" s="164">
        <v>0.0</v>
      </c>
      <c r="Z122" s="164">
        <v>0.0</v>
      </c>
      <c r="AA122" s="164">
        <v>0.0</v>
      </c>
      <c r="AB122" s="164">
        <v>0.0</v>
      </c>
      <c r="AC122" s="164">
        <v>0.0</v>
      </c>
      <c r="AD122" s="164">
        <v>0.0</v>
      </c>
      <c r="AE122" s="164">
        <v>0.0</v>
      </c>
      <c r="AF122" s="164">
        <v>0.0</v>
      </c>
      <c r="AG122" s="143">
        <f t="shared" si="39"/>
        <v>1</v>
      </c>
    </row>
    <row r="123">
      <c r="A123" s="163" t="s">
        <v>170</v>
      </c>
      <c r="B123" s="164">
        <v>0.0</v>
      </c>
      <c r="C123" s="164">
        <v>0.0</v>
      </c>
      <c r="D123" s="164">
        <v>0.0</v>
      </c>
      <c r="E123" s="164">
        <v>0.0</v>
      </c>
      <c r="F123" s="164">
        <v>0.0</v>
      </c>
      <c r="G123" s="164">
        <v>0.0</v>
      </c>
      <c r="H123" s="164">
        <v>0.0</v>
      </c>
      <c r="I123" s="164">
        <v>0.0</v>
      </c>
      <c r="J123" s="164">
        <v>0.0</v>
      </c>
      <c r="K123" s="164">
        <v>0.0</v>
      </c>
      <c r="L123" s="164">
        <v>0.0</v>
      </c>
      <c r="M123" s="164">
        <v>0.0</v>
      </c>
      <c r="N123" s="164">
        <v>0.0</v>
      </c>
      <c r="O123" s="164">
        <v>0.0</v>
      </c>
      <c r="P123" s="164">
        <v>0.0</v>
      </c>
      <c r="Q123" s="164">
        <v>0.0</v>
      </c>
      <c r="R123" s="164">
        <v>0.0</v>
      </c>
      <c r="S123" s="164">
        <v>2.0</v>
      </c>
      <c r="T123" s="164">
        <v>3.0</v>
      </c>
      <c r="U123" s="164">
        <v>0.0</v>
      </c>
      <c r="V123" s="164">
        <v>1.0</v>
      </c>
      <c r="W123" s="164">
        <v>2.0</v>
      </c>
      <c r="X123" s="164">
        <v>0.0</v>
      </c>
      <c r="Y123" s="164">
        <v>0.0</v>
      </c>
      <c r="Z123" s="164">
        <v>0.0</v>
      </c>
      <c r="AA123" s="164">
        <v>0.0</v>
      </c>
      <c r="AB123" s="164">
        <v>0.0</v>
      </c>
      <c r="AC123" s="164">
        <v>1.0</v>
      </c>
      <c r="AD123" s="164">
        <v>0.0</v>
      </c>
      <c r="AE123" s="164">
        <v>0.0</v>
      </c>
      <c r="AF123" s="164">
        <v>1.0</v>
      </c>
      <c r="AG123" s="143">
        <f t="shared" si="39"/>
        <v>10</v>
      </c>
    </row>
    <row r="124">
      <c r="A124" s="163" t="s">
        <v>171</v>
      </c>
      <c r="B124" s="164">
        <v>0.0</v>
      </c>
      <c r="C124" s="164">
        <v>0.0</v>
      </c>
      <c r="D124" s="164">
        <v>0.0</v>
      </c>
      <c r="E124" s="164">
        <v>0.0</v>
      </c>
      <c r="F124" s="164">
        <v>0.0</v>
      </c>
      <c r="G124" s="164">
        <v>0.0</v>
      </c>
      <c r="H124" s="164">
        <v>0.0</v>
      </c>
      <c r="I124" s="164">
        <v>0.0</v>
      </c>
      <c r="J124" s="164">
        <v>0.0</v>
      </c>
      <c r="K124" s="164">
        <v>0.0</v>
      </c>
      <c r="L124" s="164">
        <v>0.0</v>
      </c>
      <c r="M124" s="164">
        <v>0.0</v>
      </c>
      <c r="N124" s="164">
        <v>0.0</v>
      </c>
      <c r="O124" s="164">
        <v>0.0</v>
      </c>
      <c r="P124" s="164">
        <v>0.0</v>
      </c>
      <c r="Q124" s="164">
        <v>1.0</v>
      </c>
      <c r="R124" s="164">
        <v>0.0</v>
      </c>
      <c r="S124" s="164">
        <v>0.0</v>
      </c>
      <c r="T124" s="164">
        <v>0.0</v>
      </c>
      <c r="U124" s="164">
        <v>0.0</v>
      </c>
      <c r="V124" s="164">
        <v>0.0</v>
      </c>
      <c r="W124" s="164">
        <v>0.0</v>
      </c>
      <c r="X124" s="164">
        <v>0.0</v>
      </c>
      <c r="Y124" s="164">
        <v>0.0</v>
      </c>
      <c r="Z124" s="164">
        <v>0.0</v>
      </c>
      <c r="AA124" s="164">
        <v>0.0</v>
      </c>
      <c r="AB124" s="164">
        <v>0.0</v>
      </c>
      <c r="AC124" s="164">
        <v>0.0</v>
      </c>
      <c r="AD124" s="164">
        <v>0.0</v>
      </c>
      <c r="AE124" s="164">
        <v>0.0</v>
      </c>
      <c r="AF124" s="164">
        <v>0.0</v>
      </c>
      <c r="AG124" s="143">
        <f t="shared" si="39"/>
        <v>1</v>
      </c>
    </row>
    <row r="125">
      <c r="A125" s="169" t="s">
        <v>139</v>
      </c>
      <c r="B125" s="185">
        <f t="shared" ref="B125:AF125" si="40">SUM(B117:B124)</f>
        <v>0</v>
      </c>
      <c r="C125" s="185">
        <f t="shared" si="40"/>
        <v>0</v>
      </c>
      <c r="D125" s="185">
        <f t="shared" si="40"/>
        <v>0</v>
      </c>
      <c r="E125" s="185">
        <f t="shared" si="40"/>
        <v>0</v>
      </c>
      <c r="F125" s="185">
        <f t="shared" si="40"/>
        <v>0</v>
      </c>
      <c r="G125" s="185">
        <f t="shared" si="40"/>
        <v>0</v>
      </c>
      <c r="H125" s="185">
        <f t="shared" si="40"/>
        <v>0</v>
      </c>
      <c r="I125" s="185">
        <f t="shared" si="40"/>
        <v>0</v>
      </c>
      <c r="J125" s="185">
        <f t="shared" si="40"/>
        <v>0</v>
      </c>
      <c r="K125" s="185">
        <f t="shared" si="40"/>
        <v>0</v>
      </c>
      <c r="L125" s="185">
        <f t="shared" si="40"/>
        <v>0</v>
      </c>
      <c r="M125" s="185">
        <f t="shared" si="40"/>
        <v>0</v>
      </c>
      <c r="N125" s="185">
        <f t="shared" si="40"/>
        <v>0</v>
      </c>
      <c r="O125" s="185">
        <f t="shared" si="40"/>
        <v>0</v>
      </c>
      <c r="P125" s="185">
        <f t="shared" si="40"/>
        <v>1</v>
      </c>
      <c r="Q125" s="185">
        <f t="shared" si="40"/>
        <v>2</v>
      </c>
      <c r="R125" s="185">
        <f t="shared" si="40"/>
        <v>2</v>
      </c>
      <c r="S125" s="185">
        <f t="shared" si="40"/>
        <v>10</v>
      </c>
      <c r="T125" s="185">
        <f t="shared" si="40"/>
        <v>7</v>
      </c>
      <c r="U125" s="185">
        <f t="shared" si="40"/>
        <v>2</v>
      </c>
      <c r="V125" s="185">
        <f t="shared" si="40"/>
        <v>6</v>
      </c>
      <c r="W125" s="185">
        <f t="shared" si="40"/>
        <v>4</v>
      </c>
      <c r="X125" s="185">
        <f t="shared" si="40"/>
        <v>0</v>
      </c>
      <c r="Y125" s="185">
        <f t="shared" si="40"/>
        <v>0</v>
      </c>
      <c r="Z125" s="185">
        <f t="shared" si="40"/>
        <v>0</v>
      </c>
      <c r="AA125" s="185">
        <f t="shared" si="40"/>
        <v>3</v>
      </c>
      <c r="AB125" s="185">
        <f t="shared" si="40"/>
        <v>6</v>
      </c>
      <c r="AC125" s="185">
        <f t="shared" si="40"/>
        <v>3</v>
      </c>
      <c r="AD125" s="185">
        <f t="shared" si="40"/>
        <v>3</v>
      </c>
      <c r="AE125" s="185">
        <f t="shared" si="40"/>
        <v>0</v>
      </c>
      <c r="AF125" s="185">
        <f t="shared" si="40"/>
        <v>2</v>
      </c>
      <c r="AG125" s="143">
        <f t="shared" si="39"/>
        <v>51</v>
      </c>
    </row>
    <row r="126">
      <c r="A126" s="177"/>
      <c r="AG126" s="143"/>
    </row>
    <row r="127">
      <c r="A127" s="155" t="s">
        <v>172</v>
      </c>
      <c r="B127" s="165"/>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143"/>
    </row>
    <row r="128">
      <c r="A128" s="163" t="s">
        <v>173</v>
      </c>
      <c r="B128" s="188">
        <f t="shared" ref="B128:AF128" si="41">B54-(B221+B226+B267+B317+B326)</f>
        <v>-1</v>
      </c>
      <c r="C128" s="188">
        <f t="shared" si="41"/>
        <v>0</v>
      </c>
      <c r="D128" s="188">
        <f t="shared" si="41"/>
        <v>-7</v>
      </c>
      <c r="E128" s="188">
        <f t="shared" si="41"/>
        <v>-3</v>
      </c>
      <c r="F128" s="188">
        <f t="shared" si="41"/>
        <v>-14</v>
      </c>
      <c r="G128" s="188">
        <f t="shared" si="41"/>
        <v>0</v>
      </c>
      <c r="H128" s="188">
        <f t="shared" si="41"/>
        <v>0</v>
      </c>
      <c r="I128" s="188">
        <f t="shared" si="41"/>
        <v>-11</v>
      </c>
      <c r="J128" s="188">
        <f t="shared" si="41"/>
        <v>-4</v>
      </c>
      <c r="K128" s="188">
        <f t="shared" si="41"/>
        <v>-5</v>
      </c>
      <c r="L128" s="188">
        <f t="shared" si="41"/>
        <v>-15</v>
      </c>
      <c r="M128" s="188">
        <f t="shared" si="41"/>
        <v>-4</v>
      </c>
      <c r="N128" s="188">
        <f t="shared" si="41"/>
        <v>0</v>
      </c>
      <c r="O128" s="189">
        <f t="shared" si="41"/>
        <v>0</v>
      </c>
      <c r="P128" s="188">
        <f t="shared" si="41"/>
        <v>-16</v>
      </c>
      <c r="Q128" s="188">
        <f t="shared" si="41"/>
        <v>-2</v>
      </c>
      <c r="R128" s="188">
        <f t="shared" si="41"/>
        <v>-3</v>
      </c>
      <c r="S128" s="188">
        <f t="shared" si="41"/>
        <v>-1</v>
      </c>
      <c r="T128" s="188">
        <f t="shared" si="41"/>
        <v>-5</v>
      </c>
      <c r="U128" s="188">
        <f t="shared" si="41"/>
        <v>-1</v>
      </c>
      <c r="V128" s="188">
        <f t="shared" si="41"/>
        <v>-2</v>
      </c>
      <c r="W128" s="188">
        <f t="shared" si="41"/>
        <v>-6</v>
      </c>
      <c r="X128" s="188">
        <f t="shared" si="41"/>
        <v>-4</v>
      </c>
      <c r="Y128" s="188">
        <f t="shared" si="41"/>
        <v>4</v>
      </c>
      <c r="Z128" s="189">
        <f t="shared" si="41"/>
        <v>7</v>
      </c>
      <c r="AA128" s="188">
        <f t="shared" si="41"/>
        <v>8</v>
      </c>
      <c r="AB128" s="188">
        <f t="shared" si="41"/>
        <v>6</v>
      </c>
      <c r="AC128" s="189">
        <f t="shared" si="41"/>
        <v>1</v>
      </c>
      <c r="AD128" s="189">
        <f t="shared" si="41"/>
        <v>4</v>
      </c>
      <c r="AE128" s="189">
        <f t="shared" si="41"/>
        <v>1</v>
      </c>
      <c r="AF128" s="189">
        <f t="shared" si="41"/>
        <v>6</v>
      </c>
      <c r="AG128" s="143">
        <f t="shared" ref="AG128:AG132" si="43">sum(B128:AF128)</f>
        <v>-67</v>
      </c>
    </row>
    <row r="129">
      <c r="A129" s="163" t="s">
        <v>174</v>
      </c>
      <c r="B129" s="188">
        <f t="shared" ref="B129:AF129" si="42">B55-(B222+B227+B268+B318+B327)</f>
        <v>17</v>
      </c>
      <c r="C129" s="188">
        <f t="shared" si="42"/>
        <v>20</v>
      </c>
      <c r="D129" s="188">
        <f t="shared" si="42"/>
        <v>24</v>
      </c>
      <c r="E129" s="188">
        <f t="shared" si="42"/>
        <v>27</v>
      </c>
      <c r="F129" s="188">
        <f t="shared" si="42"/>
        <v>21</v>
      </c>
      <c r="G129" s="188">
        <f t="shared" si="42"/>
        <v>19</v>
      </c>
      <c r="H129" s="188">
        <f t="shared" si="42"/>
        <v>15</v>
      </c>
      <c r="I129" s="188">
        <f t="shared" si="42"/>
        <v>8</v>
      </c>
      <c r="J129" s="188">
        <f t="shared" si="42"/>
        <v>9</v>
      </c>
      <c r="K129" s="188">
        <f t="shared" si="42"/>
        <v>6</v>
      </c>
      <c r="L129" s="188">
        <f t="shared" si="42"/>
        <v>5</v>
      </c>
      <c r="M129" s="188">
        <f t="shared" si="42"/>
        <v>18</v>
      </c>
      <c r="N129" s="188">
        <f t="shared" si="42"/>
        <v>10</v>
      </c>
      <c r="O129" s="189">
        <f t="shared" si="42"/>
        <v>6</v>
      </c>
      <c r="P129" s="188">
        <f t="shared" si="42"/>
        <v>3</v>
      </c>
      <c r="Q129" s="188">
        <f t="shared" si="42"/>
        <v>12</v>
      </c>
      <c r="R129" s="188">
        <f t="shared" si="42"/>
        <v>7</v>
      </c>
      <c r="S129" s="188">
        <f t="shared" si="42"/>
        <v>5</v>
      </c>
      <c r="T129" s="188">
        <f t="shared" si="42"/>
        <v>20</v>
      </c>
      <c r="U129" s="188">
        <f t="shared" si="42"/>
        <v>17</v>
      </c>
      <c r="V129" s="188">
        <f t="shared" si="42"/>
        <v>6</v>
      </c>
      <c r="W129" s="188">
        <f t="shared" si="42"/>
        <v>8</v>
      </c>
      <c r="X129" s="188">
        <f t="shared" si="42"/>
        <v>2</v>
      </c>
      <c r="Y129" s="188">
        <f t="shared" si="42"/>
        <v>-1</v>
      </c>
      <c r="Z129" s="189">
        <f t="shared" si="42"/>
        <v>4</v>
      </c>
      <c r="AA129" s="188">
        <f t="shared" si="42"/>
        <v>8</v>
      </c>
      <c r="AB129" s="188">
        <f t="shared" si="42"/>
        <v>2</v>
      </c>
      <c r="AC129" s="189">
        <f t="shared" si="42"/>
        <v>6</v>
      </c>
      <c r="AD129" s="189">
        <f t="shared" si="42"/>
        <v>-3</v>
      </c>
      <c r="AE129" s="189">
        <f t="shared" si="42"/>
        <v>-3</v>
      </c>
      <c r="AF129" s="189">
        <f t="shared" si="42"/>
        <v>-2</v>
      </c>
      <c r="AG129" s="143">
        <f t="shared" si="43"/>
        <v>296</v>
      </c>
    </row>
    <row r="130">
      <c r="A130" s="163" t="s">
        <v>175</v>
      </c>
      <c r="B130" s="188">
        <f t="shared" ref="B130:AF130" si="44">B56-(B223+B228+B269+B319+B328)</f>
        <v>0</v>
      </c>
      <c r="C130" s="188">
        <f t="shared" si="44"/>
        <v>0</v>
      </c>
      <c r="D130" s="188">
        <f t="shared" si="44"/>
        <v>-20</v>
      </c>
      <c r="E130" s="188">
        <f t="shared" si="44"/>
        <v>-6</v>
      </c>
      <c r="F130" s="188">
        <f t="shared" si="44"/>
        <v>-21</v>
      </c>
      <c r="G130" s="188">
        <f t="shared" si="44"/>
        <v>-1</v>
      </c>
      <c r="H130" s="188">
        <f t="shared" si="44"/>
        <v>0</v>
      </c>
      <c r="I130" s="188">
        <f t="shared" si="44"/>
        <v>2</v>
      </c>
      <c r="J130" s="188">
        <f t="shared" si="44"/>
        <v>29</v>
      </c>
      <c r="K130" s="188">
        <f t="shared" si="44"/>
        <v>23</v>
      </c>
      <c r="L130" s="188">
        <f t="shared" si="44"/>
        <v>29</v>
      </c>
      <c r="M130" s="188">
        <f t="shared" si="44"/>
        <v>41</v>
      </c>
      <c r="N130" s="188">
        <f t="shared" si="44"/>
        <v>41</v>
      </c>
      <c r="O130" s="189">
        <f t="shared" si="44"/>
        <v>40</v>
      </c>
      <c r="P130" s="188">
        <f t="shared" si="44"/>
        <v>25</v>
      </c>
      <c r="Q130" s="188">
        <f t="shared" si="44"/>
        <v>32</v>
      </c>
      <c r="R130" s="188">
        <f t="shared" si="44"/>
        <v>30</v>
      </c>
      <c r="S130" s="188">
        <f t="shared" si="44"/>
        <v>34</v>
      </c>
      <c r="T130" s="188">
        <f t="shared" si="44"/>
        <v>47</v>
      </c>
      <c r="U130" s="188">
        <f t="shared" si="44"/>
        <v>71</v>
      </c>
      <c r="V130" s="188">
        <f t="shared" si="44"/>
        <v>24</v>
      </c>
      <c r="W130" s="188">
        <f t="shared" si="44"/>
        <v>30</v>
      </c>
      <c r="X130" s="188">
        <f t="shared" si="44"/>
        <v>44</v>
      </c>
      <c r="Y130" s="188">
        <f t="shared" si="44"/>
        <v>25</v>
      </c>
      <c r="Z130" s="188">
        <f t="shared" si="44"/>
        <v>24</v>
      </c>
      <c r="AA130" s="188">
        <f t="shared" si="44"/>
        <v>25</v>
      </c>
      <c r="AB130" s="188">
        <f t="shared" si="44"/>
        <v>27</v>
      </c>
      <c r="AC130" s="188">
        <f t="shared" si="44"/>
        <v>10</v>
      </c>
      <c r="AD130" s="188">
        <f t="shared" si="44"/>
        <v>23</v>
      </c>
      <c r="AE130" s="188">
        <f t="shared" si="44"/>
        <v>13</v>
      </c>
      <c r="AF130" s="188">
        <f t="shared" si="44"/>
        <v>21</v>
      </c>
      <c r="AG130" s="143">
        <f t="shared" si="43"/>
        <v>662</v>
      </c>
    </row>
    <row r="131">
      <c r="A131" s="163" t="s">
        <v>176</v>
      </c>
      <c r="B131" s="188">
        <f t="shared" ref="B131:AF131" si="45">B57-(B224+B229+B270+B320+B329)</f>
        <v>58</v>
      </c>
      <c r="C131" s="188">
        <f t="shared" si="45"/>
        <v>53</v>
      </c>
      <c r="D131" s="188">
        <f t="shared" si="45"/>
        <v>61</v>
      </c>
      <c r="E131" s="188">
        <f t="shared" si="45"/>
        <v>58</v>
      </c>
      <c r="F131" s="188">
        <f t="shared" si="45"/>
        <v>47</v>
      </c>
      <c r="G131" s="188">
        <f t="shared" si="45"/>
        <v>73</v>
      </c>
      <c r="H131" s="188">
        <f t="shared" si="45"/>
        <v>71</v>
      </c>
      <c r="I131" s="188">
        <f t="shared" si="45"/>
        <v>14</v>
      </c>
      <c r="J131" s="188">
        <f t="shared" si="45"/>
        <v>19</v>
      </c>
      <c r="K131" s="188">
        <f t="shared" si="45"/>
        <v>16</v>
      </c>
      <c r="L131" s="188">
        <f t="shared" si="45"/>
        <v>0</v>
      </c>
      <c r="M131" s="189">
        <f t="shared" si="45"/>
        <v>20</v>
      </c>
      <c r="N131" s="188">
        <f t="shared" si="45"/>
        <v>16</v>
      </c>
      <c r="O131" s="189">
        <f t="shared" si="45"/>
        <v>15</v>
      </c>
      <c r="P131" s="188">
        <f t="shared" si="45"/>
        <v>-9</v>
      </c>
      <c r="Q131" s="188">
        <f t="shared" si="45"/>
        <v>14</v>
      </c>
      <c r="R131" s="188">
        <f t="shared" si="45"/>
        <v>28</v>
      </c>
      <c r="S131" s="188">
        <f t="shared" si="45"/>
        <v>22</v>
      </c>
      <c r="T131" s="188">
        <f t="shared" si="45"/>
        <v>3</v>
      </c>
      <c r="U131" s="188">
        <f t="shared" si="45"/>
        <v>-1</v>
      </c>
      <c r="V131" s="188">
        <f t="shared" si="45"/>
        <v>-7</v>
      </c>
      <c r="W131" s="188">
        <f t="shared" si="45"/>
        <v>-6</v>
      </c>
      <c r="X131" s="188">
        <f t="shared" si="45"/>
        <v>-11</v>
      </c>
      <c r="Y131" s="188">
        <f t="shared" si="45"/>
        <v>8</v>
      </c>
      <c r="Z131" s="188">
        <f t="shared" si="45"/>
        <v>10</v>
      </c>
      <c r="AA131" s="188">
        <f t="shared" si="45"/>
        <v>11</v>
      </c>
      <c r="AB131" s="188">
        <f t="shared" si="45"/>
        <v>2</v>
      </c>
      <c r="AC131" s="188">
        <f t="shared" si="45"/>
        <v>2</v>
      </c>
      <c r="AD131" s="188">
        <f t="shared" si="45"/>
        <v>0</v>
      </c>
      <c r="AE131" s="188">
        <f t="shared" si="45"/>
        <v>7</v>
      </c>
      <c r="AF131" s="188">
        <f t="shared" si="45"/>
        <v>-1</v>
      </c>
      <c r="AG131" s="143">
        <f t="shared" si="43"/>
        <v>593</v>
      </c>
    </row>
    <row r="132">
      <c r="A132" s="169" t="s">
        <v>121</v>
      </c>
      <c r="B132" s="170">
        <f t="shared" ref="B132:AF132" si="46">SUM(B128:B131)</f>
        <v>74</v>
      </c>
      <c r="C132" s="170">
        <f t="shared" si="46"/>
        <v>73</v>
      </c>
      <c r="D132" s="170">
        <f t="shared" si="46"/>
        <v>58</v>
      </c>
      <c r="E132" s="170">
        <f t="shared" si="46"/>
        <v>76</v>
      </c>
      <c r="F132" s="170">
        <f t="shared" si="46"/>
        <v>33</v>
      </c>
      <c r="G132" s="170">
        <f t="shared" si="46"/>
        <v>91</v>
      </c>
      <c r="H132" s="170">
        <f t="shared" si="46"/>
        <v>86</v>
      </c>
      <c r="I132" s="170">
        <f t="shared" si="46"/>
        <v>13</v>
      </c>
      <c r="J132" s="170">
        <f t="shared" si="46"/>
        <v>53</v>
      </c>
      <c r="K132" s="170">
        <f t="shared" si="46"/>
        <v>40</v>
      </c>
      <c r="L132" s="170">
        <f t="shared" si="46"/>
        <v>19</v>
      </c>
      <c r="M132" s="170">
        <f t="shared" si="46"/>
        <v>75</v>
      </c>
      <c r="N132" s="170">
        <f t="shared" si="46"/>
        <v>67</v>
      </c>
      <c r="O132" s="170">
        <f t="shared" si="46"/>
        <v>61</v>
      </c>
      <c r="P132" s="170">
        <f t="shared" si="46"/>
        <v>3</v>
      </c>
      <c r="Q132" s="170">
        <f t="shared" si="46"/>
        <v>56</v>
      </c>
      <c r="R132" s="170">
        <f t="shared" si="46"/>
        <v>62</v>
      </c>
      <c r="S132" s="170">
        <f t="shared" si="46"/>
        <v>60</v>
      </c>
      <c r="T132" s="170">
        <f t="shared" si="46"/>
        <v>65</v>
      </c>
      <c r="U132" s="170">
        <f t="shared" si="46"/>
        <v>86</v>
      </c>
      <c r="V132" s="170">
        <f t="shared" si="46"/>
        <v>21</v>
      </c>
      <c r="W132" s="170">
        <f t="shared" si="46"/>
        <v>26</v>
      </c>
      <c r="X132" s="170">
        <f t="shared" si="46"/>
        <v>31</v>
      </c>
      <c r="Y132" s="170">
        <f t="shared" si="46"/>
        <v>36</v>
      </c>
      <c r="Z132" s="170">
        <f t="shared" si="46"/>
        <v>45</v>
      </c>
      <c r="AA132" s="170">
        <f t="shared" si="46"/>
        <v>52</v>
      </c>
      <c r="AB132" s="170">
        <f t="shared" si="46"/>
        <v>37</v>
      </c>
      <c r="AC132" s="170">
        <f t="shared" si="46"/>
        <v>19</v>
      </c>
      <c r="AD132" s="170">
        <f t="shared" si="46"/>
        <v>24</v>
      </c>
      <c r="AE132" s="170">
        <f t="shared" si="46"/>
        <v>18</v>
      </c>
      <c r="AF132" s="170">
        <f t="shared" si="46"/>
        <v>24</v>
      </c>
      <c r="AG132" s="143">
        <f t="shared" si="43"/>
        <v>1484</v>
      </c>
    </row>
    <row r="133">
      <c r="A133" s="98"/>
      <c r="B133" s="171"/>
      <c r="C133" s="171"/>
      <c r="D133" s="171"/>
      <c r="E133" s="171"/>
      <c r="F133" s="171"/>
      <c r="G133" s="171"/>
      <c r="H133" s="171"/>
      <c r="I133" s="171"/>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143"/>
    </row>
    <row r="134">
      <c r="A134" s="163" t="s">
        <v>122</v>
      </c>
      <c r="B134" s="190">
        <f t="shared" ref="B134:AF134" si="47">B60-(B234+B245+B280+B338+B349)</f>
        <v>58</v>
      </c>
      <c r="C134" s="190">
        <f t="shared" si="47"/>
        <v>47</v>
      </c>
      <c r="D134" s="190">
        <f t="shared" si="47"/>
        <v>37</v>
      </c>
      <c r="E134" s="190">
        <f t="shared" si="47"/>
        <v>44</v>
      </c>
      <c r="F134" s="190">
        <f t="shared" si="47"/>
        <v>31</v>
      </c>
      <c r="G134" s="190">
        <f t="shared" si="47"/>
        <v>56</v>
      </c>
      <c r="H134" s="190">
        <f t="shared" si="47"/>
        <v>56</v>
      </c>
      <c r="I134" s="190">
        <f t="shared" si="47"/>
        <v>17</v>
      </c>
      <c r="J134" s="190">
        <f t="shared" si="47"/>
        <v>23</v>
      </c>
      <c r="K134" s="190">
        <f t="shared" si="47"/>
        <v>19</v>
      </c>
      <c r="L134" s="190">
        <f t="shared" si="47"/>
        <v>20</v>
      </c>
      <c r="M134" s="190">
        <f t="shared" si="47"/>
        <v>19</v>
      </c>
      <c r="N134" s="190">
        <f t="shared" si="47"/>
        <v>33</v>
      </c>
      <c r="O134" s="190">
        <f t="shared" si="47"/>
        <v>34</v>
      </c>
      <c r="P134" s="190">
        <f t="shared" si="47"/>
        <v>17</v>
      </c>
      <c r="Q134" s="190">
        <f t="shared" si="47"/>
        <v>12</v>
      </c>
      <c r="R134" s="190">
        <f t="shared" si="47"/>
        <v>27</v>
      </c>
      <c r="S134" s="190">
        <f t="shared" si="47"/>
        <v>20</v>
      </c>
      <c r="T134" s="190">
        <f t="shared" si="47"/>
        <v>20</v>
      </c>
      <c r="U134" s="190">
        <f t="shared" si="47"/>
        <v>35</v>
      </c>
      <c r="V134" s="190">
        <f t="shared" si="47"/>
        <v>25</v>
      </c>
      <c r="W134" s="190">
        <f t="shared" si="47"/>
        <v>15</v>
      </c>
      <c r="X134" s="190">
        <f t="shared" si="47"/>
        <v>8</v>
      </c>
      <c r="Y134" s="190">
        <f t="shared" si="47"/>
        <v>8</v>
      </c>
      <c r="Z134" s="190">
        <f t="shared" si="47"/>
        <v>10</v>
      </c>
      <c r="AA134" s="190">
        <f t="shared" si="47"/>
        <v>19</v>
      </c>
      <c r="AB134" s="190">
        <f t="shared" si="47"/>
        <v>14</v>
      </c>
      <c r="AC134" s="190">
        <f t="shared" si="47"/>
        <v>8</v>
      </c>
      <c r="AD134" s="190">
        <f t="shared" si="47"/>
        <v>14</v>
      </c>
      <c r="AE134" s="190">
        <f t="shared" si="47"/>
        <v>5</v>
      </c>
      <c r="AF134" s="190">
        <f t="shared" si="47"/>
        <v>7</v>
      </c>
      <c r="AG134" s="143">
        <f t="shared" ref="AG134:AG142" si="49">sum(B134:AF134)</f>
        <v>758</v>
      </c>
    </row>
    <row r="135">
      <c r="A135" s="163" t="s">
        <v>123</v>
      </c>
      <c r="B135" s="190">
        <f t="shared" ref="B135:AF135" si="48">B61-(B235+B246+B281+B339+B350)</f>
        <v>56</v>
      </c>
      <c r="C135" s="190">
        <f t="shared" si="48"/>
        <v>42</v>
      </c>
      <c r="D135" s="190">
        <f t="shared" si="48"/>
        <v>26</v>
      </c>
      <c r="E135" s="190">
        <f t="shared" si="48"/>
        <v>27</v>
      </c>
      <c r="F135" s="190">
        <f t="shared" si="48"/>
        <v>26</v>
      </c>
      <c r="G135" s="190">
        <f t="shared" si="48"/>
        <v>41</v>
      </c>
      <c r="H135" s="190">
        <f t="shared" si="48"/>
        <v>51</v>
      </c>
      <c r="I135" s="190">
        <f t="shared" si="48"/>
        <v>21</v>
      </c>
      <c r="J135" s="190">
        <f t="shared" si="48"/>
        <v>25</v>
      </c>
      <c r="K135" s="190">
        <f t="shared" si="48"/>
        <v>25</v>
      </c>
      <c r="L135" s="190">
        <f t="shared" si="48"/>
        <v>19</v>
      </c>
      <c r="M135" s="190">
        <f t="shared" si="48"/>
        <v>24</v>
      </c>
      <c r="N135" s="190">
        <f t="shared" si="48"/>
        <v>35</v>
      </c>
      <c r="O135" s="190">
        <f t="shared" si="48"/>
        <v>29</v>
      </c>
      <c r="P135" s="190">
        <f t="shared" si="48"/>
        <v>5</v>
      </c>
      <c r="Q135" s="190">
        <f t="shared" si="48"/>
        <v>10</v>
      </c>
      <c r="R135" s="190">
        <f t="shared" si="48"/>
        <v>14</v>
      </c>
      <c r="S135" s="190">
        <f t="shared" si="48"/>
        <v>18</v>
      </c>
      <c r="T135" s="190">
        <f t="shared" si="48"/>
        <v>12</v>
      </c>
      <c r="U135" s="190">
        <f t="shared" si="48"/>
        <v>22</v>
      </c>
      <c r="V135" s="190">
        <f t="shared" si="48"/>
        <v>25</v>
      </c>
      <c r="W135" s="190">
        <f t="shared" si="48"/>
        <v>4</v>
      </c>
      <c r="X135" s="190">
        <f t="shared" si="48"/>
        <v>9</v>
      </c>
      <c r="Y135" s="190">
        <f t="shared" si="48"/>
        <v>9</v>
      </c>
      <c r="Z135" s="190">
        <f t="shared" si="48"/>
        <v>23</v>
      </c>
      <c r="AA135" s="190">
        <f t="shared" si="48"/>
        <v>26</v>
      </c>
      <c r="AB135" s="190">
        <f t="shared" si="48"/>
        <v>18</v>
      </c>
      <c r="AC135" s="190">
        <f t="shared" si="48"/>
        <v>4</v>
      </c>
      <c r="AD135" s="190">
        <f t="shared" si="48"/>
        <v>14</v>
      </c>
      <c r="AE135" s="190">
        <f t="shared" si="48"/>
        <v>4</v>
      </c>
      <c r="AF135" s="190">
        <f t="shared" si="48"/>
        <v>-3</v>
      </c>
      <c r="AG135" s="143">
        <f t="shared" si="49"/>
        <v>661</v>
      </c>
    </row>
    <row r="136">
      <c r="A136" s="163" t="s">
        <v>177</v>
      </c>
      <c r="B136" s="190">
        <f t="shared" ref="B136:AF136" si="50">B62-(B236+B247+B282+B340+B351)</f>
        <v>9</v>
      </c>
      <c r="C136" s="190">
        <f t="shared" si="50"/>
        <v>7</v>
      </c>
      <c r="D136" s="190">
        <f t="shared" si="50"/>
        <v>2</v>
      </c>
      <c r="E136" s="190">
        <f t="shared" si="50"/>
        <v>7</v>
      </c>
      <c r="F136" s="190">
        <f t="shared" si="50"/>
        <v>8</v>
      </c>
      <c r="G136" s="190">
        <f t="shared" si="50"/>
        <v>6</v>
      </c>
      <c r="H136" s="190">
        <f t="shared" si="50"/>
        <v>8</v>
      </c>
      <c r="I136" s="190">
        <f t="shared" si="50"/>
        <v>5</v>
      </c>
      <c r="J136" s="190">
        <f t="shared" si="50"/>
        <v>7</v>
      </c>
      <c r="K136" s="190">
        <f t="shared" si="50"/>
        <v>0</v>
      </c>
      <c r="L136" s="190">
        <f t="shared" si="50"/>
        <v>9</v>
      </c>
      <c r="M136" s="190">
        <f t="shared" si="50"/>
        <v>4</v>
      </c>
      <c r="N136" s="190">
        <f t="shared" si="50"/>
        <v>11</v>
      </c>
      <c r="O136" s="190">
        <f t="shared" si="50"/>
        <v>8</v>
      </c>
      <c r="P136" s="190">
        <f t="shared" si="50"/>
        <v>10</v>
      </c>
      <c r="Q136" s="190">
        <f t="shared" si="50"/>
        <v>5</v>
      </c>
      <c r="R136" s="190">
        <f t="shared" si="50"/>
        <v>9</v>
      </c>
      <c r="S136" s="190">
        <f t="shared" si="50"/>
        <v>6</v>
      </c>
      <c r="T136" s="190">
        <f t="shared" si="50"/>
        <v>5</v>
      </c>
      <c r="U136" s="190">
        <f t="shared" si="50"/>
        <v>12</v>
      </c>
      <c r="V136" s="190">
        <f t="shared" si="50"/>
        <v>19</v>
      </c>
      <c r="W136" s="190">
        <f t="shared" si="50"/>
        <v>9</v>
      </c>
      <c r="X136" s="190">
        <f t="shared" si="50"/>
        <v>9</v>
      </c>
      <c r="Y136" s="190">
        <f t="shared" si="50"/>
        <v>10</v>
      </c>
      <c r="Z136" s="190">
        <f t="shared" si="50"/>
        <v>8</v>
      </c>
      <c r="AA136" s="190">
        <f t="shared" si="50"/>
        <v>10</v>
      </c>
      <c r="AB136" s="190">
        <f t="shared" si="50"/>
        <v>14</v>
      </c>
      <c r="AC136" s="190">
        <f t="shared" si="50"/>
        <v>5</v>
      </c>
      <c r="AD136" s="190">
        <f t="shared" si="50"/>
        <v>7</v>
      </c>
      <c r="AE136" s="190">
        <f t="shared" si="50"/>
        <v>0</v>
      </c>
      <c r="AF136" s="190">
        <f t="shared" si="50"/>
        <v>4</v>
      </c>
      <c r="AG136" s="143">
        <f t="shared" si="49"/>
        <v>233</v>
      </c>
    </row>
    <row r="137">
      <c r="A137" s="163" t="s">
        <v>178</v>
      </c>
      <c r="B137" s="190">
        <f t="shared" ref="B137:AF137" si="51">B63-(B237+B248+B283+B341+B352)</f>
        <v>27</v>
      </c>
      <c r="C137" s="190">
        <f t="shared" si="51"/>
        <v>18</v>
      </c>
      <c r="D137" s="190">
        <f t="shared" si="51"/>
        <v>19</v>
      </c>
      <c r="E137" s="190">
        <f t="shared" si="51"/>
        <v>25</v>
      </c>
      <c r="F137" s="190">
        <f t="shared" si="51"/>
        <v>20</v>
      </c>
      <c r="G137" s="190">
        <f t="shared" si="51"/>
        <v>31</v>
      </c>
      <c r="H137" s="190">
        <f t="shared" si="51"/>
        <v>34</v>
      </c>
      <c r="I137" s="190">
        <f t="shared" si="51"/>
        <v>13</v>
      </c>
      <c r="J137" s="190">
        <f t="shared" si="51"/>
        <v>15</v>
      </c>
      <c r="K137" s="190">
        <f t="shared" si="51"/>
        <v>12</v>
      </c>
      <c r="L137" s="190">
        <f t="shared" si="51"/>
        <v>8</v>
      </c>
      <c r="M137" s="190">
        <f t="shared" si="51"/>
        <v>14</v>
      </c>
      <c r="N137" s="190">
        <f t="shared" si="51"/>
        <v>17</v>
      </c>
      <c r="O137" s="190">
        <f t="shared" si="51"/>
        <v>8</v>
      </c>
      <c r="P137" s="190">
        <f t="shared" si="51"/>
        <v>1</v>
      </c>
      <c r="Q137" s="190">
        <f t="shared" si="51"/>
        <v>7</v>
      </c>
      <c r="R137" s="190">
        <f t="shared" si="51"/>
        <v>16</v>
      </c>
      <c r="S137" s="190">
        <f t="shared" si="51"/>
        <v>11</v>
      </c>
      <c r="T137" s="190">
        <f t="shared" si="51"/>
        <v>4</v>
      </c>
      <c r="U137" s="190">
        <f t="shared" si="51"/>
        <v>6</v>
      </c>
      <c r="V137" s="190">
        <f t="shared" si="51"/>
        <v>4</v>
      </c>
      <c r="W137" s="190">
        <f t="shared" si="51"/>
        <v>-1</v>
      </c>
      <c r="X137" s="190">
        <f t="shared" si="51"/>
        <v>-1</v>
      </c>
      <c r="Y137" s="190">
        <f t="shared" si="51"/>
        <v>2</v>
      </c>
      <c r="Z137" s="190">
        <f t="shared" si="51"/>
        <v>4</v>
      </c>
      <c r="AA137" s="190">
        <f t="shared" si="51"/>
        <v>2</v>
      </c>
      <c r="AB137" s="190">
        <f t="shared" si="51"/>
        <v>2</v>
      </c>
      <c r="AC137" s="190">
        <f t="shared" si="51"/>
        <v>-2</v>
      </c>
      <c r="AD137" s="190">
        <f t="shared" si="51"/>
        <v>0</v>
      </c>
      <c r="AE137" s="190">
        <f t="shared" si="51"/>
        <v>3</v>
      </c>
      <c r="AF137" s="190">
        <f t="shared" si="51"/>
        <v>2</v>
      </c>
      <c r="AG137" s="143">
        <f t="shared" si="49"/>
        <v>321</v>
      </c>
    </row>
    <row r="138">
      <c r="A138" s="163" t="s">
        <v>179</v>
      </c>
      <c r="B138" s="190">
        <f t="shared" ref="B138:AF138" si="52">B64-(B238+B249+B284+B342+B353)</f>
        <v>11</v>
      </c>
      <c r="C138" s="190">
        <f t="shared" si="52"/>
        <v>11</v>
      </c>
      <c r="D138" s="190">
        <f t="shared" si="52"/>
        <v>3</v>
      </c>
      <c r="E138" s="190">
        <f t="shared" si="52"/>
        <v>2</v>
      </c>
      <c r="F138" s="190">
        <f t="shared" si="52"/>
        <v>5</v>
      </c>
      <c r="G138" s="190">
        <f t="shared" si="52"/>
        <v>11</v>
      </c>
      <c r="H138" s="190">
        <f t="shared" si="52"/>
        <v>11</v>
      </c>
      <c r="I138" s="190">
        <f t="shared" si="52"/>
        <v>6</v>
      </c>
      <c r="J138" s="190">
        <f t="shared" si="52"/>
        <v>1</v>
      </c>
      <c r="K138" s="190">
        <f t="shared" si="52"/>
        <v>-1</v>
      </c>
      <c r="L138" s="190">
        <f t="shared" si="52"/>
        <v>4</v>
      </c>
      <c r="M138" s="190">
        <f t="shared" si="52"/>
        <v>5</v>
      </c>
      <c r="N138" s="190">
        <f t="shared" si="52"/>
        <v>13</v>
      </c>
      <c r="O138" s="190">
        <f t="shared" si="52"/>
        <v>13</v>
      </c>
      <c r="P138" s="190">
        <f t="shared" si="52"/>
        <v>-1</v>
      </c>
      <c r="Q138" s="190">
        <f t="shared" si="52"/>
        <v>4</v>
      </c>
      <c r="R138" s="190">
        <f t="shared" si="52"/>
        <v>5</v>
      </c>
      <c r="S138" s="190">
        <f t="shared" si="52"/>
        <v>6</v>
      </c>
      <c r="T138" s="190">
        <f t="shared" si="52"/>
        <v>2</v>
      </c>
      <c r="U138" s="190">
        <f t="shared" si="52"/>
        <v>7</v>
      </c>
      <c r="V138" s="190">
        <f t="shared" si="52"/>
        <v>9</v>
      </c>
      <c r="W138" s="190">
        <f t="shared" si="52"/>
        <v>2</v>
      </c>
      <c r="X138" s="190">
        <f t="shared" si="52"/>
        <v>4</v>
      </c>
      <c r="Y138" s="190">
        <f t="shared" si="52"/>
        <v>3</v>
      </c>
      <c r="Z138" s="190">
        <f t="shared" si="52"/>
        <v>3</v>
      </c>
      <c r="AA138" s="190">
        <f t="shared" si="52"/>
        <v>6</v>
      </c>
      <c r="AB138" s="190">
        <f t="shared" si="52"/>
        <v>4</v>
      </c>
      <c r="AC138" s="190">
        <f t="shared" si="52"/>
        <v>3</v>
      </c>
      <c r="AD138" s="190">
        <f t="shared" si="52"/>
        <v>-2</v>
      </c>
      <c r="AE138" s="190">
        <f t="shared" si="52"/>
        <v>7</v>
      </c>
      <c r="AF138" s="190">
        <f t="shared" si="52"/>
        <v>2</v>
      </c>
      <c r="AG138" s="143">
        <f t="shared" si="49"/>
        <v>159</v>
      </c>
    </row>
    <row r="139">
      <c r="A139" s="163" t="s">
        <v>180</v>
      </c>
      <c r="B139" s="190">
        <f t="shared" ref="B139:AF139" si="53">B65-(B239+B250+B285+B343+B354)</f>
        <v>9</v>
      </c>
      <c r="C139" s="190">
        <f t="shared" si="53"/>
        <v>7</v>
      </c>
      <c r="D139" s="190">
        <f t="shared" si="53"/>
        <v>7</v>
      </c>
      <c r="E139" s="190">
        <f t="shared" si="53"/>
        <v>4</v>
      </c>
      <c r="F139" s="190">
        <f t="shared" si="53"/>
        <v>4</v>
      </c>
      <c r="G139" s="190">
        <f t="shared" si="53"/>
        <v>3</v>
      </c>
      <c r="H139" s="190">
        <f t="shared" si="53"/>
        <v>12</v>
      </c>
      <c r="I139" s="190">
        <f t="shared" si="53"/>
        <v>6</v>
      </c>
      <c r="J139" s="190">
        <f t="shared" si="53"/>
        <v>3</v>
      </c>
      <c r="K139" s="190">
        <f t="shared" si="53"/>
        <v>5</v>
      </c>
      <c r="L139" s="190">
        <f t="shared" si="53"/>
        <v>8</v>
      </c>
      <c r="M139" s="190">
        <f t="shared" si="53"/>
        <v>3</v>
      </c>
      <c r="N139" s="190">
        <f t="shared" si="53"/>
        <v>5</v>
      </c>
      <c r="O139" s="190">
        <f t="shared" si="53"/>
        <v>2</v>
      </c>
      <c r="P139" s="190">
        <f t="shared" si="53"/>
        <v>1</v>
      </c>
      <c r="Q139" s="190">
        <f t="shared" si="53"/>
        <v>2</v>
      </c>
      <c r="R139" s="190">
        <f t="shared" si="53"/>
        <v>5</v>
      </c>
      <c r="S139" s="190">
        <f t="shared" si="53"/>
        <v>5</v>
      </c>
      <c r="T139" s="190">
        <f t="shared" si="53"/>
        <v>6</v>
      </c>
      <c r="U139" s="190">
        <f t="shared" si="53"/>
        <v>4</v>
      </c>
      <c r="V139" s="190">
        <f t="shared" si="53"/>
        <v>5</v>
      </c>
      <c r="W139" s="190">
        <f t="shared" si="53"/>
        <v>7</v>
      </c>
      <c r="X139" s="190">
        <f t="shared" si="53"/>
        <v>2</v>
      </c>
      <c r="Y139" s="190">
        <f t="shared" si="53"/>
        <v>1</v>
      </c>
      <c r="Z139" s="190">
        <f t="shared" si="53"/>
        <v>5</v>
      </c>
      <c r="AA139" s="190">
        <f t="shared" si="53"/>
        <v>3</v>
      </c>
      <c r="AB139" s="190">
        <f t="shared" si="53"/>
        <v>4</v>
      </c>
      <c r="AC139" s="190">
        <f t="shared" si="53"/>
        <v>7</v>
      </c>
      <c r="AD139" s="190">
        <f t="shared" si="53"/>
        <v>3</v>
      </c>
      <c r="AE139" s="190">
        <f t="shared" si="53"/>
        <v>1</v>
      </c>
      <c r="AF139" s="190">
        <f t="shared" si="53"/>
        <v>1</v>
      </c>
      <c r="AG139" s="143">
        <f t="shared" si="49"/>
        <v>140</v>
      </c>
    </row>
    <row r="140">
      <c r="A140" s="163" t="s">
        <v>181</v>
      </c>
      <c r="B140" s="190">
        <f t="shared" ref="B140:AF140" si="54">B66-(B240+B251+B286+B344+B355)</f>
        <v>37</v>
      </c>
      <c r="C140" s="190">
        <f t="shared" si="54"/>
        <v>29</v>
      </c>
      <c r="D140" s="190">
        <f t="shared" si="54"/>
        <v>18</v>
      </c>
      <c r="E140" s="190">
        <f t="shared" si="54"/>
        <v>16</v>
      </c>
      <c r="F140" s="190">
        <f t="shared" si="54"/>
        <v>33</v>
      </c>
      <c r="G140" s="190">
        <f t="shared" si="54"/>
        <v>39</v>
      </c>
      <c r="H140" s="190">
        <f t="shared" si="54"/>
        <v>49</v>
      </c>
      <c r="I140" s="190">
        <f t="shared" si="54"/>
        <v>28</v>
      </c>
      <c r="J140" s="190">
        <f t="shared" si="54"/>
        <v>29</v>
      </c>
      <c r="K140" s="190">
        <f t="shared" si="54"/>
        <v>19</v>
      </c>
      <c r="L140" s="190">
        <f t="shared" si="54"/>
        <v>23</v>
      </c>
      <c r="M140" s="190">
        <f t="shared" si="54"/>
        <v>32</v>
      </c>
      <c r="N140" s="190">
        <f t="shared" si="54"/>
        <v>35</v>
      </c>
      <c r="O140" s="190">
        <f t="shared" si="54"/>
        <v>44</v>
      </c>
      <c r="P140" s="190">
        <f t="shared" si="54"/>
        <v>29</v>
      </c>
      <c r="Q140" s="190">
        <f t="shared" si="54"/>
        <v>27</v>
      </c>
      <c r="R140" s="190">
        <f t="shared" si="54"/>
        <v>20</v>
      </c>
      <c r="S140" s="190">
        <f t="shared" si="54"/>
        <v>27</v>
      </c>
      <c r="T140" s="190">
        <f t="shared" si="54"/>
        <v>39</v>
      </c>
      <c r="U140" s="190">
        <f t="shared" si="54"/>
        <v>48</v>
      </c>
      <c r="V140" s="190">
        <f t="shared" si="54"/>
        <v>53</v>
      </c>
      <c r="W140" s="190">
        <f t="shared" si="54"/>
        <v>34</v>
      </c>
      <c r="X140" s="190">
        <f t="shared" si="54"/>
        <v>34</v>
      </c>
      <c r="Y140" s="190">
        <f t="shared" si="54"/>
        <v>19</v>
      </c>
      <c r="Z140" s="190">
        <f t="shared" si="54"/>
        <v>30</v>
      </c>
      <c r="AA140" s="190">
        <f t="shared" si="54"/>
        <v>29</v>
      </c>
      <c r="AB140" s="190">
        <f t="shared" si="54"/>
        <v>33</v>
      </c>
      <c r="AC140" s="190">
        <f t="shared" si="54"/>
        <v>27</v>
      </c>
      <c r="AD140" s="190">
        <f t="shared" si="54"/>
        <v>19</v>
      </c>
      <c r="AE140" s="190">
        <f t="shared" si="54"/>
        <v>19</v>
      </c>
      <c r="AF140" s="190">
        <f t="shared" si="54"/>
        <v>18</v>
      </c>
      <c r="AG140" s="143">
        <f t="shared" si="49"/>
        <v>936</v>
      </c>
    </row>
    <row r="141">
      <c r="A141" s="163" t="s">
        <v>182</v>
      </c>
      <c r="B141" s="190">
        <f t="shared" ref="B141:AF141" si="55">B67-(B241+B252+B287+B345+B356)</f>
        <v>52</v>
      </c>
      <c r="C141" s="190">
        <f t="shared" si="55"/>
        <v>37</v>
      </c>
      <c r="D141" s="190">
        <f t="shared" si="55"/>
        <v>37</v>
      </c>
      <c r="E141" s="190">
        <f t="shared" si="55"/>
        <v>37</v>
      </c>
      <c r="F141" s="190">
        <f t="shared" si="55"/>
        <v>42</v>
      </c>
      <c r="G141" s="190">
        <f t="shared" si="55"/>
        <v>49</v>
      </c>
      <c r="H141" s="190">
        <f t="shared" si="55"/>
        <v>67</v>
      </c>
      <c r="I141" s="190">
        <f t="shared" si="55"/>
        <v>24</v>
      </c>
      <c r="J141" s="190">
        <f t="shared" si="55"/>
        <v>22</v>
      </c>
      <c r="K141" s="190">
        <f t="shared" si="55"/>
        <v>19</v>
      </c>
      <c r="L141" s="190">
        <f t="shared" si="55"/>
        <v>24</v>
      </c>
      <c r="M141" s="190">
        <f t="shared" si="55"/>
        <v>25</v>
      </c>
      <c r="N141" s="190">
        <f t="shared" si="55"/>
        <v>36</v>
      </c>
      <c r="O141" s="190">
        <f t="shared" si="55"/>
        <v>21</v>
      </c>
      <c r="P141" s="190">
        <f t="shared" si="55"/>
        <v>11</v>
      </c>
      <c r="Q141" s="190">
        <f t="shared" si="55"/>
        <v>19</v>
      </c>
      <c r="R141" s="190">
        <f t="shared" si="55"/>
        <v>27</v>
      </c>
      <c r="S141" s="190">
        <f t="shared" si="55"/>
        <v>20</v>
      </c>
      <c r="T141" s="190">
        <f t="shared" si="55"/>
        <v>16</v>
      </c>
      <c r="U141" s="190">
        <f t="shared" si="55"/>
        <v>14</v>
      </c>
      <c r="V141" s="190">
        <f t="shared" si="55"/>
        <v>15</v>
      </c>
      <c r="W141" s="190">
        <f t="shared" si="55"/>
        <v>6</v>
      </c>
      <c r="X141" s="190">
        <f t="shared" si="55"/>
        <v>8</v>
      </c>
      <c r="Y141" s="190">
        <f t="shared" si="55"/>
        <v>12</v>
      </c>
      <c r="Z141" s="190">
        <f t="shared" si="55"/>
        <v>19</v>
      </c>
      <c r="AA141" s="190">
        <f t="shared" si="55"/>
        <v>14</v>
      </c>
      <c r="AB141" s="190">
        <f t="shared" si="55"/>
        <v>15</v>
      </c>
      <c r="AC141" s="190">
        <f t="shared" si="55"/>
        <v>16</v>
      </c>
      <c r="AD141" s="190">
        <f t="shared" si="55"/>
        <v>10</v>
      </c>
      <c r="AE141" s="190">
        <f t="shared" si="55"/>
        <v>4</v>
      </c>
      <c r="AF141" s="190">
        <f t="shared" si="55"/>
        <v>8</v>
      </c>
      <c r="AG141" s="143">
        <f t="shared" si="49"/>
        <v>726</v>
      </c>
    </row>
    <row r="142">
      <c r="A142" s="169" t="s">
        <v>130</v>
      </c>
      <c r="B142" s="170">
        <f t="shared" ref="B142:AF142" si="56">SUM(B134:B141)</f>
        <v>259</v>
      </c>
      <c r="C142" s="170">
        <f t="shared" si="56"/>
        <v>198</v>
      </c>
      <c r="D142" s="170">
        <f t="shared" si="56"/>
        <v>149</v>
      </c>
      <c r="E142" s="170">
        <f t="shared" si="56"/>
        <v>162</v>
      </c>
      <c r="F142" s="170">
        <f t="shared" si="56"/>
        <v>169</v>
      </c>
      <c r="G142" s="170">
        <f t="shared" si="56"/>
        <v>236</v>
      </c>
      <c r="H142" s="170">
        <f t="shared" si="56"/>
        <v>288</v>
      </c>
      <c r="I142" s="170">
        <f t="shared" si="56"/>
        <v>120</v>
      </c>
      <c r="J142" s="170">
        <f t="shared" si="56"/>
        <v>125</v>
      </c>
      <c r="K142" s="170">
        <f t="shared" si="56"/>
        <v>98</v>
      </c>
      <c r="L142" s="170">
        <f t="shared" si="56"/>
        <v>115</v>
      </c>
      <c r="M142" s="170">
        <f t="shared" si="56"/>
        <v>126</v>
      </c>
      <c r="N142" s="170">
        <f t="shared" si="56"/>
        <v>185</v>
      </c>
      <c r="O142" s="170">
        <f t="shared" si="56"/>
        <v>159</v>
      </c>
      <c r="P142" s="170">
        <f t="shared" si="56"/>
        <v>73</v>
      </c>
      <c r="Q142" s="170">
        <f t="shared" si="56"/>
        <v>86</v>
      </c>
      <c r="R142" s="170">
        <f t="shared" si="56"/>
        <v>123</v>
      </c>
      <c r="S142" s="170">
        <f t="shared" si="56"/>
        <v>113</v>
      </c>
      <c r="T142" s="170">
        <f t="shared" si="56"/>
        <v>104</v>
      </c>
      <c r="U142" s="170">
        <f t="shared" si="56"/>
        <v>148</v>
      </c>
      <c r="V142" s="170">
        <f t="shared" si="56"/>
        <v>155</v>
      </c>
      <c r="W142" s="170">
        <f t="shared" si="56"/>
        <v>76</v>
      </c>
      <c r="X142" s="170">
        <f t="shared" si="56"/>
        <v>73</v>
      </c>
      <c r="Y142" s="170">
        <f t="shared" si="56"/>
        <v>64</v>
      </c>
      <c r="Z142" s="170">
        <f t="shared" si="56"/>
        <v>102</v>
      </c>
      <c r="AA142" s="170">
        <f t="shared" si="56"/>
        <v>109</v>
      </c>
      <c r="AB142" s="170">
        <f t="shared" si="56"/>
        <v>104</v>
      </c>
      <c r="AC142" s="170">
        <f t="shared" si="56"/>
        <v>68</v>
      </c>
      <c r="AD142" s="170">
        <f t="shared" si="56"/>
        <v>65</v>
      </c>
      <c r="AE142" s="170">
        <f t="shared" si="56"/>
        <v>43</v>
      </c>
      <c r="AF142" s="170">
        <f t="shared" si="56"/>
        <v>39</v>
      </c>
      <c r="AG142" s="143">
        <f t="shared" si="49"/>
        <v>3934</v>
      </c>
    </row>
    <row r="143">
      <c r="A143" s="177"/>
      <c r="AG143" s="143"/>
    </row>
    <row r="144">
      <c r="A144" s="191" t="s">
        <v>183</v>
      </c>
      <c r="B144" s="192"/>
      <c r="C144" s="192"/>
      <c r="D144" s="192"/>
      <c r="E144" s="192"/>
      <c r="F144" s="192"/>
      <c r="G144" s="192"/>
      <c r="H144" s="192"/>
      <c r="I144" s="156"/>
      <c r="J144" s="156"/>
      <c r="K144" s="156"/>
      <c r="L144" s="156"/>
      <c r="M144" s="156"/>
      <c r="N144" s="156"/>
      <c r="O144" s="156"/>
      <c r="P144" s="156"/>
      <c r="Q144" s="156"/>
      <c r="R144" s="156"/>
      <c r="S144" s="156"/>
      <c r="T144" s="156"/>
      <c r="U144" s="156"/>
      <c r="V144" s="156"/>
      <c r="W144" s="156"/>
      <c r="X144" s="156"/>
      <c r="Y144" s="156"/>
      <c r="Z144" s="156"/>
      <c r="AA144" s="156"/>
      <c r="AB144" s="156"/>
      <c r="AC144" s="156"/>
      <c r="AD144" s="156"/>
      <c r="AE144" s="156"/>
      <c r="AF144" s="156"/>
      <c r="AG144" s="143"/>
    </row>
    <row r="145">
      <c r="A145" s="193" t="s">
        <v>184</v>
      </c>
      <c r="B145" s="194"/>
      <c r="C145" s="194"/>
      <c r="D145" s="195"/>
      <c r="E145" s="195"/>
      <c r="F145" s="195"/>
      <c r="G145" s="195"/>
      <c r="H145" s="195"/>
      <c r="I145" s="195"/>
      <c r="J145" s="195"/>
      <c r="K145" s="194"/>
      <c r="L145" s="194"/>
      <c r="M145" s="194"/>
      <c r="N145" s="194"/>
      <c r="O145" s="194"/>
      <c r="P145" s="194"/>
      <c r="Q145" s="194"/>
      <c r="R145" s="194"/>
      <c r="S145" s="194"/>
      <c r="T145" s="194"/>
      <c r="U145" s="194"/>
      <c r="V145" s="194"/>
      <c r="W145" s="194"/>
      <c r="X145" s="194"/>
      <c r="Y145" s="194"/>
      <c r="Z145" s="194"/>
      <c r="AA145" s="194"/>
      <c r="AB145" s="194"/>
      <c r="AC145" s="194"/>
      <c r="AD145" s="194"/>
      <c r="AE145" s="194"/>
      <c r="AF145" s="194"/>
      <c r="AG145" s="143"/>
    </row>
    <row r="146" outlineLevel="1">
      <c r="A146" s="193" t="s">
        <v>185</v>
      </c>
      <c r="B146" s="176">
        <v>0.0</v>
      </c>
      <c r="C146" s="176">
        <v>0.0</v>
      </c>
      <c r="D146" s="176">
        <v>0.0</v>
      </c>
      <c r="E146" s="176">
        <v>0.0</v>
      </c>
      <c r="F146" s="176">
        <v>0.0</v>
      </c>
      <c r="G146" s="176">
        <v>0.0</v>
      </c>
      <c r="H146" s="176">
        <v>0.0</v>
      </c>
      <c r="I146" s="176">
        <v>0.0</v>
      </c>
      <c r="J146" s="176">
        <v>0.0</v>
      </c>
      <c r="K146" s="176">
        <v>0.0</v>
      </c>
      <c r="L146" s="176">
        <v>0.0</v>
      </c>
      <c r="M146" s="176">
        <v>0.0</v>
      </c>
      <c r="N146" s="176">
        <v>0.0</v>
      </c>
      <c r="O146" s="176">
        <v>0.0</v>
      </c>
      <c r="P146" s="176">
        <v>0.0</v>
      </c>
      <c r="Q146" s="176">
        <v>0.0</v>
      </c>
      <c r="R146" s="176">
        <v>0.0</v>
      </c>
      <c r="S146" s="176">
        <v>0.0</v>
      </c>
      <c r="T146" s="176">
        <v>0.0</v>
      </c>
      <c r="U146" s="176">
        <v>0.0</v>
      </c>
      <c r="V146" s="176">
        <v>0.0</v>
      </c>
      <c r="W146" s="176">
        <v>0.0</v>
      </c>
      <c r="X146" s="176">
        <v>0.0</v>
      </c>
      <c r="Y146" s="176">
        <v>7.0</v>
      </c>
      <c r="Z146" s="176">
        <v>6.0</v>
      </c>
      <c r="AA146" s="176">
        <v>6.0</v>
      </c>
      <c r="AB146" s="176">
        <v>8.0</v>
      </c>
      <c r="AC146" s="176">
        <v>9.0</v>
      </c>
      <c r="AD146" s="176">
        <v>12.0</v>
      </c>
      <c r="AE146" s="176">
        <v>5.0</v>
      </c>
      <c r="AF146" s="176">
        <v>9.0</v>
      </c>
      <c r="AG146" s="143">
        <f t="shared" ref="AG146:AG149" si="57">sum(B146:AF146)</f>
        <v>62</v>
      </c>
    </row>
    <row r="147" outlineLevel="1">
      <c r="A147" s="193" t="s">
        <v>186</v>
      </c>
      <c r="B147" s="184">
        <v>13.0</v>
      </c>
      <c r="C147" s="184">
        <v>19.0</v>
      </c>
      <c r="D147" s="184">
        <v>33.0</v>
      </c>
      <c r="E147" s="184">
        <v>25.0</v>
      </c>
      <c r="F147" s="184">
        <v>27.0</v>
      </c>
      <c r="G147" s="184">
        <v>19.0</v>
      </c>
      <c r="H147" s="184">
        <v>14.0</v>
      </c>
      <c r="I147" s="184">
        <v>17.0</v>
      </c>
      <c r="J147" s="184">
        <v>10.0</v>
      </c>
      <c r="K147" s="184">
        <v>7.0</v>
      </c>
      <c r="L147" s="184">
        <v>11.0</v>
      </c>
      <c r="M147" s="184">
        <v>15.0</v>
      </c>
      <c r="N147" s="184">
        <v>9.0</v>
      </c>
      <c r="O147" s="184">
        <v>5.0</v>
      </c>
      <c r="P147" s="184">
        <v>13.0</v>
      </c>
      <c r="Q147" s="184">
        <v>10.0</v>
      </c>
      <c r="R147" s="184">
        <v>9.0</v>
      </c>
      <c r="S147" s="83">
        <v>5.0</v>
      </c>
      <c r="T147" s="83">
        <v>17.0</v>
      </c>
      <c r="U147" s="176">
        <v>16.0</v>
      </c>
      <c r="V147" s="176">
        <v>10.0</v>
      </c>
      <c r="W147" s="176">
        <v>11.0</v>
      </c>
      <c r="X147" s="176">
        <v>9.0</v>
      </c>
      <c r="Y147" s="176">
        <v>3.0</v>
      </c>
      <c r="Z147" s="176">
        <v>4.0</v>
      </c>
      <c r="AA147" s="176">
        <v>8.0</v>
      </c>
      <c r="AB147" s="176">
        <v>4.0</v>
      </c>
      <c r="AC147" s="176">
        <v>11.0</v>
      </c>
      <c r="AD147" s="176">
        <v>3.0</v>
      </c>
      <c r="AE147" s="176">
        <v>3.0</v>
      </c>
      <c r="AF147" s="176">
        <v>1.0</v>
      </c>
      <c r="AG147" s="143">
        <f t="shared" si="57"/>
        <v>361</v>
      </c>
    </row>
    <row r="148" outlineLevel="1">
      <c r="A148" s="193" t="s">
        <v>187</v>
      </c>
      <c r="B148" s="176">
        <v>0.0</v>
      </c>
      <c r="C148" s="176">
        <v>0.0</v>
      </c>
      <c r="D148" s="176">
        <v>0.0</v>
      </c>
      <c r="E148" s="176">
        <v>0.0</v>
      </c>
      <c r="F148" s="176">
        <v>0.0</v>
      </c>
      <c r="G148" s="176">
        <v>0.0</v>
      </c>
      <c r="H148" s="176">
        <v>0.0</v>
      </c>
      <c r="I148" s="176">
        <v>18.0</v>
      </c>
      <c r="J148" s="176">
        <v>30.0</v>
      </c>
      <c r="K148" s="176">
        <v>26.0</v>
      </c>
      <c r="L148" s="176">
        <v>36.0</v>
      </c>
      <c r="M148" s="176">
        <v>39.0</v>
      </c>
      <c r="N148" s="176">
        <v>37.0</v>
      </c>
      <c r="O148" s="176">
        <v>33.0</v>
      </c>
      <c r="P148" s="176">
        <v>40.0</v>
      </c>
      <c r="Q148" s="176">
        <v>33.0</v>
      </c>
      <c r="R148" s="176">
        <v>39.0</v>
      </c>
      <c r="S148" s="176">
        <v>32.0</v>
      </c>
      <c r="T148" s="176">
        <v>41.0</v>
      </c>
      <c r="U148" s="176">
        <v>67.0</v>
      </c>
      <c r="V148" s="176">
        <v>27.0</v>
      </c>
      <c r="W148" s="176">
        <v>33.0</v>
      </c>
      <c r="X148" s="176">
        <v>46.0</v>
      </c>
      <c r="Y148" s="176">
        <v>25.0</v>
      </c>
      <c r="Z148" s="176">
        <v>23.0</v>
      </c>
      <c r="AA148" s="176">
        <v>25.0</v>
      </c>
      <c r="AB148" s="176">
        <v>27.0</v>
      </c>
      <c r="AC148" s="176">
        <v>20.0</v>
      </c>
      <c r="AD148" s="176">
        <v>25.0</v>
      </c>
      <c r="AE148" s="176">
        <v>14.0</v>
      </c>
      <c r="AF148" s="176">
        <v>30.0</v>
      </c>
      <c r="AG148" s="143">
        <f t="shared" si="57"/>
        <v>766</v>
      </c>
    </row>
    <row r="149" outlineLevel="1">
      <c r="A149" s="193" t="s">
        <v>188</v>
      </c>
      <c r="B149" s="184">
        <v>48.0</v>
      </c>
      <c r="C149" s="184">
        <v>50.0</v>
      </c>
      <c r="D149" s="184">
        <v>58.0</v>
      </c>
      <c r="E149" s="184">
        <v>53.0</v>
      </c>
      <c r="F149" s="184">
        <v>53.0</v>
      </c>
      <c r="G149" s="184">
        <v>70.0</v>
      </c>
      <c r="H149" s="184">
        <v>63.0</v>
      </c>
      <c r="I149" s="184">
        <v>33.0</v>
      </c>
      <c r="J149" s="184">
        <v>19.0</v>
      </c>
      <c r="K149" s="184">
        <v>17.0</v>
      </c>
      <c r="L149" s="184">
        <v>14.0</v>
      </c>
      <c r="M149" s="184">
        <v>24.0</v>
      </c>
      <c r="N149" s="184">
        <v>12.0</v>
      </c>
      <c r="O149" s="184">
        <v>11.0</v>
      </c>
      <c r="P149" s="184">
        <v>12.0</v>
      </c>
      <c r="Q149" s="184">
        <v>15.0</v>
      </c>
      <c r="R149" s="184">
        <v>27.0</v>
      </c>
      <c r="S149" s="83">
        <v>20.0</v>
      </c>
      <c r="T149" s="83">
        <v>4.0</v>
      </c>
      <c r="U149" s="176">
        <v>0.0</v>
      </c>
      <c r="V149" s="176">
        <v>0.0</v>
      </c>
      <c r="W149" s="176">
        <v>0.0</v>
      </c>
      <c r="X149" s="176">
        <v>0.0</v>
      </c>
      <c r="Y149" s="176">
        <v>9.0</v>
      </c>
      <c r="Z149" s="176">
        <v>11.0</v>
      </c>
      <c r="AA149" s="176">
        <v>9.0</v>
      </c>
      <c r="AB149" s="176">
        <v>6.0</v>
      </c>
      <c r="AC149" s="176">
        <v>10.0</v>
      </c>
      <c r="AD149" s="176">
        <v>9.0</v>
      </c>
      <c r="AE149" s="176">
        <v>9.0</v>
      </c>
      <c r="AF149" s="176">
        <v>6.0</v>
      </c>
      <c r="AG149" s="143">
        <f t="shared" si="57"/>
        <v>672</v>
      </c>
    </row>
    <row r="150">
      <c r="A150" s="193" t="s">
        <v>189</v>
      </c>
      <c r="B150" s="194"/>
      <c r="C150" s="194"/>
      <c r="D150" s="195"/>
      <c r="E150" s="195"/>
      <c r="F150" s="195"/>
      <c r="G150" s="195"/>
      <c r="H150" s="195"/>
      <c r="I150" s="195"/>
      <c r="J150" s="195"/>
      <c r="K150" s="194"/>
      <c r="L150" s="194"/>
      <c r="M150" s="194"/>
      <c r="N150" s="194"/>
      <c r="O150" s="194"/>
      <c r="P150" s="194"/>
      <c r="Q150" s="194"/>
      <c r="R150" s="194"/>
      <c r="S150" s="194"/>
      <c r="T150" s="194"/>
      <c r="U150" s="194"/>
      <c r="V150" s="194"/>
      <c r="W150" s="194"/>
      <c r="X150" s="194"/>
      <c r="Y150" s="194"/>
      <c r="Z150" s="194"/>
      <c r="AA150" s="194"/>
      <c r="AB150" s="194"/>
      <c r="AC150" s="194"/>
      <c r="AD150" s="194"/>
      <c r="AE150" s="194"/>
      <c r="AF150" s="194"/>
      <c r="AG150" s="143"/>
    </row>
    <row r="151" outlineLevel="1">
      <c r="A151" s="193" t="s">
        <v>190</v>
      </c>
      <c r="B151" s="176">
        <v>0.0</v>
      </c>
      <c r="C151" s="176">
        <v>0.0</v>
      </c>
      <c r="D151" s="176">
        <v>0.0</v>
      </c>
      <c r="E151" s="176">
        <v>0.0</v>
      </c>
      <c r="F151" s="176">
        <v>0.0</v>
      </c>
      <c r="G151" s="176">
        <v>0.0</v>
      </c>
      <c r="H151" s="176">
        <v>0.0</v>
      </c>
      <c r="I151" s="176">
        <v>0.0</v>
      </c>
      <c r="J151" s="176">
        <v>0.0</v>
      </c>
      <c r="K151" s="176">
        <v>0.0</v>
      </c>
      <c r="L151" s="176">
        <v>0.0</v>
      </c>
      <c r="M151" s="176">
        <v>0.0</v>
      </c>
      <c r="N151" s="176">
        <v>0.0</v>
      </c>
      <c r="O151" s="176">
        <v>0.0</v>
      </c>
      <c r="P151" s="176">
        <v>0.0</v>
      </c>
      <c r="Q151" s="176">
        <v>0.0</v>
      </c>
      <c r="R151" s="176">
        <v>0.0</v>
      </c>
      <c r="S151" s="176">
        <v>0.0</v>
      </c>
      <c r="T151" s="176">
        <v>0.0</v>
      </c>
      <c r="U151" s="176">
        <v>0.0</v>
      </c>
      <c r="V151" s="176">
        <v>0.0</v>
      </c>
      <c r="W151" s="176">
        <v>0.0</v>
      </c>
      <c r="X151" s="176">
        <v>0.0</v>
      </c>
      <c r="Y151" s="176">
        <v>0.0</v>
      </c>
      <c r="Z151" s="176">
        <v>3.0</v>
      </c>
      <c r="AA151" s="176">
        <v>2.0</v>
      </c>
      <c r="AB151" s="176">
        <v>0.0</v>
      </c>
      <c r="AC151" s="176">
        <v>1.0</v>
      </c>
      <c r="AD151" s="176">
        <v>1.0</v>
      </c>
      <c r="AE151" s="176">
        <v>2.0</v>
      </c>
      <c r="AF151" s="176">
        <v>1.0</v>
      </c>
      <c r="AG151" s="143">
        <f t="shared" ref="AG151:AG156" si="58">sum(B151:AF151)</f>
        <v>10</v>
      </c>
    </row>
    <row r="152" outlineLevel="1">
      <c r="A152" s="193" t="s">
        <v>191</v>
      </c>
      <c r="B152" s="184">
        <v>4.0</v>
      </c>
      <c r="C152" s="184">
        <v>3.0</v>
      </c>
      <c r="D152" s="184">
        <v>2.0</v>
      </c>
      <c r="E152" s="184">
        <v>3.0</v>
      </c>
      <c r="F152" s="184">
        <v>2.0</v>
      </c>
      <c r="G152" s="184">
        <v>1.0</v>
      </c>
      <c r="H152" s="184">
        <v>1.0</v>
      </c>
      <c r="I152" s="184">
        <v>2.0</v>
      </c>
      <c r="J152" s="184">
        <v>2.0</v>
      </c>
      <c r="K152" s="184">
        <v>2.0</v>
      </c>
      <c r="L152" s="184">
        <v>1.0</v>
      </c>
      <c r="M152" s="184">
        <v>3.0</v>
      </c>
      <c r="N152" s="184">
        <v>1.0</v>
      </c>
      <c r="O152" s="184">
        <v>2.0</v>
      </c>
      <c r="P152" s="184">
        <v>0.0</v>
      </c>
      <c r="Q152" s="184">
        <v>3.0</v>
      </c>
      <c r="R152" s="184">
        <v>2.0</v>
      </c>
      <c r="S152" s="83">
        <v>2.0</v>
      </c>
      <c r="T152" s="83">
        <v>4.0</v>
      </c>
      <c r="U152" s="176">
        <v>1.0</v>
      </c>
      <c r="V152" s="176">
        <v>1.0</v>
      </c>
      <c r="W152" s="176">
        <v>0.0</v>
      </c>
      <c r="X152" s="176">
        <v>0.0</v>
      </c>
      <c r="Y152" s="176">
        <v>0.0</v>
      </c>
      <c r="Z152" s="176">
        <v>0.0</v>
      </c>
      <c r="AA152" s="176">
        <v>0.0</v>
      </c>
      <c r="AB152" s="176">
        <v>0.0</v>
      </c>
      <c r="AC152" s="176">
        <v>1.0</v>
      </c>
      <c r="AD152" s="176">
        <v>0.0</v>
      </c>
      <c r="AE152" s="176">
        <v>1.0</v>
      </c>
      <c r="AF152" s="176">
        <v>0.0</v>
      </c>
      <c r="AG152" s="143">
        <f t="shared" si="58"/>
        <v>44</v>
      </c>
    </row>
    <row r="153" outlineLevel="1">
      <c r="A153" s="193" t="s">
        <v>192</v>
      </c>
      <c r="B153" s="176">
        <v>0.0</v>
      </c>
      <c r="C153" s="176">
        <v>0.0</v>
      </c>
      <c r="D153" s="176">
        <v>0.0</v>
      </c>
      <c r="E153" s="176">
        <v>0.0</v>
      </c>
      <c r="F153" s="176">
        <v>0.0</v>
      </c>
      <c r="G153" s="176">
        <v>0.0</v>
      </c>
      <c r="H153" s="176">
        <v>0.0</v>
      </c>
      <c r="I153" s="176">
        <v>1.0</v>
      </c>
      <c r="J153" s="176">
        <v>5.0</v>
      </c>
      <c r="K153" s="176">
        <v>9.0</v>
      </c>
      <c r="L153" s="176">
        <v>8.0</v>
      </c>
      <c r="M153" s="176">
        <v>7.0</v>
      </c>
      <c r="N153" s="176">
        <v>5.0</v>
      </c>
      <c r="O153" s="176">
        <v>8.0</v>
      </c>
      <c r="P153" s="176">
        <v>4.0</v>
      </c>
      <c r="Q153" s="176">
        <v>4.0</v>
      </c>
      <c r="R153" s="176">
        <v>2.0</v>
      </c>
      <c r="S153" s="176">
        <v>5.0</v>
      </c>
      <c r="T153" s="176">
        <v>6.0</v>
      </c>
      <c r="U153" s="176">
        <v>6.0</v>
      </c>
      <c r="V153" s="176">
        <v>1.0</v>
      </c>
      <c r="W153" s="176">
        <v>4.0</v>
      </c>
      <c r="X153" s="176">
        <v>6.0</v>
      </c>
      <c r="Y153" s="176">
        <v>3.0</v>
      </c>
      <c r="Z153" s="176">
        <v>1.0</v>
      </c>
      <c r="AA153" s="176">
        <v>0.0</v>
      </c>
      <c r="AB153" s="176">
        <v>5.0</v>
      </c>
      <c r="AC153" s="176">
        <v>5.0</v>
      </c>
      <c r="AD153" s="176">
        <v>5.0</v>
      </c>
      <c r="AE153" s="176">
        <v>9.0</v>
      </c>
      <c r="AF153" s="176">
        <v>1.0</v>
      </c>
      <c r="AG153" s="143">
        <f t="shared" si="58"/>
        <v>110</v>
      </c>
    </row>
    <row r="154" outlineLevel="1">
      <c r="A154" s="193" t="s">
        <v>193</v>
      </c>
      <c r="B154" s="184">
        <v>12.0</v>
      </c>
      <c r="C154" s="184">
        <v>7.0</v>
      </c>
      <c r="D154" s="184">
        <v>8.0</v>
      </c>
      <c r="E154" s="184">
        <v>9.0</v>
      </c>
      <c r="F154" s="184">
        <v>5.0</v>
      </c>
      <c r="G154" s="184">
        <v>3.0</v>
      </c>
      <c r="H154" s="184">
        <v>8.0</v>
      </c>
      <c r="I154" s="184">
        <v>8.0</v>
      </c>
      <c r="J154" s="184">
        <v>4.0</v>
      </c>
      <c r="K154" s="184">
        <v>2.0</v>
      </c>
      <c r="L154" s="184">
        <v>3.0</v>
      </c>
      <c r="M154" s="184">
        <v>0.0</v>
      </c>
      <c r="N154" s="184">
        <v>4.0</v>
      </c>
      <c r="O154" s="184">
        <v>5.0</v>
      </c>
      <c r="P154" s="184">
        <v>1.0</v>
      </c>
      <c r="Q154" s="184">
        <v>1.0</v>
      </c>
      <c r="R154" s="184">
        <v>4.0</v>
      </c>
      <c r="S154" s="83">
        <v>3.0</v>
      </c>
      <c r="T154" s="83">
        <v>0.0</v>
      </c>
      <c r="U154" s="176">
        <v>0.0</v>
      </c>
      <c r="V154" s="176">
        <v>0.0</v>
      </c>
      <c r="W154" s="176">
        <v>0.0</v>
      </c>
      <c r="X154" s="176">
        <v>0.0</v>
      </c>
      <c r="Y154" s="176">
        <v>2.0</v>
      </c>
      <c r="Z154" s="176">
        <v>0.0</v>
      </c>
      <c r="AA154" s="176">
        <v>2.0</v>
      </c>
      <c r="AB154" s="176">
        <v>2.0</v>
      </c>
      <c r="AC154" s="176">
        <v>2.0</v>
      </c>
      <c r="AD154" s="176">
        <v>2.0</v>
      </c>
      <c r="AE154" s="176">
        <v>1.0</v>
      </c>
      <c r="AF154" s="176">
        <v>1.0</v>
      </c>
      <c r="AG154" s="143">
        <f t="shared" si="58"/>
        <v>99</v>
      </c>
    </row>
    <row r="155">
      <c r="A155" s="196" t="s">
        <v>194</v>
      </c>
      <c r="B155" s="197">
        <f t="shared" ref="B155:AF155" si="59">B146+B151+B147+B152</f>
        <v>17</v>
      </c>
      <c r="C155" s="197">
        <f t="shared" si="59"/>
        <v>22</v>
      </c>
      <c r="D155" s="197">
        <f t="shared" si="59"/>
        <v>35</v>
      </c>
      <c r="E155" s="197">
        <f t="shared" si="59"/>
        <v>28</v>
      </c>
      <c r="F155" s="197">
        <f t="shared" si="59"/>
        <v>29</v>
      </c>
      <c r="G155" s="197">
        <f t="shared" si="59"/>
        <v>20</v>
      </c>
      <c r="H155" s="197">
        <f t="shared" si="59"/>
        <v>15</v>
      </c>
      <c r="I155" s="197">
        <f t="shared" si="59"/>
        <v>19</v>
      </c>
      <c r="J155" s="197">
        <f t="shared" si="59"/>
        <v>12</v>
      </c>
      <c r="K155" s="197">
        <f t="shared" si="59"/>
        <v>9</v>
      </c>
      <c r="L155" s="197">
        <f t="shared" si="59"/>
        <v>12</v>
      </c>
      <c r="M155" s="197">
        <f t="shared" si="59"/>
        <v>18</v>
      </c>
      <c r="N155" s="197">
        <f t="shared" si="59"/>
        <v>10</v>
      </c>
      <c r="O155" s="197">
        <f t="shared" si="59"/>
        <v>7</v>
      </c>
      <c r="P155" s="197">
        <f t="shared" si="59"/>
        <v>13</v>
      </c>
      <c r="Q155" s="197">
        <f t="shared" si="59"/>
        <v>13</v>
      </c>
      <c r="R155" s="197">
        <f t="shared" si="59"/>
        <v>11</v>
      </c>
      <c r="S155" s="197">
        <f t="shared" si="59"/>
        <v>7</v>
      </c>
      <c r="T155" s="197">
        <f t="shared" si="59"/>
        <v>21</v>
      </c>
      <c r="U155" s="197">
        <f t="shared" si="59"/>
        <v>17</v>
      </c>
      <c r="V155" s="197">
        <f t="shared" si="59"/>
        <v>11</v>
      </c>
      <c r="W155" s="197">
        <f t="shared" si="59"/>
        <v>11</v>
      </c>
      <c r="X155" s="197">
        <f t="shared" si="59"/>
        <v>9</v>
      </c>
      <c r="Y155" s="197">
        <f t="shared" si="59"/>
        <v>10</v>
      </c>
      <c r="Z155" s="197">
        <f t="shared" si="59"/>
        <v>13</v>
      </c>
      <c r="AA155" s="197">
        <f t="shared" si="59"/>
        <v>16</v>
      </c>
      <c r="AB155" s="197">
        <f t="shared" si="59"/>
        <v>12</v>
      </c>
      <c r="AC155" s="197">
        <f t="shared" si="59"/>
        <v>22</v>
      </c>
      <c r="AD155" s="197">
        <f t="shared" si="59"/>
        <v>16</v>
      </c>
      <c r="AE155" s="197">
        <f t="shared" si="59"/>
        <v>11</v>
      </c>
      <c r="AF155" s="197">
        <f t="shared" si="59"/>
        <v>11</v>
      </c>
      <c r="AG155" s="143">
        <f t="shared" si="58"/>
        <v>477</v>
      </c>
    </row>
    <row r="156">
      <c r="A156" s="196" t="s">
        <v>195</v>
      </c>
      <c r="B156" s="197">
        <f t="shared" ref="B156:AF156" si="60">B148+B153+B149+B154</f>
        <v>60</v>
      </c>
      <c r="C156" s="197">
        <f t="shared" si="60"/>
        <v>57</v>
      </c>
      <c r="D156" s="197">
        <f t="shared" si="60"/>
        <v>66</v>
      </c>
      <c r="E156" s="197">
        <f t="shared" si="60"/>
        <v>62</v>
      </c>
      <c r="F156" s="197">
        <f t="shared" si="60"/>
        <v>58</v>
      </c>
      <c r="G156" s="197">
        <f t="shared" si="60"/>
        <v>73</v>
      </c>
      <c r="H156" s="197">
        <f t="shared" si="60"/>
        <v>71</v>
      </c>
      <c r="I156" s="197">
        <f t="shared" si="60"/>
        <v>60</v>
      </c>
      <c r="J156" s="197">
        <f t="shared" si="60"/>
        <v>58</v>
      </c>
      <c r="K156" s="197">
        <f t="shared" si="60"/>
        <v>54</v>
      </c>
      <c r="L156" s="197">
        <f t="shared" si="60"/>
        <v>61</v>
      </c>
      <c r="M156" s="197">
        <f t="shared" si="60"/>
        <v>70</v>
      </c>
      <c r="N156" s="197">
        <f t="shared" si="60"/>
        <v>58</v>
      </c>
      <c r="O156" s="197">
        <f t="shared" si="60"/>
        <v>57</v>
      </c>
      <c r="P156" s="197">
        <f t="shared" si="60"/>
        <v>57</v>
      </c>
      <c r="Q156" s="197">
        <f t="shared" si="60"/>
        <v>53</v>
      </c>
      <c r="R156" s="197">
        <f t="shared" si="60"/>
        <v>72</v>
      </c>
      <c r="S156" s="197">
        <f t="shared" si="60"/>
        <v>60</v>
      </c>
      <c r="T156" s="197">
        <f t="shared" si="60"/>
        <v>51</v>
      </c>
      <c r="U156" s="197">
        <f t="shared" si="60"/>
        <v>73</v>
      </c>
      <c r="V156" s="197">
        <f t="shared" si="60"/>
        <v>28</v>
      </c>
      <c r="W156" s="197">
        <f t="shared" si="60"/>
        <v>37</v>
      </c>
      <c r="X156" s="197">
        <f t="shared" si="60"/>
        <v>52</v>
      </c>
      <c r="Y156" s="197">
        <f t="shared" si="60"/>
        <v>39</v>
      </c>
      <c r="Z156" s="197">
        <f t="shared" si="60"/>
        <v>35</v>
      </c>
      <c r="AA156" s="197">
        <f t="shared" si="60"/>
        <v>36</v>
      </c>
      <c r="AB156" s="197">
        <f t="shared" si="60"/>
        <v>40</v>
      </c>
      <c r="AC156" s="197">
        <f t="shared" si="60"/>
        <v>37</v>
      </c>
      <c r="AD156" s="197">
        <f t="shared" si="60"/>
        <v>41</v>
      </c>
      <c r="AE156" s="197">
        <f t="shared" si="60"/>
        <v>33</v>
      </c>
      <c r="AF156" s="197">
        <f t="shared" si="60"/>
        <v>38</v>
      </c>
      <c r="AG156" s="143">
        <f t="shared" si="58"/>
        <v>1647</v>
      </c>
    </row>
    <row r="157" ht="21.0" customHeight="1">
      <c r="A157" s="98"/>
      <c r="B157" s="135"/>
      <c r="C157" s="135"/>
      <c r="D157" s="135"/>
      <c r="E157" s="135"/>
      <c r="F157" s="135"/>
      <c r="G157" s="135"/>
      <c r="H157" s="135"/>
      <c r="I157" s="82"/>
      <c r="J157" s="82"/>
      <c r="K157" s="82"/>
      <c r="L157" s="82"/>
      <c r="M157" s="82"/>
      <c r="N157" s="82"/>
      <c r="O157" s="82"/>
      <c r="P157" s="82"/>
      <c r="Q157" s="82"/>
      <c r="R157" s="82"/>
      <c r="S157" s="82"/>
      <c r="T157" s="82"/>
      <c r="U157" s="82"/>
      <c r="V157" s="82"/>
      <c r="W157" s="82"/>
      <c r="X157" s="82"/>
      <c r="Y157" s="82"/>
      <c r="Z157" s="82"/>
      <c r="AA157" s="82"/>
      <c r="AB157" s="82"/>
      <c r="AC157" s="82"/>
      <c r="AD157" s="82"/>
      <c r="AE157" s="82"/>
      <c r="AF157" s="82"/>
      <c r="AG157" s="143"/>
    </row>
    <row r="158">
      <c r="A158" s="193" t="s">
        <v>196</v>
      </c>
      <c r="B158" s="194"/>
      <c r="C158" s="194"/>
      <c r="D158" s="194"/>
      <c r="E158" s="194"/>
      <c r="F158" s="194"/>
      <c r="G158" s="194"/>
      <c r="H158" s="194"/>
      <c r="I158" s="194"/>
      <c r="J158" s="194"/>
      <c r="K158" s="194"/>
      <c r="L158" s="194"/>
      <c r="M158" s="194"/>
      <c r="N158" s="194"/>
      <c r="O158" s="194"/>
      <c r="P158" s="194"/>
      <c r="Q158" s="194"/>
      <c r="R158" s="194"/>
      <c r="S158" s="194"/>
      <c r="T158" s="194"/>
      <c r="U158" s="194"/>
      <c r="V158" s="194"/>
      <c r="W158" s="194"/>
      <c r="X158" s="194"/>
      <c r="Y158" s="194"/>
      <c r="Z158" s="194"/>
      <c r="AA158" s="194"/>
      <c r="AB158" s="194"/>
      <c r="AC158" s="194"/>
      <c r="AD158" s="194"/>
      <c r="AE158" s="194"/>
      <c r="AF158" s="194"/>
      <c r="AG158" s="143"/>
    </row>
    <row r="159" outlineLevel="1">
      <c r="A159" s="193" t="s">
        <v>197</v>
      </c>
      <c r="B159" s="176">
        <v>51.0</v>
      </c>
      <c r="C159" s="176">
        <v>46.0</v>
      </c>
      <c r="D159" s="176">
        <v>44.0</v>
      </c>
      <c r="E159" s="176">
        <v>49.0</v>
      </c>
      <c r="F159" s="176">
        <v>40.0</v>
      </c>
      <c r="G159" s="176">
        <v>53.0</v>
      </c>
      <c r="H159" s="176">
        <v>56.0</v>
      </c>
      <c r="I159" s="176">
        <v>26.0</v>
      </c>
      <c r="J159" s="176">
        <v>21.0</v>
      </c>
      <c r="K159" s="176">
        <v>17.0</v>
      </c>
      <c r="L159" s="176">
        <v>20.0</v>
      </c>
      <c r="M159" s="176">
        <v>20.0</v>
      </c>
      <c r="N159" s="176">
        <v>29.0</v>
      </c>
      <c r="O159" s="176">
        <v>29.0</v>
      </c>
      <c r="P159" s="176">
        <v>28.0</v>
      </c>
      <c r="Q159" s="176">
        <v>16.0</v>
      </c>
      <c r="R159" s="176">
        <v>27.0</v>
      </c>
      <c r="S159" s="176">
        <v>18.0</v>
      </c>
      <c r="T159" s="176">
        <v>17.0</v>
      </c>
      <c r="U159" s="83">
        <v>31.0</v>
      </c>
      <c r="V159" s="83">
        <v>25.0</v>
      </c>
      <c r="W159" s="83">
        <v>23.0</v>
      </c>
      <c r="X159" s="83">
        <v>13.0</v>
      </c>
      <c r="Y159" s="176">
        <v>10.0</v>
      </c>
      <c r="Z159" s="176">
        <v>10.0</v>
      </c>
      <c r="AA159" s="176">
        <v>18.0</v>
      </c>
      <c r="AB159" s="176">
        <v>13.0</v>
      </c>
      <c r="AC159" s="176">
        <v>14.0</v>
      </c>
      <c r="AD159" s="176">
        <v>19.0</v>
      </c>
      <c r="AE159" s="176">
        <v>11.0</v>
      </c>
      <c r="AF159" s="176">
        <v>11.0</v>
      </c>
      <c r="AG159" s="143">
        <f t="shared" ref="AG159:AG167" si="61">sum(B159:AF159)</f>
        <v>805</v>
      </c>
    </row>
    <row r="160" outlineLevel="1">
      <c r="A160" s="193" t="s">
        <v>198</v>
      </c>
      <c r="B160" s="176">
        <v>49.0</v>
      </c>
      <c r="C160" s="176">
        <v>41.0</v>
      </c>
      <c r="D160" s="176">
        <v>37.0</v>
      </c>
      <c r="E160" s="176">
        <v>27.0</v>
      </c>
      <c r="F160" s="176">
        <v>42.0</v>
      </c>
      <c r="G160" s="176">
        <v>41.0</v>
      </c>
      <c r="H160" s="176">
        <v>49.0</v>
      </c>
      <c r="I160" s="176">
        <v>23.0</v>
      </c>
      <c r="J160" s="176">
        <v>23.0</v>
      </c>
      <c r="K160" s="176">
        <v>24.0</v>
      </c>
      <c r="L160" s="176">
        <v>27.0</v>
      </c>
      <c r="M160" s="176">
        <v>24.0</v>
      </c>
      <c r="N160" s="176">
        <v>27.0</v>
      </c>
      <c r="O160" s="176">
        <v>27.0</v>
      </c>
      <c r="P160" s="176">
        <v>20.0</v>
      </c>
      <c r="Q160" s="176">
        <v>12.0</v>
      </c>
      <c r="R160" s="176">
        <v>20.0</v>
      </c>
      <c r="S160" s="176">
        <v>20.0</v>
      </c>
      <c r="T160" s="176">
        <v>15.0</v>
      </c>
      <c r="U160" s="83">
        <v>20.0</v>
      </c>
      <c r="V160" s="83">
        <v>25.0</v>
      </c>
      <c r="W160" s="83">
        <v>11.0</v>
      </c>
      <c r="X160" s="83">
        <v>16.0</v>
      </c>
      <c r="Y160" s="176">
        <v>13.0</v>
      </c>
      <c r="Z160" s="176">
        <v>19.0</v>
      </c>
      <c r="AA160" s="176">
        <v>27.0</v>
      </c>
      <c r="AB160" s="176">
        <v>21.0</v>
      </c>
      <c r="AC160" s="176">
        <v>18.0</v>
      </c>
      <c r="AD160" s="176">
        <v>23.0</v>
      </c>
      <c r="AE160" s="176">
        <v>11.0</v>
      </c>
      <c r="AF160" s="176">
        <v>9.0</v>
      </c>
      <c r="AG160" s="143">
        <f t="shared" si="61"/>
        <v>761</v>
      </c>
    </row>
    <row r="161" outlineLevel="1">
      <c r="A161" s="193" t="s">
        <v>199</v>
      </c>
      <c r="B161" s="176">
        <v>9.0</v>
      </c>
      <c r="C161" s="176">
        <v>5.0</v>
      </c>
      <c r="D161" s="176">
        <v>4.0</v>
      </c>
      <c r="E161" s="176">
        <v>7.0</v>
      </c>
      <c r="F161" s="176">
        <v>7.0</v>
      </c>
      <c r="G161" s="176">
        <v>5.0</v>
      </c>
      <c r="H161" s="176">
        <v>8.0</v>
      </c>
      <c r="I161" s="176">
        <v>7.0</v>
      </c>
      <c r="J161" s="176">
        <v>7.0</v>
      </c>
      <c r="K161" s="176">
        <v>1.0</v>
      </c>
      <c r="L161" s="176">
        <v>11.0</v>
      </c>
      <c r="M161" s="176">
        <v>4.0</v>
      </c>
      <c r="N161" s="176">
        <v>10.0</v>
      </c>
      <c r="O161" s="176">
        <v>8.0</v>
      </c>
      <c r="P161" s="176">
        <v>12.0</v>
      </c>
      <c r="Q161" s="176">
        <v>8.0</v>
      </c>
      <c r="R161" s="176">
        <v>9.0</v>
      </c>
      <c r="S161" s="176">
        <v>9.0</v>
      </c>
      <c r="T161" s="176">
        <v>4.0</v>
      </c>
      <c r="U161" s="165">
        <v>9.0</v>
      </c>
      <c r="V161" s="165">
        <v>18.0</v>
      </c>
      <c r="W161" s="165">
        <v>10.0</v>
      </c>
      <c r="X161" s="165">
        <v>9.0</v>
      </c>
      <c r="Y161" s="176">
        <v>7.0</v>
      </c>
      <c r="Z161" s="83">
        <v>7.0</v>
      </c>
      <c r="AA161" s="176">
        <v>10.0</v>
      </c>
      <c r="AB161" s="176">
        <v>13.0</v>
      </c>
      <c r="AC161" s="176">
        <v>7.0</v>
      </c>
      <c r="AD161" s="176">
        <v>11.0</v>
      </c>
      <c r="AE161" s="176">
        <v>2.0</v>
      </c>
      <c r="AF161" s="176">
        <v>4.0</v>
      </c>
      <c r="AG161" s="143">
        <f t="shared" si="61"/>
        <v>242</v>
      </c>
    </row>
    <row r="162" outlineLevel="1">
      <c r="A162" s="193" t="s">
        <v>200</v>
      </c>
      <c r="B162" s="176">
        <v>21.0</v>
      </c>
      <c r="C162" s="176">
        <v>18.0</v>
      </c>
      <c r="D162" s="176">
        <v>21.0</v>
      </c>
      <c r="E162" s="176">
        <v>23.0</v>
      </c>
      <c r="F162" s="176">
        <v>21.0</v>
      </c>
      <c r="G162" s="176">
        <v>30.0</v>
      </c>
      <c r="H162" s="176">
        <v>33.0</v>
      </c>
      <c r="I162" s="176">
        <v>13.0</v>
      </c>
      <c r="J162" s="176">
        <v>11.0</v>
      </c>
      <c r="K162" s="176">
        <v>10.0</v>
      </c>
      <c r="L162" s="176">
        <v>10.0</v>
      </c>
      <c r="M162" s="176">
        <v>13.0</v>
      </c>
      <c r="N162" s="176">
        <v>12.0</v>
      </c>
      <c r="O162" s="176">
        <v>6.0</v>
      </c>
      <c r="P162" s="176">
        <v>8.0</v>
      </c>
      <c r="Q162" s="176">
        <v>7.0</v>
      </c>
      <c r="R162" s="176">
        <v>14.0</v>
      </c>
      <c r="S162" s="83">
        <v>10.0</v>
      </c>
      <c r="T162" s="83">
        <v>4.0</v>
      </c>
      <c r="U162" s="164">
        <v>5.0</v>
      </c>
      <c r="V162" s="165">
        <v>3.0</v>
      </c>
      <c r="W162" s="165">
        <v>1.0</v>
      </c>
      <c r="X162" s="165">
        <v>2.0</v>
      </c>
      <c r="Y162" s="176">
        <v>2.0</v>
      </c>
      <c r="Z162" s="83">
        <v>4.0</v>
      </c>
      <c r="AA162" s="176">
        <v>2.0</v>
      </c>
      <c r="AB162" s="176">
        <v>2.0</v>
      </c>
      <c r="AC162" s="176">
        <v>1.0</v>
      </c>
      <c r="AD162" s="176">
        <v>0.0</v>
      </c>
      <c r="AE162" s="176">
        <v>5.0</v>
      </c>
      <c r="AF162" s="176">
        <v>3.0</v>
      </c>
      <c r="AG162" s="143">
        <f t="shared" si="61"/>
        <v>315</v>
      </c>
    </row>
    <row r="163" outlineLevel="1">
      <c r="A163" s="193" t="s">
        <v>201</v>
      </c>
      <c r="B163" s="176">
        <v>10.0</v>
      </c>
      <c r="C163" s="176">
        <v>11.0</v>
      </c>
      <c r="D163" s="176">
        <v>5.0</v>
      </c>
      <c r="E163" s="176">
        <v>3.0</v>
      </c>
      <c r="F163" s="176">
        <v>6.0</v>
      </c>
      <c r="G163" s="176">
        <v>9.0</v>
      </c>
      <c r="H163" s="176">
        <v>10.0</v>
      </c>
      <c r="I163" s="176">
        <v>8.0</v>
      </c>
      <c r="J163" s="176">
        <v>4.0</v>
      </c>
      <c r="K163" s="176">
        <v>1.0</v>
      </c>
      <c r="L163" s="176">
        <v>6.0</v>
      </c>
      <c r="M163" s="176">
        <v>7.0</v>
      </c>
      <c r="N163" s="176">
        <v>12.0</v>
      </c>
      <c r="O163" s="176">
        <v>13.0</v>
      </c>
      <c r="P163" s="176">
        <v>6.0</v>
      </c>
      <c r="Q163" s="176">
        <v>7.0</v>
      </c>
      <c r="R163" s="176">
        <v>5.0</v>
      </c>
      <c r="S163" s="176">
        <v>6.0</v>
      </c>
      <c r="T163" s="176">
        <v>2.0</v>
      </c>
      <c r="U163" s="165">
        <v>7.0</v>
      </c>
      <c r="V163" s="165">
        <v>9.0</v>
      </c>
      <c r="W163" s="165">
        <v>6.0</v>
      </c>
      <c r="X163" s="165">
        <v>4.0</v>
      </c>
      <c r="Y163" s="176">
        <v>6.0</v>
      </c>
      <c r="Z163" s="176">
        <v>4.0</v>
      </c>
      <c r="AA163" s="176">
        <v>7.0</v>
      </c>
      <c r="AB163" s="176">
        <v>4.0</v>
      </c>
      <c r="AC163" s="176">
        <v>3.0</v>
      </c>
      <c r="AD163" s="176">
        <v>4.0</v>
      </c>
      <c r="AE163" s="176">
        <v>9.0</v>
      </c>
      <c r="AF163" s="176">
        <v>3.0</v>
      </c>
      <c r="AG163" s="143">
        <f t="shared" si="61"/>
        <v>197</v>
      </c>
    </row>
    <row r="164" outlineLevel="1">
      <c r="A164" s="193" t="s">
        <v>202</v>
      </c>
      <c r="B164" s="176">
        <v>9.0</v>
      </c>
      <c r="C164" s="176">
        <v>9.0</v>
      </c>
      <c r="D164" s="176">
        <v>8.0</v>
      </c>
      <c r="E164" s="176">
        <v>6.0</v>
      </c>
      <c r="F164" s="176">
        <v>5.0</v>
      </c>
      <c r="G164" s="176">
        <v>3.0</v>
      </c>
      <c r="H164" s="176">
        <v>12.0</v>
      </c>
      <c r="I164" s="176">
        <v>8.0</v>
      </c>
      <c r="J164" s="176">
        <v>4.0</v>
      </c>
      <c r="K164" s="176">
        <v>5.0</v>
      </c>
      <c r="L164" s="176">
        <v>8.0</v>
      </c>
      <c r="M164" s="176">
        <v>2.0</v>
      </c>
      <c r="N164" s="176">
        <v>5.0</v>
      </c>
      <c r="O164" s="176">
        <v>2.0</v>
      </c>
      <c r="P164" s="176">
        <v>1.0</v>
      </c>
      <c r="Q164" s="176">
        <v>2.0</v>
      </c>
      <c r="R164" s="176">
        <v>5.0</v>
      </c>
      <c r="S164" s="83">
        <v>4.0</v>
      </c>
      <c r="T164" s="83">
        <v>6.0</v>
      </c>
      <c r="U164" s="165">
        <v>3.0</v>
      </c>
      <c r="V164" s="165">
        <v>4.0</v>
      </c>
      <c r="W164" s="165">
        <v>7.0</v>
      </c>
      <c r="X164" s="165">
        <v>2.0</v>
      </c>
      <c r="Y164" s="176">
        <v>1.0</v>
      </c>
      <c r="Z164" s="176">
        <v>3.0</v>
      </c>
      <c r="AA164" s="176">
        <v>3.0</v>
      </c>
      <c r="AB164" s="176">
        <v>4.0</v>
      </c>
      <c r="AC164" s="176">
        <v>7.0</v>
      </c>
      <c r="AD164" s="176">
        <v>3.0</v>
      </c>
      <c r="AE164" s="176">
        <v>1.0</v>
      </c>
      <c r="AF164" s="176">
        <v>1.0</v>
      </c>
      <c r="AG164" s="143">
        <f t="shared" si="61"/>
        <v>143</v>
      </c>
    </row>
    <row r="165" outlineLevel="1">
      <c r="A165" s="193" t="s">
        <v>203</v>
      </c>
      <c r="B165" s="176">
        <v>37.0</v>
      </c>
      <c r="C165" s="176">
        <v>27.0</v>
      </c>
      <c r="D165" s="176">
        <v>20.0</v>
      </c>
      <c r="E165" s="176">
        <v>21.0</v>
      </c>
      <c r="F165" s="176">
        <v>38.0</v>
      </c>
      <c r="G165" s="176">
        <v>37.0</v>
      </c>
      <c r="H165" s="176">
        <v>46.0</v>
      </c>
      <c r="I165" s="176">
        <v>30.0</v>
      </c>
      <c r="J165" s="176">
        <v>28.0</v>
      </c>
      <c r="K165" s="176">
        <v>17.0</v>
      </c>
      <c r="L165" s="176">
        <v>25.0</v>
      </c>
      <c r="M165" s="176">
        <v>30.0</v>
      </c>
      <c r="N165" s="176">
        <v>32.0</v>
      </c>
      <c r="O165" s="176">
        <v>41.0</v>
      </c>
      <c r="P165" s="176">
        <v>33.0</v>
      </c>
      <c r="Q165" s="176">
        <v>28.0</v>
      </c>
      <c r="R165" s="176">
        <v>23.0</v>
      </c>
      <c r="S165" s="176">
        <v>28.0</v>
      </c>
      <c r="T165" s="176">
        <v>35.0</v>
      </c>
      <c r="U165" s="165">
        <v>43.0</v>
      </c>
      <c r="V165" s="165">
        <v>48.0</v>
      </c>
      <c r="W165" s="165">
        <v>38.0</v>
      </c>
      <c r="X165" s="165">
        <v>34.0</v>
      </c>
      <c r="Y165" s="176">
        <v>16.0</v>
      </c>
      <c r="Z165" s="176">
        <v>28.0</v>
      </c>
      <c r="AA165" s="176">
        <v>29.0</v>
      </c>
      <c r="AB165" s="176">
        <v>32.0</v>
      </c>
      <c r="AC165" s="176">
        <v>27.0</v>
      </c>
      <c r="AD165" s="176">
        <v>22.0</v>
      </c>
      <c r="AE165" s="176">
        <v>22.0</v>
      </c>
      <c r="AF165" s="176">
        <v>23.0</v>
      </c>
      <c r="AG165" s="143">
        <f t="shared" si="61"/>
        <v>938</v>
      </c>
    </row>
    <row r="166" outlineLevel="1">
      <c r="A166" s="193" t="s">
        <v>204</v>
      </c>
      <c r="B166" s="176">
        <v>44.0</v>
      </c>
      <c r="C166" s="176">
        <v>40.0</v>
      </c>
      <c r="D166" s="176">
        <v>36.0</v>
      </c>
      <c r="E166" s="176">
        <v>32.0</v>
      </c>
      <c r="F166" s="176">
        <v>42.0</v>
      </c>
      <c r="G166" s="176">
        <v>47.0</v>
      </c>
      <c r="H166" s="176">
        <v>66.0</v>
      </c>
      <c r="I166" s="176">
        <v>22.0</v>
      </c>
      <c r="J166" s="176">
        <v>18.0</v>
      </c>
      <c r="K166" s="176">
        <v>19.0</v>
      </c>
      <c r="L166" s="176">
        <v>22.0</v>
      </c>
      <c r="M166" s="176">
        <v>25.0</v>
      </c>
      <c r="N166" s="176">
        <v>30.0</v>
      </c>
      <c r="O166" s="176">
        <v>19.0</v>
      </c>
      <c r="P166" s="176">
        <v>17.0</v>
      </c>
      <c r="Q166" s="176">
        <v>19.0</v>
      </c>
      <c r="R166" s="176">
        <v>26.0</v>
      </c>
      <c r="S166" s="83">
        <v>20.0</v>
      </c>
      <c r="T166" s="83">
        <v>14.0</v>
      </c>
      <c r="U166" s="165">
        <v>12.0</v>
      </c>
      <c r="V166" s="165">
        <v>14.0</v>
      </c>
      <c r="W166" s="165">
        <v>11.0</v>
      </c>
      <c r="X166" s="165">
        <v>9.0</v>
      </c>
      <c r="Y166" s="176">
        <v>12.0</v>
      </c>
      <c r="Z166" s="176">
        <v>17.0</v>
      </c>
      <c r="AA166" s="176">
        <v>13.0</v>
      </c>
      <c r="AB166" s="176">
        <v>14.0</v>
      </c>
      <c r="AC166" s="176">
        <v>17.0</v>
      </c>
      <c r="AD166" s="176">
        <v>10.0</v>
      </c>
      <c r="AE166" s="176">
        <v>4.0</v>
      </c>
      <c r="AF166" s="176">
        <v>10.0</v>
      </c>
      <c r="AG166" s="143">
        <f t="shared" si="61"/>
        <v>701</v>
      </c>
    </row>
    <row r="167">
      <c r="A167" s="196" t="s">
        <v>130</v>
      </c>
      <c r="B167" s="197">
        <f t="shared" ref="B167:AF167" si="62">SUM(B159:B166)</f>
        <v>230</v>
      </c>
      <c r="C167" s="197">
        <f t="shared" si="62"/>
        <v>197</v>
      </c>
      <c r="D167" s="197">
        <f t="shared" si="62"/>
        <v>175</v>
      </c>
      <c r="E167" s="197">
        <f t="shared" si="62"/>
        <v>168</v>
      </c>
      <c r="F167" s="197">
        <f t="shared" si="62"/>
        <v>201</v>
      </c>
      <c r="G167" s="197">
        <f t="shared" si="62"/>
        <v>225</v>
      </c>
      <c r="H167" s="197">
        <f t="shared" si="62"/>
        <v>280</v>
      </c>
      <c r="I167" s="197">
        <f t="shared" si="62"/>
        <v>137</v>
      </c>
      <c r="J167" s="197">
        <f t="shared" si="62"/>
        <v>116</v>
      </c>
      <c r="K167" s="197">
        <f t="shared" si="62"/>
        <v>94</v>
      </c>
      <c r="L167" s="197">
        <f t="shared" si="62"/>
        <v>129</v>
      </c>
      <c r="M167" s="197">
        <f t="shared" si="62"/>
        <v>125</v>
      </c>
      <c r="N167" s="197">
        <f t="shared" si="62"/>
        <v>157</v>
      </c>
      <c r="O167" s="197">
        <f t="shared" si="62"/>
        <v>145</v>
      </c>
      <c r="P167" s="197">
        <f t="shared" si="62"/>
        <v>125</v>
      </c>
      <c r="Q167" s="197">
        <f t="shared" si="62"/>
        <v>99</v>
      </c>
      <c r="R167" s="197">
        <f t="shared" si="62"/>
        <v>129</v>
      </c>
      <c r="S167" s="197">
        <f t="shared" si="62"/>
        <v>115</v>
      </c>
      <c r="T167" s="197">
        <f t="shared" si="62"/>
        <v>97</v>
      </c>
      <c r="U167" s="197">
        <f t="shared" si="62"/>
        <v>130</v>
      </c>
      <c r="V167" s="197">
        <f t="shared" si="62"/>
        <v>146</v>
      </c>
      <c r="W167" s="197">
        <f t="shared" si="62"/>
        <v>107</v>
      </c>
      <c r="X167" s="197">
        <f t="shared" si="62"/>
        <v>89</v>
      </c>
      <c r="Y167" s="197">
        <f t="shared" si="62"/>
        <v>67</v>
      </c>
      <c r="Z167" s="197">
        <f t="shared" si="62"/>
        <v>92</v>
      </c>
      <c r="AA167" s="197">
        <f t="shared" si="62"/>
        <v>109</v>
      </c>
      <c r="AB167" s="197">
        <f t="shared" si="62"/>
        <v>103</v>
      </c>
      <c r="AC167" s="197">
        <f t="shared" si="62"/>
        <v>94</v>
      </c>
      <c r="AD167" s="197">
        <f t="shared" si="62"/>
        <v>92</v>
      </c>
      <c r="AE167" s="197">
        <f t="shared" si="62"/>
        <v>65</v>
      </c>
      <c r="AF167" s="197">
        <f t="shared" si="62"/>
        <v>64</v>
      </c>
      <c r="AG167" s="143">
        <f t="shared" si="61"/>
        <v>4102</v>
      </c>
    </row>
    <row r="168">
      <c r="A168" s="98"/>
      <c r="B168" s="135"/>
      <c r="C168" s="135"/>
      <c r="D168" s="135"/>
      <c r="E168" s="135"/>
      <c r="F168" s="135"/>
      <c r="G168" s="135"/>
      <c r="H168" s="135"/>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2"/>
      <c r="AF168" s="82"/>
      <c r="AG168" s="143"/>
    </row>
    <row r="169">
      <c r="A169" s="193" t="s">
        <v>205</v>
      </c>
      <c r="B169" s="194"/>
      <c r="C169" s="194"/>
      <c r="D169" s="195"/>
      <c r="E169" s="195"/>
      <c r="F169" s="195"/>
      <c r="G169" s="195"/>
      <c r="H169" s="195"/>
      <c r="I169" s="195"/>
      <c r="J169" s="195"/>
      <c r="K169" s="194"/>
      <c r="L169" s="194"/>
      <c r="M169" s="194"/>
      <c r="N169" s="194"/>
      <c r="O169" s="194"/>
      <c r="P169" s="194"/>
      <c r="Q169" s="194"/>
      <c r="R169" s="194"/>
      <c r="S169" s="194"/>
      <c r="T169" s="194"/>
      <c r="U169" s="194"/>
      <c r="V169" s="194"/>
      <c r="W169" s="194"/>
      <c r="X169" s="194"/>
      <c r="Y169" s="194"/>
      <c r="Z169" s="194"/>
      <c r="AA169" s="194"/>
      <c r="AB169" s="194"/>
      <c r="AC169" s="194"/>
      <c r="AD169" s="194"/>
      <c r="AE169" s="194"/>
      <c r="AF169" s="194"/>
      <c r="AG169" s="143"/>
    </row>
    <row r="170" outlineLevel="1">
      <c r="A170" s="193" t="s">
        <v>197</v>
      </c>
      <c r="B170" s="176">
        <v>8.0</v>
      </c>
      <c r="C170" s="176">
        <v>5.0</v>
      </c>
      <c r="D170" s="176">
        <v>2.0</v>
      </c>
      <c r="E170" s="176">
        <v>6.0</v>
      </c>
      <c r="F170" s="176">
        <v>3.0</v>
      </c>
      <c r="G170" s="176">
        <v>3.0</v>
      </c>
      <c r="H170" s="176">
        <v>2.0</v>
      </c>
      <c r="I170" s="176">
        <v>5.0</v>
      </c>
      <c r="J170" s="176">
        <v>5.0</v>
      </c>
      <c r="K170" s="176">
        <v>6.0</v>
      </c>
      <c r="L170" s="176">
        <v>7.0</v>
      </c>
      <c r="M170" s="176">
        <v>2.0</v>
      </c>
      <c r="N170" s="176">
        <v>6.0</v>
      </c>
      <c r="O170" s="176">
        <v>5.0</v>
      </c>
      <c r="P170" s="176">
        <v>3.0</v>
      </c>
      <c r="Q170" s="176">
        <v>4.0</v>
      </c>
      <c r="R170" s="176">
        <v>3.0</v>
      </c>
      <c r="S170" s="176">
        <v>2.0</v>
      </c>
      <c r="T170" s="164">
        <v>6.0</v>
      </c>
      <c r="U170" s="176">
        <v>5.0</v>
      </c>
      <c r="V170" s="176">
        <v>2.0</v>
      </c>
      <c r="W170" s="176">
        <v>0.0</v>
      </c>
      <c r="X170" s="176">
        <v>4.0</v>
      </c>
      <c r="Y170" s="176">
        <v>1.0</v>
      </c>
      <c r="Z170" s="176">
        <v>1.0</v>
      </c>
      <c r="AA170" s="176">
        <v>1.0</v>
      </c>
      <c r="AB170" s="176">
        <v>4.0</v>
      </c>
      <c r="AC170" s="176">
        <v>2.0</v>
      </c>
      <c r="AD170" s="176">
        <v>1.0</v>
      </c>
      <c r="AE170" s="176">
        <v>2.0</v>
      </c>
      <c r="AF170" s="176">
        <v>2.0</v>
      </c>
      <c r="AG170" s="143">
        <f t="shared" ref="AG170:AG178" si="63">sum(B170:AF170)</f>
        <v>108</v>
      </c>
    </row>
    <row r="171" outlineLevel="1">
      <c r="A171" s="193" t="s">
        <v>198</v>
      </c>
      <c r="B171" s="176">
        <v>7.0</v>
      </c>
      <c r="C171" s="176">
        <v>6.0</v>
      </c>
      <c r="D171" s="176">
        <v>1.0</v>
      </c>
      <c r="E171" s="176">
        <v>8.0</v>
      </c>
      <c r="F171" s="176">
        <v>4.0</v>
      </c>
      <c r="G171" s="176">
        <v>1.0</v>
      </c>
      <c r="H171" s="176">
        <v>2.0</v>
      </c>
      <c r="I171" s="176">
        <v>6.0</v>
      </c>
      <c r="J171" s="176">
        <v>7.0</v>
      </c>
      <c r="K171" s="176">
        <v>7.0</v>
      </c>
      <c r="L171" s="176">
        <v>4.0</v>
      </c>
      <c r="M171" s="176">
        <v>2.0</v>
      </c>
      <c r="N171" s="176">
        <v>8.0</v>
      </c>
      <c r="O171" s="176">
        <v>3.0</v>
      </c>
      <c r="P171" s="176">
        <v>3.0</v>
      </c>
      <c r="Q171" s="176">
        <v>2.0</v>
      </c>
      <c r="R171" s="176">
        <v>3.0</v>
      </c>
      <c r="S171" s="176">
        <v>1.0</v>
      </c>
      <c r="T171" s="176">
        <v>1.0</v>
      </c>
      <c r="U171" s="176">
        <v>4.0</v>
      </c>
      <c r="V171" s="176">
        <v>1.0</v>
      </c>
      <c r="W171" s="176">
        <v>2.0</v>
      </c>
      <c r="X171" s="176">
        <v>2.0</v>
      </c>
      <c r="Y171" s="176">
        <v>4.0</v>
      </c>
      <c r="Z171" s="176">
        <v>4.0</v>
      </c>
      <c r="AA171" s="176">
        <v>0.0</v>
      </c>
      <c r="AB171" s="176">
        <v>1.0</v>
      </c>
      <c r="AC171" s="176">
        <v>1.0</v>
      </c>
      <c r="AD171" s="176">
        <v>2.0</v>
      </c>
      <c r="AE171" s="176">
        <v>1.0</v>
      </c>
      <c r="AF171" s="176">
        <v>1.0</v>
      </c>
      <c r="AG171" s="143">
        <f t="shared" si="63"/>
        <v>99</v>
      </c>
    </row>
    <row r="172" outlineLevel="1">
      <c r="A172" s="193" t="s">
        <v>206</v>
      </c>
      <c r="B172" s="176">
        <v>0.0</v>
      </c>
      <c r="C172" s="176">
        <v>2.0</v>
      </c>
      <c r="D172" s="176">
        <v>0.0</v>
      </c>
      <c r="E172" s="176">
        <v>1.0</v>
      </c>
      <c r="F172" s="176">
        <v>2.0</v>
      </c>
      <c r="G172" s="176">
        <v>1.0</v>
      </c>
      <c r="H172" s="176">
        <v>0.0</v>
      </c>
      <c r="I172" s="176">
        <v>0.0</v>
      </c>
      <c r="J172" s="176">
        <v>1.0</v>
      </c>
      <c r="K172" s="176">
        <v>1.0</v>
      </c>
      <c r="L172" s="176">
        <v>1.0</v>
      </c>
      <c r="M172" s="176">
        <v>1.0</v>
      </c>
      <c r="N172" s="176">
        <v>1.0</v>
      </c>
      <c r="O172" s="176">
        <v>0.0</v>
      </c>
      <c r="P172" s="176">
        <v>2.0</v>
      </c>
      <c r="Q172" s="176">
        <v>1.0</v>
      </c>
      <c r="R172" s="176">
        <v>0.0</v>
      </c>
      <c r="S172" s="176">
        <v>0.0</v>
      </c>
      <c r="T172" s="176">
        <v>1.0</v>
      </c>
      <c r="U172" s="176">
        <v>3.0</v>
      </c>
      <c r="V172" s="176">
        <v>1.0</v>
      </c>
      <c r="W172" s="176">
        <v>1.0</v>
      </c>
      <c r="X172" s="176">
        <v>2.0</v>
      </c>
      <c r="Y172" s="176">
        <v>3.0</v>
      </c>
      <c r="Z172" s="176">
        <v>1.0</v>
      </c>
      <c r="AA172" s="176">
        <v>0.0</v>
      </c>
      <c r="AB172" s="176">
        <v>1.0</v>
      </c>
      <c r="AC172" s="176">
        <v>0.0</v>
      </c>
      <c r="AD172" s="176">
        <v>0.0</v>
      </c>
      <c r="AE172" s="176">
        <v>0.0</v>
      </c>
      <c r="AF172" s="176">
        <v>1.0</v>
      </c>
      <c r="AG172" s="143">
        <f t="shared" si="63"/>
        <v>28</v>
      </c>
    </row>
    <row r="173" outlineLevel="1">
      <c r="A173" s="193" t="s">
        <v>207</v>
      </c>
      <c r="B173" s="176">
        <v>6.0</v>
      </c>
      <c r="C173" s="176">
        <v>1.0</v>
      </c>
      <c r="D173" s="176">
        <v>1.0</v>
      </c>
      <c r="E173" s="176">
        <v>4.0</v>
      </c>
      <c r="F173" s="176">
        <v>2.0</v>
      </c>
      <c r="G173" s="176">
        <v>1.0</v>
      </c>
      <c r="H173" s="176">
        <v>1.0</v>
      </c>
      <c r="I173" s="176">
        <v>4.0</v>
      </c>
      <c r="J173" s="176">
        <v>4.0</v>
      </c>
      <c r="K173" s="176">
        <v>2.0</v>
      </c>
      <c r="L173" s="176">
        <v>1.0</v>
      </c>
      <c r="M173" s="176">
        <v>1.0</v>
      </c>
      <c r="N173" s="176">
        <v>5.0</v>
      </c>
      <c r="O173" s="176">
        <v>2.0</v>
      </c>
      <c r="P173" s="176">
        <v>0.0</v>
      </c>
      <c r="Q173" s="176">
        <v>0.0</v>
      </c>
      <c r="R173" s="176">
        <v>2.0</v>
      </c>
      <c r="S173" s="83">
        <v>1.0</v>
      </c>
      <c r="T173" s="83">
        <v>0.0</v>
      </c>
      <c r="U173" s="176">
        <v>1.0</v>
      </c>
      <c r="V173" s="176">
        <v>1.0</v>
      </c>
      <c r="W173" s="176">
        <v>0.0</v>
      </c>
      <c r="X173" s="176">
        <v>0.0</v>
      </c>
      <c r="Y173" s="176">
        <v>0.0</v>
      </c>
      <c r="Z173" s="176">
        <v>0.0</v>
      </c>
      <c r="AA173" s="176">
        <v>0.0</v>
      </c>
      <c r="AB173" s="176">
        <v>0.0</v>
      </c>
      <c r="AC173" s="176">
        <v>0.0</v>
      </c>
      <c r="AD173" s="176">
        <v>1.0</v>
      </c>
      <c r="AE173" s="176">
        <v>0.0</v>
      </c>
      <c r="AF173" s="176">
        <v>0.0</v>
      </c>
      <c r="AG173" s="143">
        <f t="shared" si="63"/>
        <v>41</v>
      </c>
    </row>
    <row r="174" outlineLevel="1">
      <c r="A174" s="193" t="s">
        <v>208</v>
      </c>
      <c r="B174" s="176">
        <v>1.0</v>
      </c>
      <c r="C174" s="176">
        <v>3.0</v>
      </c>
      <c r="D174" s="176">
        <v>2.0</v>
      </c>
      <c r="E174" s="176">
        <v>1.0</v>
      </c>
      <c r="F174" s="176">
        <v>0.0</v>
      </c>
      <c r="G174" s="176">
        <v>2.0</v>
      </c>
      <c r="H174" s="176">
        <v>1.0</v>
      </c>
      <c r="I174" s="176">
        <v>0.0</v>
      </c>
      <c r="J174" s="176">
        <v>0.0</v>
      </c>
      <c r="K174" s="176">
        <v>0.0</v>
      </c>
      <c r="L174" s="176">
        <v>3.0</v>
      </c>
      <c r="M174" s="176">
        <v>1.0</v>
      </c>
      <c r="N174" s="176">
        <v>1.0</v>
      </c>
      <c r="O174" s="176">
        <v>0.0</v>
      </c>
      <c r="P174" s="176">
        <v>0.0</v>
      </c>
      <c r="Q174" s="176">
        <v>0.0</v>
      </c>
      <c r="R174" s="176">
        <v>1.0</v>
      </c>
      <c r="S174" s="176">
        <v>0.0</v>
      </c>
      <c r="T174" s="176">
        <v>0.0</v>
      </c>
      <c r="U174" s="176">
        <v>0.0</v>
      </c>
      <c r="V174" s="176">
        <v>0.0</v>
      </c>
      <c r="W174" s="176">
        <v>0.0</v>
      </c>
      <c r="X174" s="176">
        <v>0.0</v>
      </c>
      <c r="Y174" s="176">
        <v>2.0</v>
      </c>
      <c r="Z174" s="164">
        <v>0.0</v>
      </c>
      <c r="AA174" s="176">
        <v>0.0</v>
      </c>
      <c r="AB174" s="176">
        <v>0.0</v>
      </c>
      <c r="AC174" s="176">
        <v>0.0</v>
      </c>
      <c r="AD174" s="176">
        <v>0.0</v>
      </c>
      <c r="AE174" s="176">
        <v>1.0</v>
      </c>
      <c r="AF174" s="176">
        <v>0.0</v>
      </c>
      <c r="AG174" s="143">
        <f t="shared" si="63"/>
        <v>19</v>
      </c>
    </row>
    <row r="175" outlineLevel="1">
      <c r="A175" s="193" t="s">
        <v>209</v>
      </c>
      <c r="B175" s="176">
        <v>0.0</v>
      </c>
      <c r="C175" s="176">
        <v>0.0</v>
      </c>
      <c r="D175" s="176">
        <v>0.0</v>
      </c>
      <c r="E175" s="176">
        <v>0.0</v>
      </c>
      <c r="F175" s="176">
        <v>0.0</v>
      </c>
      <c r="G175" s="176">
        <v>0.0</v>
      </c>
      <c r="H175" s="176">
        <v>0.0</v>
      </c>
      <c r="I175" s="176">
        <v>1.0</v>
      </c>
      <c r="J175" s="176">
        <v>0.0</v>
      </c>
      <c r="K175" s="176">
        <v>1.0</v>
      </c>
      <c r="L175" s="176">
        <v>0.0</v>
      </c>
      <c r="M175" s="176">
        <v>1.0</v>
      </c>
      <c r="N175" s="176">
        <v>0.0</v>
      </c>
      <c r="O175" s="176">
        <v>0.0</v>
      </c>
      <c r="P175" s="176">
        <v>0.0</v>
      </c>
      <c r="Q175" s="176">
        <v>0.0</v>
      </c>
      <c r="R175" s="176">
        <v>0.0</v>
      </c>
      <c r="S175" s="83">
        <v>1.0</v>
      </c>
      <c r="T175" s="83">
        <v>0.0</v>
      </c>
      <c r="U175" s="176">
        <v>1.0</v>
      </c>
      <c r="V175" s="176">
        <v>1.0</v>
      </c>
      <c r="W175" s="176">
        <v>0.0</v>
      </c>
      <c r="X175" s="176">
        <v>0.0</v>
      </c>
      <c r="Y175" s="176">
        <v>0.0</v>
      </c>
      <c r="Z175" s="176">
        <v>2.0</v>
      </c>
      <c r="AA175" s="176">
        <v>0.0</v>
      </c>
      <c r="AB175" s="176">
        <v>0.0</v>
      </c>
      <c r="AC175" s="176">
        <v>0.0</v>
      </c>
      <c r="AD175" s="176">
        <v>0.0</v>
      </c>
      <c r="AE175" s="176">
        <v>0.0</v>
      </c>
      <c r="AF175" s="176">
        <v>0.0</v>
      </c>
      <c r="AG175" s="143">
        <f t="shared" si="63"/>
        <v>8</v>
      </c>
    </row>
    <row r="176" outlineLevel="1">
      <c r="A176" s="193" t="s">
        <v>210</v>
      </c>
      <c r="B176" s="176">
        <v>0.0</v>
      </c>
      <c r="C176" s="176">
        <v>4.0</v>
      </c>
      <c r="D176" s="176">
        <v>2.0</v>
      </c>
      <c r="E176" s="176">
        <v>0.0</v>
      </c>
      <c r="F176" s="176">
        <v>4.0</v>
      </c>
      <c r="G176" s="176">
        <v>2.0</v>
      </c>
      <c r="H176" s="176">
        <v>3.0</v>
      </c>
      <c r="I176" s="176">
        <v>3.0</v>
      </c>
      <c r="J176" s="176">
        <v>3.0</v>
      </c>
      <c r="K176" s="176">
        <v>5.0</v>
      </c>
      <c r="L176" s="176">
        <v>2.0</v>
      </c>
      <c r="M176" s="176">
        <v>3.0</v>
      </c>
      <c r="N176" s="176">
        <v>3.0</v>
      </c>
      <c r="O176" s="176">
        <v>3.0</v>
      </c>
      <c r="P176" s="176">
        <v>1.0</v>
      </c>
      <c r="Q176" s="176">
        <v>2.0</v>
      </c>
      <c r="R176" s="176">
        <v>0.0</v>
      </c>
      <c r="S176" s="176">
        <v>1.0</v>
      </c>
      <c r="T176" s="176">
        <v>7.0</v>
      </c>
      <c r="U176" s="176">
        <v>5.0</v>
      </c>
      <c r="V176" s="176">
        <v>5.0</v>
      </c>
      <c r="W176" s="176">
        <v>1.0</v>
      </c>
      <c r="X176" s="176">
        <v>2.0</v>
      </c>
      <c r="Y176" s="176">
        <v>4.0</v>
      </c>
      <c r="Z176" s="176">
        <v>2.0</v>
      </c>
      <c r="AA176" s="176">
        <v>0.0</v>
      </c>
      <c r="AB176" s="176">
        <v>3.0</v>
      </c>
      <c r="AC176" s="176">
        <v>2.0</v>
      </c>
      <c r="AD176" s="176">
        <v>2.0</v>
      </c>
      <c r="AE176" s="176">
        <v>2.0</v>
      </c>
      <c r="AF176" s="176">
        <v>0.0</v>
      </c>
      <c r="AG176" s="143">
        <f t="shared" si="63"/>
        <v>76</v>
      </c>
    </row>
    <row r="177" outlineLevel="1">
      <c r="A177" s="193" t="s">
        <v>211</v>
      </c>
      <c r="B177" s="176">
        <v>10.0</v>
      </c>
      <c r="C177" s="176">
        <v>2.0</v>
      </c>
      <c r="D177" s="176">
        <v>2.0</v>
      </c>
      <c r="E177" s="176">
        <v>6.0</v>
      </c>
      <c r="F177" s="176">
        <v>3.0</v>
      </c>
      <c r="G177" s="176">
        <v>2.0</v>
      </c>
      <c r="H177" s="176">
        <v>1.0</v>
      </c>
      <c r="I177" s="176">
        <v>6.0</v>
      </c>
      <c r="J177" s="176">
        <v>7.0</v>
      </c>
      <c r="K177" s="176">
        <v>3.0</v>
      </c>
      <c r="L177" s="176">
        <v>3.0</v>
      </c>
      <c r="M177" s="176">
        <v>2.0</v>
      </c>
      <c r="N177" s="176">
        <v>6.0</v>
      </c>
      <c r="O177" s="176">
        <v>2.0</v>
      </c>
      <c r="P177" s="176">
        <v>1.0</v>
      </c>
      <c r="Q177" s="176">
        <v>1.0</v>
      </c>
      <c r="R177" s="176">
        <v>2.0</v>
      </c>
      <c r="S177" s="83">
        <v>2.0</v>
      </c>
      <c r="T177" s="83">
        <v>2.0</v>
      </c>
      <c r="U177" s="176">
        <v>2.0</v>
      </c>
      <c r="V177" s="176">
        <v>1.0</v>
      </c>
      <c r="W177" s="176">
        <v>0.0</v>
      </c>
      <c r="X177" s="176">
        <v>0.0</v>
      </c>
      <c r="Y177" s="176">
        <v>0.0</v>
      </c>
      <c r="Z177" s="176">
        <v>2.0</v>
      </c>
      <c r="AA177" s="176">
        <v>1.0</v>
      </c>
      <c r="AB177" s="176">
        <v>1.0</v>
      </c>
      <c r="AC177" s="176">
        <v>2.0</v>
      </c>
      <c r="AD177" s="176">
        <v>2.0</v>
      </c>
      <c r="AE177" s="176">
        <v>1.0</v>
      </c>
      <c r="AF177" s="176">
        <v>0.0</v>
      </c>
      <c r="AG177" s="143">
        <f t="shared" si="63"/>
        <v>75</v>
      </c>
    </row>
    <row r="178">
      <c r="A178" s="196" t="s">
        <v>130</v>
      </c>
      <c r="B178" s="197">
        <f t="shared" ref="B178:AF178" si="64">SUM(B170:B177)</f>
        <v>32</v>
      </c>
      <c r="C178" s="197">
        <f t="shared" si="64"/>
        <v>23</v>
      </c>
      <c r="D178" s="197">
        <f t="shared" si="64"/>
        <v>10</v>
      </c>
      <c r="E178" s="197">
        <f t="shared" si="64"/>
        <v>26</v>
      </c>
      <c r="F178" s="197">
        <f t="shared" si="64"/>
        <v>18</v>
      </c>
      <c r="G178" s="197">
        <f t="shared" si="64"/>
        <v>12</v>
      </c>
      <c r="H178" s="197">
        <f t="shared" si="64"/>
        <v>10</v>
      </c>
      <c r="I178" s="197">
        <f t="shared" si="64"/>
        <v>25</v>
      </c>
      <c r="J178" s="197">
        <f t="shared" si="64"/>
        <v>27</v>
      </c>
      <c r="K178" s="197">
        <f t="shared" si="64"/>
        <v>25</v>
      </c>
      <c r="L178" s="197">
        <f t="shared" si="64"/>
        <v>21</v>
      </c>
      <c r="M178" s="197">
        <f t="shared" si="64"/>
        <v>13</v>
      </c>
      <c r="N178" s="197">
        <f t="shared" si="64"/>
        <v>30</v>
      </c>
      <c r="O178" s="197">
        <f t="shared" si="64"/>
        <v>15</v>
      </c>
      <c r="P178" s="197">
        <f t="shared" si="64"/>
        <v>10</v>
      </c>
      <c r="Q178" s="197">
        <f t="shared" si="64"/>
        <v>10</v>
      </c>
      <c r="R178" s="197">
        <f t="shared" si="64"/>
        <v>11</v>
      </c>
      <c r="S178" s="197">
        <f t="shared" si="64"/>
        <v>8</v>
      </c>
      <c r="T178" s="197">
        <f t="shared" si="64"/>
        <v>17</v>
      </c>
      <c r="U178" s="197">
        <f t="shared" si="64"/>
        <v>21</v>
      </c>
      <c r="V178" s="197">
        <f t="shared" si="64"/>
        <v>12</v>
      </c>
      <c r="W178" s="197">
        <f t="shared" si="64"/>
        <v>4</v>
      </c>
      <c r="X178" s="197">
        <f t="shared" si="64"/>
        <v>10</v>
      </c>
      <c r="Y178" s="197">
        <f t="shared" si="64"/>
        <v>14</v>
      </c>
      <c r="Z178" s="197">
        <f t="shared" si="64"/>
        <v>12</v>
      </c>
      <c r="AA178" s="197">
        <f t="shared" si="64"/>
        <v>2</v>
      </c>
      <c r="AB178" s="197">
        <f t="shared" si="64"/>
        <v>10</v>
      </c>
      <c r="AC178" s="197">
        <f t="shared" si="64"/>
        <v>7</v>
      </c>
      <c r="AD178" s="197">
        <f t="shared" si="64"/>
        <v>8</v>
      </c>
      <c r="AE178" s="197">
        <f t="shared" si="64"/>
        <v>7</v>
      </c>
      <c r="AF178" s="197">
        <f t="shared" si="64"/>
        <v>4</v>
      </c>
      <c r="AG178" s="143">
        <f t="shared" si="63"/>
        <v>454</v>
      </c>
    </row>
    <row r="179">
      <c r="A179" s="98"/>
      <c r="B179" s="135"/>
      <c r="C179" s="135"/>
      <c r="D179" s="135"/>
      <c r="E179" s="135"/>
      <c r="F179" s="135"/>
      <c r="G179" s="135"/>
      <c r="H179" s="135"/>
      <c r="I179" s="82"/>
      <c r="J179" s="82"/>
      <c r="K179" s="82"/>
      <c r="L179" s="82"/>
      <c r="M179" s="82"/>
      <c r="N179" s="82"/>
      <c r="O179" s="82"/>
      <c r="P179" s="82"/>
      <c r="Q179" s="82"/>
      <c r="R179" s="82"/>
      <c r="S179" s="82"/>
      <c r="T179" s="82"/>
      <c r="U179" s="82"/>
      <c r="V179" s="82"/>
      <c r="W179" s="82"/>
      <c r="X179" s="82"/>
      <c r="Y179" s="82"/>
      <c r="Z179" s="82"/>
      <c r="AA179" s="82"/>
      <c r="AB179" s="82"/>
      <c r="AC179" s="82"/>
      <c r="AD179" s="82"/>
      <c r="AE179" s="82"/>
      <c r="AF179" s="82"/>
      <c r="AG179" s="143"/>
    </row>
    <row r="180">
      <c r="A180" s="191" t="s">
        <v>212</v>
      </c>
      <c r="B180" s="198"/>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c r="AA180" s="199"/>
      <c r="AB180" s="199"/>
      <c r="AC180" s="199"/>
      <c r="AD180" s="199"/>
      <c r="AE180" s="199"/>
      <c r="AF180" s="199"/>
      <c r="AG180" s="143"/>
    </row>
    <row r="181">
      <c r="A181" s="193" t="s">
        <v>184</v>
      </c>
      <c r="B181" s="194"/>
      <c r="C181" s="194"/>
      <c r="D181" s="195"/>
      <c r="E181" s="195"/>
      <c r="F181" s="195"/>
      <c r="G181" s="195"/>
      <c r="H181" s="195"/>
      <c r="I181" s="195"/>
      <c r="J181" s="195"/>
      <c r="K181" s="194"/>
      <c r="L181" s="194"/>
      <c r="M181" s="194"/>
      <c r="N181" s="194"/>
      <c r="O181" s="194"/>
      <c r="P181" s="194"/>
      <c r="Q181" s="194"/>
      <c r="R181" s="194"/>
      <c r="S181" s="194"/>
      <c r="T181" s="194"/>
      <c r="U181" s="194"/>
      <c r="V181" s="194"/>
      <c r="W181" s="194"/>
      <c r="X181" s="194"/>
      <c r="Y181" s="194"/>
      <c r="Z181" s="194"/>
      <c r="AA181" s="194"/>
      <c r="AB181" s="194"/>
      <c r="AC181" s="194"/>
      <c r="AD181" s="194"/>
      <c r="AE181" s="194"/>
      <c r="AF181" s="194"/>
      <c r="AG181" s="114"/>
    </row>
    <row r="182" outlineLevel="1">
      <c r="A182" s="193" t="s">
        <v>213</v>
      </c>
      <c r="B182" s="200">
        <v>0.0</v>
      </c>
      <c r="C182" s="200">
        <v>0.0</v>
      </c>
      <c r="D182" s="200">
        <v>0.0</v>
      </c>
      <c r="E182" s="200">
        <v>0.0</v>
      </c>
      <c r="F182" s="200">
        <v>0.0</v>
      </c>
      <c r="G182" s="200">
        <v>0.0</v>
      </c>
      <c r="H182" s="200">
        <v>0.0</v>
      </c>
      <c r="I182" s="200">
        <v>0.0</v>
      </c>
      <c r="J182" s="200">
        <v>0.0</v>
      </c>
      <c r="K182" s="200">
        <v>0.0</v>
      </c>
      <c r="L182" s="200">
        <v>0.0</v>
      </c>
      <c r="M182" s="200">
        <v>0.0</v>
      </c>
      <c r="N182" s="200">
        <v>0.0</v>
      </c>
      <c r="O182" s="200">
        <v>0.0</v>
      </c>
      <c r="P182" s="200">
        <v>0.0</v>
      </c>
      <c r="Q182" s="200">
        <v>0.0</v>
      </c>
      <c r="R182" s="200">
        <v>0.0</v>
      </c>
      <c r="S182" s="200">
        <v>0.0</v>
      </c>
      <c r="T182" s="200">
        <v>0.0</v>
      </c>
      <c r="U182" s="200">
        <v>0.0</v>
      </c>
      <c r="V182" s="200">
        <v>0.0</v>
      </c>
      <c r="W182" s="200">
        <v>0.0</v>
      </c>
      <c r="X182" s="200">
        <v>0.0</v>
      </c>
      <c r="Y182" s="200">
        <v>1789.48</v>
      </c>
      <c r="Z182" s="200">
        <v>1300.21</v>
      </c>
      <c r="AA182" s="200">
        <v>1420.55</v>
      </c>
      <c r="AB182" s="200">
        <v>1819.54</v>
      </c>
      <c r="AC182" s="200">
        <v>2115.03</v>
      </c>
      <c r="AD182" s="200">
        <v>2730.24</v>
      </c>
      <c r="AE182" s="200">
        <v>1103.79</v>
      </c>
      <c r="AF182" s="200">
        <v>2245.34</v>
      </c>
      <c r="AG182" s="114">
        <f t="shared" ref="AG182:AG185" si="65">SUM(B182:AF182)</f>
        <v>14524.18</v>
      </c>
    </row>
    <row r="183" outlineLevel="1">
      <c r="A183" s="193" t="s">
        <v>214</v>
      </c>
      <c r="B183" s="200">
        <v>3161.12</v>
      </c>
      <c r="C183" s="200">
        <v>4678.37</v>
      </c>
      <c r="D183" s="200">
        <v>8168.33</v>
      </c>
      <c r="E183" s="200">
        <v>6061.54</v>
      </c>
      <c r="F183" s="200">
        <v>6773.32</v>
      </c>
      <c r="G183" s="200">
        <v>4636.2</v>
      </c>
      <c r="H183" s="200">
        <v>3412.61</v>
      </c>
      <c r="I183" s="200">
        <v>4254.84</v>
      </c>
      <c r="J183" s="200">
        <v>2529.51</v>
      </c>
      <c r="K183" s="200">
        <v>1711.74</v>
      </c>
      <c r="L183" s="200">
        <v>2672.28</v>
      </c>
      <c r="M183" s="200">
        <v>3758.27</v>
      </c>
      <c r="N183" s="200">
        <v>2259.99</v>
      </c>
      <c r="O183" s="200">
        <v>1262.94</v>
      </c>
      <c r="P183" s="200">
        <v>3169.38</v>
      </c>
      <c r="Q183" s="200">
        <v>2477.43</v>
      </c>
      <c r="R183" s="200">
        <v>2242.66</v>
      </c>
      <c r="S183" s="200">
        <v>1267.91</v>
      </c>
      <c r="T183" s="200">
        <v>4317.93</v>
      </c>
      <c r="U183" s="200">
        <v>4036.22</v>
      </c>
      <c r="V183" s="200">
        <v>2400.09</v>
      </c>
      <c r="W183" s="200">
        <v>2752.01</v>
      </c>
      <c r="X183" s="200">
        <v>2276.61</v>
      </c>
      <c r="Y183" s="200">
        <v>757.16</v>
      </c>
      <c r="Z183" s="200">
        <v>1024.12</v>
      </c>
      <c r="AA183" s="200">
        <v>2041.97</v>
      </c>
      <c r="AB183" s="200">
        <v>898.43</v>
      </c>
      <c r="AC183" s="200">
        <v>2609.7</v>
      </c>
      <c r="AD183" s="200">
        <v>637.12</v>
      </c>
      <c r="AE183" s="200">
        <v>690.97</v>
      </c>
      <c r="AF183" s="200">
        <v>180.83</v>
      </c>
      <c r="AG183" s="114">
        <f t="shared" si="65"/>
        <v>89121.6</v>
      </c>
    </row>
    <row r="184" outlineLevel="1">
      <c r="A184" s="193" t="s">
        <v>215</v>
      </c>
      <c r="B184" s="200">
        <v>0.0</v>
      </c>
      <c r="C184" s="200">
        <v>0.0</v>
      </c>
      <c r="D184" s="200">
        <v>0.0</v>
      </c>
      <c r="E184" s="200">
        <v>0.0</v>
      </c>
      <c r="F184" s="200">
        <v>0.0</v>
      </c>
      <c r="G184" s="201">
        <v>0.0</v>
      </c>
      <c r="H184" s="201">
        <v>0.0</v>
      </c>
      <c r="I184" s="202">
        <v>5442.83</v>
      </c>
      <c r="J184" s="201">
        <v>8996.4</v>
      </c>
      <c r="K184" s="200">
        <v>7872.39</v>
      </c>
      <c r="L184" s="200">
        <v>11007.04</v>
      </c>
      <c r="M184" s="200">
        <v>12061.38</v>
      </c>
      <c r="N184" s="200">
        <v>11476.22</v>
      </c>
      <c r="O184" s="200">
        <v>10079.28</v>
      </c>
      <c r="P184" s="200">
        <v>12367.89</v>
      </c>
      <c r="Q184" s="200">
        <v>10238.64</v>
      </c>
      <c r="R184" s="200">
        <v>12309.39</v>
      </c>
      <c r="S184" s="200">
        <v>9765.18</v>
      </c>
      <c r="T184" s="200">
        <v>12589.13</v>
      </c>
      <c r="U184" s="200">
        <v>21102.76</v>
      </c>
      <c r="V184" s="200">
        <v>8307.39</v>
      </c>
      <c r="W184" s="200">
        <v>10269.33</v>
      </c>
      <c r="X184" s="200">
        <v>13638.05</v>
      </c>
      <c r="Y184" s="200">
        <v>7376.14</v>
      </c>
      <c r="Z184" s="200">
        <v>6487.66</v>
      </c>
      <c r="AA184" s="200">
        <v>6582.75</v>
      </c>
      <c r="AB184" s="200">
        <v>7781.1</v>
      </c>
      <c r="AC184" s="200">
        <v>5740.83</v>
      </c>
      <c r="AD184" s="200">
        <v>6584.45</v>
      </c>
      <c r="AE184" s="200">
        <v>3826.97</v>
      </c>
      <c r="AF184" s="200">
        <v>9330.99</v>
      </c>
      <c r="AG184" s="114">
        <f t="shared" si="65"/>
        <v>231234.19</v>
      </c>
    </row>
    <row r="185" outlineLevel="1">
      <c r="A185" s="193" t="s">
        <v>216</v>
      </c>
      <c r="B185" s="200">
        <v>14660.54</v>
      </c>
      <c r="C185" s="200">
        <v>15084.42</v>
      </c>
      <c r="D185" s="200">
        <v>17585.91</v>
      </c>
      <c r="E185" s="200">
        <v>16325.76</v>
      </c>
      <c r="F185" s="200">
        <v>16404.32</v>
      </c>
      <c r="G185" s="201">
        <v>21598.87</v>
      </c>
      <c r="H185" s="201">
        <v>19433.09</v>
      </c>
      <c r="I185" s="201">
        <v>10107.2</v>
      </c>
      <c r="J185" s="201">
        <v>5955.8</v>
      </c>
      <c r="K185" s="200">
        <v>5328.39</v>
      </c>
      <c r="L185" s="200">
        <v>4259.63</v>
      </c>
      <c r="M185" s="200">
        <v>7375.01</v>
      </c>
      <c r="N185" s="200">
        <v>3756.12</v>
      </c>
      <c r="O185" s="200">
        <v>3417.39</v>
      </c>
      <c r="P185" s="200">
        <v>3751.93</v>
      </c>
      <c r="Q185" s="200">
        <v>4572.14</v>
      </c>
      <c r="R185" s="200">
        <v>8276.04</v>
      </c>
      <c r="S185" s="200">
        <v>6312.06</v>
      </c>
      <c r="T185" s="200">
        <v>1258.29</v>
      </c>
      <c r="U185" s="200">
        <v>0.0</v>
      </c>
      <c r="V185" s="200">
        <v>0.0</v>
      </c>
      <c r="W185" s="200">
        <v>0.0</v>
      </c>
      <c r="X185" s="200">
        <v>0.0</v>
      </c>
      <c r="Y185" s="200">
        <v>2826.77</v>
      </c>
      <c r="Z185" s="200">
        <v>3225.49</v>
      </c>
      <c r="AA185" s="200">
        <v>2529.16</v>
      </c>
      <c r="AB185" s="200">
        <v>1701.09</v>
      </c>
      <c r="AC185" s="200">
        <v>2929.5</v>
      </c>
      <c r="AD185" s="200">
        <v>2646.13</v>
      </c>
      <c r="AE185" s="200">
        <v>2521.9</v>
      </c>
      <c r="AF185" s="200">
        <v>1721.47</v>
      </c>
      <c r="AG185" s="114">
        <f t="shared" si="65"/>
        <v>205564.42</v>
      </c>
    </row>
    <row r="186">
      <c r="A186" s="193" t="s">
        <v>189</v>
      </c>
      <c r="B186" s="194"/>
      <c r="C186" s="194"/>
      <c r="D186" s="195"/>
      <c r="E186" s="195"/>
      <c r="F186" s="195"/>
      <c r="G186" s="195"/>
      <c r="H186" s="195"/>
      <c r="I186" s="195"/>
      <c r="J186" s="195"/>
      <c r="K186" s="194"/>
      <c r="L186" s="194"/>
      <c r="M186" s="194"/>
      <c r="N186" s="194"/>
      <c r="O186" s="194"/>
      <c r="P186" s="194"/>
      <c r="Q186" s="194"/>
      <c r="R186" s="194"/>
      <c r="S186" s="194"/>
      <c r="T186" s="194"/>
      <c r="U186" s="194"/>
      <c r="V186" s="194"/>
      <c r="W186" s="194"/>
      <c r="X186" s="194"/>
      <c r="Y186" s="194"/>
      <c r="Z186" s="194"/>
      <c r="AA186" s="194"/>
      <c r="AB186" s="194"/>
      <c r="AC186" s="194"/>
      <c r="AD186" s="194"/>
      <c r="AE186" s="194"/>
      <c r="AF186" s="194"/>
      <c r="AG186" s="114"/>
    </row>
    <row r="187" outlineLevel="1">
      <c r="A187" s="193" t="s">
        <v>217</v>
      </c>
      <c r="B187" s="203">
        <v>0.0</v>
      </c>
      <c r="C187" s="203">
        <v>0.0</v>
      </c>
      <c r="D187" s="203">
        <v>0.0</v>
      </c>
      <c r="E187" s="203">
        <v>0.0</v>
      </c>
      <c r="F187" s="203">
        <v>0.0</v>
      </c>
      <c r="G187" s="203">
        <v>0.0</v>
      </c>
      <c r="H187" s="203">
        <v>0.0</v>
      </c>
      <c r="I187" s="200">
        <v>0.0</v>
      </c>
      <c r="J187" s="200">
        <v>0.0</v>
      </c>
      <c r="K187" s="200">
        <v>0.0</v>
      </c>
      <c r="L187" s="200">
        <v>0.0</v>
      </c>
      <c r="M187" s="200">
        <v>0.0</v>
      </c>
      <c r="N187" s="204">
        <v>0.0</v>
      </c>
      <c r="O187" s="200">
        <v>0.0</v>
      </c>
      <c r="P187" s="200">
        <v>0.0</v>
      </c>
      <c r="Q187" s="200">
        <v>0.0</v>
      </c>
      <c r="R187" s="200">
        <v>0.0</v>
      </c>
      <c r="S187" s="200">
        <v>0.0</v>
      </c>
      <c r="T187" s="200">
        <v>0.0</v>
      </c>
      <c r="U187" s="200">
        <v>0.0</v>
      </c>
      <c r="V187" s="200">
        <v>0.0</v>
      </c>
      <c r="W187" s="200">
        <v>0.0</v>
      </c>
      <c r="X187" s="200">
        <v>0.0</v>
      </c>
      <c r="Y187" s="200">
        <v>0.0</v>
      </c>
      <c r="Z187" s="200">
        <v>767.0</v>
      </c>
      <c r="AA187" s="200">
        <v>468.0</v>
      </c>
      <c r="AB187" s="200">
        <v>0.0</v>
      </c>
      <c r="AC187" s="200">
        <v>269.0</v>
      </c>
      <c r="AD187" s="200">
        <v>239.0</v>
      </c>
      <c r="AE187" s="200">
        <v>338.0</v>
      </c>
      <c r="AF187" s="200">
        <v>239.0</v>
      </c>
      <c r="AG187" s="114">
        <f t="shared" ref="AG187:AG192" si="66">SUM(B187:AF187)</f>
        <v>2320</v>
      </c>
    </row>
    <row r="188" outlineLevel="1">
      <c r="A188" s="193" t="s">
        <v>218</v>
      </c>
      <c r="B188" s="203">
        <v>862.35</v>
      </c>
      <c r="C188" s="203">
        <v>697.0</v>
      </c>
      <c r="D188" s="203">
        <v>478.0</v>
      </c>
      <c r="E188" s="203">
        <v>661.15</v>
      </c>
      <c r="F188" s="203">
        <v>430.2</v>
      </c>
      <c r="G188" s="203">
        <v>203.15</v>
      </c>
      <c r="H188" s="203">
        <v>239.0</v>
      </c>
      <c r="I188" s="200">
        <v>468.0</v>
      </c>
      <c r="J188" s="200">
        <v>478.0</v>
      </c>
      <c r="K188" s="200">
        <v>478.0</v>
      </c>
      <c r="L188" s="200">
        <v>239.0</v>
      </c>
      <c r="M188" s="200">
        <v>681.15</v>
      </c>
      <c r="N188" s="200">
        <v>239.0</v>
      </c>
      <c r="O188" s="200">
        <v>478.0</v>
      </c>
      <c r="P188" s="200">
        <v>0.0</v>
      </c>
      <c r="Q188" s="200">
        <v>609.45</v>
      </c>
      <c r="R188" s="200">
        <v>478.0</v>
      </c>
      <c r="S188" s="200">
        <v>478.0</v>
      </c>
      <c r="T188" s="200">
        <v>956.0</v>
      </c>
      <c r="U188" s="200">
        <v>239.0</v>
      </c>
      <c r="V188" s="200">
        <v>239.0</v>
      </c>
      <c r="W188" s="200">
        <v>0.0</v>
      </c>
      <c r="X188" s="200">
        <v>0.0</v>
      </c>
      <c r="Y188" s="200">
        <v>0.0</v>
      </c>
      <c r="Z188" s="200">
        <v>0.0</v>
      </c>
      <c r="AA188" s="200">
        <v>0.0</v>
      </c>
      <c r="AB188" s="200">
        <v>0.0</v>
      </c>
      <c r="AC188" s="200">
        <v>169.0</v>
      </c>
      <c r="AD188" s="200">
        <v>0.0</v>
      </c>
      <c r="AE188" s="200">
        <v>167.3</v>
      </c>
      <c r="AF188" s="200">
        <v>0.0</v>
      </c>
      <c r="AG188" s="114">
        <f t="shared" si="66"/>
        <v>9967.75</v>
      </c>
    </row>
    <row r="189" outlineLevel="1">
      <c r="A189" s="193" t="s">
        <v>219</v>
      </c>
      <c r="B189" s="203">
        <v>0.0</v>
      </c>
      <c r="C189" s="203">
        <v>0.0</v>
      </c>
      <c r="D189" s="203">
        <v>0.0</v>
      </c>
      <c r="E189" s="203">
        <v>0.0</v>
      </c>
      <c r="F189" s="203">
        <v>0.0</v>
      </c>
      <c r="G189" s="203">
        <v>0.0</v>
      </c>
      <c r="H189" s="203">
        <v>0.0</v>
      </c>
      <c r="I189" s="200">
        <v>254.15</v>
      </c>
      <c r="J189" s="200">
        <v>1450.15</v>
      </c>
      <c r="K189" s="200">
        <v>2511.6</v>
      </c>
      <c r="L189" s="200">
        <v>2197.65</v>
      </c>
      <c r="M189" s="200">
        <v>1913.6</v>
      </c>
      <c r="N189" s="200">
        <v>1430.15</v>
      </c>
      <c r="O189" s="200">
        <v>2302.3</v>
      </c>
      <c r="P189" s="200">
        <v>1176.0</v>
      </c>
      <c r="Q189" s="200">
        <v>1176.0</v>
      </c>
      <c r="R189" s="200">
        <v>598.0</v>
      </c>
      <c r="S189" s="204">
        <v>1495.0</v>
      </c>
      <c r="T189" s="200">
        <v>1749.15</v>
      </c>
      <c r="U189" s="200">
        <v>1704.3</v>
      </c>
      <c r="V189" s="200">
        <v>299.0</v>
      </c>
      <c r="W189" s="200">
        <v>1196.0</v>
      </c>
      <c r="X189" s="200">
        <v>1774.0</v>
      </c>
      <c r="Y189" s="200">
        <v>685.65</v>
      </c>
      <c r="Z189" s="200">
        <v>299.0</v>
      </c>
      <c r="AA189" s="200">
        <v>0.0</v>
      </c>
      <c r="AB189" s="200">
        <v>1415.0</v>
      </c>
      <c r="AC189" s="200">
        <v>1545.0</v>
      </c>
      <c r="AD189" s="200">
        <v>1360.15</v>
      </c>
      <c r="AE189" s="200">
        <v>2061.0</v>
      </c>
      <c r="AF189" s="200">
        <v>299.0</v>
      </c>
      <c r="AG189" s="114">
        <f t="shared" si="66"/>
        <v>30891.85</v>
      </c>
    </row>
    <row r="190" outlineLevel="1">
      <c r="A190" s="193" t="s">
        <v>220</v>
      </c>
      <c r="B190" s="203">
        <v>3312.9</v>
      </c>
      <c r="C190" s="203">
        <v>1958.45</v>
      </c>
      <c r="D190" s="203">
        <v>2392.0</v>
      </c>
      <c r="E190" s="203">
        <v>2622.15</v>
      </c>
      <c r="F190" s="203">
        <v>1410.15</v>
      </c>
      <c r="G190" s="203">
        <v>897.0</v>
      </c>
      <c r="H190" s="203">
        <v>2392.0</v>
      </c>
      <c r="I190" s="200">
        <v>2347.15</v>
      </c>
      <c r="J190" s="200">
        <v>1106.3</v>
      </c>
      <c r="K190" s="200">
        <v>553.15</v>
      </c>
      <c r="L190" s="200">
        <v>877.0</v>
      </c>
      <c r="M190" s="200">
        <v>0.0</v>
      </c>
      <c r="N190" s="200">
        <v>1151.15</v>
      </c>
      <c r="O190" s="200">
        <v>1360.45</v>
      </c>
      <c r="P190" s="200">
        <v>299.0</v>
      </c>
      <c r="Q190" s="200">
        <v>299.0</v>
      </c>
      <c r="R190" s="200">
        <v>1151.15</v>
      </c>
      <c r="S190" s="200">
        <v>897.0</v>
      </c>
      <c r="T190" s="200">
        <v>0.0</v>
      </c>
      <c r="U190" s="200">
        <v>0.0</v>
      </c>
      <c r="V190" s="200">
        <v>0.0</v>
      </c>
      <c r="W190" s="200">
        <v>0.0</v>
      </c>
      <c r="X190" s="200">
        <v>0.0</v>
      </c>
      <c r="Y190" s="200">
        <v>533.15</v>
      </c>
      <c r="Z190" s="200">
        <v>0.0</v>
      </c>
      <c r="AA190" s="200">
        <v>598.0</v>
      </c>
      <c r="AB190" s="200">
        <v>598.0</v>
      </c>
      <c r="AC190" s="200">
        <v>508.3</v>
      </c>
      <c r="AD190" s="200">
        <v>598.0</v>
      </c>
      <c r="AE190" s="200">
        <v>254.15</v>
      </c>
      <c r="AF190" s="200">
        <v>254.15</v>
      </c>
      <c r="AG190" s="114">
        <f t="shared" si="66"/>
        <v>28369.75</v>
      </c>
    </row>
    <row r="191">
      <c r="A191" s="196" t="s">
        <v>194</v>
      </c>
      <c r="B191" s="205">
        <f t="shared" ref="B191:AF191" si="67">B182+B187+B183+B188</f>
        <v>4023.47</v>
      </c>
      <c r="C191" s="205">
        <f t="shared" si="67"/>
        <v>5375.37</v>
      </c>
      <c r="D191" s="205">
        <f t="shared" si="67"/>
        <v>8646.33</v>
      </c>
      <c r="E191" s="205">
        <f t="shared" si="67"/>
        <v>6722.69</v>
      </c>
      <c r="F191" s="205">
        <f t="shared" si="67"/>
        <v>7203.52</v>
      </c>
      <c r="G191" s="205">
        <f t="shared" si="67"/>
        <v>4839.35</v>
      </c>
      <c r="H191" s="205">
        <f t="shared" si="67"/>
        <v>3651.61</v>
      </c>
      <c r="I191" s="205">
        <f t="shared" si="67"/>
        <v>4722.84</v>
      </c>
      <c r="J191" s="205">
        <f t="shared" si="67"/>
        <v>3007.51</v>
      </c>
      <c r="K191" s="205">
        <f t="shared" si="67"/>
        <v>2189.74</v>
      </c>
      <c r="L191" s="205">
        <f t="shared" si="67"/>
        <v>2911.28</v>
      </c>
      <c r="M191" s="205">
        <f t="shared" si="67"/>
        <v>4439.42</v>
      </c>
      <c r="N191" s="205">
        <f t="shared" si="67"/>
        <v>2498.99</v>
      </c>
      <c r="O191" s="205">
        <f t="shared" si="67"/>
        <v>1740.94</v>
      </c>
      <c r="P191" s="205">
        <f t="shared" si="67"/>
        <v>3169.38</v>
      </c>
      <c r="Q191" s="205">
        <f t="shared" si="67"/>
        <v>3086.88</v>
      </c>
      <c r="R191" s="205">
        <f t="shared" si="67"/>
        <v>2720.66</v>
      </c>
      <c r="S191" s="205">
        <f t="shared" si="67"/>
        <v>1745.91</v>
      </c>
      <c r="T191" s="205">
        <f t="shared" si="67"/>
        <v>5273.93</v>
      </c>
      <c r="U191" s="205">
        <f t="shared" si="67"/>
        <v>4275.22</v>
      </c>
      <c r="V191" s="205">
        <f t="shared" si="67"/>
        <v>2639.09</v>
      </c>
      <c r="W191" s="205">
        <f t="shared" si="67"/>
        <v>2752.01</v>
      </c>
      <c r="X191" s="205">
        <f t="shared" si="67"/>
        <v>2276.61</v>
      </c>
      <c r="Y191" s="205">
        <f t="shared" si="67"/>
        <v>2546.64</v>
      </c>
      <c r="Z191" s="205">
        <f t="shared" si="67"/>
        <v>3091.33</v>
      </c>
      <c r="AA191" s="205">
        <f t="shared" si="67"/>
        <v>3930.52</v>
      </c>
      <c r="AB191" s="205">
        <f t="shared" si="67"/>
        <v>2717.97</v>
      </c>
      <c r="AC191" s="205">
        <f t="shared" si="67"/>
        <v>5162.73</v>
      </c>
      <c r="AD191" s="205">
        <f t="shared" si="67"/>
        <v>3606.36</v>
      </c>
      <c r="AE191" s="205">
        <f t="shared" si="67"/>
        <v>2300.06</v>
      </c>
      <c r="AF191" s="205">
        <f t="shared" si="67"/>
        <v>2665.17</v>
      </c>
      <c r="AG191" s="114">
        <f t="shared" si="66"/>
        <v>115933.53</v>
      </c>
    </row>
    <row r="192">
      <c r="A192" s="196" t="s">
        <v>195</v>
      </c>
      <c r="B192" s="205">
        <f t="shared" ref="B192:AF192" si="68">B184+B189+B185+B190</f>
        <v>17973.44</v>
      </c>
      <c r="C192" s="205">
        <f t="shared" si="68"/>
        <v>17042.87</v>
      </c>
      <c r="D192" s="205">
        <f t="shared" si="68"/>
        <v>19977.91</v>
      </c>
      <c r="E192" s="205">
        <f t="shared" si="68"/>
        <v>18947.91</v>
      </c>
      <c r="F192" s="205">
        <f t="shared" si="68"/>
        <v>17814.47</v>
      </c>
      <c r="G192" s="205">
        <f t="shared" si="68"/>
        <v>22495.87</v>
      </c>
      <c r="H192" s="205">
        <f t="shared" si="68"/>
        <v>21825.09</v>
      </c>
      <c r="I192" s="205">
        <f t="shared" si="68"/>
        <v>18151.33</v>
      </c>
      <c r="J192" s="205">
        <f t="shared" si="68"/>
        <v>17508.65</v>
      </c>
      <c r="K192" s="205">
        <f t="shared" si="68"/>
        <v>16265.53</v>
      </c>
      <c r="L192" s="205">
        <f t="shared" si="68"/>
        <v>18341.32</v>
      </c>
      <c r="M192" s="205">
        <f t="shared" si="68"/>
        <v>21349.99</v>
      </c>
      <c r="N192" s="205">
        <f t="shared" si="68"/>
        <v>17813.64</v>
      </c>
      <c r="O192" s="205">
        <f t="shared" si="68"/>
        <v>17159.42</v>
      </c>
      <c r="P192" s="205">
        <f t="shared" si="68"/>
        <v>17594.82</v>
      </c>
      <c r="Q192" s="205">
        <f t="shared" si="68"/>
        <v>16285.78</v>
      </c>
      <c r="R192" s="205">
        <f t="shared" si="68"/>
        <v>22334.58</v>
      </c>
      <c r="S192" s="205">
        <f t="shared" si="68"/>
        <v>18469.24</v>
      </c>
      <c r="T192" s="205">
        <f t="shared" si="68"/>
        <v>15596.57</v>
      </c>
      <c r="U192" s="205">
        <f t="shared" si="68"/>
        <v>22807.06</v>
      </c>
      <c r="V192" s="205">
        <f t="shared" si="68"/>
        <v>8606.39</v>
      </c>
      <c r="W192" s="205">
        <f t="shared" si="68"/>
        <v>11465.33</v>
      </c>
      <c r="X192" s="205">
        <f t="shared" si="68"/>
        <v>15412.05</v>
      </c>
      <c r="Y192" s="205">
        <f t="shared" si="68"/>
        <v>11421.71</v>
      </c>
      <c r="Z192" s="205">
        <f t="shared" si="68"/>
        <v>10012.15</v>
      </c>
      <c r="AA192" s="205">
        <f t="shared" si="68"/>
        <v>9709.91</v>
      </c>
      <c r="AB192" s="205">
        <f t="shared" si="68"/>
        <v>11495.19</v>
      </c>
      <c r="AC192" s="205">
        <f t="shared" si="68"/>
        <v>10723.63</v>
      </c>
      <c r="AD192" s="205">
        <f t="shared" si="68"/>
        <v>11188.73</v>
      </c>
      <c r="AE192" s="205">
        <f t="shared" si="68"/>
        <v>8664.02</v>
      </c>
      <c r="AF192" s="205">
        <f t="shared" si="68"/>
        <v>11605.61</v>
      </c>
      <c r="AG192" s="114">
        <f t="shared" si="66"/>
        <v>496060.21</v>
      </c>
    </row>
    <row r="193" ht="16.5" customHeight="1">
      <c r="A193" s="98"/>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c r="AA193" s="206"/>
      <c r="AB193" s="206"/>
      <c r="AC193" s="206"/>
      <c r="AD193" s="206"/>
      <c r="AE193" s="206"/>
      <c r="AF193" s="206"/>
      <c r="AG193" s="114"/>
    </row>
    <row r="194">
      <c r="A194" s="193" t="s">
        <v>196</v>
      </c>
      <c r="B194" s="194"/>
      <c r="C194" s="194"/>
      <c r="D194" s="194"/>
      <c r="E194" s="194"/>
      <c r="F194" s="194"/>
      <c r="G194" s="194"/>
      <c r="H194" s="194"/>
      <c r="I194" s="194"/>
      <c r="J194" s="194"/>
      <c r="K194" s="194"/>
      <c r="L194" s="194"/>
      <c r="M194" s="194"/>
      <c r="N194" s="194"/>
      <c r="O194" s="194"/>
      <c r="P194" s="194"/>
      <c r="Q194" s="194"/>
      <c r="R194" s="194"/>
      <c r="S194" s="194"/>
      <c r="T194" s="194"/>
      <c r="U194" s="194"/>
      <c r="V194" s="194"/>
      <c r="W194" s="194"/>
      <c r="X194" s="194"/>
      <c r="Y194" s="194"/>
      <c r="Z194" s="194"/>
      <c r="AA194" s="194"/>
      <c r="AB194" s="194"/>
      <c r="AC194" s="194"/>
      <c r="AD194" s="194"/>
      <c r="AE194" s="194"/>
      <c r="AF194" s="194"/>
      <c r="AG194" s="114"/>
    </row>
    <row r="195" outlineLevel="1">
      <c r="A195" s="193" t="s">
        <v>197</v>
      </c>
      <c r="B195" s="207">
        <v>1530.85</v>
      </c>
      <c r="C195" s="203">
        <v>1336.64</v>
      </c>
      <c r="D195" s="207">
        <v>1397.29</v>
      </c>
      <c r="E195" s="207">
        <v>1402.58</v>
      </c>
      <c r="F195" s="207">
        <v>1146.9</v>
      </c>
      <c r="G195" s="207">
        <v>1478.65</v>
      </c>
      <c r="H195" s="207">
        <v>1499.88</v>
      </c>
      <c r="I195" s="203">
        <v>793.77</v>
      </c>
      <c r="J195" s="207">
        <v>558.52</v>
      </c>
      <c r="K195" s="207">
        <v>451.64</v>
      </c>
      <c r="L195" s="207">
        <v>542.84</v>
      </c>
      <c r="M195" s="207">
        <v>430.61</v>
      </c>
      <c r="N195" s="207">
        <v>928.07</v>
      </c>
      <c r="O195" s="207">
        <v>1038.66</v>
      </c>
      <c r="P195" s="207">
        <v>957.9</v>
      </c>
      <c r="Q195" s="207">
        <v>566.56</v>
      </c>
      <c r="R195" s="207">
        <v>853.79</v>
      </c>
      <c r="S195" s="207">
        <v>437.85</v>
      </c>
      <c r="T195" s="207">
        <v>507.38</v>
      </c>
      <c r="U195" s="207">
        <v>949.31</v>
      </c>
      <c r="V195" s="207">
        <v>734.35</v>
      </c>
      <c r="W195" s="207">
        <v>708.6</v>
      </c>
      <c r="X195" s="207">
        <v>362.6</v>
      </c>
      <c r="Y195" s="207">
        <v>304.21</v>
      </c>
      <c r="Z195" s="207">
        <v>309.89</v>
      </c>
      <c r="AA195" s="207">
        <v>541.48</v>
      </c>
      <c r="AB195" s="207">
        <v>395.05</v>
      </c>
      <c r="AC195" s="207">
        <v>423.95</v>
      </c>
      <c r="AD195" s="207">
        <v>572.37</v>
      </c>
      <c r="AE195" s="207">
        <v>331.37</v>
      </c>
      <c r="AF195" s="207">
        <v>324.08</v>
      </c>
      <c r="AG195" s="114">
        <f t="shared" ref="AG195:AG203" si="69">SUM(B195:AF195)</f>
        <v>23817.64</v>
      </c>
    </row>
    <row r="196" outlineLevel="1">
      <c r="A196" s="193" t="s">
        <v>198</v>
      </c>
      <c r="B196" s="207">
        <v>871.81</v>
      </c>
      <c r="C196" s="207">
        <v>763.46</v>
      </c>
      <c r="D196" s="207">
        <v>672.93</v>
      </c>
      <c r="E196" s="207">
        <v>384.79</v>
      </c>
      <c r="F196" s="207">
        <v>812.94</v>
      </c>
      <c r="G196" s="207">
        <v>691.77</v>
      </c>
      <c r="H196" s="207">
        <v>853.65</v>
      </c>
      <c r="I196" s="207">
        <v>460.53</v>
      </c>
      <c r="J196" s="203">
        <v>399.44</v>
      </c>
      <c r="K196" s="207">
        <v>442.58</v>
      </c>
      <c r="L196" s="207">
        <v>521.89</v>
      </c>
      <c r="M196" s="207">
        <v>427.49</v>
      </c>
      <c r="N196" s="207">
        <v>538.5</v>
      </c>
      <c r="O196" s="207">
        <v>601.58</v>
      </c>
      <c r="P196" s="207">
        <v>401.34</v>
      </c>
      <c r="Q196" s="207">
        <v>230.7</v>
      </c>
      <c r="R196" s="207">
        <v>372.88</v>
      </c>
      <c r="S196" s="207">
        <v>363.49</v>
      </c>
      <c r="T196" s="207">
        <v>259.06</v>
      </c>
      <c r="U196" s="207">
        <v>398.93</v>
      </c>
      <c r="V196" s="207">
        <v>488.8</v>
      </c>
      <c r="W196" s="207">
        <v>224.16</v>
      </c>
      <c r="X196" s="207">
        <v>311.7</v>
      </c>
      <c r="Y196" s="207">
        <v>241.58</v>
      </c>
      <c r="Z196" s="207">
        <v>376.81</v>
      </c>
      <c r="AA196" s="207">
        <v>515.03</v>
      </c>
      <c r="AB196" s="207">
        <v>422.67</v>
      </c>
      <c r="AC196" s="207">
        <v>355.56</v>
      </c>
      <c r="AD196" s="207">
        <v>447.03</v>
      </c>
      <c r="AE196" s="207">
        <v>218.32</v>
      </c>
      <c r="AF196" s="207">
        <v>178.63</v>
      </c>
      <c r="AG196" s="114">
        <f t="shared" si="69"/>
        <v>14250.05</v>
      </c>
    </row>
    <row r="197" outlineLevel="1">
      <c r="A197" s="193" t="s">
        <v>221</v>
      </c>
      <c r="B197" s="207">
        <v>466.61</v>
      </c>
      <c r="C197" s="207">
        <v>254.22</v>
      </c>
      <c r="D197" s="207">
        <v>210.34</v>
      </c>
      <c r="E197" s="207">
        <v>360.23</v>
      </c>
      <c r="F197" s="207">
        <v>344.13</v>
      </c>
      <c r="G197" s="207">
        <v>262.16</v>
      </c>
      <c r="H197" s="207">
        <v>404.17</v>
      </c>
      <c r="I197" s="207">
        <v>344.53</v>
      </c>
      <c r="J197" s="207">
        <v>351.65</v>
      </c>
      <c r="K197" s="207">
        <v>51.94</v>
      </c>
      <c r="L197" s="207">
        <v>571.34</v>
      </c>
      <c r="M197" s="207">
        <v>197.77</v>
      </c>
      <c r="N197" s="207">
        <v>507.72</v>
      </c>
      <c r="O197" s="207">
        <v>388.21</v>
      </c>
      <c r="P197" s="207">
        <v>616.97</v>
      </c>
      <c r="Q197" s="207">
        <v>409.92</v>
      </c>
      <c r="R197" s="207">
        <v>411.67</v>
      </c>
      <c r="S197" s="207">
        <v>443.44</v>
      </c>
      <c r="T197" s="207">
        <v>163.09</v>
      </c>
      <c r="U197" s="207">
        <v>360.93</v>
      </c>
      <c r="V197" s="207">
        <v>713.24</v>
      </c>
      <c r="W197" s="207">
        <v>419.28</v>
      </c>
      <c r="X197" s="207">
        <v>370.14</v>
      </c>
      <c r="Y197" s="207">
        <v>270.24</v>
      </c>
      <c r="Z197" s="207">
        <v>284.21</v>
      </c>
      <c r="AA197" s="207">
        <v>399.35</v>
      </c>
      <c r="AB197" s="207">
        <v>516.88</v>
      </c>
      <c r="AC197" s="207">
        <v>289.42</v>
      </c>
      <c r="AD197" s="207">
        <v>432.6</v>
      </c>
      <c r="AE197" s="207">
        <v>77.55</v>
      </c>
      <c r="AF197" s="207">
        <v>157.21</v>
      </c>
      <c r="AG197" s="114">
        <f t="shared" si="69"/>
        <v>11051.16</v>
      </c>
    </row>
    <row r="198" outlineLevel="1">
      <c r="A198" s="193" t="s">
        <v>222</v>
      </c>
      <c r="B198" s="200">
        <v>339.72</v>
      </c>
      <c r="C198" s="200">
        <v>187.63</v>
      </c>
      <c r="D198" s="200">
        <v>541.95</v>
      </c>
      <c r="E198" s="200">
        <v>390.41</v>
      </c>
      <c r="F198" s="200">
        <v>428.74</v>
      </c>
      <c r="G198" s="200">
        <v>648.92</v>
      </c>
      <c r="H198" s="200">
        <v>617.5</v>
      </c>
      <c r="I198" s="200">
        <v>341.86</v>
      </c>
      <c r="J198" s="200">
        <v>154.79</v>
      </c>
      <c r="K198" s="200">
        <v>189.0</v>
      </c>
      <c r="L198" s="200">
        <v>142.39</v>
      </c>
      <c r="M198" s="200">
        <v>169.15</v>
      </c>
      <c r="N198" s="200">
        <v>291.67</v>
      </c>
      <c r="O198" s="200">
        <v>105.71</v>
      </c>
      <c r="P198" s="200">
        <v>154.89</v>
      </c>
      <c r="Q198" s="200">
        <v>235.43</v>
      </c>
      <c r="R198" s="200">
        <v>375.12</v>
      </c>
      <c r="S198" s="200">
        <v>145.62</v>
      </c>
      <c r="T198" s="200">
        <v>133.41</v>
      </c>
      <c r="U198" s="207">
        <v>207.49</v>
      </c>
      <c r="V198" s="207">
        <v>119.81</v>
      </c>
      <c r="W198" s="207">
        <v>40.74</v>
      </c>
      <c r="X198" s="207">
        <v>78.81</v>
      </c>
      <c r="Y198" s="207">
        <v>79.04</v>
      </c>
      <c r="Z198" s="207">
        <v>160.22</v>
      </c>
      <c r="AA198" s="207">
        <v>75.76</v>
      </c>
      <c r="AB198" s="207">
        <v>84.0</v>
      </c>
      <c r="AC198" s="207">
        <v>42.12</v>
      </c>
      <c r="AD198" s="207">
        <v>0.0</v>
      </c>
      <c r="AE198" s="207">
        <v>209.57</v>
      </c>
      <c r="AF198" s="207">
        <v>119.01</v>
      </c>
      <c r="AG198" s="114">
        <f t="shared" si="69"/>
        <v>6810.48</v>
      </c>
    </row>
    <row r="199" outlineLevel="1">
      <c r="A199" s="193" t="s">
        <v>223</v>
      </c>
      <c r="B199" s="207">
        <v>798.43</v>
      </c>
      <c r="C199" s="207">
        <v>929.85</v>
      </c>
      <c r="D199" s="207">
        <v>455.07</v>
      </c>
      <c r="E199" s="207">
        <v>286.7</v>
      </c>
      <c r="F199" s="207">
        <v>477.15</v>
      </c>
      <c r="G199" s="207">
        <v>653.89</v>
      </c>
      <c r="H199" s="207">
        <v>753.22</v>
      </c>
      <c r="I199" s="207">
        <v>749.83</v>
      </c>
      <c r="J199" s="207">
        <v>338.41</v>
      </c>
      <c r="K199" s="207">
        <v>94.34</v>
      </c>
      <c r="L199" s="207">
        <v>447.43</v>
      </c>
      <c r="M199" s="207">
        <v>491.18</v>
      </c>
      <c r="N199" s="207">
        <v>931.0</v>
      </c>
      <c r="O199" s="207">
        <v>1193.12</v>
      </c>
      <c r="P199" s="207">
        <v>392.1</v>
      </c>
      <c r="Q199" s="207">
        <v>640.22</v>
      </c>
      <c r="R199" s="207">
        <v>442.57</v>
      </c>
      <c r="S199" s="207">
        <v>477.04</v>
      </c>
      <c r="T199" s="207">
        <v>192.06</v>
      </c>
      <c r="U199" s="207">
        <v>560.54</v>
      </c>
      <c r="V199" s="207">
        <v>744.74</v>
      </c>
      <c r="W199" s="207">
        <v>566.71</v>
      </c>
      <c r="X199" s="207">
        <v>287.25</v>
      </c>
      <c r="Y199" s="207">
        <v>571.82</v>
      </c>
      <c r="Z199" s="207">
        <v>376.36</v>
      </c>
      <c r="AA199" s="207">
        <v>521.64</v>
      </c>
      <c r="AB199" s="207">
        <v>379.95</v>
      </c>
      <c r="AC199" s="207">
        <v>260.03</v>
      </c>
      <c r="AD199" s="207">
        <v>374.7</v>
      </c>
      <c r="AE199" s="207">
        <v>622.04</v>
      </c>
      <c r="AF199" s="207">
        <v>287.02</v>
      </c>
      <c r="AG199" s="114">
        <f t="shared" si="69"/>
        <v>16296.41</v>
      </c>
    </row>
    <row r="200" outlineLevel="1">
      <c r="A200" s="193" t="s">
        <v>224</v>
      </c>
      <c r="B200" s="200">
        <v>812.07</v>
      </c>
      <c r="C200" s="200">
        <v>657.55</v>
      </c>
      <c r="D200" s="200">
        <v>738.87</v>
      </c>
      <c r="E200" s="200">
        <v>552.92</v>
      </c>
      <c r="F200" s="200">
        <v>448.67</v>
      </c>
      <c r="G200" s="200">
        <v>270.33</v>
      </c>
      <c r="H200" s="200">
        <v>1103.2</v>
      </c>
      <c r="I200" s="200">
        <v>741.71</v>
      </c>
      <c r="J200" s="200">
        <v>384.68</v>
      </c>
      <c r="K200" s="200">
        <v>478.15</v>
      </c>
      <c r="L200" s="200">
        <v>748.3</v>
      </c>
      <c r="M200" s="200">
        <v>192.68</v>
      </c>
      <c r="N200" s="200">
        <v>465.38</v>
      </c>
      <c r="O200" s="200">
        <v>95.45</v>
      </c>
      <c r="P200" s="200">
        <v>95.23</v>
      </c>
      <c r="Q200" s="200">
        <v>188.9</v>
      </c>
      <c r="R200" s="200">
        <v>430.63</v>
      </c>
      <c r="S200" s="200">
        <v>346.66</v>
      </c>
      <c r="T200" s="200">
        <v>560.32</v>
      </c>
      <c r="U200" s="207">
        <v>189.57</v>
      </c>
      <c r="V200" s="207">
        <v>356.9</v>
      </c>
      <c r="W200" s="207">
        <v>671.75</v>
      </c>
      <c r="X200" s="207">
        <v>192.95</v>
      </c>
      <c r="Y200" s="207">
        <v>96.34</v>
      </c>
      <c r="Z200" s="207">
        <v>286.26</v>
      </c>
      <c r="AA200" s="207">
        <v>268.25</v>
      </c>
      <c r="AB200" s="207">
        <v>383.03</v>
      </c>
      <c r="AC200" s="207">
        <v>624.05</v>
      </c>
      <c r="AD200" s="207">
        <v>272.19</v>
      </c>
      <c r="AE200" s="207">
        <v>96.34</v>
      </c>
      <c r="AF200" s="207">
        <v>0.0</v>
      </c>
      <c r="AG200" s="114">
        <f t="shared" si="69"/>
        <v>12749.33</v>
      </c>
    </row>
    <row r="201" outlineLevel="1">
      <c r="A201" s="193" t="s">
        <v>225</v>
      </c>
      <c r="B201" s="207">
        <v>1502.83</v>
      </c>
      <c r="C201" s="207">
        <v>1087.39</v>
      </c>
      <c r="D201" s="207">
        <v>757.59</v>
      </c>
      <c r="E201" s="207">
        <v>862.76</v>
      </c>
      <c r="F201" s="207">
        <v>1534.94</v>
      </c>
      <c r="G201" s="207">
        <v>1514.28</v>
      </c>
      <c r="H201" s="207">
        <v>1863.54</v>
      </c>
      <c r="I201" s="207">
        <v>1190.38</v>
      </c>
      <c r="J201" s="207">
        <v>1143.38</v>
      </c>
      <c r="K201" s="207">
        <v>694.76</v>
      </c>
      <c r="L201" s="200">
        <v>1009.33</v>
      </c>
      <c r="M201" s="207">
        <v>1186.28</v>
      </c>
      <c r="N201" s="207">
        <v>1276.71</v>
      </c>
      <c r="O201" s="207">
        <v>1656.07</v>
      </c>
      <c r="P201" s="207">
        <v>1350.35</v>
      </c>
      <c r="Q201" s="207">
        <v>1108.23</v>
      </c>
      <c r="R201" s="207">
        <v>942.95</v>
      </c>
      <c r="S201" s="207">
        <v>1128.49</v>
      </c>
      <c r="T201" s="207">
        <v>1108.97</v>
      </c>
      <c r="U201" s="207">
        <v>1276.02</v>
      </c>
      <c r="V201" s="207">
        <v>1421.15</v>
      </c>
      <c r="W201" s="207">
        <v>1154.87</v>
      </c>
      <c r="X201" s="207">
        <v>1014.33</v>
      </c>
      <c r="Y201" s="207">
        <v>486.08</v>
      </c>
      <c r="Z201" s="207">
        <v>832.5</v>
      </c>
      <c r="AA201" s="207">
        <v>883.6</v>
      </c>
      <c r="AB201" s="207">
        <v>970.05</v>
      </c>
      <c r="AC201" s="207">
        <v>818.51</v>
      </c>
      <c r="AD201" s="207">
        <v>657.87</v>
      </c>
      <c r="AE201" s="207">
        <v>641.3</v>
      </c>
      <c r="AF201" s="207">
        <v>701.11</v>
      </c>
      <c r="AG201" s="114">
        <f t="shared" si="69"/>
        <v>33776.62</v>
      </c>
    </row>
    <row r="202" outlineLevel="1">
      <c r="A202" s="193" t="s">
        <v>226</v>
      </c>
      <c r="B202" s="207">
        <v>1618.79</v>
      </c>
      <c r="C202" s="207">
        <v>1486.27</v>
      </c>
      <c r="D202" s="207">
        <v>1312.99</v>
      </c>
      <c r="E202" s="207">
        <v>1135.45</v>
      </c>
      <c r="F202" s="207">
        <v>1565.0</v>
      </c>
      <c r="G202" s="207">
        <v>1730.72</v>
      </c>
      <c r="H202" s="207">
        <v>2458.72</v>
      </c>
      <c r="I202" s="207">
        <v>832.94</v>
      </c>
      <c r="J202" s="207">
        <v>646.15</v>
      </c>
      <c r="K202" s="207">
        <v>714.15</v>
      </c>
      <c r="L202" s="207">
        <v>816.84</v>
      </c>
      <c r="M202" s="207">
        <v>914.77</v>
      </c>
      <c r="N202" s="207">
        <v>1152.66</v>
      </c>
      <c r="O202" s="207">
        <v>736.4</v>
      </c>
      <c r="P202" s="207">
        <v>637.08</v>
      </c>
      <c r="Q202" s="207">
        <v>738.26</v>
      </c>
      <c r="R202" s="207">
        <v>969.49</v>
      </c>
      <c r="S202" s="200">
        <v>742.14</v>
      </c>
      <c r="T202" s="200">
        <v>463.74</v>
      </c>
      <c r="U202" s="207">
        <v>372.92</v>
      </c>
      <c r="V202" s="207">
        <v>413.19</v>
      </c>
      <c r="W202" s="207">
        <v>324.44</v>
      </c>
      <c r="X202" s="207">
        <v>272.27</v>
      </c>
      <c r="Y202" s="207">
        <v>372.1</v>
      </c>
      <c r="Z202" s="207">
        <v>522.8</v>
      </c>
      <c r="AA202" s="207">
        <v>382.51</v>
      </c>
      <c r="AB202" s="207">
        <v>434.47</v>
      </c>
      <c r="AC202" s="207">
        <v>504.88</v>
      </c>
      <c r="AD202" s="207">
        <v>289.83</v>
      </c>
      <c r="AE202" s="207">
        <v>124.58</v>
      </c>
      <c r="AF202" s="207">
        <v>301.22</v>
      </c>
      <c r="AG202" s="114">
        <f t="shared" si="69"/>
        <v>24987.77</v>
      </c>
    </row>
    <row r="203">
      <c r="A203" s="196" t="s">
        <v>130</v>
      </c>
      <c r="B203" s="205">
        <f t="shared" ref="B203:AF203" si="70">SUM(B195:B202)</f>
        <v>7941.11</v>
      </c>
      <c r="C203" s="205">
        <f t="shared" si="70"/>
        <v>6703.01</v>
      </c>
      <c r="D203" s="205">
        <f t="shared" si="70"/>
        <v>6087.03</v>
      </c>
      <c r="E203" s="205">
        <f t="shared" si="70"/>
        <v>5375.84</v>
      </c>
      <c r="F203" s="205">
        <f t="shared" si="70"/>
        <v>6758.47</v>
      </c>
      <c r="G203" s="205">
        <f t="shared" si="70"/>
        <v>7250.72</v>
      </c>
      <c r="H203" s="205">
        <f t="shared" si="70"/>
        <v>9553.88</v>
      </c>
      <c r="I203" s="205">
        <f t="shared" si="70"/>
        <v>5455.55</v>
      </c>
      <c r="J203" s="205">
        <f t="shared" si="70"/>
        <v>3977.02</v>
      </c>
      <c r="K203" s="205">
        <f t="shared" si="70"/>
        <v>3116.56</v>
      </c>
      <c r="L203" s="205">
        <f t="shared" si="70"/>
        <v>4800.36</v>
      </c>
      <c r="M203" s="205">
        <f t="shared" si="70"/>
        <v>4009.93</v>
      </c>
      <c r="N203" s="205">
        <f t="shared" si="70"/>
        <v>6091.71</v>
      </c>
      <c r="O203" s="205">
        <f t="shared" si="70"/>
        <v>5815.2</v>
      </c>
      <c r="P203" s="205">
        <f t="shared" si="70"/>
        <v>4605.86</v>
      </c>
      <c r="Q203" s="205">
        <f t="shared" si="70"/>
        <v>4118.22</v>
      </c>
      <c r="R203" s="205">
        <f t="shared" si="70"/>
        <v>4799.1</v>
      </c>
      <c r="S203" s="205">
        <f t="shared" si="70"/>
        <v>4084.73</v>
      </c>
      <c r="T203" s="205">
        <f t="shared" si="70"/>
        <v>3388.03</v>
      </c>
      <c r="U203" s="205">
        <f t="shared" si="70"/>
        <v>4315.71</v>
      </c>
      <c r="V203" s="205">
        <f t="shared" si="70"/>
        <v>4992.18</v>
      </c>
      <c r="W203" s="205">
        <f t="shared" si="70"/>
        <v>4110.55</v>
      </c>
      <c r="X203" s="205">
        <f t="shared" si="70"/>
        <v>2890.05</v>
      </c>
      <c r="Y203" s="205">
        <f t="shared" si="70"/>
        <v>2421.41</v>
      </c>
      <c r="Z203" s="205">
        <f t="shared" si="70"/>
        <v>3149.05</v>
      </c>
      <c r="AA203" s="205">
        <f t="shared" si="70"/>
        <v>3587.62</v>
      </c>
      <c r="AB203" s="205">
        <f t="shared" si="70"/>
        <v>3586.1</v>
      </c>
      <c r="AC203" s="205">
        <f t="shared" si="70"/>
        <v>3318.52</v>
      </c>
      <c r="AD203" s="205">
        <f t="shared" si="70"/>
        <v>3046.59</v>
      </c>
      <c r="AE203" s="205">
        <f t="shared" si="70"/>
        <v>2321.07</v>
      </c>
      <c r="AF203" s="205">
        <f t="shared" si="70"/>
        <v>2068.28</v>
      </c>
      <c r="AG203" s="114">
        <f t="shared" si="69"/>
        <v>143739.46</v>
      </c>
    </row>
    <row r="204">
      <c r="A204" s="98"/>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c r="AB204" s="206"/>
      <c r="AC204" s="206"/>
      <c r="AD204" s="206"/>
      <c r="AE204" s="206"/>
      <c r="AF204" s="206"/>
      <c r="AG204" s="114"/>
    </row>
    <row r="205">
      <c r="A205" s="193" t="s">
        <v>227</v>
      </c>
      <c r="B205" s="194"/>
      <c r="C205" s="194"/>
      <c r="D205" s="195"/>
      <c r="E205" s="195"/>
      <c r="F205" s="195"/>
      <c r="G205" s="195"/>
      <c r="H205" s="195"/>
      <c r="I205" s="195"/>
      <c r="J205" s="195"/>
      <c r="K205" s="194"/>
      <c r="L205" s="194"/>
      <c r="M205" s="194"/>
      <c r="N205" s="194"/>
      <c r="O205" s="194"/>
      <c r="P205" s="194"/>
      <c r="Q205" s="194"/>
      <c r="R205" s="194"/>
      <c r="S205" s="194"/>
      <c r="T205" s="194"/>
      <c r="U205" s="194"/>
      <c r="V205" s="194"/>
      <c r="W205" s="194"/>
      <c r="X205" s="194"/>
      <c r="Y205" s="194"/>
      <c r="Z205" s="194"/>
      <c r="AA205" s="194"/>
      <c r="AB205" s="194"/>
      <c r="AC205" s="194"/>
      <c r="AD205" s="194"/>
      <c r="AE205" s="194"/>
      <c r="AF205" s="194"/>
      <c r="AG205" s="114"/>
    </row>
    <row r="206" outlineLevel="1">
      <c r="A206" s="193" t="s">
        <v>197</v>
      </c>
      <c r="B206" s="200">
        <v>117.3</v>
      </c>
      <c r="C206" s="203">
        <v>164.5</v>
      </c>
      <c r="D206" s="200">
        <v>49.0</v>
      </c>
      <c r="E206" s="207">
        <v>112.5</v>
      </c>
      <c r="F206" s="200">
        <v>80.2</v>
      </c>
      <c r="G206" s="207">
        <v>88.0</v>
      </c>
      <c r="H206" s="200">
        <v>49.0</v>
      </c>
      <c r="I206" s="200">
        <v>69.0</v>
      </c>
      <c r="J206" s="200">
        <v>76.0</v>
      </c>
      <c r="K206" s="200">
        <v>168.65</v>
      </c>
      <c r="L206" s="200">
        <v>230.35</v>
      </c>
      <c r="M206" s="200">
        <v>78.0</v>
      </c>
      <c r="N206" s="200">
        <v>116.5</v>
      </c>
      <c r="O206" s="200">
        <v>129.65</v>
      </c>
      <c r="P206" s="200">
        <v>117.0</v>
      </c>
      <c r="Q206" s="200">
        <v>138.45</v>
      </c>
      <c r="R206" s="200">
        <v>57.5</v>
      </c>
      <c r="S206" s="200">
        <v>78.0</v>
      </c>
      <c r="T206" s="208">
        <v>184.0</v>
      </c>
      <c r="U206" s="200">
        <v>145.0</v>
      </c>
      <c r="V206" s="200">
        <v>58.0</v>
      </c>
      <c r="W206" s="200">
        <v>0.0</v>
      </c>
      <c r="X206" s="200">
        <v>116.0</v>
      </c>
      <c r="Y206" s="200">
        <v>29.0</v>
      </c>
      <c r="Z206" s="200">
        <v>25.67</v>
      </c>
      <c r="AA206" s="200">
        <v>29.0</v>
      </c>
      <c r="AB206" s="200">
        <v>116.0</v>
      </c>
      <c r="AC206" s="200">
        <v>58.0</v>
      </c>
      <c r="AD206" s="200">
        <v>29.0</v>
      </c>
      <c r="AE206" s="200">
        <v>58.0</v>
      </c>
      <c r="AF206" s="200">
        <v>58.0</v>
      </c>
      <c r="AG206" s="114">
        <f t="shared" ref="AG206:AG214" si="71">SUM(B206:AF206)</f>
        <v>2825.27</v>
      </c>
    </row>
    <row r="207" outlineLevel="1">
      <c r="A207" s="193" t="s">
        <v>198</v>
      </c>
      <c r="B207" s="200">
        <v>51.0</v>
      </c>
      <c r="C207" s="207">
        <v>121.3</v>
      </c>
      <c r="D207" s="200">
        <v>10.0</v>
      </c>
      <c r="E207" s="207">
        <v>130.5</v>
      </c>
      <c r="F207" s="200">
        <v>82.0</v>
      </c>
      <c r="G207" s="207">
        <v>10.0</v>
      </c>
      <c r="H207" s="200">
        <v>34.0</v>
      </c>
      <c r="I207" s="200">
        <v>88.0</v>
      </c>
      <c r="J207" s="200">
        <v>105.4</v>
      </c>
      <c r="K207" s="200">
        <v>134.9</v>
      </c>
      <c r="L207" s="200">
        <v>58.0</v>
      </c>
      <c r="M207" s="200">
        <v>24.0</v>
      </c>
      <c r="N207" s="200">
        <v>134.5</v>
      </c>
      <c r="O207" s="200">
        <v>42.5</v>
      </c>
      <c r="P207" s="200">
        <v>24.0</v>
      </c>
      <c r="Q207" s="200">
        <v>48.0</v>
      </c>
      <c r="R207" s="200">
        <v>32.5</v>
      </c>
      <c r="S207" s="200">
        <v>24.0</v>
      </c>
      <c r="T207" s="200">
        <v>19.0</v>
      </c>
      <c r="U207" s="200">
        <v>76.0</v>
      </c>
      <c r="V207" s="200">
        <v>0.0</v>
      </c>
      <c r="W207" s="200">
        <v>38.0</v>
      </c>
      <c r="X207" s="200">
        <v>38.0</v>
      </c>
      <c r="Y207" s="207">
        <v>73.15</v>
      </c>
      <c r="Z207" s="200">
        <v>66.49</v>
      </c>
      <c r="AA207" s="200">
        <v>0.0</v>
      </c>
      <c r="AB207" s="200">
        <v>19.0</v>
      </c>
      <c r="AC207" s="200">
        <v>19.0</v>
      </c>
      <c r="AD207" s="200">
        <v>38.0</v>
      </c>
      <c r="AE207" s="200">
        <v>19.0</v>
      </c>
      <c r="AF207" s="200">
        <v>19.0</v>
      </c>
      <c r="AG207" s="114">
        <f t="shared" si="71"/>
        <v>1579.24</v>
      </c>
    </row>
    <row r="208" outlineLevel="1">
      <c r="A208" s="193" t="s">
        <v>228</v>
      </c>
      <c r="B208" s="200">
        <v>0.0</v>
      </c>
      <c r="C208" s="207">
        <v>98.0</v>
      </c>
      <c r="D208" s="200">
        <v>0.0</v>
      </c>
      <c r="E208" s="207">
        <v>49.0</v>
      </c>
      <c r="F208" s="200">
        <v>98.0</v>
      </c>
      <c r="G208" s="207">
        <v>49.0</v>
      </c>
      <c r="H208" s="200">
        <v>0.0</v>
      </c>
      <c r="I208" s="200">
        <v>0.0</v>
      </c>
      <c r="J208" s="200">
        <v>49.0</v>
      </c>
      <c r="K208" s="200">
        <v>41.65</v>
      </c>
      <c r="L208" s="200">
        <v>39.2</v>
      </c>
      <c r="M208" s="200">
        <v>49.0</v>
      </c>
      <c r="N208" s="200">
        <v>49.0</v>
      </c>
      <c r="O208" s="200">
        <v>0.0</v>
      </c>
      <c r="P208" s="200">
        <v>98.0</v>
      </c>
      <c r="Q208" s="200">
        <v>49.0</v>
      </c>
      <c r="R208" s="200">
        <v>0.0</v>
      </c>
      <c r="S208" s="200">
        <v>0.0</v>
      </c>
      <c r="T208" s="200">
        <v>39.0</v>
      </c>
      <c r="U208" s="200">
        <v>117.0</v>
      </c>
      <c r="V208" s="200">
        <v>39.0</v>
      </c>
      <c r="W208" s="200">
        <v>39.0</v>
      </c>
      <c r="X208" s="200">
        <v>78.0</v>
      </c>
      <c r="Y208" s="200">
        <v>111.15</v>
      </c>
      <c r="Z208" s="200">
        <v>35.66</v>
      </c>
      <c r="AA208" s="200">
        <v>0.0</v>
      </c>
      <c r="AB208" s="200">
        <v>39.0</v>
      </c>
      <c r="AC208" s="200">
        <v>0.0</v>
      </c>
      <c r="AD208" s="200">
        <v>0.0</v>
      </c>
      <c r="AE208" s="200">
        <v>0.0</v>
      </c>
      <c r="AF208" s="200">
        <v>39.0</v>
      </c>
      <c r="AG208" s="114">
        <f t="shared" si="71"/>
        <v>1205.66</v>
      </c>
    </row>
    <row r="209" outlineLevel="1">
      <c r="A209" s="193" t="s">
        <v>229</v>
      </c>
      <c r="B209" s="200">
        <v>51.0</v>
      </c>
      <c r="C209" s="200">
        <v>8.5</v>
      </c>
      <c r="D209" s="200">
        <v>10.0</v>
      </c>
      <c r="E209" s="200">
        <v>34.5</v>
      </c>
      <c r="F209" s="200">
        <v>59.0</v>
      </c>
      <c r="G209" s="200">
        <v>10.0</v>
      </c>
      <c r="H209" s="200">
        <v>10.0</v>
      </c>
      <c r="I209" s="200">
        <v>40.0</v>
      </c>
      <c r="J209" s="200">
        <v>37.0</v>
      </c>
      <c r="K209" s="200">
        <v>18.5</v>
      </c>
      <c r="L209" s="200">
        <v>10.0</v>
      </c>
      <c r="M209" s="200">
        <v>49.0</v>
      </c>
      <c r="N209" s="200">
        <v>87.5</v>
      </c>
      <c r="O209" s="200">
        <v>18.5</v>
      </c>
      <c r="P209" s="200">
        <v>0.0</v>
      </c>
      <c r="Q209" s="200">
        <v>0.0</v>
      </c>
      <c r="R209" s="200">
        <v>18.5</v>
      </c>
      <c r="S209" s="200">
        <v>49.0</v>
      </c>
      <c r="T209" s="200">
        <v>0.0</v>
      </c>
      <c r="U209" s="200">
        <v>39.0</v>
      </c>
      <c r="V209" s="200">
        <v>39.0</v>
      </c>
      <c r="W209" s="200">
        <v>0.0</v>
      </c>
      <c r="X209" s="200">
        <v>0.0</v>
      </c>
      <c r="Y209" s="200">
        <v>0.0</v>
      </c>
      <c r="Z209" s="200">
        <v>0.0</v>
      </c>
      <c r="AA209" s="200">
        <v>0.0</v>
      </c>
      <c r="AB209" s="200">
        <v>0.0</v>
      </c>
      <c r="AC209" s="200">
        <v>0.0</v>
      </c>
      <c r="AD209" s="200">
        <v>39.0</v>
      </c>
      <c r="AE209" s="200">
        <v>0.0</v>
      </c>
      <c r="AF209" s="200">
        <v>0.0</v>
      </c>
      <c r="AG209" s="114">
        <f t="shared" si="71"/>
        <v>628</v>
      </c>
    </row>
    <row r="210" outlineLevel="1">
      <c r="A210" s="193" t="s">
        <v>230</v>
      </c>
      <c r="B210" s="200">
        <v>64.0</v>
      </c>
      <c r="C210" s="207">
        <v>240.3</v>
      </c>
      <c r="D210" s="200">
        <v>178.0</v>
      </c>
      <c r="E210" s="207">
        <v>89.0</v>
      </c>
      <c r="F210" s="200">
        <v>0.0</v>
      </c>
      <c r="G210" s="207">
        <v>89.0</v>
      </c>
      <c r="H210" s="200">
        <v>89.0</v>
      </c>
      <c r="I210" s="200">
        <v>0.0</v>
      </c>
      <c r="J210" s="200">
        <v>0.0</v>
      </c>
      <c r="K210" s="200">
        <v>0.0</v>
      </c>
      <c r="L210" s="200">
        <v>226.95</v>
      </c>
      <c r="M210" s="200">
        <v>0.0</v>
      </c>
      <c r="N210" s="200">
        <v>89.0</v>
      </c>
      <c r="O210" s="200">
        <v>0.0</v>
      </c>
      <c r="P210" s="200">
        <v>0.0</v>
      </c>
      <c r="Q210" s="200">
        <v>0.0</v>
      </c>
      <c r="R210" s="200">
        <v>89.0</v>
      </c>
      <c r="S210" s="200">
        <v>0.0</v>
      </c>
      <c r="T210" s="200">
        <v>0.0</v>
      </c>
      <c r="U210" s="200">
        <v>0.0</v>
      </c>
      <c r="V210" s="200">
        <v>0.0</v>
      </c>
      <c r="W210" s="200">
        <v>0.0</v>
      </c>
      <c r="X210" s="200">
        <v>0.0</v>
      </c>
      <c r="Y210" s="200">
        <v>164.65</v>
      </c>
      <c r="Z210" s="200">
        <v>0.0</v>
      </c>
      <c r="AA210" s="200">
        <v>0.0</v>
      </c>
      <c r="AB210" s="200">
        <v>0.0</v>
      </c>
      <c r="AC210" s="200">
        <v>0.0</v>
      </c>
      <c r="AD210" s="200">
        <v>0.0</v>
      </c>
      <c r="AE210" s="200">
        <v>89.0</v>
      </c>
      <c r="AF210" s="200">
        <v>0.0</v>
      </c>
      <c r="AG210" s="114">
        <f t="shared" si="71"/>
        <v>1407.9</v>
      </c>
    </row>
    <row r="211" outlineLevel="1">
      <c r="A211" s="193" t="s">
        <v>231</v>
      </c>
      <c r="B211" s="200">
        <v>0.0</v>
      </c>
      <c r="C211" s="200">
        <v>0.0</v>
      </c>
      <c r="D211" s="200">
        <v>0.0</v>
      </c>
      <c r="E211" s="200">
        <v>0.0</v>
      </c>
      <c r="F211" s="200">
        <v>0.0</v>
      </c>
      <c r="G211" s="200">
        <v>0.0</v>
      </c>
      <c r="H211" s="200">
        <v>0.0</v>
      </c>
      <c r="I211" s="200">
        <v>89.0</v>
      </c>
      <c r="J211" s="200">
        <v>0.0</v>
      </c>
      <c r="K211" s="200">
        <v>89.0</v>
      </c>
      <c r="L211" s="200">
        <v>0.0</v>
      </c>
      <c r="M211" s="200">
        <v>89.0</v>
      </c>
      <c r="N211" s="200">
        <v>0.0</v>
      </c>
      <c r="O211" s="200">
        <v>0.0</v>
      </c>
      <c r="P211" s="200">
        <v>0.0</v>
      </c>
      <c r="Q211" s="200">
        <v>0.0</v>
      </c>
      <c r="R211" s="200">
        <v>0.0</v>
      </c>
      <c r="S211" s="200">
        <v>89.0</v>
      </c>
      <c r="T211" s="200">
        <v>0.0</v>
      </c>
      <c r="U211" s="200">
        <v>89.0</v>
      </c>
      <c r="V211" s="200">
        <v>89.0</v>
      </c>
      <c r="W211" s="200">
        <v>0.0</v>
      </c>
      <c r="X211" s="200">
        <v>0.0</v>
      </c>
      <c r="Y211" s="200">
        <v>0.0</v>
      </c>
      <c r="Z211" s="200">
        <v>161.31</v>
      </c>
      <c r="AA211" s="200">
        <v>0.0</v>
      </c>
      <c r="AB211" s="200">
        <v>0.0</v>
      </c>
      <c r="AC211" s="200">
        <v>0.0</v>
      </c>
      <c r="AD211" s="200">
        <v>0.0</v>
      </c>
      <c r="AE211" s="200">
        <v>0.0</v>
      </c>
      <c r="AF211" s="200">
        <v>0.0</v>
      </c>
      <c r="AG211" s="114">
        <f t="shared" si="71"/>
        <v>695.31</v>
      </c>
    </row>
    <row r="212" outlineLevel="1">
      <c r="A212" s="193" t="s">
        <v>232</v>
      </c>
      <c r="B212" s="200">
        <v>0.0</v>
      </c>
      <c r="C212" s="207">
        <v>144.3</v>
      </c>
      <c r="D212" s="200">
        <v>70.2</v>
      </c>
      <c r="E212" s="207">
        <v>0.0</v>
      </c>
      <c r="F212" s="200">
        <v>156.0</v>
      </c>
      <c r="G212" s="207">
        <v>78.0</v>
      </c>
      <c r="H212" s="200">
        <v>117.0</v>
      </c>
      <c r="I212" s="200">
        <v>111.15</v>
      </c>
      <c r="J212" s="200">
        <v>117.0</v>
      </c>
      <c r="K212" s="200">
        <v>183.3</v>
      </c>
      <c r="L212" s="200">
        <v>72.15</v>
      </c>
      <c r="M212" s="200">
        <v>93.6</v>
      </c>
      <c r="N212" s="200">
        <v>111.15</v>
      </c>
      <c r="O212" s="200">
        <v>111.15</v>
      </c>
      <c r="P212" s="200">
        <v>39.0</v>
      </c>
      <c r="Q212" s="200">
        <v>78.0</v>
      </c>
      <c r="R212" s="200">
        <v>0.0</v>
      </c>
      <c r="S212" s="200">
        <v>39.0</v>
      </c>
      <c r="T212" s="200">
        <v>214.3</v>
      </c>
      <c r="U212" s="200">
        <v>145.0</v>
      </c>
      <c r="V212" s="200">
        <v>145.0</v>
      </c>
      <c r="W212" s="200">
        <v>29.0</v>
      </c>
      <c r="X212" s="200">
        <v>58.0</v>
      </c>
      <c r="Y212" s="200">
        <v>111.65</v>
      </c>
      <c r="Z212" s="200">
        <v>58.0</v>
      </c>
      <c r="AA212" s="200">
        <v>0.0</v>
      </c>
      <c r="AB212" s="200">
        <v>87.0</v>
      </c>
      <c r="AC212" s="200">
        <v>58.0</v>
      </c>
      <c r="AD212" s="200">
        <v>58.0</v>
      </c>
      <c r="AE212" s="200">
        <v>58.0</v>
      </c>
      <c r="AF212" s="200">
        <v>0.0</v>
      </c>
      <c r="AG212" s="114">
        <f t="shared" si="71"/>
        <v>2542.95</v>
      </c>
    </row>
    <row r="213" outlineLevel="1">
      <c r="A213" s="193" t="s">
        <v>233</v>
      </c>
      <c r="B213" s="200">
        <v>316.7</v>
      </c>
      <c r="C213" s="207">
        <v>65.35</v>
      </c>
      <c r="D213" s="200">
        <v>70.0</v>
      </c>
      <c r="E213" s="207">
        <v>193.35</v>
      </c>
      <c r="F213" s="200">
        <v>109.0</v>
      </c>
      <c r="G213" s="207">
        <v>64.15</v>
      </c>
      <c r="H213" s="200">
        <v>31.0</v>
      </c>
      <c r="I213" s="200">
        <v>202.0</v>
      </c>
      <c r="J213" s="200">
        <v>225.85</v>
      </c>
      <c r="K213" s="200">
        <v>96.35</v>
      </c>
      <c r="L213" s="200">
        <v>109.0</v>
      </c>
      <c r="M213" s="200">
        <v>78.0</v>
      </c>
      <c r="N213" s="200">
        <v>197.35</v>
      </c>
      <c r="O213" s="200">
        <v>57.35</v>
      </c>
      <c r="P213" s="200">
        <v>39.0</v>
      </c>
      <c r="Q213" s="200">
        <v>21.45</v>
      </c>
      <c r="R213" s="200">
        <v>57.35</v>
      </c>
      <c r="S213" s="200">
        <v>78.0</v>
      </c>
      <c r="T213" s="200">
        <v>58.0</v>
      </c>
      <c r="U213" s="200">
        <v>58.0</v>
      </c>
      <c r="V213" s="200">
        <v>29.0</v>
      </c>
      <c r="W213" s="200">
        <v>0.0</v>
      </c>
      <c r="X213" s="200">
        <v>0.0</v>
      </c>
      <c r="Y213" s="200">
        <v>0.0</v>
      </c>
      <c r="Z213" s="200">
        <v>50.32</v>
      </c>
      <c r="AA213" s="200">
        <v>29.0</v>
      </c>
      <c r="AB213" s="200">
        <v>29.0</v>
      </c>
      <c r="AC213" s="200">
        <v>49.3</v>
      </c>
      <c r="AD213" s="200">
        <v>58.0</v>
      </c>
      <c r="AE213" s="200">
        <v>20.3</v>
      </c>
      <c r="AF213" s="200">
        <v>0.0</v>
      </c>
      <c r="AG213" s="114">
        <f t="shared" si="71"/>
        <v>2392.17</v>
      </c>
    </row>
    <row r="214">
      <c r="A214" s="196" t="s">
        <v>130</v>
      </c>
      <c r="B214" s="205">
        <f t="shared" ref="B214:AF214" si="72">SUM(B206:B213)</f>
        <v>600</v>
      </c>
      <c r="C214" s="205">
        <f t="shared" si="72"/>
        <v>842.25</v>
      </c>
      <c r="D214" s="205">
        <f t="shared" si="72"/>
        <v>387.2</v>
      </c>
      <c r="E214" s="205">
        <f t="shared" si="72"/>
        <v>608.85</v>
      </c>
      <c r="F214" s="205">
        <f t="shared" si="72"/>
        <v>584.2</v>
      </c>
      <c r="G214" s="205">
        <f t="shared" si="72"/>
        <v>388.15</v>
      </c>
      <c r="H214" s="205">
        <f t="shared" si="72"/>
        <v>330</v>
      </c>
      <c r="I214" s="205">
        <f t="shared" si="72"/>
        <v>599.15</v>
      </c>
      <c r="J214" s="205">
        <f t="shared" si="72"/>
        <v>610.25</v>
      </c>
      <c r="K214" s="205">
        <f t="shared" si="72"/>
        <v>732.35</v>
      </c>
      <c r="L214" s="205">
        <f t="shared" si="72"/>
        <v>745.65</v>
      </c>
      <c r="M214" s="205">
        <f t="shared" si="72"/>
        <v>460.6</v>
      </c>
      <c r="N214" s="205">
        <f t="shared" si="72"/>
        <v>785</v>
      </c>
      <c r="O214" s="205">
        <f t="shared" si="72"/>
        <v>359.15</v>
      </c>
      <c r="P214" s="205">
        <f t="shared" si="72"/>
        <v>317</v>
      </c>
      <c r="Q214" s="205">
        <f t="shared" si="72"/>
        <v>334.9</v>
      </c>
      <c r="R214" s="205">
        <f t="shared" si="72"/>
        <v>254.85</v>
      </c>
      <c r="S214" s="205">
        <f t="shared" si="72"/>
        <v>357</v>
      </c>
      <c r="T214" s="205">
        <f t="shared" si="72"/>
        <v>514.3</v>
      </c>
      <c r="U214" s="205">
        <f t="shared" si="72"/>
        <v>669</v>
      </c>
      <c r="V214" s="205">
        <f t="shared" si="72"/>
        <v>399</v>
      </c>
      <c r="W214" s="205">
        <f t="shared" si="72"/>
        <v>106</v>
      </c>
      <c r="X214" s="205">
        <f t="shared" si="72"/>
        <v>290</v>
      </c>
      <c r="Y214" s="205">
        <f t="shared" si="72"/>
        <v>489.6</v>
      </c>
      <c r="Z214" s="205">
        <f t="shared" si="72"/>
        <v>397.45</v>
      </c>
      <c r="AA214" s="205">
        <f t="shared" si="72"/>
        <v>58</v>
      </c>
      <c r="AB214" s="205">
        <f t="shared" si="72"/>
        <v>290</v>
      </c>
      <c r="AC214" s="205">
        <f t="shared" si="72"/>
        <v>184.3</v>
      </c>
      <c r="AD214" s="205">
        <f t="shared" si="72"/>
        <v>222</v>
      </c>
      <c r="AE214" s="205">
        <f t="shared" si="72"/>
        <v>244.3</v>
      </c>
      <c r="AF214" s="205">
        <f t="shared" si="72"/>
        <v>116</v>
      </c>
      <c r="AG214" s="114">
        <f t="shared" si="71"/>
        <v>13276.5</v>
      </c>
    </row>
    <row r="215">
      <c r="A215" s="177"/>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c r="AE215" s="187"/>
      <c r="AF215" s="187"/>
      <c r="AG215" s="209"/>
    </row>
    <row r="216">
      <c r="A216" s="210" t="s">
        <v>234</v>
      </c>
      <c r="B216" s="211"/>
      <c r="C216" s="211"/>
      <c r="D216" s="212"/>
      <c r="E216" s="212"/>
      <c r="F216" s="212"/>
      <c r="G216" s="212"/>
      <c r="H216" s="212"/>
      <c r="I216" s="212"/>
      <c r="J216" s="212"/>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c r="AG216" s="209"/>
    </row>
    <row r="217">
      <c r="A217" s="213" t="s">
        <v>113</v>
      </c>
      <c r="B217" s="214">
        <v>62.45</v>
      </c>
      <c r="C217" s="214">
        <v>0.0</v>
      </c>
      <c r="D217" s="214">
        <v>78.35</v>
      </c>
      <c r="E217" s="214">
        <v>20.33</v>
      </c>
      <c r="F217" s="214">
        <v>44.99</v>
      </c>
      <c r="G217" s="214">
        <v>20.14</v>
      </c>
      <c r="H217" s="214">
        <v>136.63</v>
      </c>
      <c r="I217" s="214">
        <v>0.0</v>
      </c>
      <c r="J217" s="214">
        <v>62.63</v>
      </c>
      <c r="K217" s="214">
        <v>28.12</v>
      </c>
      <c r="L217" s="214">
        <v>39.99</v>
      </c>
      <c r="M217" s="214">
        <v>0.0</v>
      </c>
      <c r="N217" s="214">
        <v>0.0</v>
      </c>
      <c r="O217" s="214">
        <v>0.0</v>
      </c>
      <c r="P217" s="214">
        <v>42.79</v>
      </c>
      <c r="Q217" s="214">
        <v>0.0</v>
      </c>
      <c r="R217" s="214">
        <v>0.0</v>
      </c>
      <c r="S217" s="214">
        <v>0.0</v>
      </c>
      <c r="T217" s="214">
        <v>0.0</v>
      </c>
      <c r="U217" s="214">
        <v>0.0</v>
      </c>
      <c r="V217" s="214">
        <v>32.91</v>
      </c>
      <c r="W217" s="214">
        <v>0.0</v>
      </c>
      <c r="X217" s="214">
        <v>0.0</v>
      </c>
      <c r="Y217" s="214">
        <v>0.0</v>
      </c>
      <c r="Z217" s="214">
        <v>0.0</v>
      </c>
      <c r="AA217" s="214">
        <v>0.0</v>
      </c>
      <c r="AB217" s="214">
        <v>0.0</v>
      </c>
      <c r="AC217" s="214">
        <v>0.0</v>
      </c>
      <c r="AD217" s="214">
        <v>0.0</v>
      </c>
      <c r="AE217" s="214">
        <v>0.0</v>
      </c>
      <c r="AF217" s="214">
        <v>0.0</v>
      </c>
      <c r="AG217" s="215">
        <f>SUM(B217:AF217)</f>
        <v>569.33</v>
      </c>
    </row>
    <row r="218">
      <c r="A218" s="177"/>
      <c r="J218" s="4" t="s">
        <v>91</v>
      </c>
      <c r="T218" s="187"/>
      <c r="U218" s="187"/>
      <c r="V218" s="187"/>
      <c r="W218" s="187"/>
      <c r="X218" s="187"/>
      <c r="Y218" s="187"/>
      <c r="Z218" s="187"/>
      <c r="AA218" s="187"/>
      <c r="AB218" s="187"/>
      <c r="AC218" s="187"/>
      <c r="AD218" s="187"/>
      <c r="AE218" s="187"/>
      <c r="AF218" s="187"/>
      <c r="AG218" s="209"/>
    </row>
    <row r="219">
      <c r="A219" s="155" t="s">
        <v>235</v>
      </c>
      <c r="B219" s="192"/>
      <c r="C219" s="192"/>
      <c r="D219" s="192"/>
      <c r="E219" s="192"/>
      <c r="F219" s="192"/>
      <c r="G219" s="192"/>
      <c r="H219" s="192"/>
      <c r="I219" s="156"/>
      <c r="J219" s="156"/>
      <c r="K219" s="156"/>
      <c r="L219" s="156"/>
      <c r="M219" s="156"/>
      <c r="N219" s="156"/>
      <c r="O219" s="156"/>
      <c r="P219" s="156"/>
      <c r="Q219" s="156"/>
      <c r="R219" s="156"/>
      <c r="S219" s="156"/>
      <c r="T219" s="156"/>
      <c r="U219" s="156"/>
      <c r="V219" s="156"/>
      <c r="W219" s="156"/>
      <c r="X219" s="156"/>
      <c r="Y219" s="156"/>
      <c r="Z219" s="156"/>
      <c r="AA219" s="156"/>
      <c r="AB219" s="156"/>
      <c r="AC219" s="156"/>
      <c r="AD219" s="156"/>
      <c r="AE219" s="156"/>
      <c r="AF219" s="156"/>
      <c r="AG219" s="209"/>
    </row>
    <row r="220">
      <c r="A220" s="216" t="s">
        <v>184</v>
      </c>
      <c r="B220" s="217"/>
      <c r="C220" s="217"/>
      <c r="D220" s="217"/>
      <c r="E220" s="217"/>
      <c r="F220" s="217"/>
      <c r="G220" s="217"/>
      <c r="H220" s="217"/>
      <c r="I220" s="217"/>
      <c r="J220" s="217"/>
      <c r="K220" s="217"/>
      <c r="L220" s="217"/>
      <c r="M220" s="217"/>
      <c r="N220" s="217"/>
      <c r="O220" s="217"/>
      <c r="P220" s="217"/>
      <c r="Q220" s="217"/>
      <c r="R220" s="217"/>
      <c r="S220" s="217"/>
      <c r="T220" s="217"/>
      <c r="U220" s="217"/>
      <c r="V220" s="217"/>
      <c r="W220" s="217"/>
      <c r="X220" s="217"/>
      <c r="Y220" s="217"/>
      <c r="Z220" s="217"/>
      <c r="AA220" s="217"/>
      <c r="AB220" s="217"/>
      <c r="AC220" s="217"/>
      <c r="AD220" s="217"/>
      <c r="AE220" s="217"/>
      <c r="AF220" s="217"/>
      <c r="AG220" s="143"/>
    </row>
    <row r="221" outlineLevel="1">
      <c r="A221" s="216" t="s">
        <v>236</v>
      </c>
      <c r="B221" s="176">
        <v>0.0</v>
      </c>
      <c r="C221" s="176">
        <v>0.0</v>
      </c>
      <c r="D221" s="176">
        <v>0.0</v>
      </c>
      <c r="E221" s="176">
        <v>0.0</v>
      </c>
      <c r="F221" s="176">
        <v>0.0</v>
      </c>
      <c r="G221" s="176">
        <v>0.0</v>
      </c>
      <c r="H221" s="176">
        <v>0.0</v>
      </c>
      <c r="I221" s="176">
        <v>0.0</v>
      </c>
      <c r="J221" s="176">
        <v>1.0</v>
      </c>
      <c r="K221" s="176">
        <v>0.0</v>
      </c>
      <c r="L221" s="176">
        <v>0.0</v>
      </c>
      <c r="M221" s="176">
        <v>0.0</v>
      </c>
      <c r="N221" s="176">
        <v>0.0</v>
      </c>
      <c r="O221" s="176">
        <v>0.0</v>
      </c>
      <c r="P221" s="176">
        <v>0.0</v>
      </c>
      <c r="Q221" s="176">
        <v>0.0</v>
      </c>
      <c r="R221" s="176">
        <v>0.0</v>
      </c>
      <c r="S221" s="176">
        <v>0.0</v>
      </c>
      <c r="T221" s="176">
        <v>1.0</v>
      </c>
      <c r="U221" s="176">
        <v>0.0</v>
      </c>
      <c r="V221" s="176">
        <v>0.0</v>
      </c>
      <c r="W221" s="176">
        <v>0.0</v>
      </c>
      <c r="X221" s="176">
        <v>0.0</v>
      </c>
      <c r="Y221" s="176">
        <v>0.0</v>
      </c>
      <c r="Z221" s="176">
        <v>0.0</v>
      </c>
      <c r="AA221" s="176">
        <v>0.0</v>
      </c>
      <c r="AB221" s="176">
        <v>0.0</v>
      </c>
      <c r="AC221" s="176">
        <v>0.0</v>
      </c>
      <c r="AD221" s="176">
        <v>0.0</v>
      </c>
      <c r="AE221" s="176">
        <v>1.0</v>
      </c>
      <c r="AF221" s="176">
        <v>0.0</v>
      </c>
      <c r="AG221" s="143">
        <f t="shared" ref="AG221:AG224" si="73">SUM(B221:AF221)</f>
        <v>3</v>
      </c>
    </row>
    <row r="222" outlineLevel="1">
      <c r="A222" s="216" t="s">
        <v>237</v>
      </c>
      <c r="B222" s="176">
        <v>0.0</v>
      </c>
      <c r="C222" s="176">
        <v>2.0</v>
      </c>
      <c r="D222" s="176">
        <v>0.0</v>
      </c>
      <c r="E222" s="176">
        <v>0.0</v>
      </c>
      <c r="F222" s="176">
        <v>0.0</v>
      </c>
      <c r="G222" s="176">
        <v>0.0</v>
      </c>
      <c r="H222" s="176">
        <v>0.0</v>
      </c>
      <c r="I222" s="176">
        <v>1.0</v>
      </c>
      <c r="J222" s="176">
        <v>0.0</v>
      </c>
      <c r="K222" s="176">
        <v>0.0</v>
      </c>
      <c r="L222" s="176">
        <v>0.0</v>
      </c>
      <c r="M222" s="176">
        <v>0.0</v>
      </c>
      <c r="N222" s="176">
        <v>0.0</v>
      </c>
      <c r="O222" s="176">
        <v>0.0</v>
      </c>
      <c r="P222" s="176">
        <v>0.0</v>
      </c>
      <c r="Q222" s="176">
        <v>0.0</v>
      </c>
      <c r="R222" s="176">
        <v>1.0</v>
      </c>
      <c r="S222" s="176">
        <v>0.0</v>
      </c>
      <c r="T222" s="176">
        <v>0.0</v>
      </c>
      <c r="U222" s="176">
        <v>0.0</v>
      </c>
      <c r="V222" s="176">
        <v>0.0</v>
      </c>
      <c r="W222" s="176">
        <v>0.0</v>
      </c>
      <c r="X222" s="176">
        <v>0.0</v>
      </c>
      <c r="Y222" s="176">
        <v>0.0</v>
      </c>
      <c r="Z222" s="176">
        <v>0.0</v>
      </c>
      <c r="AA222" s="176">
        <v>0.0</v>
      </c>
      <c r="AB222" s="176">
        <v>0.0</v>
      </c>
      <c r="AC222" s="176">
        <v>0.0</v>
      </c>
      <c r="AD222" s="176">
        <v>0.0</v>
      </c>
      <c r="AE222" s="176">
        <v>0.0</v>
      </c>
      <c r="AF222" s="176">
        <v>0.0</v>
      </c>
      <c r="AG222" s="143">
        <f t="shared" si="73"/>
        <v>4</v>
      </c>
    </row>
    <row r="223" outlineLevel="1">
      <c r="A223" s="216" t="s">
        <v>238</v>
      </c>
      <c r="B223" s="164">
        <v>0.0</v>
      </c>
      <c r="C223" s="164">
        <v>0.0</v>
      </c>
      <c r="D223" s="164">
        <v>0.0</v>
      </c>
      <c r="E223" s="164">
        <v>1.0</v>
      </c>
      <c r="F223" s="164">
        <v>1.0</v>
      </c>
      <c r="G223" s="176">
        <v>0.0</v>
      </c>
      <c r="H223" s="176">
        <v>0.0</v>
      </c>
      <c r="I223" s="176">
        <v>0.0</v>
      </c>
      <c r="J223" s="176">
        <v>0.0</v>
      </c>
      <c r="K223" s="176">
        <v>2.0</v>
      </c>
      <c r="L223" s="176">
        <v>2.0</v>
      </c>
      <c r="M223" s="176">
        <v>1.0</v>
      </c>
      <c r="N223" s="176">
        <v>0.0</v>
      </c>
      <c r="O223" s="176">
        <v>0.0</v>
      </c>
      <c r="P223" s="176">
        <v>0.0</v>
      </c>
      <c r="Q223" s="176">
        <v>1.0</v>
      </c>
      <c r="R223" s="176">
        <v>0.0</v>
      </c>
      <c r="S223" s="176">
        <v>0.0</v>
      </c>
      <c r="T223" s="176">
        <v>0.0</v>
      </c>
      <c r="U223" s="176">
        <v>1.0</v>
      </c>
      <c r="V223" s="176">
        <v>1.0</v>
      </c>
      <c r="W223" s="176">
        <v>1.0</v>
      </c>
      <c r="X223" s="176">
        <v>0.0</v>
      </c>
      <c r="Y223" s="176">
        <v>0.0</v>
      </c>
      <c r="Z223" s="176">
        <v>0.0</v>
      </c>
      <c r="AA223" s="176">
        <v>0.0</v>
      </c>
      <c r="AB223" s="176">
        <v>0.0</v>
      </c>
      <c r="AC223" s="176">
        <v>0.0</v>
      </c>
      <c r="AD223" s="176">
        <v>0.0</v>
      </c>
      <c r="AE223" s="176">
        <v>0.0</v>
      </c>
      <c r="AF223" s="176">
        <v>0.0</v>
      </c>
      <c r="AG223" s="143">
        <f t="shared" si="73"/>
        <v>11</v>
      </c>
    </row>
    <row r="224" outlineLevel="1">
      <c r="A224" s="216" t="s">
        <v>239</v>
      </c>
      <c r="B224" s="164">
        <v>0.0</v>
      </c>
      <c r="C224" s="164">
        <v>3.0</v>
      </c>
      <c r="D224" s="164">
        <v>0.0</v>
      </c>
      <c r="E224" s="164">
        <v>2.0</v>
      </c>
      <c r="F224" s="164">
        <v>0.0</v>
      </c>
      <c r="G224" s="176">
        <v>0.0</v>
      </c>
      <c r="H224" s="176">
        <v>0.0</v>
      </c>
      <c r="I224" s="176">
        <v>1.0</v>
      </c>
      <c r="J224" s="176">
        <v>0.0</v>
      </c>
      <c r="K224" s="176">
        <v>0.0</v>
      </c>
      <c r="L224" s="176">
        <v>0.0</v>
      </c>
      <c r="M224" s="176">
        <v>2.0</v>
      </c>
      <c r="N224" s="176">
        <v>0.0</v>
      </c>
      <c r="O224" s="176">
        <v>0.0</v>
      </c>
      <c r="P224" s="176">
        <v>0.0</v>
      </c>
      <c r="Q224" s="176">
        <v>0.0</v>
      </c>
      <c r="R224" s="176">
        <v>0.0</v>
      </c>
      <c r="S224" s="176">
        <v>0.0</v>
      </c>
      <c r="T224" s="176">
        <v>0.0</v>
      </c>
      <c r="U224" s="176">
        <v>0.0</v>
      </c>
      <c r="V224" s="176">
        <v>0.0</v>
      </c>
      <c r="W224" s="176">
        <v>0.0</v>
      </c>
      <c r="X224" s="176">
        <v>0.0</v>
      </c>
      <c r="Y224" s="176">
        <v>0.0</v>
      </c>
      <c r="Z224" s="176">
        <v>0.0</v>
      </c>
      <c r="AA224" s="176">
        <v>0.0</v>
      </c>
      <c r="AB224" s="176">
        <v>0.0</v>
      </c>
      <c r="AC224" s="176">
        <v>0.0</v>
      </c>
      <c r="AD224" s="176">
        <v>0.0</v>
      </c>
      <c r="AE224" s="176">
        <v>0.0</v>
      </c>
      <c r="AF224" s="176">
        <v>0.0</v>
      </c>
      <c r="AG224" s="143">
        <f t="shared" si="73"/>
        <v>8</v>
      </c>
    </row>
    <row r="225">
      <c r="A225" s="216" t="s">
        <v>189</v>
      </c>
      <c r="B225" s="217"/>
      <c r="C225" s="217"/>
      <c r="D225" s="217"/>
      <c r="E225" s="217"/>
      <c r="F225" s="217"/>
      <c r="G225" s="217"/>
      <c r="H225" s="217"/>
      <c r="I225" s="217"/>
      <c r="J225" s="217"/>
      <c r="K225" s="217"/>
      <c r="L225" s="217"/>
      <c r="M225" s="217"/>
      <c r="N225" s="217"/>
      <c r="O225" s="217"/>
      <c r="P225" s="217"/>
      <c r="Q225" s="217"/>
      <c r="R225" s="217"/>
      <c r="S225" s="217"/>
      <c r="T225" s="217"/>
      <c r="U225" s="217"/>
      <c r="V225" s="217"/>
      <c r="W225" s="217"/>
      <c r="X225" s="217"/>
      <c r="Y225" s="217"/>
      <c r="Z225" s="217"/>
      <c r="AA225" s="217"/>
      <c r="AB225" s="217"/>
      <c r="AC225" s="217"/>
      <c r="AD225" s="217"/>
      <c r="AE225" s="217"/>
      <c r="AF225" s="217"/>
      <c r="AG225" s="143"/>
    </row>
    <row r="226" outlineLevel="1">
      <c r="A226" s="216" t="s">
        <v>240</v>
      </c>
      <c r="B226" s="176">
        <v>0.0</v>
      </c>
      <c r="C226" s="176">
        <v>0.0</v>
      </c>
      <c r="D226" s="176">
        <v>0.0</v>
      </c>
      <c r="E226" s="176">
        <v>0.0</v>
      </c>
      <c r="F226" s="176">
        <v>0.0</v>
      </c>
      <c r="G226" s="176">
        <v>0.0</v>
      </c>
      <c r="H226" s="176">
        <v>0.0</v>
      </c>
      <c r="I226" s="176">
        <v>0.0</v>
      </c>
      <c r="J226" s="176">
        <v>0.0</v>
      </c>
      <c r="K226" s="176"/>
      <c r="L226" s="176">
        <v>0.0</v>
      </c>
      <c r="M226" s="176">
        <v>0.0</v>
      </c>
      <c r="N226" s="176">
        <v>0.0</v>
      </c>
      <c r="O226" s="176">
        <v>0.0</v>
      </c>
      <c r="P226" s="176">
        <v>0.0</v>
      </c>
      <c r="Q226" s="176">
        <v>0.0</v>
      </c>
      <c r="R226" s="176">
        <v>0.0</v>
      </c>
      <c r="S226" s="176">
        <v>0.0</v>
      </c>
      <c r="T226" s="176">
        <v>0.0</v>
      </c>
      <c r="U226" s="176">
        <v>0.0</v>
      </c>
      <c r="V226" s="176">
        <v>0.0</v>
      </c>
      <c r="W226" s="176">
        <v>0.0</v>
      </c>
      <c r="X226" s="176">
        <v>0.0</v>
      </c>
      <c r="Y226" s="176">
        <v>0.0</v>
      </c>
      <c r="Z226" s="176">
        <v>0.0</v>
      </c>
      <c r="AA226" s="176">
        <v>0.0</v>
      </c>
      <c r="AB226" s="176">
        <v>0.0</v>
      </c>
      <c r="AC226" s="176">
        <v>0.0</v>
      </c>
      <c r="AD226" s="176">
        <v>0.0</v>
      </c>
      <c r="AE226" s="176">
        <v>0.0</v>
      </c>
      <c r="AF226" s="176">
        <v>0.0</v>
      </c>
      <c r="AG226" s="143">
        <f t="shared" ref="AG226:AG231" si="74">SUM(B226:AF226)</f>
        <v>0</v>
      </c>
    </row>
    <row r="227" outlineLevel="1">
      <c r="A227" s="216" t="s">
        <v>241</v>
      </c>
      <c r="B227" s="176">
        <v>0.0</v>
      </c>
      <c r="C227" s="176">
        <v>0.0</v>
      </c>
      <c r="D227" s="176">
        <v>0.0</v>
      </c>
      <c r="E227" s="176">
        <v>0.0</v>
      </c>
      <c r="F227" s="176">
        <v>0.0</v>
      </c>
      <c r="G227" s="176">
        <v>0.0</v>
      </c>
      <c r="H227" s="176">
        <v>0.0</v>
      </c>
      <c r="I227" s="176">
        <v>0.0</v>
      </c>
      <c r="J227" s="176">
        <v>0.0</v>
      </c>
      <c r="K227" s="176"/>
      <c r="L227" s="176">
        <v>0.0</v>
      </c>
      <c r="M227" s="176">
        <v>0.0</v>
      </c>
      <c r="N227" s="176">
        <v>0.0</v>
      </c>
      <c r="O227" s="176">
        <v>0.0</v>
      </c>
      <c r="P227" s="176">
        <v>0.0</v>
      </c>
      <c r="Q227" s="176">
        <v>0.0</v>
      </c>
      <c r="R227" s="176">
        <v>0.0</v>
      </c>
      <c r="S227" s="176">
        <v>0.0</v>
      </c>
      <c r="T227" s="176">
        <v>0.0</v>
      </c>
      <c r="U227" s="176">
        <v>0.0</v>
      </c>
      <c r="V227" s="176">
        <v>0.0</v>
      </c>
      <c r="W227" s="176">
        <v>0.0</v>
      </c>
      <c r="X227" s="176">
        <v>0.0</v>
      </c>
      <c r="Y227" s="176">
        <v>0.0</v>
      </c>
      <c r="Z227" s="176">
        <v>0.0</v>
      </c>
      <c r="AA227" s="176">
        <v>0.0</v>
      </c>
      <c r="AB227" s="176">
        <v>0.0</v>
      </c>
      <c r="AC227" s="176">
        <v>0.0</v>
      </c>
      <c r="AD227" s="176">
        <v>0.0</v>
      </c>
      <c r="AE227" s="176">
        <v>0.0</v>
      </c>
      <c r="AF227" s="176">
        <v>0.0</v>
      </c>
      <c r="AG227" s="143">
        <f t="shared" si="74"/>
        <v>0</v>
      </c>
    </row>
    <row r="228" outlineLevel="1">
      <c r="A228" s="216" t="s">
        <v>242</v>
      </c>
      <c r="B228" s="176">
        <v>0.0</v>
      </c>
      <c r="C228" s="176">
        <v>0.0</v>
      </c>
      <c r="D228" s="176">
        <v>0.0</v>
      </c>
      <c r="E228" s="176">
        <v>0.0</v>
      </c>
      <c r="F228" s="176">
        <v>0.0</v>
      </c>
      <c r="G228" s="176">
        <v>0.0</v>
      </c>
      <c r="H228" s="176">
        <v>0.0</v>
      </c>
      <c r="I228" s="176">
        <v>0.0</v>
      </c>
      <c r="J228" s="176">
        <v>0.0</v>
      </c>
      <c r="K228" s="176"/>
      <c r="L228" s="176">
        <v>0.0</v>
      </c>
      <c r="M228" s="176">
        <v>0.0</v>
      </c>
      <c r="N228" s="176">
        <v>0.0</v>
      </c>
      <c r="O228" s="176">
        <v>0.0</v>
      </c>
      <c r="P228" s="176">
        <v>0.0</v>
      </c>
      <c r="Q228" s="176">
        <v>0.0</v>
      </c>
      <c r="R228" s="176">
        <v>0.0</v>
      </c>
      <c r="S228" s="176">
        <v>0.0</v>
      </c>
      <c r="T228" s="176">
        <v>0.0</v>
      </c>
      <c r="U228" s="176">
        <v>0.0</v>
      </c>
      <c r="V228" s="176">
        <v>0.0</v>
      </c>
      <c r="W228" s="176">
        <v>0.0</v>
      </c>
      <c r="X228" s="176">
        <v>0.0</v>
      </c>
      <c r="Y228" s="176">
        <v>0.0</v>
      </c>
      <c r="Z228" s="176">
        <v>0.0</v>
      </c>
      <c r="AA228" s="176">
        <v>0.0</v>
      </c>
      <c r="AB228" s="176">
        <v>0.0</v>
      </c>
      <c r="AC228" s="176">
        <v>0.0</v>
      </c>
      <c r="AD228" s="176">
        <v>0.0</v>
      </c>
      <c r="AE228" s="176">
        <v>0.0</v>
      </c>
      <c r="AF228" s="176">
        <v>0.0</v>
      </c>
      <c r="AG228" s="143">
        <f t="shared" si="74"/>
        <v>0</v>
      </c>
    </row>
    <row r="229" outlineLevel="1">
      <c r="A229" s="216" t="s">
        <v>243</v>
      </c>
      <c r="B229" s="176">
        <v>0.0</v>
      </c>
      <c r="C229" s="176">
        <v>0.0</v>
      </c>
      <c r="D229" s="176">
        <v>0.0</v>
      </c>
      <c r="E229" s="176">
        <v>0.0</v>
      </c>
      <c r="F229" s="176">
        <v>1.0</v>
      </c>
      <c r="G229" s="176">
        <v>0.0</v>
      </c>
      <c r="H229" s="176">
        <v>0.0</v>
      </c>
      <c r="I229" s="176">
        <v>0.0</v>
      </c>
      <c r="J229" s="176">
        <v>0.0</v>
      </c>
      <c r="K229" s="176"/>
      <c r="L229" s="176">
        <v>0.0</v>
      </c>
      <c r="M229" s="176">
        <v>0.0</v>
      </c>
      <c r="N229" s="176">
        <v>0.0</v>
      </c>
      <c r="O229" s="176">
        <v>0.0</v>
      </c>
      <c r="P229" s="176">
        <v>0.0</v>
      </c>
      <c r="Q229" s="176">
        <v>0.0</v>
      </c>
      <c r="R229" s="176">
        <v>0.0</v>
      </c>
      <c r="S229" s="176">
        <v>0.0</v>
      </c>
      <c r="T229" s="176">
        <v>0.0</v>
      </c>
      <c r="U229" s="176">
        <v>0.0</v>
      </c>
      <c r="V229" s="176">
        <v>0.0</v>
      </c>
      <c r="W229" s="176">
        <v>0.0</v>
      </c>
      <c r="X229" s="176">
        <v>0.0</v>
      </c>
      <c r="Y229" s="176">
        <v>0.0</v>
      </c>
      <c r="Z229" s="176">
        <v>0.0</v>
      </c>
      <c r="AA229" s="176">
        <v>0.0</v>
      </c>
      <c r="AB229" s="176">
        <v>0.0</v>
      </c>
      <c r="AC229" s="176">
        <v>0.0</v>
      </c>
      <c r="AD229" s="176">
        <v>0.0</v>
      </c>
      <c r="AE229" s="176">
        <v>0.0</v>
      </c>
      <c r="AF229" s="176">
        <v>0.0</v>
      </c>
      <c r="AG229" s="143">
        <f t="shared" si="74"/>
        <v>1</v>
      </c>
    </row>
    <row r="230">
      <c r="A230" s="218" t="s">
        <v>194</v>
      </c>
      <c r="B230" s="219">
        <f t="shared" ref="B230:AF230" si="75">SUM(B221,B222,B226,B227)</f>
        <v>0</v>
      </c>
      <c r="C230" s="219">
        <f t="shared" si="75"/>
        <v>2</v>
      </c>
      <c r="D230" s="219">
        <f t="shared" si="75"/>
        <v>0</v>
      </c>
      <c r="E230" s="219">
        <f t="shared" si="75"/>
        <v>0</v>
      </c>
      <c r="F230" s="219">
        <f t="shared" si="75"/>
        <v>0</v>
      </c>
      <c r="G230" s="219">
        <f t="shared" si="75"/>
        <v>0</v>
      </c>
      <c r="H230" s="219">
        <f t="shared" si="75"/>
        <v>0</v>
      </c>
      <c r="I230" s="219">
        <f t="shared" si="75"/>
        <v>1</v>
      </c>
      <c r="J230" s="219">
        <f t="shared" si="75"/>
        <v>1</v>
      </c>
      <c r="K230" s="219">
        <f t="shared" si="75"/>
        <v>0</v>
      </c>
      <c r="L230" s="219">
        <f t="shared" si="75"/>
        <v>0</v>
      </c>
      <c r="M230" s="219">
        <f t="shared" si="75"/>
        <v>0</v>
      </c>
      <c r="N230" s="219">
        <f t="shared" si="75"/>
        <v>0</v>
      </c>
      <c r="O230" s="219">
        <f t="shared" si="75"/>
        <v>0</v>
      </c>
      <c r="P230" s="219">
        <f t="shared" si="75"/>
        <v>0</v>
      </c>
      <c r="Q230" s="219">
        <f t="shared" si="75"/>
        <v>0</v>
      </c>
      <c r="R230" s="219">
        <f t="shared" si="75"/>
        <v>1</v>
      </c>
      <c r="S230" s="219">
        <f t="shared" si="75"/>
        <v>0</v>
      </c>
      <c r="T230" s="219">
        <f t="shared" si="75"/>
        <v>1</v>
      </c>
      <c r="U230" s="219">
        <f t="shared" si="75"/>
        <v>0</v>
      </c>
      <c r="V230" s="219">
        <f t="shared" si="75"/>
        <v>0</v>
      </c>
      <c r="W230" s="219">
        <f t="shared" si="75"/>
        <v>0</v>
      </c>
      <c r="X230" s="219">
        <f t="shared" si="75"/>
        <v>0</v>
      </c>
      <c r="Y230" s="219">
        <f t="shared" si="75"/>
        <v>0</v>
      </c>
      <c r="Z230" s="219">
        <f t="shared" si="75"/>
        <v>0</v>
      </c>
      <c r="AA230" s="219">
        <f t="shared" si="75"/>
        <v>0</v>
      </c>
      <c r="AB230" s="219">
        <f t="shared" si="75"/>
        <v>0</v>
      </c>
      <c r="AC230" s="219">
        <f t="shared" si="75"/>
        <v>0</v>
      </c>
      <c r="AD230" s="219">
        <f t="shared" si="75"/>
        <v>0</v>
      </c>
      <c r="AE230" s="219">
        <f t="shared" si="75"/>
        <v>1</v>
      </c>
      <c r="AF230" s="219">
        <f t="shared" si="75"/>
        <v>0</v>
      </c>
      <c r="AG230" s="143">
        <f t="shared" si="74"/>
        <v>7</v>
      </c>
    </row>
    <row r="231">
      <c r="A231" s="218" t="s">
        <v>195</v>
      </c>
      <c r="B231" s="219">
        <f t="shared" ref="B231:AF231" si="76">SUM(B223,B224,B228,B229)</f>
        <v>0</v>
      </c>
      <c r="C231" s="219">
        <f t="shared" si="76"/>
        <v>3</v>
      </c>
      <c r="D231" s="219">
        <f t="shared" si="76"/>
        <v>0</v>
      </c>
      <c r="E231" s="219">
        <f t="shared" si="76"/>
        <v>3</v>
      </c>
      <c r="F231" s="219">
        <f t="shared" si="76"/>
        <v>2</v>
      </c>
      <c r="G231" s="219">
        <f t="shared" si="76"/>
        <v>0</v>
      </c>
      <c r="H231" s="219">
        <f t="shared" si="76"/>
        <v>0</v>
      </c>
      <c r="I231" s="219">
        <f t="shared" si="76"/>
        <v>1</v>
      </c>
      <c r="J231" s="219">
        <f t="shared" si="76"/>
        <v>0</v>
      </c>
      <c r="K231" s="219">
        <f t="shared" si="76"/>
        <v>2</v>
      </c>
      <c r="L231" s="219">
        <f t="shared" si="76"/>
        <v>2</v>
      </c>
      <c r="M231" s="219">
        <f t="shared" si="76"/>
        <v>3</v>
      </c>
      <c r="N231" s="219">
        <f t="shared" si="76"/>
        <v>0</v>
      </c>
      <c r="O231" s="219">
        <f t="shared" si="76"/>
        <v>0</v>
      </c>
      <c r="P231" s="219">
        <f t="shared" si="76"/>
        <v>0</v>
      </c>
      <c r="Q231" s="219">
        <f t="shared" si="76"/>
        <v>1</v>
      </c>
      <c r="R231" s="219">
        <f t="shared" si="76"/>
        <v>0</v>
      </c>
      <c r="S231" s="219">
        <f t="shared" si="76"/>
        <v>0</v>
      </c>
      <c r="T231" s="219">
        <f t="shared" si="76"/>
        <v>0</v>
      </c>
      <c r="U231" s="219">
        <f t="shared" si="76"/>
        <v>1</v>
      </c>
      <c r="V231" s="219">
        <f t="shared" si="76"/>
        <v>1</v>
      </c>
      <c r="W231" s="219">
        <f t="shared" si="76"/>
        <v>1</v>
      </c>
      <c r="X231" s="219">
        <f t="shared" si="76"/>
        <v>0</v>
      </c>
      <c r="Y231" s="219">
        <f t="shared" si="76"/>
        <v>0</v>
      </c>
      <c r="Z231" s="219">
        <f t="shared" si="76"/>
        <v>0</v>
      </c>
      <c r="AA231" s="219">
        <f t="shared" si="76"/>
        <v>0</v>
      </c>
      <c r="AB231" s="219">
        <f t="shared" si="76"/>
        <v>0</v>
      </c>
      <c r="AC231" s="219">
        <f t="shared" si="76"/>
        <v>0</v>
      </c>
      <c r="AD231" s="219">
        <f t="shared" si="76"/>
        <v>0</v>
      </c>
      <c r="AE231" s="219">
        <f t="shared" si="76"/>
        <v>0</v>
      </c>
      <c r="AF231" s="219">
        <f t="shared" si="76"/>
        <v>0</v>
      </c>
      <c r="AG231" s="143">
        <f t="shared" si="74"/>
        <v>20</v>
      </c>
    </row>
    <row r="232">
      <c r="A232" s="98"/>
      <c r="B232" s="135"/>
      <c r="C232" s="135"/>
      <c r="D232" s="135"/>
      <c r="E232" s="135"/>
      <c r="F232" s="135"/>
      <c r="G232" s="135"/>
      <c r="H232" s="135"/>
      <c r="I232" s="82"/>
      <c r="J232" s="82"/>
      <c r="K232" s="82"/>
      <c r="L232" s="82"/>
      <c r="M232" s="82"/>
      <c r="N232" s="82"/>
      <c r="O232" s="82"/>
      <c r="P232" s="82"/>
      <c r="Q232" s="82"/>
      <c r="R232" s="82"/>
      <c r="S232" s="82"/>
      <c r="T232" s="82"/>
      <c r="U232" s="82"/>
      <c r="V232" s="82"/>
      <c r="W232" s="82"/>
      <c r="X232" s="82"/>
      <c r="Y232" s="82"/>
      <c r="Z232" s="82"/>
      <c r="AA232" s="82"/>
      <c r="AB232" s="82"/>
      <c r="AC232" s="82"/>
      <c r="AD232" s="82"/>
      <c r="AE232" s="82"/>
      <c r="AF232" s="82"/>
      <c r="AG232" s="143"/>
    </row>
    <row r="233">
      <c r="A233" s="216" t="s">
        <v>196</v>
      </c>
      <c r="B233" s="217"/>
      <c r="C233" s="217"/>
      <c r="D233" s="217"/>
      <c r="E233" s="217"/>
      <c r="F233" s="217"/>
      <c r="G233" s="217"/>
      <c r="H233" s="217"/>
      <c r="I233" s="217"/>
      <c r="J233" s="217"/>
      <c r="K233" s="217"/>
      <c r="L233" s="217"/>
      <c r="M233" s="217"/>
      <c r="N233" s="217"/>
      <c r="O233" s="217"/>
      <c r="P233" s="217"/>
      <c r="Q233" s="217"/>
      <c r="R233" s="217"/>
      <c r="S233" s="217"/>
      <c r="T233" s="217"/>
      <c r="U233" s="217"/>
      <c r="V233" s="217"/>
      <c r="W233" s="217"/>
      <c r="X233" s="217"/>
      <c r="Y233" s="217"/>
      <c r="Z233" s="217"/>
      <c r="AA233" s="217"/>
      <c r="AB233" s="217"/>
      <c r="AC233" s="217"/>
      <c r="AD233" s="217"/>
      <c r="AE233" s="217"/>
      <c r="AF233" s="217"/>
      <c r="AG233" s="143"/>
    </row>
    <row r="234" outlineLevel="1">
      <c r="A234" s="216" t="s">
        <v>197</v>
      </c>
      <c r="B234" s="176">
        <v>0.0</v>
      </c>
      <c r="C234" s="176">
        <v>4.0</v>
      </c>
      <c r="D234" s="176">
        <v>0.0</v>
      </c>
      <c r="E234" s="176">
        <v>1.0</v>
      </c>
      <c r="F234" s="176">
        <v>0.0</v>
      </c>
      <c r="G234" s="176">
        <v>0.0</v>
      </c>
      <c r="H234" s="176">
        <v>0.0</v>
      </c>
      <c r="I234" s="176">
        <v>2.0</v>
      </c>
      <c r="J234" s="176">
        <v>0.0</v>
      </c>
      <c r="K234" s="176">
        <v>1.0</v>
      </c>
      <c r="L234" s="176">
        <v>0.0</v>
      </c>
      <c r="M234" s="176">
        <v>1.0</v>
      </c>
      <c r="N234" s="176">
        <v>0.0</v>
      </c>
      <c r="O234" s="176">
        <v>0.0</v>
      </c>
      <c r="P234" s="176">
        <v>0.0</v>
      </c>
      <c r="Q234" s="176">
        <v>0.0</v>
      </c>
      <c r="R234" s="176">
        <v>1.0</v>
      </c>
      <c r="S234" s="176">
        <v>0.0</v>
      </c>
      <c r="T234" s="176">
        <v>0.0</v>
      </c>
      <c r="U234" s="176">
        <v>0.0</v>
      </c>
      <c r="V234" s="176">
        <v>0.0</v>
      </c>
      <c r="W234" s="176">
        <v>1.0</v>
      </c>
      <c r="X234" s="176">
        <v>0.0</v>
      </c>
      <c r="Y234" s="176">
        <v>0.0</v>
      </c>
      <c r="Z234" s="176">
        <v>0.0</v>
      </c>
      <c r="AA234" s="176">
        <v>0.0</v>
      </c>
      <c r="AB234" s="176">
        <v>0.0</v>
      </c>
      <c r="AC234" s="176">
        <v>0.0</v>
      </c>
      <c r="AD234" s="176">
        <v>0.0</v>
      </c>
      <c r="AE234" s="176">
        <v>1.0</v>
      </c>
      <c r="AF234" s="176">
        <v>0.0</v>
      </c>
      <c r="AG234" s="143">
        <f t="shared" ref="AG234:AG242" si="77">SUM(B234:AF234)</f>
        <v>12</v>
      </c>
    </row>
    <row r="235" outlineLevel="1">
      <c r="A235" s="216" t="s">
        <v>198</v>
      </c>
      <c r="B235" s="176">
        <v>0.0</v>
      </c>
      <c r="C235" s="176">
        <v>3.0</v>
      </c>
      <c r="D235" s="176">
        <v>0.0</v>
      </c>
      <c r="E235" s="176">
        <v>1.0</v>
      </c>
      <c r="F235" s="176">
        <v>1.0</v>
      </c>
      <c r="G235" s="176">
        <v>0.0</v>
      </c>
      <c r="H235" s="176">
        <v>0.0</v>
      </c>
      <c r="I235" s="176">
        <v>0.0</v>
      </c>
      <c r="J235" s="176">
        <v>1.0</v>
      </c>
      <c r="K235" s="176">
        <v>1.0</v>
      </c>
      <c r="L235" s="176">
        <v>0.0</v>
      </c>
      <c r="M235" s="176">
        <v>0.0</v>
      </c>
      <c r="N235" s="176">
        <v>0.0</v>
      </c>
      <c r="O235" s="176">
        <v>0.0</v>
      </c>
      <c r="P235" s="176">
        <v>0.0</v>
      </c>
      <c r="Q235" s="176">
        <v>0.0</v>
      </c>
      <c r="R235" s="176">
        <v>0.0</v>
      </c>
      <c r="S235" s="176">
        <v>0.0</v>
      </c>
      <c r="T235" s="176">
        <v>1.0</v>
      </c>
      <c r="U235" s="176">
        <v>0.0</v>
      </c>
      <c r="V235" s="176">
        <v>1.0</v>
      </c>
      <c r="W235" s="176">
        <v>2.0</v>
      </c>
      <c r="X235" s="176">
        <v>0.0</v>
      </c>
      <c r="Y235" s="176">
        <v>0.0</v>
      </c>
      <c r="Z235" s="176">
        <v>0.0</v>
      </c>
      <c r="AA235" s="176">
        <v>0.0</v>
      </c>
      <c r="AB235" s="176">
        <v>0.0</v>
      </c>
      <c r="AC235" s="176">
        <v>0.0</v>
      </c>
      <c r="AD235" s="176">
        <v>0.0</v>
      </c>
      <c r="AE235" s="176">
        <v>0.0</v>
      </c>
      <c r="AF235" s="176">
        <v>0.0</v>
      </c>
      <c r="AG235" s="143">
        <f t="shared" si="77"/>
        <v>11</v>
      </c>
    </row>
    <row r="236" outlineLevel="1">
      <c r="A236" s="216" t="s">
        <v>244</v>
      </c>
      <c r="B236" s="176">
        <v>0.0</v>
      </c>
      <c r="C236" s="176">
        <v>0.0</v>
      </c>
      <c r="D236" s="176">
        <v>0.0</v>
      </c>
      <c r="E236" s="176">
        <v>0.0</v>
      </c>
      <c r="F236" s="176">
        <v>0.0</v>
      </c>
      <c r="G236" s="176">
        <v>0.0</v>
      </c>
      <c r="H236" s="176">
        <v>0.0</v>
      </c>
      <c r="I236" s="176">
        <v>0.0</v>
      </c>
      <c r="J236" s="176">
        <v>0.0</v>
      </c>
      <c r="K236" s="176">
        <v>0.0</v>
      </c>
      <c r="L236" s="176">
        <v>0.0</v>
      </c>
      <c r="M236" s="176">
        <v>0.0</v>
      </c>
      <c r="N236" s="176">
        <v>0.0</v>
      </c>
      <c r="O236" s="176">
        <v>0.0</v>
      </c>
      <c r="P236" s="176">
        <v>0.0</v>
      </c>
      <c r="Q236" s="176">
        <v>0.0</v>
      </c>
      <c r="R236" s="176">
        <v>0.0</v>
      </c>
      <c r="S236" s="176">
        <v>0.0</v>
      </c>
      <c r="T236" s="176">
        <v>0.0</v>
      </c>
      <c r="U236" s="176">
        <v>0.0</v>
      </c>
      <c r="V236" s="176">
        <v>0.0</v>
      </c>
      <c r="W236" s="176">
        <v>1.0</v>
      </c>
      <c r="X236" s="176">
        <v>0.0</v>
      </c>
      <c r="Y236" s="176">
        <v>0.0</v>
      </c>
      <c r="Z236" s="176">
        <v>0.0</v>
      </c>
      <c r="AA236" s="176">
        <v>0.0</v>
      </c>
      <c r="AB236" s="176">
        <v>0.0</v>
      </c>
      <c r="AC236" s="176">
        <v>0.0</v>
      </c>
      <c r="AD236" s="176">
        <v>0.0</v>
      </c>
      <c r="AE236" s="176">
        <v>0.0</v>
      </c>
      <c r="AF236" s="176">
        <v>0.0</v>
      </c>
      <c r="AG236" s="143">
        <f t="shared" si="77"/>
        <v>1</v>
      </c>
    </row>
    <row r="237" outlineLevel="1">
      <c r="A237" s="216" t="s">
        <v>245</v>
      </c>
      <c r="B237" s="176">
        <v>0.0</v>
      </c>
      <c r="C237" s="176">
        <v>1.0</v>
      </c>
      <c r="D237" s="176">
        <v>0.0</v>
      </c>
      <c r="E237" s="176">
        <v>1.0</v>
      </c>
      <c r="F237" s="176">
        <v>0.0</v>
      </c>
      <c r="G237" s="176">
        <v>0.0</v>
      </c>
      <c r="H237" s="176">
        <v>0.0</v>
      </c>
      <c r="I237" s="176">
        <v>0.0</v>
      </c>
      <c r="J237" s="176">
        <v>0.0</v>
      </c>
      <c r="K237" s="176">
        <v>0.0</v>
      </c>
      <c r="L237" s="176">
        <v>0.0</v>
      </c>
      <c r="M237" s="176">
        <v>0.0</v>
      </c>
      <c r="N237" s="176">
        <v>0.0</v>
      </c>
      <c r="O237" s="176">
        <v>0.0</v>
      </c>
      <c r="P237" s="176">
        <v>0.0</v>
      </c>
      <c r="Q237" s="176">
        <v>0.0</v>
      </c>
      <c r="R237" s="176">
        <v>0.0</v>
      </c>
      <c r="S237" s="176">
        <v>0.0</v>
      </c>
      <c r="T237" s="176">
        <v>0.0</v>
      </c>
      <c r="U237" s="176">
        <v>0.0</v>
      </c>
      <c r="V237" s="176">
        <v>0.0</v>
      </c>
      <c r="W237" s="176">
        <v>0.0</v>
      </c>
      <c r="X237" s="176">
        <v>0.0</v>
      </c>
      <c r="Y237" s="176">
        <v>0.0</v>
      </c>
      <c r="Z237" s="176">
        <v>0.0</v>
      </c>
      <c r="AA237" s="176">
        <v>0.0</v>
      </c>
      <c r="AB237" s="176">
        <v>0.0</v>
      </c>
      <c r="AC237" s="176">
        <v>0.0</v>
      </c>
      <c r="AD237" s="176">
        <v>0.0</v>
      </c>
      <c r="AE237" s="176">
        <v>0.0</v>
      </c>
      <c r="AF237" s="176">
        <v>0.0</v>
      </c>
      <c r="AG237" s="143">
        <f t="shared" si="77"/>
        <v>2</v>
      </c>
    </row>
    <row r="238" outlineLevel="1">
      <c r="A238" s="216" t="s">
        <v>246</v>
      </c>
      <c r="B238" s="176">
        <v>0.0</v>
      </c>
      <c r="C238" s="176">
        <v>2.0</v>
      </c>
      <c r="D238" s="176">
        <v>0.0</v>
      </c>
      <c r="E238" s="176">
        <v>0.0</v>
      </c>
      <c r="F238" s="176">
        <v>0.0</v>
      </c>
      <c r="G238" s="176">
        <v>0.0</v>
      </c>
      <c r="H238" s="176">
        <v>0.0</v>
      </c>
      <c r="I238" s="176">
        <v>0.0</v>
      </c>
      <c r="J238" s="176">
        <v>0.0</v>
      </c>
      <c r="K238" s="176">
        <v>0.0</v>
      </c>
      <c r="L238" s="176">
        <v>0.0</v>
      </c>
      <c r="M238" s="176">
        <v>0.0</v>
      </c>
      <c r="N238" s="176">
        <v>0.0</v>
      </c>
      <c r="O238" s="176">
        <v>0.0</v>
      </c>
      <c r="P238" s="176">
        <v>0.0</v>
      </c>
      <c r="Q238" s="176">
        <v>0.0</v>
      </c>
      <c r="R238" s="176">
        <v>0.0</v>
      </c>
      <c r="S238" s="176">
        <v>0.0</v>
      </c>
      <c r="T238" s="176">
        <v>0.0</v>
      </c>
      <c r="U238" s="176">
        <v>0.0</v>
      </c>
      <c r="V238" s="176">
        <v>0.0</v>
      </c>
      <c r="W238" s="176">
        <v>0.0</v>
      </c>
      <c r="X238" s="176">
        <v>0.0</v>
      </c>
      <c r="Y238" s="176">
        <v>0.0</v>
      </c>
      <c r="Z238" s="176">
        <v>0.0</v>
      </c>
      <c r="AA238" s="176">
        <v>0.0</v>
      </c>
      <c r="AB238" s="176">
        <v>0.0</v>
      </c>
      <c r="AC238" s="176">
        <v>0.0</v>
      </c>
      <c r="AD238" s="176">
        <v>0.0</v>
      </c>
      <c r="AE238" s="176">
        <v>0.0</v>
      </c>
      <c r="AF238" s="176">
        <v>0.0</v>
      </c>
      <c r="AG238" s="143">
        <f t="shared" si="77"/>
        <v>2</v>
      </c>
    </row>
    <row r="239" outlineLevel="1">
      <c r="A239" s="216" t="s">
        <v>247</v>
      </c>
      <c r="B239" s="176">
        <v>0.0</v>
      </c>
      <c r="C239" s="176">
        <v>1.0</v>
      </c>
      <c r="D239" s="176">
        <v>0.0</v>
      </c>
      <c r="E239" s="176">
        <v>0.0</v>
      </c>
      <c r="F239" s="176">
        <v>0.0</v>
      </c>
      <c r="G239" s="176">
        <v>0.0</v>
      </c>
      <c r="H239" s="176">
        <v>0.0</v>
      </c>
      <c r="I239" s="176">
        <v>0.0</v>
      </c>
      <c r="J239" s="176">
        <v>0.0</v>
      </c>
      <c r="K239" s="176">
        <v>0.0</v>
      </c>
      <c r="L239" s="176">
        <v>0.0</v>
      </c>
      <c r="M239" s="176">
        <v>0.0</v>
      </c>
      <c r="N239" s="176">
        <v>0.0</v>
      </c>
      <c r="O239" s="176">
        <v>0.0</v>
      </c>
      <c r="P239" s="176">
        <v>0.0</v>
      </c>
      <c r="Q239" s="176">
        <v>0.0</v>
      </c>
      <c r="R239" s="176">
        <v>0.0</v>
      </c>
      <c r="S239" s="176">
        <v>0.0</v>
      </c>
      <c r="T239" s="176">
        <v>0.0</v>
      </c>
      <c r="U239" s="176">
        <v>0.0</v>
      </c>
      <c r="V239" s="176">
        <v>0.0</v>
      </c>
      <c r="W239" s="176">
        <v>0.0</v>
      </c>
      <c r="X239" s="176">
        <v>0.0</v>
      </c>
      <c r="Y239" s="176">
        <v>0.0</v>
      </c>
      <c r="Z239" s="176">
        <v>0.0</v>
      </c>
      <c r="AA239" s="176">
        <v>0.0</v>
      </c>
      <c r="AB239" s="176">
        <v>0.0</v>
      </c>
      <c r="AC239" s="176">
        <v>0.0</v>
      </c>
      <c r="AD239" s="176">
        <v>0.0</v>
      </c>
      <c r="AE239" s="176">
        <v>0.0</v>
      </c>
      <c r="AF239" s="176">
        <v>0.0</v>
      </c>
      <c r="AG239" s="143">
        <f t="shared" si="77"/>
        <v>1</v>
      </c>
    </row>
    <row r="240" outlineLevel="1">
      <c r="A240" s="216" t="s">
        <v>248</v>
      </c>
      <c r="B240" s="176">
        <v>0.0</v>
      </c>
      <c r="C240" s="176">
        <v>2.0</v>
      </c>
      <c r="D240" s="176">
        <v>0.0</v>
      </c>
      <c r="E240" s="176">
        <v>0.0</v>
      </c>
      <c r="F240" s="176">
        <v>0.0</v>
      </c>
      <c r="G240" s="176">
        <v>0.0</v>
      </c>
      <c r="H240" s="176">
        <v>0.0</v>
      </c>
      <c r="I240" s="176">
        <v>0.0</v>
      </c>
      <c r="J240" s="176">
        <v>0.0</v>
      </c>
      <c r="K240" s="176">
        <v>0.0</v>
      </c>
      <c r="L240" s="176">
        <v>0.0</v>
      </c>
      <c r="M240" s="176">
        <v>0.0</v>
      </c>
      <c r="N240" s="176">
        <v>0.0</v>
      </c>
      <c r="O240" s="176">
        <v>0.0</v>
      </c>
      <c r="P240" s="176">
        <v>0.0</v>
      </c>
      <c r="Q240" s="176">
        <v>0.0</v>
      </c>
      <c r="R240" s="176">
        <v>0.0</v>
      </c>
      <c r="S240" s="176">
        <v>0.0</v>
      </c>
      <c r="T240" s="176">
        <v>0.0</v>
      </c>
      <c r="U240" s="176">
        <v>0.0</v>
      </c>
      <c r="V240" s="176">
        <v>0.0</v>
      </c>
      <c r="W240" s="176">
        <v>4.0</v>
      </c>
      <c r="X240" s="176">
        <v>0.0</v>
      </c>
      <c r="Y240" s="176">
        <v>0.0</v>
      </c>
      <c r="Z240" s="176">
        <v>0.0</v>
      </c>
      <c r="AA240" s="176">
        <v>0.0</v>
      </c>
      <c r="AB240" s="176">
        <v>0.0</v>
      </c>
      <c r="AC240" s="176">
        <v>0.0</v>
      </c>
      <c r="AD240" s="176">
        <v>0.0</v>
      </c>
      <c r="AE240" s="176">
        <v>0.0</v>
      </c>
      <c r="AF240" s="176">
        <v>0.0</v>
      </c>
      <c r="AG240" s="143">
        <f t="shared" si="77"/>
        <v>6</v>
      </c>
    </row>
    <row r="241" outlineLevel="1">
      <c r="A241" s="216" t="s">
        <v>249</v>
      </c>
      <c r="B241" s="176">
        <v>0.0</v>
      </c>
      <c r="C241" s="176">
        <v>4.0</v>
      </c>
      <c r="D241" s="176">
        <v>0.0</v>
      </c>
      <c r="E241" s="176">
        <v>1.0</v>
      </c>
      <c r="F241" s="176">
        <v>1.0</v>
      </c>
      <c r="G241" s="176">
        <v>0.0</v>
      </c>
      <c r="H241" s="176">
        <v>0.0</v>
      </c>
      <c r="I241" s="176">
        <v>0.0</v>
      </c>
      <c r="J241" s="176">
        <v>0.0</v>
      </c>
      <c r="K241" s="176">
        <v>0.0</v>
      </c>
      <c r="L241" s="176">
        <v>0.0</v>
      </c>
      <c r="M241" s="176">
        <v>0.0</v>
      </c>
      <c r="N241" s="176">
        <v>0.0</v>
      </c>
      <c r="O241" s="176">
        <v>0.0</v>
      </c>
      <c r="P241" s="176">
        <v>0.0</v>
      </c>
      <c r="Q241" s="176">
        <v>0.0</v>
      </c>
      <c r="R241" s="176">
        <v>0.0</v>
      </c>
      <c r="S241" s="176">
        <v>0.0</v>
      </c>
      <c r="T241" s="176">
        <v>0.0</v>
      </c>
      <c r="U241" s="176">
        <v>0.0</v>
      </c>
      <c r="V241" s="176">
        <v>0.0</v>
      </c>
      <c r="W241" s="176">
        <v>0.0</v>
      </c>
      <c r="X241" s="176">
        <v>0.0</v>
      </c>
      <c r="Y241" s="176">
        <v>0.0</v>
      </c>
      <c r="Z241" s="176">
        <v>0.0</v>
      </c>
      <c r="AA241" s="176">
        <v>0.0</v>
      </c>
      <c r="AB241" s="176">
        <v>0.0</v>
      </c>
      <c r="AC241" s="176">
        <v>0.0</v>
      </c>
      <c r="AD241" s="176">
        <v>0.0</v>
      </c>
      <c r="AE241" s="176">
        <v>0.0</v>
      </c>
      <c r="AF241" s="176">
        <v>0.0</v>
      </c>
      <c r="AG241" s="143">
        <f t="shared" si="77"/>
        <v>6</v>
      </c>
    </row>
    <row r="242">
      <c r="A242" s="220" t="s">
        <v>130</v>
      </c>
      <c r="B242" s="219">
        <f t="shared" ref="B242:AF242" si="78">SUM(B234:B241)</f>
        <v>0</v>
      </c>
      <c r="C242" s="219">
        <f t="shared" si="78"/>
        <v>17</v>
      </c>
      <c r="D242" s="219">
        <f t="shared" si="78"/>
        <v>0</v>
      </c>
      <c r="E242" s="219">
        <f t="shared" si="78"/>
        <v>4</v>
      </c>
      <c r="F242" s="219">
        <f t="shared" si="78"/>
        <v>2</v>
      </c>
      <c r="G242" s="219">
        <f t="shared" si="78"/>
        <v>0</v>
      </c>
      <c r="H242" s="219">
        <f t="shared" si="78"/>
        <v>0</v>
      </c>
      <c r="I242" s="219">
        <f t="shared" si="78"/>
        <v>2</v>
      </c>
      <c r="J242" s="219">
        <f t="shared" si="78"/>
        <v>1</v>
      </c>
      <c r="K242" s="219">
        <f t="shared" si="78"/>
        <v>2</v>
      </c>
      <c r="L242" s="219">
        <f t="shared" si="78"/>
        <v>0</v>
      </c>
      <c r="M242" s="219">
        <f t="shared" si="78"/>
        <v>1</v>
      </c>
      <c r="N242" s="219">
        <f t="shared" si="78"/>
        <v>0</v>
      </c>
      <c r="O242" s="219">
        <f t="shared" si="78"/>
        <v>0</v>
      </c>
      <c r="P242" s="219">
        <f t="shared" si="78"/>
        <v>0</v>
      </c>
      <c r="Q242" s="219">
        <f t="shared" si="78"/>
        <v>0</v>
      </c>
      <c r="R242" s="219">
        <f t="shared" si="78"/>
        <v>1</v>
      </c>
      <c r="S242" s="219">
        <f t="shared" si="78"/>
        <v>0</v>
      </c>
      <c r="T242" s="219">
        <f t="shared" si="78"/>
        <v>1</v>
      </c>
      <c r="U242" s="219">
        <f t="shared" si="78"/>
        <v>0</v>
      </c>
      <c r="V242" s="219">
        <f t="shared" si="78"/>
        <v>1</v>
      </c>
      <c r="W242" s="219">
        <f t="shared" si="78"/>
        <v>8</v>
      </c>
      <c r="X242" s="219">
        <f t="shared" si="78"/>
        <v>0</v>
      </c>
      <c r="Y242" s="219">
        <f t="shared" si="78"/>
        <v>0</v>
      </c>
      <c r="Z242" s="219">
        <f t="shared" si="78"/>
        <v>0</v>
      </c>
      <c r="AA242" s="219">
        <f t="shared" si="78"/>
        <v>0</v>
      </c>
      <c r="AB242" s="219">
        <f t="shared" si="78"/>
        <v>0</v>
      </c>
      <c r="AC242" s="219">
        <f t="shared" si="78"/>
        <v>0</v>
      </c>
      <c r="AD242" s="219">
        <f t="shared" si="78"/>
        <v>0</v>
      </c>
      <c r="AE242" s="219">
        <f t="shared" si="78"/>
        <v>1</v>
      </c>
      <c r="AF242" s="219">
        <f t="shared" si="78"/>
        <v>0</v>
      </c>
      <c r="AG242" s="143">
        <f t="shared" si="77"/>
        <v>41</v>
      </c>
    </row>
    <row r="243">
      <c r="A243" s="98"/>
      <c r="B243" s="135"/>
      <c r="C243" s="135"/>
      <c r="D243" s="135"/>
      <c r="E243" s="135"/>
      <c r="F243" s="135"/>
      <c r="G243" s="135"/>
      <c r="H243" s="221"/>
      <c r="I243" s="82"/>
      <c r="J243" s="82"/>
      <c r="K243" s="82"/>
      <c r="L243" s="82"/>
      <c r="M243" s="82"/>
      <c r="N243" s="82"/>
      <c r="O243" s="82"/>
      <c r="P243" s="82"/>
      <c r="Q243" s="82"/>
      <c r="R243" s="82"/>
      <c r="S243" s="82"/>
      <c r="T243" s="82"/>
      <c r="U243" s="82"/>
      <c r="V243" s="82"/>
      <c r="W243" s="82"/>
      <c r="X243" s="82"/>
      <c r="Y243" s="82"/>
      <c r="Z243" s="82"/>
      <c r="AA243" s="82"/>
      <c r="AB243" s="82"/>
      <c r="AC243" s="82"/>
      <c r="AD243" s="82"/>
      <c r="AE243" s="82"/>
      <c r="AF243" s="82"/>
      <c r="AG243" s="143"/>
    </row>
    <row r="244">
      <c r="A244" s="216" t="s">
        <v>250</v>
      </c>
      <c r="B244" s="217"/>
      <c r="C244" s="217"/>
      <c r="D244" s="217"/>
      <c r="E244" s="217"/>
      <c r="F244" s="217"/>
      <c r="G244" s="217"/>
      <c r="H244" s="217"/>
      <c r="I244" s="217"/>
      <c r="J244" s="217"/>
      <c r="K244" s="217"/>
      <c r="L244" s="217"/>
      <c r="M244" s="217"/>
      <c r="N244" s="217"/>
      <c r="O244" s="217"/>
      <c r="P244" s="217"/>
      <c r="Q244" s="217"/>
      <c r="R244" s="217"/>
      <c r="S244" s="217"/>
      <c r="T244" s="217"/>
      <c r="U244" s="217"/>
      <c r="V244" s="217"/>
      <c r="W244" s="217"/>
      <c r="X244" s="217"/>
      <c r="Y244" s="217"/>
      <c r="Z244" s="217"/>
      <c r="AA244" s="217"/>
      <c r="AB244" s="217"/>
      <c r="AC244" s="217"/>
      <c r="AD244" s="217"/>
      <c r="AE244" s="217"/>
      <c r="AF244" s="217"/>
      <c r="AG244" s="143"/>
    </row>
    <row r="245" outlineLevel="1">
      <c r="A245" s="216" t="s">
        <v>197</v>
      </c>
      <c r="B245" s="176">
        <v>0.0</v>
      </c>
      <c r="C245" s="176">
        <v>0.0</v>
      </c>
      <c r="D245" s="176">
        <v>0.0</v>
      </c>
      <c r="E245" s="176">
        <v>0.0</v>
      </c>
      <c r="F245" s="176">
        <v>1.0</v>
      </c>
      <c r="G245" s="176">
        <v>0.0</v>
      </c>
      <c r="H245" s="176">
        <v>0.0</v>
      </c>
      <c r="I245" s="176">
        <v>0.0</v>
      </c>
      <c r="J245" s="176">
        <v>0.0</v>
      </c>
      <c r="K245" s="176"/>
      <c r="L245" s="176">
        <v>0.0</v>
      </c>
      <c r="M245" s="176">
        <v>0.0</v>
      </c>
      <c r="N245" s="176">
        <v>0.0</v>
      </c>
      <c r="O245" s="176">
        <v>0.0</v>
      </c>
      <c r="P245" s="176">
        <v>0.0</v>
      </c>
      <c r="Q245" s="176">
        <v>0.0</v>
      </c>
      <c r="R245" s="176">
        <v>0.0</v>
      </c>
      <c r="S245" s="176">
        <v>0.0</v>
      </c>
      <c r="T245" s="176">
        <v>0.0</v>
      </c>
      <c r="U245" s="176">
        <v>0.0</v>
      </c>
      <c r="V245" s="176">
        <v>0.0</v>
      </c>
      <c r="W245" s="176">
        <v>0.0</v>
      </c>
      <c r="X245" s="176">
        <v>0.0</v>
      </c>
      <c r="Y245" s="176">
        <v>0.0</v>
      </c>
      <c r="Z245" s="176">
        <v>0.0</v>
      </c>
      <c r="AA245" s="176">
        <v>0.0</v>
      </c>
      <c r="AB245" s="176">
        <v>0.0</v>
      </c>
      <c r="AC245" s="176">
        <v>0.0</v>
      </c>
      <c r="AD245" s="176">
        <v>0.0</v>
      </c>
      <c r="AE245" s="176">
        <v>0.0</v>
      </c>
      <c r="AF245" s="176">
        <v>0.0</v>
      </c>
      <c r="AG245" s="143">
        <f t="shared" ref="AG245:AG253" si="79">SUM(B245:AF245)</f>
        <v>1</v>
      </c>
    </row>
    <row r="246" outlineLevel="1">
      <c r="A246" s="216" t="s">
        <v>198</v>
      </c>
      <c r="B246" s="176">
        <v>0.0</v>
      </c>
      <c r="C246" s="176">
        <v>0.0</v>
      </c>
      <c r="D246" s="176">
        <v>0.0</v>
      </c>
      <c r="E246" s="176">
        <v>0.0</v>
      </c>
      <c r="F246" s="176">
        <v>0.0</v>
      </c>
      <c r="G246" s="176">
        <v>0.0</v>
      </c>
      <c r="H246" s="176">
        <v>0.0</v>
      </c>
      <c r="I246" s="176">
        <v>0.0</v>
      </c>
      <c r="J246" s="176">
        <v>0.0</v>
      </c>
      <c r="K246" s="176"/>
      <c r="L246" s="176">
        <v>0.0</v>
      </c>
      <c r="M246" s="176">
        <v>0.0</v>
      </c>
      <c r="N246" s="176">
        <v>0.0</v>
      </c>
      <c r="O246" s="176">
        <v>0.0</v>
      </c>
      <c r="P246" s="176">
        <v>0.0</v>
      </c>
      <c r="Q246" s="176">
        <v>0.0</v>
      </c>
      <c r="R246" s="176">
        <v>0.0</v>
      </c>
      <c r="S246" s="176">
        <v>0.0</v>
      </c>
      <c r="T246" s="176">
        <v>0.0</v>
      </c>
      <c r="U246" s="176">
        <v>0.0</v>
      </c>
      <c r="V246" s="176">
        <v>0.0</v>
      </c>
      <c r="W246" s="176">
        <v>0.0</v>
      </c>
      <c r="X246" s="176">
        <v>0.0</v>
      </c>
      <c r="Y246" s="176">
        <v>0.0</v>
      </c>
      <c r="Z246" s="176">
        <v>0.0</v>
      </c>
      <c r="AA246" s="176">
        <v>0.0</v>
      </c>
      <c r="AB246" s="176">
        <v>0.0</v>
      </c>
      <c r="AC246" s="176">
        <v>0.0</v>
      </c>
      <c r="AD246" s="176">
        <v>0.0</v>
      </c>
      <c r="AE246" s="176">
        <v>0.0</v>
      </c>
      <c r="AF246" s="176">
        <v>0.0</v>
      </c>
      <c r="AG246" s="143">
        <f t="shared" si="79"/>
        <v>0</v>
      </c>
    </row>
    <row r="247" outlineLevel="1">
      <c r="A247" s="216" t="s">
        <v>251</v>
      </c>
      <c r="B247" s="176">
        <v>0.0</v>
      </c>
      <c r="C247" s="176">
        <v>0.0</v>
      </c>
      <c r="D247" s="176">
        <v>0.0</v>
      </c>
      <c r="E247" s="176">
        <v>0.0</v>
      </c>
      <c r="F247" s="176">
        <v>0.0</v>
      </c>
      <c r="G247" s="176">
        <v>0.0</v>
      </c>
      <c r="H247" s="176">
        <v>0.0</v>
      </c>
      <c r="I247" s="176">
        <v>0.0</v>
      </c>
      <c r="J247" s="176">
        <v>0.0</v>
      </c>
      <c r="K247" s="176"/>
      <c r="L247" s="176">
        <v>0.0</v>
      </c>
      <c r="M247" s="176">
        <v>0.0</v>
      </c>
      <c r="N247" s="176">
        <v>0.0</v>
      </c>
      <c r="O247" s="176">
        <v>0.0</v>
      </c>
      <c r="P247" s="176">
        <v>0.0</v>
      </c>
      <c r="Q247" s="176">
        <v>0.0</v>
      </c>
      <c r="R247" s="176">
        <v>0.0</v>
      </c>
      <c r="S247" s="176">
        <v>0.0</v>
      </c>
      <c r="T247" s="176">
        <v>0.0</v>
      </c>
      <c r="U247" s="176">
        <v>0.0</v>
      </c>
      <c r="V247" s="176">
        <v>0.0</v>
      </c>
      <c r="W247" s="176">
        <v>0.0</v>
      </c>
      <c r="X247" s="176">
        <v>0.0</v>
      </c>
      <c r="Y247" s="176">
        <v>0.0</v>
      </c>
      <c r="Z247" s="176">
        <v>0.0</v>
      </c>
      <c r="AA247" s="176">
        <v>0.0</v>
      </c>
      <c r="AB247" s="176">
        <v>0.0</v>
      </c>
      <c r="AC247" s="176">
        <v>0.0</v>
      </c>
      <c r="AD247" s="176">
        <v>0.0</v>
      </c>
      <c r="AE247" s="176">
        <v>0.0</v>
      </c>
      <c r="AF247" s="176">
        <v>0.0</v>
      </c>
      <c r="AG247" s="143">
        <f t="shared" si="79"/>
        <v>0</v>
      </c>
    </row>
    <row r="248" outlineLevel="1">
      <c r="A248" s="216" t="s">
        <v>252</v>
      </c>
      <c r="B248" s="176">
        <v>0.0</v>
      </c>
      <c r="C248" s="176">
        <v>0.0</v>
      </c>
      <c r="D248" s="176">
        <v>0.0</v>
      </c>
      <c r="E248" s="176">
        <v>0.0</v>
      </c>
      <c r="F248" s="176">
        <v>1.0</v>
      </c>
      <c r="G248" s="176">
        <v>0.0</v>
      </c>
      <c r="H248" s="176">
        <v>0.0</v>
      </c>
      <c r="I248" s="176">
        <v>0.0</v>
      </c>
      <c r="J248" s="176">
        <v>0.0</v>
      </c>
      <c r="K248" s="176"/>
      <c r="L248" s="176">
        <v>0.0</v>
      </c>
      <c r="M248" s="176">
        <v>0.0</v>
      </c>
      <c r="N248" s="176">
        <v>0.0</v>
      </c>
      <c r="O248" s="176">
        <v>0.0</v>
      </c>
      <c r="P248" s="176">
        <v>0.0</v>
      </c>
      <c r="Q248" s="176">
        <v>0.0</v>
      </c>
      <c r="R248" s="176">
        <v>0.0</v>
      </c>
      <c r="S248" s="176">
        <v>0.0</v>
      </c>
      <c r="T248" s="176">
        <v>0.0</v>
      </c>
      <c r="U248" s="176">
        <v>0.0</v>
      </c>
      <c r="V248" s="176">
        <v>0.0</v>
      </c>
      <c r="W248" s="176">
        <v>0.0</v>
      </c>
      <c r="X248" s="176">
        <v>0.0</v>
      </c>
      <c r="Y248" s="176">
        <v>0.0</v>
      </c>
      <c r="Z248" s="176">
        <v>0.0</v>
      </c>
      <c r="AA248" s="176">
        <v>0.0</v>
      </c>
      <c r="AB248" s="176">
        <v>0.0</v>
      </c>
      <c r="AC248" s="176">
        <v>0.0</v>
      </c>
      <c r="AD248" s="176">
        <v>0.0</v>
      </c>
      <c r="AE248" s="176">
        <v>0.0</v>
      </c>
      <c r="AF248" s="176">
        <v>0.0</v>
      </c>
      <c r="AG248" s="143">
        <f t="shared" si="79"/>
        <v>1</v>
      </c>
    </row>
    <row r="249" outlineLevel="1">
      <c r="A249" s="216" t="s">
        <v>253</v>
      </c>
      <c r="B249" s="176">
        <v>0.0</v>
      </c>
      <c r="C249" s="176">
        <v>0.0</v>
      </c>
      <c r="D249" s="176">
        <v>0.0</v>
      </c>
      <c r="E249" s="176">
        <v>0.0</v>
      </c>
      <c r="F249" s="176">
        <v>0.0</v>
      </c>
      <c r="G249" s="176">
        <v>0.0</v>
      </c>
      <c r="H249" s="176">
        <v>0.0</v>
      </c>
      <c r="I249" s="176">
        <v>0.0</v>
      </c>
      <c r="J249" s="176">
        <v>0.0</v>
      </c>
      <c r="K249" s="176"/>
      <c r="L249" s="176">
        <v>1.0</v>
      </c>
      <c r="M249" s="176">
        <v>0.0</v>
      </c>
      <c r="N249" s="176">
        <v>0.0</v>
      </c>
      <c r="O249" s="176">
        <v>0.0</v>
      </c>
      <c r="P249" s="176">
        <v>0.0</v>
      </c>
      <c r="Q249" s="176">
        <v>0.0</v>
      </c>
      <c r="R249" s="176">
        <v>0.0</v>
      </c>
      <c r="S249" s="176">
        <v>0.0</v>
      </c>
      <c r="T249" s="176">
        <v>0.0</v>
      </c>
      <c r="U249" s="176">
        <v>0.0</v>
      </c>
      <c r="V249" s="176">
        <v>0.0</v>
      </c>
      <c r="W249" s="176">
        <v>0.0</v>
      </c>
      <c r="X249" s="176">
        <v>0.0</v>
      </c>
      <c r="Y249" s="176">
        <v>0.0</v>
      </c>
      <c r="Z249" s="176">
        <v>0.0</v>
      </c>
      <c r="AA249" s="176">
        <v>0.0</v>
      </c>
      <c r="AB249" s="176">
        <v>0.0</v>
      </c>
      <c r="AC249" s="176">
        <v>0.0</v>
      </c>
      <c r="AD249" s="176">
        <v>0.0</v>
      </c>
      <c r="AE249" s="176">
        <v>0.0</v>
      </c>
      <c r="AF249" s="176">
        <v>0.0</v>
      </c>
      <c r="AG249" s="143">
        <f t="shared" si="79"/>
        <v>1</v>
      </c>
    </row>
    <row r="250" outlineLevel="1">
      <c r="A250" s="216" t="s">
        <v>254</v>
      </c>
      <c r="B250" s="176">
        <v>0.0</v>
      </c>
      <c r="C250" s="176">
        <v>0.0</v>
      </c>
      <c r="D250" s="176">
        <v>0.0</v>
      </c>
      <c r="E250" s="176">
        <v>0.0</v>
      </c>
      <c r="F250" s="176">
        <v>0.0</v>
      </c>
      <c r="G250" s="176">
        <v>0.0</v>
      </c>
      <c r="H250" s="176">
        <v>0.0</v>
      </c>
      <c r="I250" s="176">
        <v>0.0</v>
      </c>
      <c r="J250" s="176">
        <v>0.0</v>
      </c>
      <c r="K250" s="176"/>
      <c r="L250" s="176">
        <v>0.0</v>
      </c>
      <c r="M250" s="176">
        <v>0.0</v>
      </c>
      <c r="N250" s="176">
        <v>0.0</v>
      </c>
      <c r="O250" s="176">
        <v>0.0</v>
      </c>
      <c r="P250" s="176">
        <v>0.0</v>
      </c>
      <c r="Q250" s="176">
        <v>0.0</v>
      </c>
      <c r="R250" s="176">
        <v>0.0</v>
      </c>
      <c r="S250" s="176">
        <v>0.0</v>
      </c>
      <c r="T250" s="176">
        <v>0.0</v>
      </c>
      <c r="U250" s="176">
        <v>0.0</v>
      </c>
      <c r="V250" s="176">
        <v>0.0</v>
      </c>
      <c r="W250" s="176">
        <v>0.0</v>
      </c>
      <c r="X250" s="176">
        <v>0.0</v>
      </c>
      <c r="Y250" s="176">
        <v>0.0</v>
      </c>
      <c r="Z250" s="176">
        <v>0.0</v>
      </c>
      <c r="AA250" s="176">
        <v>0.0</v>
      </c>
      <c r="AB250" s="176">
        <v>0.0</v>
      </c>
      <c r="AC250" s="176">
        <v>0.0</v>
      </c>
      <c r="AD250" s="176">
        <v>0.0</v>
      </c>
      <c r="AE250" s="176">
        <v>0.0</v>
      </c>
      <c r="AF250" s="176">
        <v>0.0</v>
      </c>
      <c r="AG250" s="143">
        <f t="shared" si="79"/>
        <v>0</v>
      </c>
    </row>
    <row r="251" outlineLevel="1">
      <c r="A251" s="216" t="s">
        <v>255</v>
      </c>
      <c r="B251" s="176">
        <v>0.0</v>
      </c>
      <c r="C251" s="176">
        <v>0.0</v>
      </c>
      <c r="D251" s="176">
        <v>0.0</v>
      </c>
      <c r="E251" s="176">
        <v>0.0</v>
      </c>
      <c r="F251" s="176">
        <v>0.0</v>
      </c>
      <c r="G251" s="176">
        <v>0.0</v>
      </c>
      <c r="H251" s="176">
        <v>0.0</v>
      </c>
      <c r="I251" s="176">
        <v>0.0</v>
      </c>
      <c r="J251" s="176">
        <v>0.0</v>
      </c>
      <c r="K251" s="176"/>
      <c r="L251" s="176">
        <v>0.0</v>
      </c>
      <c r="M251" s="176">
        <v>0.0</v>
      </c>
      <c r="N251" s="176">
        <v>0.0</v>
      </c>
      <c r="O251" s="176">
        <v>0.0</v>
      </c>
      <c r="P251" s="176">
        <v>0.0</v>
      </c>
      <c r="Q251" s="176">
        <v>0.0</v>
      </c>
      <c r="R251" s="176">
        <v>0.0</v>
      </c>
      <c r="S251" s="176">
        <v>0.0</v>
      </c>
      <c r="T251" s="176">
        <v>0.0</v>
      </c>
      <c r="U251" s="176">
        <v>0.0</v>
      </c>
      <c r="V251" s="176">
        <v>0.0</v>
      </c>
      <c r="W251" s="176">
        <v>0.0</v>
      </c>
      <c r="X251" s="176">
        <v>0.0</v>
      </c>
      <c r="Y251" s="176">
        <v>0.0</v>
      </c>
      <c r="Z251" s="176">
        <v>0.0</v>
      </c>
      <c r="AA251" s="176">
        <v>0.0</v>
      </c>
      <c r="AB251" s="176">
        <v>0.0</v>
      </c>
      <c r="AC251" s="176">
        <v>0.0</v>
      </c>
      <c r="AD251" s="176">
        <v>0.0</v>
      </c>
      <c r="AE251" s="176">
        <v>0.0</v>
      </c>
      <c r="AF251" s="176">
        <v>0.0</v>
      </c>
      <c r="AG251" s="143">
        <f t="shared" si="79"/>
        <v>0</v>
      </c>
    </row>
    <row r="252" outlineLevel="1">
      <c r="A252" s="216" t="s">
        <v>256</v>
      </c>
      <c r="B252" s="176">
        <v>0.0</v>
      </c>
      <c r="C252" s="176">
        <v>0.0</v>
      </c>
      <c r="D252" s="176">
        <v>0.0</v>
      </c>
      <c r="E252" s="176">
        <v>0.0</v>
      </c>
      <c r="F252" s="176">
        <v>0.0</v>
      </c>
      <c r="G252" s="176">
        <v>0.0</v>
      </c>
      <c r="H252" s="176">
        <v>0.0</v>
      </c>
      <c r="I252" s="176">
        <v>0.0</v>
      </c>
      <c r="J252" s="176">
        <v>0.0</v>
      </c>
      <c r="K252" s="176"/>
      <c r="L252" s="176">
        <v>0.0</v>
      </c>
      <c r="M252" s="176">
        <v>0.0</v>
      </c>
      <c r="N252" s="176">
        <v>0.0</v>
      </c>
      <c r="O252" s="176">
        <v>0.0</v>
      </c>
      <c r="P252" s="176">
        <v>0.0</v>
      </c>
      <c r="Q252" s="176">
        <v>0.0</v>
      </c>
      <c r="R252" s="176">
        <v>0.0</v>
      </c>
      <c r="S252" s="176">
        <v>0.0</v>
      </c>
      <c r="T252" s="176">
        <v>0.0</v>
      </c>
      <c r="U252" s="176">
        <v>0.0</v>
      </c>
      <c r="V252" s="176">
        <v>0.0</v>
      </c>
      <c r="W252" s="176">
        <v>0.0</v>
      </c>
      <c r="X252" s="176">
        <v>0.0</v>
      </c>
      <c r="Y252" s="176">
        <v>0.0</v>
      </c>
      <c r="Z252" s="176">
        <v>0.0</v>
      </c>
      <c r="AA252" s="176">
        <v>0.0</v>
      </c>
      <c r="AB252" s="176">
        <v>0.0</v>
      </c>
      <c r="AC252" s="176">
        <v>0.0</v>
      </c>
      <c r="AD252" s="176">
        <v>0.0</v>
      </c>
      <c r="AE252" s="176">
        <v>0.0</v>
      </c>
      <c r="AF252" s="176">
        <v>0.0</v>
      </c>
      <c r="AG252" s="143">
        <f t="shared" si="79"/>
        <v>0</v>
      </c>
    </row>
    <row r="253">
      <c r="A253" s="220" t="s">
        <v>130</v>
      </c>
      <c r="B253" s="219">
        <f t="shared" ref="B253:AF253" si="80">SUM(B245:B252)</f>
        <v>0</v>
      </c>
      <c r="C253" s="219">
        <f t="shared" si="80"/>
        <v>0</v>
      </c>
      <c r="D253" s="219">
        <f t="shared" si="80"/>
        <v>0</v>
      </c>
      <c r="E253" s="219">
        <f t="shared" si="80"/>
        <v>0</v>
      </c>
      <c r="F253" s="219">
        <f t="shared" si="80"/>
        <v>2</v>
      </c>
      <c r="G253" s="219">
        <f t="shared" si="80"/>
        <v>0</v>
      </c>
      <c r="H253" s="219">
        <f t="shared" si="80"/>
        <v>0</v>
      </c>
      <c r="I253" s="219">
        <f t="shared" si="80"/>
        <v>0</v>
      </c>
      <c r="J253" s="219">
        <f t="shared" si="80"/>
        <v>0</v>
      </c>
      <c r="K253" s="219">
        <f t="shared" si="80"/>
        <v>0</v>
      </c>
      <c r="L253" s="219">
        <f t="shared" si="80"/>
        <v>1</v>
      </c>
      <c r="M253" s="219">
        <f t="shared" si="80"/>
        <v>0</v>
      </c>
      <c r="N253" s="219">
        <f t="shared" si="80"/>
        <v>0</v>
      </c>
      <c r="O253" s="219">
        <f t="shared" si="80"/>
        <v>0</v>
      </c>
      <c r="P253" s="219">
        <f t="shared" si="80"/>
        <v>0</v>
      </c>
      <c r="Q253" s="219">
        <f t="shared" si="80"/>
        <v>0</v>
      </c>
      <c r="R253" s="219">
        <f t="shared" si="80"/>
        <v>0</v>
      </c>
      <c r="S253" s="219">
        <f t="shared" si="80"/>
        <v>0</v>
      </c>
      <c r="T253" s="219">
        <f t="shared" si="80"/>
        <v>0</v>
      </c>
      <c r="U253" s="219">
        <f t="shared" si="80"/>
        <v>0</v>
      </c>
      <c r="V253" s="219">
        <f t="shared" si="80"/>
        <v>0</v>
      </c>
      <c r="W253" s="219">
        <f t="shared" si="80"/>
        <v>0</v>
      </c>
      <c r="X253" s="219">
        <f t="shared" si="80"/>
        <v>0</v>
      </c>
      <c r="Y253" s="219">
        <f t="shared" si="80"/>
        <v>0</v>
      </c>
      <c r="Z253" s="219">
        <f t="shared" si="80"/>
        <v>0</v>
      </c>
      <c r="AA253" s="219">
        <f t="shared" si="80"/>
        <v>0</v>
      </c>
      <c r="AB253" s="219">
        <f t="shared" si="80"/>
        <v>0</v>
      </c>
      <c r="AC253" s="219">
        <f t="shared" si="80"/>
        <v>0</v>
      </c>
      <c r="AD253" s="219">
        <f t="shared" si="80"/>
        <v>0</v>
      </c>
      <c r="AE253" s="219">
        <f t="shared" si="80"/>
        <v>0</v>
      </c>
      <c r="AF253" s="219">
        <f t="shared" si="80"/>
        <v>0</v>
      </c>
      <c r="AG253" s="143">
        <f t="shared" si="79"/>
        <v>3</v>
      </c>
    </row>
    <row r="254">
      <c r="A254" s="98"/>
      <c r="B254" s="135"/>
      <c r="C254" s="135"/>
      <c r="D254" s="135"/>
      <c r="E254" s="135"/>
      <c r="F254" s="135"/>
      <c r="G254" s="135"/>
      <c r="H254" s="135"/>
      <c r="I254" s="82"/>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143"/>
    </row>
    <row r="255">
      <c r="A255" s="155" t="s">
        <v>257</v>
      </c>
      <c r="B255" s="135"/>
      <c r="C255" s="135"/>
      <c r="D255" s="135"/>
      <c r="E255" s="135"/>
      <c r="F255" s="135"/>
      <c r="G255" s="200"/>
      <c r="H255" s="135"/>
      <c r="I255" s="82"/>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209"/>
    </row>
    <row r="256">
      <c r="A256" s="216" t="s">
        <v>258</v>
      </c>
      <c r="B256" s="200">
        <v>0.0</v>
      </c>
      <c r="C256" s="200">
        <v>2457.86</v>
      </c>
      <c r="D256" s="200">
        <v>0.0</v>
      </c>
      <c r="E256" s="200">
        <v>932.79</v>
      </c>
      <c r="F256" s="200">
        <v>284.91</v>
      </c>
      <c r="G256" s="200">
        <v>0.0</v>
      </c>
      <c r="H256" s="200">
        <v>0.0</v>
      </c>
      <c r="I256" s="200">
        <v>614.43</v>
      </c>
      <c r="J256" s="200">
        <v>200.34</v>
      </c>
      <c r="K256" s="200">
        <v>617.89</v>
      </c>
      <c r="L256" s="200">
        <v>509.87</v>
      </c>
      <c r="M256" s="200">
        <v>1410.93</v>
      </c>
      <c r="N256" s="200">
        <v>0.0</v>
      </c>
      <c r="O256" s="200">
        <v>0.0</v>
      </c>
      <c r="P256" s="200">
        <v>0.0</v>
      </c>
      <c r="Q256" s="200">
        <v>897.58</v>
      </c>
      <c r="R256" s="200">
        <v>259.14</v>
      </c>
      <c r="S256" s="200">
        <v>0.0</v>
      </c>
      <c r="T256" s="200">
        <v>188.38</v>
      </c>
      <c r="U256" s="200">
        <v>336.77</v>
      </c>
      <c r="V256" s="200">
        <v>243.32</v>
      </c>
      <c r="W256" s="200">
        <v>670.31</v>
      </c>
      <c r="X256" s="200">
        <v>0.0</v>
      </c>
      <c r="Y256" s="200">
        <v>0.0</v>
      </c>
      <c r="Z256" s="200">
        <v>0.0</v>
      </c>
      <c r="AA256" s="200">
        <v>0.0</v>
      </c>
      <c r="AB256" s="200">
        <v>0.0</v>
      </c>
      <c r="AC256" s="200">
        <v>0.0</v>
      </c>
      <c r="AD256" s="200">
        <v>0.0</v>
      </c>
      <c r="AE256" s="200">
        <v>262.62</v>
      </c>
      <c r="AF256" s="200">
        <v>0.0</v>
      </c>
      <c r="AG256" s="114">
        <f t="shared" ref="AG256:AG257" si="82">SUM(B256:AF256)</f>
        <v>9887.14</v>
      </c>
    </row>
    <row r="257">
      <c r="A257" s="222" t="s">
        <v>259</v>
      </c>
      <c r="B257" s="223">
        <f t="shared" ref="B257:AF257" si="81">SUM(B256)</f>
        <v>0</v>
      </c>
      <c r="C257" s="223">
        <f t="shared" si="81"/>
        <v>2457.86</v>
      </c>
      <c r="D257" s="223">
        <f t="shared" si="81"/>
        <v>0</v>
      </c>
      <c r="E257" s="223">
        <f t="shared" si="81"/>
        <v>932.79</v>
      </c>
      <c r="F257" s="223">
        <f t="shared" si="81"/>
        <v>284.91</v>
      </c>
      <c r="G257" s="223">
        <f t="shared" si="81"/>
        <v>0</v>
      </c>
      <c r="H257" s="223">
        <f t="shared" si="81"/>
        <v>0</v>
      </c>
      <c r="I257" s="223">
        <f t="shared" si="81"/>
        <v>614.43</v>
      </c>
      <c r="J257" s="223">
        <f t="shared" si="81"/>
        <v>200.34</v>
      </c>
      <c r="K257" s="223">
        <f t="shared" si="81"/>
        <v>617.89</v>
      </c>
      <c r="L257" s="223">
        <f t="shared" si="81"/>
        <v>509.87</v>
      </c>
      <c r="M257" s="223">
        <f t="shared" si="81"/>
        <v>1410.93</v>
      </c>
      <c r="N257" s="223">
        <f t="shared" si="81"/>
        <v>0</v>
      </c>
      <c r="O257" s="223">
        <f t="shared" si="81"/>
        <v>0</v>
      </c>
      <c r="P257" s="223">
        <f t="shared" si="81"/>
        <v>0</v>
      </c>
      <c r="Q257" s="223">
        <f t="shared" si="81"/>
        <v>897.58</v>
      </c>
      <c r="R257" s="223">
        <f t="shared" si="81"/>
        <v>259.14</v>
      </c>
      <c r="S257" s="223">
        <f t="shared" si="81"/>
        <v>0</v>
      </c>
      <c r="T257" s="223">
        <f t="shared" si="81"/>
        <v>188.38</v>
      </c>
      <c r="U257" s="223">
        <f t="shared" si="81"/>
        <v>336.77</v>
      </c>
      <c r="V257" s="223">
        <f t="shared" si="81"/>
        <v>243.32</v>
      </c>
      <c r="W257" s="223">
        <f t="shared" si="81"/>
        <v>670.31</v>
      </c>
      <c r="X257" s="223">
        <f t="shared" si="81"/>
        <v>0</v>
      </c>
      <c r="Y257" s="223">
        <f t="shared" si="81"/>
        <v>0</v>
      </c>
      <c r="Z257" s="223">
        <f t="shared" si="81"/>
        <v>0</v>
      </c>
      <c r="AA257" s="223">
        <f t="shared" si="81"/>
        <v>0</v>
      </c>
      <c r="AB257" s="223">
        <f t="shared" si="81"/>
        <v>0</v>
      </c>
      <c r="AC257" s="223">
        <f t="shared" si="81"/>
        <v>0</v>
      </c>
      <c r="AD257" s="223">
        <f t="shared" si="81"/>
        <v>0</v>
      </c>
      <c r="AE257" s="223">
        <f t="shared" si="81"/>
        <v>262.62</v>
      </c>
      <c r="AF257" s="223">
        <f t="shared" si="81"/>
        <v>0</v>
      </c>
      <c r="AG257" s="114">
        <f t="shared" si="82"/>
        <v>9887.14</v>
      </c>
    </row>
    <row r="258">
      <c r="A258" s="177"/>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c r="AE258" s="187"/>
      <c r="AF258" s="187"/>
      <c r="AG258" s="114"/>
    </row>
    <row r="259">
      <c r="A259" s="216" t="s">
        <v>260</v>
      </c>
      <c r="B259" s="200">
        <v>0.0</v>
      </c>
      <c r="C259" s="200">
        <v>0.0</v>
      </c>
      <c r="D259" s="200">
        <v>0.0</v>
      </c>
      <c r="E259" s="200">
        <v>0.0</v>
      </c>
      <c r="F259" s="200">
        <v>327.0</v>
      </c>
      <c r="G259" s="200">
        <v>0.0</v>
      </c>
      <c r="H259" s="200">
        <v>0.0</v>
      </c>
      <c r="I259" s="200">
        <v>0.0</v>
      </c>
      <c r="J259" s="200">
        <v>0.0</v>
      </c>
      <c r="K259" s="200">
        <v>0.0</v>
      </c>
      <c r="L259" s="200">
        <v>89.0</v>
      </c>
      <c r="M259" s="200">
        <v>0.0</v>
      </c>
      <c r="N259" s="200">
        <v>0.0</v>
      </c>
      <c r="O259" s="200">
        <v>0.0</v>
      </c>
      <c r="P259" s="200">
        <v>0.0</v>
      </c>
      <c r="Q259" s="200">
        <v>0.0</v>
      </c>
      <c r="R259" s="200">
        <v>0.0</v>
      </c>
      <c r="S259" s="200">
        <v>0.0</v>
      </c>
      <c r="T259" s="200">
        <v>0.0</v>
      </c>
      <c r="U259" s="200">
        <v>0.0</v>
      </c>
      <c r="V259" s="200">
        <v>0.0</v>
      </c>
      <c r="W259" s="200">
        <v>0.0</v>
      </c>
      <c r="X259" s="200">
        <v>0.0</v>
      </c>
      <c r="Y259" s="200">
        <v>0.0</v>
      </c>
      <c r="Z259" s="200">
        <v>0.0</v>
      </c>
      <c r="AA259" s="200">
        <v>0.0</v>
      </c>
      <c r="AB259" s="200">
        <v>0.0</v>
      </c>
      <c r="AC259" s="200">
        <v>0.0</v>
      </c>
      <c r="AD259" s="200">
        <v>0.0</v>
      </c>
      <c r="AE259" s="200">
        <v>0.0</v>
      </c>
      <c r="AF259" s="200">
        <v>0.0</v>
      </c>
      <c r="AG259" s="114">
        <f t="shared" ref="AG259:AG262" si="83">SUM(B259:AF259)</f>
        <v>416</v>
      </c>
    </row>
    <row r="260">
      <c r="A260" s="216" t="s">
        <v>261</v>
      </c>
      <c r="B260" s="200">
        <v>0.0</v>
      </c>
      <c r="C260" s="200">
        <v>0.0</v>
      </c>
      <c r="D260" s="200">
        <v>0.0</v>
      </c>
      <c r="E260" s="200">
        <v>0.0</v>
      </c>
      <c r="F260" s="200">
        <v>35.0</v>
      </c>
      <c r="G260" s="200">
        <v>0.0</v>
      </c>
      <c r="H260" s="200">
        <v>0.0</v>
      </c>
      <c r="I260" s="200">
        <v>0.0</v>
      </c>
      <c r="J260" s="200">
        <v>0.0</v>
      </c>
      <c r="K260" s="200">
        <v>0.0</v>
      </c>
      <c r="L260" s="200">
        <v>10.0</v>
      </c>
      <c r="M260" s="200">
        <v>0.0</v>
      </c>
      <c r="N260" s="200">
        <v>0.0</v>
      </c>
      <c r="O260" s="200">
        <v>0.0</v>
      </c>
      <c r="P260" s="200">
        <v>0.0</v>
      </c>
      <c r="Q260" s="200">
        <v>0.0</v>
      </c>
      <c r="R260" s="200">
        <v>0.0</v>
      </c>
      <c r="S260" s="200">
        <v>0.0</v>
      </c>
      <c r="T260" s="200">
        <v>0.0</v>
      </c>
      <c r="U260" s="200">
        <v>0.0</v>
      </c>
      <c r="V260" s="200">
        <v>0.0</v>
      </c>
      <c r="W260" s="200">
        <v>0.0</v>
      </c>
      <c r="X260" s="200">
        <v>0.0</v>
      </c>
      <c r="Y260" s="200">
        <v>0.0</v>
      </c>
      <c r="Z260" s="200">
        <v>0.0</v>
      </c>
      <c r="AA260" s="200">
        <v>0.0</v>
      </c>
      <c r="AB260" s="200">
        <v>0.0</v>
      </c>
      <c r="AC260" s="200">
        <v>0.0</v>
      </c>
      <c r="AD260" s="200">
        <v>0.0</v>
      </c>
      <c r="AE260" s="200">
        <v>0.0</v>
      </c>
      <c r="AF260" s="200">
        <v>0.0</v>
      </c>
      <c r="AG260" s="114">
        <f t="shared" si="83"/>
        <v>45</v>
      </c>
    </row>
    <row r="261">
      <c r="A261" s="216" t="s">
        <v>262</v>
      </c>
      <c r="B261" s="200">
        <f t="shared" ref="B261:C261" si="84">B259*0.22</f>
        <v>0</v>
      </c>
      <c r="C261" s="200">
        <f t="shared" si="84"/>
        <v>0</v>
      </c>
      <c r="D261" s="200">
        <v>0.0</v>
      </c>
      <c r="E261" s="200">
        <f t="shared" ref="E261:AF261" si="85">E259*0.22</f>
        <v>0</v>
      </c>
      <c r="F261" s="200">
        <f t="shared" si="85"/>
        <v>71.94</v>
      </c>
      <c r="G261" s="200">
        <f t="shared" si="85"/>
        <v>0</v>
      </c>
      <c r="H261" s="200">
        <f t="shared" si="85"/>
        <v>0</v>
      </c>
      <c r="I261" s="200">
        <f t="shared" si="85"/>
        <v>0</v>
      </c>
      <c r="J261" s="200">
        <f t="shared" si="85"/>
        <v>0</v>
      </c>
      <c r="K261" s="200">
        <f t="shared" si="85"/>
        <v>0</v>
      </c>
      <c r="L261" s="200">
        <f t="shared" si="85"/>
        <v>19.58</v>
      </c>
      <c r="M261" s="200">
        <f t="shared" si="85"/>
        <v>0</v>
      </c>
      <c r="N261" s="200">
        <f t="shared" si="85"/>
        <v>0</v>
      </c>
      <c r="O261" s="200">
        <f t="shared" si="85"/>
        <v>0</v>
      </c>
      <c r="P261" s="200">
        <f t="shared" si="85"/>
        <v>0</v>
      </c>
      <c r="Q261" s="200">
        <f t="shared" si="85"/>
        <v>0</v>
      </c>
      <c r="R261" s="200">
        <f t="shared" si="85"/>
        <v>0</v>
      </c>
      <c r="S261" s="200">
        <f t="shared" si="85"/>
        <v>0</v>
      </c>
      <c r="T261" s="200">
        <f t="shared" si="85"/>
        <v>0</v>
      </c>
      <c r="U261" s="200">
        <f t="shared" si="85"/>
        <v>0</v>
      </c>
      <c r="V261" s="200">
        <f t="shared" si="85"/>
        <v>0</v>
      </c>
      <c r="W261" s="200">
        <f t="shared" si="85"/>
        <v>0</v>
      </c>
      <c r="X261" s="200">
        <f t="shared" si="85"/>
        <v>0</v>
      </c>
      <c r="Y261" s="200">
        <f t="shared" si="85"/>
        <v>0</v>
      </c>
      <c r="Z261" s="200">
        <f t="shared" si="85"/>
        <v>0</v>
      </c>
      <c r="AA261" s="200">
        <f t="shared" si="85"/>
        <v>0</v>
      </c>
      <c r="AB261" s="200">
        <f t="shared" si="85"/>
        <v>0</v>
      </c>
      <c r="AC261" s="200">
        <f t="shared" si="85"/>
        <v>0</v>
      </c>
      <c r="AD261" s="200">
        <f t="shared" si="85"/>
        <v>0</v>
      </c>
      <c r="AE261" s="200">
        <f t="shared" si="85"/>
        <v>0</v>
      </c>
      <c r="AF261" s="200">
        <f t="shared" si="85"/>
        <v>0</v>
      </c>
      <c r="AG261" s="114">
        <f t="shared" si="83"/>
        <v>91.52</v>
      </c>
    </row>
    <row r="262">
      <c r="A262" s="222" t="s">
        <v>263</v>
      </c>
      <c r="B262" s="223">
        <f t="shared" ref="B262:AF262" si="86">B259+B260</f>
        <v>0</v>
      </c>
      <c r="C262" s="223">
        <f t="shared" si="86"/>
        <v>0</v>
      </c>
      <c r="D262" s="223">
        <f t="shared" si="86"/>
        <v>0</v>
      </c>
      <c r="E262" s="223">
        <f t="shared" si="86"/>
        <v>0</v>
      </c>
      <c r="F262" s="223">
        <f t="shared" si="86"/>
        <v>362</v>
      </c>
      <c r="G262" s="223">
        <f t="shared" si="86"/>
        <v>0</v>
      </c>
      <c r="H262" s="223">
        <f t="shared" si="86"/>
        <v>0</v>
      </c>
      <c r="I262" s="223">
        <f t="shared" si="86"/>
        <v>0</v>
      </c>
      <c r="J262" s="223">
        <f t="shared" si="86"/>
        <v>0</v>
      </c>
      <c r="K262" s="223">
        <f t="shared" si="86"/>
        <v>0</v>
      </c>
      <c r="L262" s="223">
        <f t="shared" si="86"/>
        <v>99</v>
      </c>
      <c r="M262" s="223">
        <f t="shared" si="86"/>
        <v>0</v>
      </c>
      <c r="N262" s="223">
        <f t="shared" si="86"/>
        <v>0</v>
      </c>
      <c r="O262" s="223">
        <f t="shared" si="86"/>
        <v>0</v>
      </c>
      <c r="P262" s="223">
        <f t="shared" si="86"/>
        <v>0</v>
      </c>
      <c r="Q262" s="223">
        <f t="shared" si="86"/>
        <v>0</v>
      </c>
      <c r="R262" s="223">
        <f t="shared" si="86"/>
        <v>0</v>
      </c>
      <c r="S262" s="223">
        <f t="shared" si="86"/>
        <v>0</v>
      </c>
      <c r="T262" s="223">
        <f t="shared" si="86"/>
        <v>0</v>
      </c>
      <c r="U262" s="223">
        <f t="shared" si="86"/>
        <v>0</v>
      </c>
      <c r="V262" s="223">
        <f t="shared" si="86"/>
        <v>0</v>
      </c>
      <c r="W262" s="223">
        <f t="shared" si="86"/>
        <v>0</v>
      </c>
      <c r="X262" s="223">
        <f t="shared" si="86"/>
        <v>0</v>
      </c>
      <c r="Y262" s="223">
        <f t="shared" si="86"/>
        <v>0</v>
      </c>
      <c r="Z262" s="223">
        <f t="shared" si="86"/>
        <v>0</v>
      </c>
      <c r="AA262" s="223">
        <f t="shared" si="86"/>
        <v>0</v>
      </c>
      <c r="AB262" s="223">
        <f t="shared" si="86"/>
        <v>0</v>
      </c>
      <c r="AC262" s="223">
        <f t="shared" si="86"/>
        <v>0</v>
      </c>
      <c r="AD262" s="223">
        <f t="shared" si="86"/>
        <v>0</v>
      </c>
      <c r="AE262" s="223">
        <f t="shared" si="86"/>
        <v>0</v>
      </c>
      <c r="AF262" s="223">
        <f t="shared" si="86"/>
        <v>0</v>
      </c>
      <c r="AG262" s="114">
        <f t="shared" si="83"/>
        <v>461</v>
      </c>
    </row>
    <row r="263">
      <c r="A263" s="224"/>
      <c r="T263" s="187"/>
      <c r="U263" s="187"/>
      <c r="V263" s="187"/>
      <c r="W263" s="187"/>
      <c r="X263" s="187"/>
      <c r="Y263" s="187"/>
      <c r="Z263" s="187"/>
      <c r="AA263" s="187"/>
      <c r="AB263" s="187"/>
      <c r="AC263" s="187"/>
      <c r="AD263" s="187"/>
      <c r="AE263" s="187"/>
      <c r="AF263" s="187"/>
      <c r="AG263" s="209"/>
    </row>
    <row r="264">
      <c r="A264" s="224"/>
      <c r="T264" s="187"/>
      <c r="U264" s="187"/>
      <c r="V264" s="187"/>
      <c r="W264" s="187"/>
      <c r="X264" s="187"/>
      <c r="Y264" s="187"/>
      <c r="Z264" s="187"/>
      <c r="AA264" s="187"/>
      <c r="AB264" s="187"/>
      <c r="AC264" s="187"/>
      <c r="AD264" s="187"/>
      <c r="AE264" s="187"/>
      <c r="AF264" s="187"/>
      <c r="AG264" s="209"/>
    </row>
    <row r="265">
      <c r="A265" s="155" t="s">
        <v>264</v>
      </c>
      <c r="B265" s="183"/>
      <c r="C265" s="183"/>
      <c r="D265" s="183"/>
      <c r="E265" s="183"/>
      <c r="F265" s="183"/>
      <c r="G265" s="183"/>
      <c r="H265" s="183"/>
      <c r="I265" s="183"/>
      <c r="J265" s="183"/>
      <c r="K265" s="183"/>
      <c r="L265" s="183"/>
      <c r="M265" s="183"/>
      <c r="N265" s="183"/>
      <c r="O265" s="183"/>
      <c r="P265" s="183"/>
      <c r="Q265" s="183"/>
      <c r="R265" s="183"/>
      <c r="S265" s="183"/>
      <c r="T265" s="225"/>
      <c r="U265" s="225"/>
      <c r="V265" s="225"/>
      <c r="W265" s="225"/>
      <c r="X265" s="225"/>
      <c r="Y265" s="225"/>
      <c r="Z265" s="225"/>
      <c r="AA265" s="225"/>
      <c r="AB265" s="225"/>
      <c r="AC265" s="225"/>
      <c r="AD265" s="225"/>
      <c r="AE265" s="225"/>
      <c r="AF265" s="225"/>
      <c r="AG265" s="209"/>
    </row>
    <row r="266">
      <c r="A266" s="216" t="s">
        <v>184</v>
      </c>
      <c r="B266" s="226"/>
      <c r="C266" s="226"/>
      <c r="D266" s="226"/>
      <c r="E266" s="226"/>
      <c r="F266" s="226"/>
      <c r="G266" s="226"/>
      <c r="H266" s="226"/>
      <c r="I266" s="226"/>
      <c r="J266" s="226"/>
      <c r="K266" s="226"/>
      <c r="L266" s="226"/>
      <c r="M266" s="226"/>
      <c r="N266" s="226"/>
      <c r="O266" s="226"/>
      <c r="P266" s="226"/>
      <c r="Q266" s="226"/>
      <c r="R266" s="226"/>
      <c r="S266" s="226"/>
      <c r="T266" s="226"/>
      <c r="U266" s="226"/>
      <c r="V266" s="226"/>
      <c r="W266" s="226"/>
      <c r="X266" s="226"/>
      <c r="Y266" s="226"/>
      <c r="Z266" s="226"/>
      <c r="AA266" s="226"/>
      <c r="AB266" s="226"/>
      <c r="AC266" s="226"/>
      <c r="AD266" s="226"/>
      <c r="AE266" s="226"/>
      <c r="AF266" s="226"/>
      <c r="AG266" s="143"/>
    </row>
    <row r="267" outlineLevel="1">
      <c r="A267" s="216" t="s">
        <v>265</v>
      </c>
      <c r="B267" s="176">
        <v>1.0</v>
      </c>
      <c r="C267" s="176">
        <v>0.0</v>
      </c>
      <c r="D267" s="176">
        <v>7.0</v>
      </c>
      <c r="E267" s="176">
        <v>3.0</v>
      </c>
      <c r="F267" s="176">
        <v>14.0</v>
      </c>
      <c r="G267" s="176">
        <v>0.0</v>
      </c>
      <c r="H267" s="176">
        <v>0.0</v>
      </c>
      <c r="I267" s="176">
        <v>10.0</v>
      </c>
      <c r="J267" s="176">
        <v>1.0</v>
      </c>
      <c r="K267" s="176">
        <v>3.0</v>
      </c>
      <c r="L267" s="176">
        <v>15.0</v>
      </c>
      <c r="M267" s="176">
        <v>4.0</v>
      </c>
      <c r="N267" s="176">
        <v>0.0</v>
      </c>
      <c r="O267" s="176">
        <v>0.0</v>
      </c>
      <c r="P267" s="176">
        <v>15.0</v>
      </c>
      <c r="Q267" s="176">
        <v>2.0</v>
      </c>
      <c r="R267" s="176">
        <v>3.0</v>
      </c>
      <c r="S267" s="176">
        <v>1.0</v>
      </c>
      <c r="T267" s="176">
        <v>4.0</v>
      </c>
      <c r="U267" s="176">
        <v>1.0</v>
      </c>
      <c r="V267" s="176">
        <v>2.0</v>
      </c>
      <c r="W267" s="176">
        <v>5.0</v>
      </c>
      <c r="X267" s="176">
        <v>4.0</v>
      </c>
      <c r="Y267" s="176">
        <v>3.0</v>
      </c>
      <c r="Z267" s="176">
        <v>2.0</v>
      </c>
      <c r="AA267" s="176">
        <v>0.0</v>
      </c>
      <c r="AB267" s="176">
        <v>2.0</v>
      </c>
      <c r="AC267" s="176">
        <v>9.0</v>
      </c>
      <c r="AD267" s="176">
        <v>9.0</v>
      </c>
      <c r="AE267" s="176">
        <v>4.0</v>
      </c>
      <c r="AF267" s="176">
        <v>4.0</v>
      </c>
      <c r="AG267" s="143">
        <f t="shared" ref="AG267:AG270" si="87">SUM(B267:AF267)</f>
        <v>128</v>
      </c>
    </row>
    <row r="268" outlineLevel="1">
      <c r="A268" s="216" t="s">
        <v>266</v>
      </c>
      <c r="B268" s="176">
        <v>0.0</v>
      </c>
      <c r="C268" s="176">
        <v>0.0</v>
      </c>
      <c r="D268" s="176">
        <v>11.0</v>
      </c>
      <c r="E268" s="176">
        <v>1.0</v>
      </c>
      <c r="F268" s="176">
        <v>8.0</v>
      </c>
      <c r="G268" s="176">
        <v>1.0</v>
      </c>
      <c r="H268" s="176">
        <v>0.0</v>
      </c>
      <c r="I268" s="176">
        <v>7.0</v>
      </c>
      <c r="J268" s="176">
        <v>3.0</v>
      </c>
      <c r="K268" s="176">
        <v>3.0</v>
      </c>
      <c r="L268" s="176">
        <v>7.0</v>
      </c>
      <c r="M268" s="176">
        <v>0.0</v>
      </c>
      <c r="N268" s="176">
        <v>0.0</v>
      </c>
      <c r="O268" s="176">
        <v>1.0</v>
      </c>
      <c r="P268" s="176">
        <v>9.0</v>
      </c>
      <c r="Q268" s="176">
        <v>1.0</v>
      </c>
      <c r="R268" s="176">
        <v>3.0</v>
      </c>
      <c r="S268" s="176">
        <v>2.0</v>
      </c>
      <c r="T268" s="176">
        <v>1.0</v>
      </c>
      <c r="U268" s="176">
        <v>0.0</v>
      </c>
      <c r="V268" s="176">
        <v>5.0</v>
      </c>
      <c r="W268" s="176">
        <v>2.0</v>
      </c>
      <c r="X268" s="176">
        <v>7.0</v>
      </c>
      <c r="Y268" s="176">
        <v>2.0</v>
      </c>
      <c r="Z268" s="176">
        <v>0.0</v>
      </c>
      <c r="AA268" s="176">
        <v>0.0</v>
      </c>
      <c r="AB268" s="176">
        <v>2.0</v>
      </c>
      <c r="AC268" s="176">
        <v>6.0</v>
      </c>
      <c r="AD268" s="176">
        <v>6.0</v>
      </c>
      <c r="AE268" s="176">
        <v>5.0</v>
      </c>
      <c r="AF268" s="176">
        <v>2.0</v>
      </c>
      <c r="AG268" s="143">
        <f t="shared" si="87"/>
        <v>95</v>
      </c>
    </row>
    <row r="269" outlineLevel="1">
      <c r="A269" s="216" t="s">
        <v>267</v>
      </c>
      <c r="B269" s="176">
        <v>0.0</v>
      </c>
      <c r="C269" s="164">
        <v>0.0</v>
      </c>
      <c r="D269" s="176">
        <v>20.0</v>
      </c>
      <c r="E269" s="176">
        <v>5.0</v>
      </c>
      <c r="F269" s="176">
        <v>19.0</v>
      </c>
      <c r="G269" s="176">
        <v>1.0</v>
      </c>
      <c r="H269" s="176">
        <v>0.0</v>
      </c>
      <c r="I269" s="176">
        <v>13.0</v>
      </c>
      <c r="J269" s="176">
        <v>5.0</v>
      </c>
      <c r="K269" s="176">
        <v>7.0</v>
      </c>
      <c r="L269" s="176">
        <v>13.0</v>
      </c>
      <c r="M269" s="176">
        <v>3.0</v>
      </c>
      <c r="N269" s="176">
        <v>1.0</v>
      </c>
      <c r="O269" s="176">
        <v>1.0</v>
      </c>
      <c r="P269" s="176">
        <v>14.0</v>
      </c>
      <c r="Q269" s="176">
        <v>4.0</v>
      </c>
      <c r="R269" s="176">
        <v>10.0</v>
      </c>
      <c r="S269" s="176">
        <v>3.0</v>
      </c>
      <c r="T269" s="176">
        <v>0.0</v>
      </c>
      <c r="U269" s="176">
        <v>1.0</v>
      </c>
      <c r="V269" s="176">
        <v>3.0</v>
      </c>
      <c r="W269" s="176">
        <v>5.0</v>
      </c>
      <c r="X269" s="176">
        <v>8.0</v>
      </c>
      <c r="Y269" s="176">
        <v>3.0</v>
      </c>
      <c r="Z269" s="176">
        <v>0.0</v>
      </c>
      <c r="AA269" s="176">
        <v>0.0</v>
      </c>
      <c r="AB269" s="176">
        <v>5.0</v>
      </c>
      <c r="AC269" s="176">
        <v>15.0</v>
      </c>
      <c r="AD269" s="176">
        <v>7.0</v>
      </c>
      <c r="AE269" s="176">
        <v>8.0</v>
      </c>
      <c r="AF269" s="176">
        <v>10.0</v>
      </c>
      <c r="AG269" s="143">
        <f t="shared" si="87"/>
        <v>184</v>
      </c>
    </row>
    <row r="270" outlineLevel="1">
      <c r="A270" s="216" t="s">
        <v>268</v>
      </c>
      <c r="B270" s="176">
        <v>2.0</v>
      </c>
      <c r="C270" s="164">
        <v>1.0</v>
      </c>
      <c r="D270" s="176">
        <v>5.0</v>
      </c>
      <c r="E270" s="176">
        <v>2.0</v>
      </c>
      <c r="F270" s="176">
        <v>10.0</v>
      </c>
      <c r="G270" s="176">
        <v>0.0</v>
      </c>
      <c r="H270" s="176">
        <v>0.0</v>
      </c>
      <c r="I270" s="176">
        <v>23.0</v>
      </c>
      <c r="J270" s="176">
        <v>1.0</v>
      </c>
      <c r="K270" s="176">
        <v>2.0</v>
      </c>
      <c r="L270" s="176">
        <v>17.0</v>
      </c>
      <c r="M270" s="176">
        <v>2.0</v>
      </c>
      <c r="N270" s="176">
        <v>0.0</v>
      </c>
      <c r="O270" s="176">
        <v>1.0</v>
      </c>
      <c r="P270" s="176">
        <v>18.0</v>
      </c>
      <c r="Q270" s="176">
        <v>2.0</v>
      </c>
      <c r="R270" s="176">
        <v>3.0</v>
      </c>
      <c r="S270" s="176">
        <v>1.0</v>
      </c>
      <c r="T270" s="176">
        <v>1.0</v>
      </c>
      <c r="U270" s="176">
        <v>1.0</v>
      </c>
      <c r="V270" s="176">
        <v>7.0</v>
      </c>
      <c r="W270" s="176">
        <v>5.0</v>
      </c>
      <c r="X270" s="176">
        <v>11.0</v>
      </c>
      <c r="Y270" s="176">
        <v>0.0</v>
      </c>
      <c r="Z270" s="176">
        <v>1.0</v>
      </c>
      <c r="AA270" s="176">
        <v>0.0</v>
      </c>
      <c r="AB270" s="176">
        <v>6.0</v>
      </c>
      <c r="AC270" s="176">
        <v>10.0</v>
      </c>
      <c r="AD270" s="176">
        <v>6.0</v>
      </c>
      <c r="AE270" s="176">
        <v>3.0</v>
      </c>
      <c r="AF270" s="176">
        <v>6.0</v>
      </c>
      <c r="AG270" s="143">
        <f t="shared" si="87"/>
        <v>147</v>
      </c>
    </row>
    <row r="271">
      <c r="A271" s="216" t="s">
        <v>189</v>
      </c>
      <c r="B271" s="226"/>
      <c r="C271" s="226"/>
      <c r="D271" s="226"/>
      <c r="E271" s="226"/>
      <c r="F271" s="226"/>
      <c r="G271" s="226"/>
      <c r="H271" s="226"/>
      <c r="I271" s="226"/>
      <c r="J271" s="226"/>
      <c r="K271" s="226"/>
      <c r="L271" s="226"/>
      <c r="M271" s="226"/>
      <c r="N271" s="226"/>
      <c r="O271" s="226"/>
      <c r="P271" s="226"/>
      <c r="Q271" s="226"/>
      <c r="R271" s="226"/>
      <c r="S271" s="226"/>
      <c r="T271" s="226"/>
      <c r="U271" s="226"/>
      <c r="V271" s="226"/>
      <c r="W271" s="226"/>
      <c r="X271" s="226"/>
      <c r="Y271" s="226"/>
      <c r="Z271" s="226"/>
      <c r="AA271" s="226"/>
      <c r="AB271" s="226"/>
      <c r="AC271" s="226"/>
      <c r="AD271" s="226"/>
      <c r="AE271" s="226"/>
      <c r="AF271" s="226"/>
      <c r="AG271" s="143"/>
    </row>
    <row r="272" outlineLevel="1">
      <c r="A272" s="216" t="s">
        <v>269</v>
      </c>
      <c r="B272" s="176">
        <v>0.0</v>
      </c>
      <c r="C272" s="176">
        <v>0.0</v>
      </c>
      <c r="D272" s="176">
        <v>0.0</v>
      </c>
      <c r="E272" s="176">
        <v>0.0</v>
      </c>
      <c r="F272" s="176">
        <v>0.0</v>
      </c>
      <c r="G272" s="176">
        <v>0.0</v>
      </c>
      <c r="H272" s="176">
        <v>0.0</v>
      </c>
      <c r="I272" s="176">
        <v>0.0</v>
      </c>
      <c r="J272" s="176">
        <v>0.0</v>
      </c>
      <c r="K272" s="176"/>
      <c r="L272" s="176">
        <v>0.0</v>
      </c>
      <c r="M272" s="176">
        <v>0.0</v>
      </c>
      <c r="N272" s="176">
        <v>0.0</v>
      </c>
      <c r="O272" s="176">
        <v>0.0</v>
      </c>
      <c r="P272" s="176">
        <v>0.0</v>
      </c>
      <c r="Q272" s="176">
        <v>0.0</v>
      </c>
      <c r="R272" s="176">
        <v>0.0</v>
      </c>
      <c r="S272" s="176">
        <v>0.0</v>
      </c>
      <c r="T272" s="176">
        <v>0.0</v>
      </c>
      <c r="U272" s="176">
        <v>0.0</v>
      </c>
      <c r="V272" s="176">
        <v>0.0</v>
      </c>
      <c r="W272" s="176">
        <v>0.0</v>
      </c>
      <c r="X272" s="176">
        <v>0.0</v>
      </c>
      <c r="Y272" s="176">
        <v>0.0</v>
      </c>
      <c r="Z272" s="176">
        <v>0.0</v>
      </c>
      <c r="AA272" s="176">
        <v>0.0</v>
      </c>
      <c r="AB272" s="176">
        <v>0.0</v>
      </c>
      <c r="AC272" s="176">
        <v>0.0</v>
      </c>
      <c r="AD272" s="176">
        <v>0.0</v>
      </c>
      <c r="AE272" s="176">
        <v>0.0</v>
      </c>
      <c r="AF272" s="176">
        <v>0.0</v>
      </c>
      <c r="AG272" s="143">
        <f t="shared" ref="AG272:AG277" si="88">SUM(B272:AF272)</f>
        <v>0</v>
      </c>
    </row>
    <row r="273" outlineLevel="1">
      <c r="A273" s="216" t="s">
        <v>270</v>
      </c>
      <c r="B273" s="176">
        <v>0.0</v>
      </c>
      <c r="C273" s="176">
        <v>0.0</v>
      </c>
      <c r="D273" s="176">
        <v>0.0</v>
      </c>
      <c r="E273" s="176">
        <v>0.0</v>
      </c>
      <c r="F273" s="176">
        <v>0.0</v>
      </c>
      <c r="G273" s="176">
        <v>0.0</v>
      </c>
      <c r="H273" s="176">
        <v>0.0</v>
      </c>
      <c r="I273" s="176">
        <v>0.0</v>
      </c>
      <c r="J273" s="176">
        <v>0.0</v>
      </c>
      <c r="K273" s="176"/>
      <c r="L273" s="176">
        <v>0.0</v>
      </c>
      <c r="M273" s="176">
        <v>0.0</v>
      </c>
      <c r="N273" s="176">
        <v>0.0</v>
      </c>
      <c r="O273" s="176">
        <v>0.0</v>
      </c>
      <c r="P273" s="176">
        <v>0.0</v>
      </c>
      <c r="Q273" s="176">
        <v>1.0</v>
      </c>
      <c r="R273" s="176">
        <v>0.0</v>
      </c>
      <c r="S273" s="176">
        <v>0.0</v>
      </c>
      <c r="T273" s="176">
        <v>1.0</v>
      </c>
      <c r="U273" s="176">
        <v>0.0</v>
      </c>
      <c r="V273" s="176">
        <v>0.0</v>
      </c>
      <c r="W273" s="176">
        <v>0.0</v>
      </c>
      <c r="X273" s="176">
        <v>0.0</v>
      </c>
      <c r="Y273" s="176">
        <v>0.0</v>
      </c>
      <c r="Z273" s="176">
        <v>0.0</v>
      </c>
      <c r="AA273" s="176">
        <v>0.0</v>
      </c>
      <c r="AB273" s="176">
        <v>0.0</v>
      </c>
      <c r="AC273" s="176">
        <v>0.0</v>
      </c>
      <c r="AD273" s="176">
        <v>0.0</v>
      </c>
      <c r="AE273" s="176">
        <v>0.0</v>
      </c>
      <c r="AF273" s="176">
        <v>0.0</v>
      </c>
      <c r="AG273" s="143">
        <f t="shared" si="88"/>
        <v>2</v>
      </c>
    </row>
    <row r="274" outlineLevel="1">
      <c r="A274" s="216" t="s">
        <v>271</v>
      </c>
      <c r="B274" s="176">
        <v>0.0</v>
      </c>
      <c r="C274" s="176">
        <v>0.0</v>
      </c>
      <c r="D274" s="176">
        <v>1.0</v>
      </c>
      <c r="E274" s="176">
        <v>0.0</v>
      </c>
      <c r="F274" s="176">
        <v>0.0</v>
      </c>
      <c r="G274" s="176">
        <v>0.0</v>
      </c>
      <c r="H274" s="176">
        <v>0.0</v>
      </c>
      <c r="I274" s="176">
        <v>0.0</v>
      </c>
      <c r="J274" s="176">
        <v>1.0</v>
      </c>
      <c r="K274" s="176"/>
      <c r="L274" s="176">
        <v>0.0</v>
      </c>
      <c r="M274" s="176">
        <v>0.0</v>
      </c>
      <c r="N274" s="176">
        <v>0.0</v>
      </c>
      <c r="O274" s="176">
        <v>0.0</v>
      </c>
      <c r="P274" s="176">
        <v>0.0</v>
      </c>
      <c r="Q274" s="176">
        <v>1.0</v>
      </c>
      <c r="R274" s="176">
        <v>0.0</v>
      </c>
      <c r="S274" s="176">
        <v>0.0</v>
      </c>
      <c r="T274" s="176">
        <v>1.0</v>
      </c>
      <c r="U274" s="176">
        <v>1.0</v>
      </c>
      <c r="V274" s="176">
        <v>0.0</v>
      </c>
      <c r="W274" s="176">
        <v>0.0</v>
      </c>
      <c r="X274" s="176">
        <v>0.0</v>
      </c>
      <c r="Y274" s="176">
        <v>0.0</v>
      </c>
      <c r="Z274" s="176">
        <v>0.0</v>
      </c>
      <c r="AA274" s="176">
        <v>0.0</v>
      </c>
      <c r="AB274" s="176">
        <v>0.0</v>
      </c>
      <c r="AC274" s="176">
        <v>0.0</v>
      </c>
      <c r="AD274" s="176">
        <v>0.0</v>
      </c>
      <c r="AE274" s="176">
        <v>1.0</v>
      </c>
      <c r="AF274" s="176">
        <v>0.0</v>
      </c>
      <c r="AG274" s="143">
        <f t="shared" si="88"/>
        <v>6</v>
      </c>
    </row>
    <row r="275" outlineLevel="1">
      <c r="A275" s="216" t="s">
        <v>272</v>
      </c>
      <c r="B275" s="176">
        <v>0.0</v>
      </c>
      <c r="C275" s="176">
        <v>0.0</v>
      </c>
      <c r="D275" s="176">
        <v>0.0</v>
      </c>
      <c r="E275" s="176">
        <v>0.0</v>
      </c>
      <c r="F275" s="176">
        <v>1.0</v>
      </c>
      <c r="G275" s="176">
        <v>0.0</v>
      </c>
      <c r="H275" s="176">
        <v>0.0</v>
      </c>
      <c r="I275" s="176">
        <v>1.0</v>
      </c>
      <c r="J275" s="176">
        <v>0.0</v>
      </c>
      <c r="K275" s="176"/>
      <c r="L275" s="176">
        <v>0.0</v>
      </c>
      <c r="M275" s="176">
        <v>0.0</v>
      </c>
      <c r="N275" s="176">
        <v>0.0</v>
      </c>
      <c r="O275" s="176">
        <v>0.0</v>
      </c>
      <c r="P275" s="176">
        <v>0.0</v>
      </c>
      <c r="Q275" s="176">
        <v>3.0</v>
      </c>
      <c r="R275" s="176">
        <v>0.0</v>
      </c>
      <c r="S275" s="176">
        <v>0.0</v>
      </c>
      <c r="T275" s="176">
        <v>0.0</v>
      </c>
      <c r="U275" s="176">
        <v>0.0</v>
      </c>
      <c r="V275" s="176">
        <v>0.0</v>
      </c>
      <c r="W275" s="176">
        <v>0.0</v>
      </c>
      <c r="X275" s="176">
        <v>0.0</v>
      </c>
      <c r="Y275" s="176">
        <v>0.0</v>
      </c>
      <c r="Z275" s="176">
        <v>0.0</v>
      </c>
      <c r="AA275" s="176">
        <v>0.0</v>
      </c>
      <c r="AB275" s="176">
        <v>0.0</v>
      </c>
      <c r="AC275" s="176">
        <v>0.0</v>
      </c>
      <c r="AD275" s="176">
        <v>0.0</v>
      </c>
      <c r="AE275" s="176">
        <v>0.0</v>
      </c>
      <c r="AF275" s="176">
        <v>0.0</v>
      </c>
      <c r="AG275" s="143">
        <f t="shared" si="88"/>
        <v>5</v>
      </c>
    </row>
    <row r="276">
      <c r="A276" s="218" t="s">
        <v>194</v>
      </c>
      <c r="B276" s="219">
        <f t="shared" ref="B276:AF276" si="89">SUM(B267,B268,B272,B273,)</f>
        <v>1</v>
      </c>
      <c r="C276" s="219">
        <f t="shared" si="89"/>
        <v>0</v>
      </c>
      <c r="D276" s="219">
        <f t="shared" si="89"/>
        <v>18</v>
      </c>
      <c r="E276" s="219">
        <f t="shared" si="89"/>
        <v>4</v>
      </c>
      <c r="F276" s="219">
        <f t="shared" si="89"/>
        <v>22</v>
      </c>
      <c r="G276" s="219">
        <f t="shared" si="89"/>
        <v>1</v>
      </c>
      <c r="H276" s="219">
        <f t="shared" si="89"/>
        <v>0</v>
      </c>
      <c r="I276" s="219">
        <f t="shared" si="89"/>
        <v>17</v>
      </c>
      <c r="J276" s="219">
        <f t="shared" si="89"/>
        <v>4</v>
      </c>
      <c r="K276" s="219">
        <f t="shared" si="89"/>
        <v>6</v>
      </c>
      <c r="L276" s="219">
        <f t="shared" si="89"/>
        <v>22</v>
      </c>
      <c r="M276" s="219">
        <f t="shared" si="89"/>
        <v>4</v>
      </c>
      <c r="N276" s="219">
        <f t="shared" si="89"/>
        <v>0</v>
      </c>
      <c r="O276" s="219">
        <f t="shared" si="89"/>
        <v>1</v>
      </c>
      <c r="P276" s="219">
        <f t="shared" si="89"/>
        <v>24</v>
      </c>
      <c r="Q276" s="219">
        <f t="shared" si="89"/>
        <v>4</v>
      </c>
      <c r="R276" s="219">
        <f t="shared" si="89"/>
        <v>6</v>
      </c>
      <c r="S276" s="219">
        <f t="shared" si="89"/>
        <v>3</v>
      </c>
      <c r="T276" s="219">
        <f t="shared" si="89"/>
        <v>6</v>
      </c>
      <c r="U276" s="219">
        <f t="shared" si="89"/>
        <v>1</v>
      </c>
      <c r="V276" s="219">
        <f t="shared" si="89"/>
        <v>7</v>
      </c>
      <c r="W276" s="219">
        <f t="shared" si="89"/>
        <v>7</v>
      </c>
      <c r="X276" s="219">
        <f t="shared" si="89"/>
        <v>11</v>
      </c>
      <c r="Y276" s="219">
        <f t="shared" si="89"/>
        <v>5</v>
      </c>
      <c r="Z276" s="219">
        <f t="shared" si="89"/>
        <v>2</v>
      </c>
      <c r="AA276" s="219">
        <f t="shared" si="89"/>
        <v>0</v>
      </c>
      <c r="AB276" s="219">
        <f t="shared" si="89"/>
        <v>4</v>
      </c>
      <c r="AC276" s="219">
        <f t="shared" si="89"/>
        <v>15</v>
      </c>
      <c r="AD276" s="219">
        <f t="shared" si="89"/>
        <v>15</v>
      </c>
      <c r="AE276" s="219">
        <f t="shared" si="89"/>
        <v>9</v>
      </c>
      <c r="AF276" s="219">
        <f t="shared" si="89"/>
        <v>6</v>
      </c>
      <c r="AG276" s="143">
        <f t="shared" si="88"/>
        <v>225</v>
      </c>
    </row>
    <row r="277">
      <c r="A277" s="218" t="s">
        <v>195</v>
      </c>
      <c r="B277" s="219">
        <f t="shared" ref="B277:AF277" si="90">SUM(B269,B270,B274,B275,)</f>
        <v>2</v>
      </c>
      <c r="C277" s="219">
        <f t="shared" si="90"/>
        <v>1</v>
      </c>
      <c r="D277" s="219">
        <f t="shared" si="90"/>
        <v>26</v>
      </c>
      <c r="E277" s="219">
        <f t="shared" si="90"/>
        <v>7</v>
      </c>
      <c r="F277" s="219">
        <f t="shared" si="90"/>
        <v>30</v>
      </c>
      <c r="G277" s="219">
        <f t="shared" si="90"/>
        <v>1</v>
      </c>
      <c r="H277" s="219">
        <f t="shared" si="90"/>
        <v>0</v>
      </c>
      <c r="I277" s="219">
        <f t="shared" si="90"/>
        <v>37</v>
      </c>
      <c r="J277" s="219">
        <f t="shared" si="90"/>
        <v>7</v>
      </c>
      <c r="K277" s="219">
        <f t="shared" si="90"/>
        <v>9</v>
      </c>
      <c r="L277" s="219">
        <f t="shared" si="90"/>
        <v>30</v>
      </c>
      <c r="M277" s="219">
        <f t="shared" si="90"/>
        <v>5</v>
      </c>
      <c r="N277" s="219">
        <f t="shared" si="90"/>
        <v>1</v>
      </c>
      <c r="O277" s="219">
        <f t="shared" si="90"/>
        <v>2</v>
      </c>
      <c r="P277" s="219">
        <f t="shared" si="90"/>
        <v>32</v>
      </c>
      <c r="Q277" s="219">
        <f t="shared" si="90"/>
        <v>10</v>
      </c>
      <c r="R277" s="219">
        <f t="shared" si="90"/>
        <v>13</v>
      </c>
      <c r="S277" s="219">
        <f t="shared" si="90"/>
        <v>4</v>
      </c>
      <c r="T277" s="219">
        <f t="shared" si="90"/>
        <v>2</v>
      </c>
      <c r="U277" s="219">
        <f t="shared" si="90"/>
        <v>3</v>
      </c>
      <c r="V277" s="219">
        <f t="shared" si="90"/>
        <v>10</v>
      </c>
      <c r="W277" s="219">
        <f t="shared" si="90"/>
        <v>10</v>
      </c>
      <c r="X277" s="219">
        <f t="shared" si="90"/>
        <v>19</v>
      </c>
      <c r="Y277" s="219">
        <f t="shared" si="90"/>
        <v>3</v>
      </c>
      <c r="Z277" s="219">
        <f t="shared" si="90"/>
        <v>1</v>
      </c>
      <c r="AA277" s="219">
        <f t="shared" si="90"/>
        <v>0</v>
      </c>
      <c r="AB277" s="219">
        <f t="shared" si="90"/>
        <v>11</v>
      </c>
      <c r="AC277" s="219">
        <f t="shared" si="90"/>
        <v>25</v>
      </c>
      <c r="AD277" s="219">
        <f t="shared" si="90"/>
        <v>13</v>
      </c>
      <c r="AE277" s="219">
        <f t="shared" si="90"/>
        <v>12</v>
      </c>
      <c r="AF277" s="219">
        <f t="shared" si="90"/>
        <v>16</v>
      </c>
      <c r="AG277" s="143">
        <f t="shared" si="88"/>
        <v>342</v>
      </c>
    </row>
    <row r="278">
      <c r="A278" s="98"/>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c r="AE278" s="187"/>
      <c r="AF278" s="187"/>
      <c r="AG278" s="209"/>
    </row>
    <row r="279">
      <c r="A279" s="216" t="s">
        <v>196</v>
      </c>
      <c r="B279" s="226"/>
      <c r="C279" s="226"/>
      <c r="D279" s="226"/>
      <c r="E279" s="226"/>
      <c r="F279" s="226"/>
      <c r="G279" s="226"/>
      <c r="H279" s="226"/>
      <c r="I279" s="226"/>
      <c r="J279" s="226"/>
      <c r="K279" s="226"/>
      <c r="L279" s="226"/>
      <c r="M279" s="226"/>
      <c r="N279" s="226"/>
      <c r="O279" s="226"/>
      <c r="P279" s="226"/>
      <c r="Q279" s="226"/>
      <c r="R279" s="226"/>
      <c r="S279" s="226"/>
      <c r="T279" s="226"/>
      <c r="U279" s="226"/>
      <c r="V279" s="226"/>
      <c r="W279" s="226"/>
      <c r="X279" s="226"/>
      <c r="Y279" s="226"/>
      <c r="Z279" s="226"/>
      <c r="AA279" s="226"/>
      <c r="AB279" s="226"/>
      <c r="AC279" s="226"/>
      <c r="AD279" s="226"/>
      <c r="AE279" s="226"/>
      <c r="AF279" s="226"/>
      <c r="AG279" s="143"/>
    </row>
    <row r="280" outlineLevel="1">
      <c r="A280" s="216" t="s">
        <v>197</v>
      </c>
      <c r="B280" s="176">
        <v>1.0</v>
      </c>
      <c r="C280" s="176">
        <v>0.0</v>
      </c>
      <c r="D280" s="176">
        <v>9.0</v>
      </c>
      <c r="E280" s="176">
        <v>10.0</v>
      </c>
      <c r="F280" s="176">
        <v>11.0</v>
      </c>
      <c r="G280" s="176">
        <v>0.0</v>
      </c>
      <c r="H280" s="176">
        <v>2.0</v>
      </c>
      <c r="I280" s="176">
        <v>10.0</v>
      </c>
      <c r="J280" s="176">
        <v>2.0</v>
      </c>
      <c r="K280" s="176">
        <v>2.0</v>
      </c>
      <c r="L280" s="176">
        <v>7.0</v>
      </c>
      <c r="M280" s="176">
        <v>1.0</v>
      </c>
      <c r="N280" s="176">
        <v>2.0</v>
      </c>
      <c r="O280" s="176">
        <v>0.0</v>
      </c>
      <c r="P280" s="176">
        <v>13.0</v>
      </c>
      <c r="Q280" s="176">
        <v>8.0</v>
      </c>
      <c r="R280" s="176">
        <v>2.0</v>
      </c>
      <c r="S280" s="176">
        <v>0.0</v>
      </c>
      <c r="T280" s="176">
        <v>3.0</v>
      </c>
      <c r="U280" s="176">
        <v>1.0</v>
      </c>
      <c r="V280" s="176">
        <v>2.0</v>
      </c>
      <c r="W280" s="176">
        <v>4.0</v>
      </c>
      <c r="X280" s="176">
        <v>9.0</v>
      </c>
      <c r="Y280" s="176">
        <v>2.0</v>
      </c>
      <c r="Z280" s="176">
        <v>1.0</v>
      </c>
      <c r="AA280" s="176">
        <v>0.0</v>
      </c>
      <c r="AB280" s="176">
        <v>3.0</v>
      </c>
      <c r="AC280" s="176">
        <v>8.0</v>
      </c>
      <c r="AD280" s="176">
        <v>5.0</v>
      </c>
      <c r="AE280" s="176">
        <v>6.0</v>
      </c>
      <c r="AF280" s="176">
        <v>5.0</v>
      </c>
      <c r="AG280" s="143">
        <f t="shared" ref="AG280:AG288" si="91">SUM(B280:AF280)</f>
        <v>129</v>
      </c>
    </row>
    <row r="281" outlineLevel="1">
      <c r="A281" s="216" t="s">
        <v>198</v>
      </c>
      <c r="B281" s="176">
        <v>0.0</v>
      </c>
      <c r="C281" s="176">
        <v>0.0</v>
      </c>
      <c r="D281" s="176">
        <v>12.0</v>
      </c>
      <c r="E281" s="176">
        <v>5.0</v>
      </c>
      <c r="F281" s="176">
        <v>19.0</v>
      </c>
      <c r="G281" s="176">
        <v>1.0</v>
      </c>
      <c r="H281" s="176">
        <v>0.0</v>
      </c>
      <c r="I281" s="176">
        <v>8.0</v>
      </c>
      <c r="J281" s="176">
        <v>2.0</v>
      </c>
      <c r="K281" s="176">
        <v>2.0</v>
      </c>
      <c r="L281" s="176">
        <v>12.0</v>
      </c>
      <c r="M281" s="176">
        <v>1.0</v>
      </c>
      <c r="N281" s="176">
        <v>0.0</v>
      </c>
      <c r="O281" s="176">
        <v>1.0</v>
      </c>
      <c r="P281" s="176">
        <v>13.0</v>
      </c>
      <c r="Q281" s="176">
        <v>4.0</v>
      </c>
      <c r="R281" s="176">
        <v>8.0</v>
      </c>
      <c r="S281" s="176">
        <v>3.0</v>
      </c>
      <c r="T281" s="176">
        <v>0.0</v>
      </c>
      <c r="U281" s="176">
        <v>2.0</v>
      </c>
      <c r="V281" s="176">
        <v>0.0</v>
      </c>
      <c r="W281" s="176">
        <v>4.0</v>
      </c>
      <c r="X281" s="176">
        <v>9.0</v>
      </c>
      <c r="Y281" s="176">
        <v>2.0</v>
      </c>
      <c r="Z281" s="176">
        <v>0.0</v>
      </c>
      <c r="AA281" s="176">
        <v>0.0</v>
      </c>
      <c r="AB281" s="176">
        <v>4.0</v>
      </c>
      <c r="AC281" s="176">
        <v>15.0</v>
      </c>
      <c r="AD281" s="176">
        <v>7.0</v>
      </c>
      <c r="AE281" s="176">
        <v>8.0</v>
      </c>
      <c r="AF281" s="176">
        <v>8.0</v>
      </c>
      <c r="AG281" s="143">
        <f t="shared" si="91"/>
        <v>150</v>
      </c>
    </row>
    <row r="282" outlineLevel="1">
      <c r="A282" s="216" t="s">
        <v>273</v>
      </c>
      <c r="B282" s="176">
        <v>0.0</v>
      </c>
      <c r="C282" s="176">
        <v>0.0</v>
      </c>
      <c r="D282" s="176">
        <v>1.0</v>
      </c>
      <c r="E282" s="176">
        <v>1.0</v>
      </c>
      <c r="F282" s="176">
        <v>1.0</v>
      </c>
      <c r="G282" s="176">
        <v>0.0</v>
      </c>
      <c r="H282" s="176">
        <v>0.0</v>
      </c>
      <c r="I282" s="176">
        <v>2.0</v>
      </c>
      <c r="J282" s="176">
        <v>0.0</v>
      </c>
      <c r="K282" s="176">
        <v>2.0</v>
      </c>
      <c r="L282" s="176">
        <v>2.0</v>
      </c>
      <c r="M282" s="176">
        <v>1.0</v>
      </c>
      <c r="N282" s="176">
        <v>0.0</v>
      </c>
      <c r="O282" s="176">
        <v>0.0</v>
      </c>
      <c r="P282" s="176">
        <v>2.0</v>
      </c>
      <c r="Q282" s="176">
        <v>3.0</v>
      </c>
      <c r="R282" s="176">
        <v>0.0</v>
      </c>
      <c r="S282" s="176">
        <v>3.0</v>
      </c>
      <c r="T282" s="176">
        <v>0.0</v>
      </c>
      <c r="U282" s="176">
        <v>0.0</v>
      </c>
      <c r="V282" s="176">
        <v>0.0</v>
      </c>
      <c r="W282" s="176">
        <v>0.0</v>
      </c>
      <c r="X282" s="176">
        <v>2.0</v>
      </c>
      <c r="Y282" s="176">
        <v>0.0</v>
      </c>
      <c r="Z282" s="176">
        <v>0.0</v>
      </c>
      <c r="AA282" s="176">
        <v>0.0</v>
      </c>
      <c r="AB282" s="176">
        <v>0.0</v>
      </c>
      <c r="AC282" s="176">
        <v>2.0</v>
      </c>
      <c r="AD282" s="176">
        <v>3.0</v>
      </c>
      <c r="AE282" s="176">
        <v>2.0</v>
      </c>
      <c r="AF282" s="176">
        <v>1.0</v>
      </c>
      <c r="AG282" s="143">
        <f t="shared" si="91"/>
        <v>28</v>
      </c>
    </row>
    <row r="283" outlineLevel="1">
      <c r="A283" s="216" t="s">
        <v>274</v>
      </c>
      <c r="B283" s="176">
        <v>0.0</v>
      </c>
      <c r="C283" s="176">
        <v>0.0</v>
      </c>
      <c r="D283" s="176">
        <v>2.0</v>
      </c>
      <c r="E283" s="176">
        <v>1.0</v>
      </c>
      <c r="F283" s="176">
        <v>2.0</v>
      </c>
      <c r="G283" s="176">
        <v>0.0</v>
      </c>
      <c r="H283" s="176">
        <v>0.0</v>
      </c>
      <c r="I283" s="176">
        <v>4.0</v>
      </c>
      <c r="J283" s="176">
        <v>0.0</v>
      </c>
      <c r="K283" s="176">
        <v>0.0</v>
      </c>
      <c r="L283" s="176">
        <v>3.0</v>
      </c>
      <c r="M283" s="176">
        <v>0.0</v>
      </c>
      <c r="N283" s="176">
        <v>0.0</v>
      </c>
      <c r="O283" s="176">
        <v>0.0</v>
      </c>
      <c r="P283" s="176">
        <v>6.0</v>
      </c>
      <c r="Q283" s="176">
        <v>0.0</v>
      </c>
      <c r="R283" s="176">
        <v>0.0</v>
      </c>
      <c r="S283" s="176">
        <v>0.0</v>
      </c>
      <c r="T283" s="176">
        <v>0.0</v>
      </c>
      <c r="U283" s="176">
        <v>0.0</v>
      </c>
      <c r="V283" s="176">
        <v>0.0</v>
      </c>
      <c r="W283" s="176">
        <v>0.0</v>
      </c>
      <c r="X283" s="176">
        <v>3.0</v>
      </c>
      <c r="Y283" s="176">
        <v>0.0</v>
      </c>
      <c r="Z283" s="176">
        <v>0.0</v>
      </c>
      <c r="AA283" s="176">
        <v>0.0</v>
      </c>
      <c r="AB283" s="176">
        <v>0.0</v>
      </c>
      <c r="AC283" s="176">
        <v>3.0</v>
      </c>
      <c r="AD283" s="176">
        <v>1.0</v>
      </c>
      <c r="AE283" s="176">
        <v>2.0</v>
      </c>
      <c r="AF283" s="176">
        <v>1.0</v>
      </c>
      <c r="AG283" s="143">
        <f t="shared" si="91"/>
        <v>28</v>
      </c>
    </row>
    <row r="284" outlineLevel="1">
      <c r="A284" s="216" t="s">
        <v>275</v>
      </c>
      <c r="B284" s="176">
        <v>0.0</v>
      </c>
      <c r="C284" s="176">
        <v>1.0</v>
      </c>
      <c r="D284" s="176">
        <v>3.0</v>
      </c>
      <c r="E284" s="176">
        <v>1.0</v>
      </c>
      <c r="F284" s="176">
        <v>1.0</v>
      </c>
      <c r="G284" s="176">
        <v>0.0</v>
      </c>
      <c r="H284" s="176">
        <v>0.0</v>
      </c>
      <c r="I284" s="176">
        <v>2.0</v>
      </c>
      <c r="J284" s="176">
        <v>0.0</v>
      </c>
      <c r="K284" s="176">
        <v>2.0</v>
      </c>
      <c r="L284" s="176">
        <v>2.0</v>
      </c>
      <c r="M284" s="176">
        <v>2.0</v>
      </c>
      <c r="N284" s="176">
        <v>0.0</v>
      </c>
      <c r="O284" s="176">
        <v>0.0</v>
      </c>
      <c r="P284" s="176">
        <v>3.0</v>
      </c>
      <c r="Q284" s="176">
        <v>2.0</v>
      </c>
      <c r="R284" s="176">
        <v>0.0</v>
      </c>
      <c r="S284" s="176">
        <v>0.0</v>
      </c>
      <c r="T284" s="176">
        <v>0.0</v>
      </c>
      <c r="U284" s="176">
        <v>0.0</v>
      </c>
      <c r="V284" s="176">
        <v>0.0</v>
      </c>
      <c r="W284" s="176">
        <v>0.0</v>
      </c>
      <c r="X284" s="176">
        <v>0.0</v>
      </c>
      <c r="Y284" s="176">
        <v>1.0</v>
      </c>
      <c r="Z284" s="176">
        <v>1.0</v>
      </c>
      <c r="AA284" s="176">
        <v>0.0</v>
      </c>
      <c r="AB284" s="176">
        <v>0.0</v>
      </c>
      <c r="AC284" s="176">
        <v>0.0</v>
      </c>
      <c r="AD284" s="176">
        <v>3.0</v>
      </c>
      <c r="AE284" s="176">
        <v>1.0</v>
      </c>
      <c r="AF284" s="176">
        <v>0.0</v>
      </c>
      <c r="AG284" s="143">
        <f t="shared" si="91"/>
        <v>25</v>
      </c>
    </row>
    <row r="285" outlineLevel="1">
      <c r="A285" s="216" t="s">
        <v>276</v>
      </c>
      <c r="B285" s="176">
        <v>0.0</v>
      </c>
      <c r="C285" s="176">
        <v>0.0</v>
      </c>
      <c r="D285" s="176">
        <v>1.0</v>
      </c>
      <c r="E285" s="176">
        <v>0.0</v>
      </c>
      <c r="F285" s="176">
        <v>1.0</v>
      </c>
      <c r="G285" s="176">
        <v>0.0</v>
      </c>
      <c r="H285" s="176">
        <v>0.0</v>
      </c>
      <c r="I285" s="176">
        <v>2.0</v>
      </c>
      <c r="J285" s="176">
        <v>0.0</v>
      </c>
      <c r="K285" s="176">
        <v>0.0</v>
      </c>
      <c r="L285" s="176">
        <v>0.0</v>
      </c>
      <c r="M285" s="176">
        <v>0.0</v>
      </c>
      <c r="N285" s="176">
        <v>0.0</v>
      </c>
      <c r="O285" s="176">
        <v>0.0</v>
      </c>
      <c r="P285" s="176">
        <v>0.0</v>
      </c>
      <c r="Q285" s="176">
        <v>0.0</v>
      </c>
      <c r="R285" s="176">
        <v>0.0</v>
      </c>
      <c r="S285" s="176">
        <v>0.0</v>
      </c>
      <c r="T285" s="176">
        <v>0.0</v>
      </c>
      <c r="U285" s="176">
        <v>0.0</v>
      </c>
      <c r="V285" s="176">
        <v>0.0</v>
      </c>
      <c r="W285" s="176">
        <v>0.0</v>
      </c>
      <c r="X285" s="176">
        <v>0.0</v>
      </c>
      <c r="Y285" s="176">
        <v>0.0</v>
      </c>
      <c r="Z285" s="176">
        <v>0.0</v>
      </c>
      <c r="AA285" s="176">
        <v>0.0</v>
      </c>
      <c r="AB285" s="176">
        <v>0.0</v>
      </c>
      <c r="AC285" s="176">
        <v>0.0</v>
      </c>
      <c r="AD285" s="176">
        <v>0.0</v>
      </c>
      <c r="AE285" s="176">
        <v>0.0</v>
      </c>
      <c r="AF285" s="176">
        <v>0.0</v>
      </c>
      <c r="AG285" s="143">
        <f t="shared" si="91"/>
        <v>4</v>
      </c>
    </row>
    <row r="286" outlineLevel="1">
      <c r="A286" s="216" t="s">
        <v>277</v>
      </c>
      <c r="B286" s="176">
        <v>0.0</v>
      </c>
      <c r="C286" s="176">
        <v>0.0</v>
      </c>
      <c r="D286" s="176">
        <v>4.0</v>
      </c>
      <c r="E286" s="176">
        <v>5.0</v>
      </c>
      <c r="F286" s="176">
        <v>9.0</v>
      </c>
      <c r="G286" s="176">
        <v>0.0</v>
      </c>
      <c r="H286" s="176">
        <v>0.0</v>
      </c>
      <c r="I286" s="176">
        <v>3.0</v>
      </c>
      <c r="J286" s="176">
        <v>2.0</v>
      </c>
      <c r="K286" s="176">
        <v>3.0</v>
      </c>
      <c r="L286" s="176">
        <v>4.0</v>
      </c>
      <c r="M286" s="176">
        <v>1.0</v>
      </c>
      <c r="N286" s="176">
        <v>0.0</v>
      </c>
      <c r="O286" s="176">
        <v>0.0</v>
      </c>
      <c r="P286" s="176">
        <v>4.0</v>
      </c>
      <c r="Q286" s="176">
        <v>3.0</v>
      </c>
      <c r="R286" s="176">
        <v>3.0</v>
      </c>
      <c r="S286" s="176">
        <v>2.0</v>
      </c>
      <c r="T286" s="176">
        <v>2.0</v>
      </c>
      <c r="U286" s="176">
        <v>0.0</v>
      </c>
      <c r="V286" s="176">
        <v>0.0</v>
      </c>
      <c r="W286" s="176">
        <v>1.0</v>
      </c>
      <c r="X286" s="176">
        <v>2.0</v>
      </c>
      <c r="Y286" s="176">
        <v>0.0</v>
      </c>
      <c r="Z286" s="176">
        <v>0.0</v>
      </c>
      <c r="AA286" s="176">
        <v>0.0</v>
      </c>
      <c r="AB286" s="176">
        <v>2.0</v>
      </c>
      <c r="AC286" s="176">
        <v>2.0</v>
      </c>
      <c r="AD286" s="176">
        <v>5.0</v>
      </c>
      <c r="AE286" s="176">
        <v>5.0</v>
      </c>
      <c r="AF286" s="176">
        <v>5.0</v>
      </c>
      <c r="AG286" s="143">
        <f t="shared" si="91"/>
        <v>67</v>
      </c>
    </row>
    <row r="287" outlineLevel="1">
      <c r="A287" s="216" t="s">
        <v>278</v>
      </c>
      <c r="B287" s="176">
        <v>2.0</v>
      </c>
      <c r="C287" s="176">
        <v>1.0</v>
      </c>
      <c r="D287" s="176">
        <v>1.0</v>
      </c>
      <c r="E287" s="176">
        <v>0.0</v>
      </c>
      <c r="F287" s="176">
        <v>2.0</v>
      </c>
      <c r="G287" s="176">
        <v>0.0</v>
      </c>
      <c r="H287" s="176">
        <v>0.0</v>
      </c>
      <c r="I287" s="176">
        <v>4.0</v>
      </c>
      <c r="J287" s="176">
        <v>1.0</v>
      </c>
      <c r="K287" s="176">
        <v>2.0</v>
      </c>
      <c r="L287" s="176">
        <v>1.0</v>
      </c>
      <c r="M287" s="176">
        <v>2.0</v>
      </c>
      <c r="N287" s="176">
        <v>0.0</v>
      </c>
      <c r="O287" s="176">
        <v>0.0</v>
      </c>
      <c r="P287" s="176">
        <v>6.0</v>
      </c>
      <c r="Q287" s="176">
        <v>1.0</v>
      </c>
      <c r="R287" s="176">
        <v>0.0</v>
      </c>
      <c r="S287" s="176">
        <v>2.0</v>
      </c>
      <c r="T287" s="176">
        <v>0.0</v>
      </c>
      <c r="U287" s="176">
        <v>0.0</v>
      </c>
      <c r="V287" s="176">
        <v>0.0</v>
      </c>
      <c r="W287" s="176">
        <v>1.0</v>
      </c>
      <c r="X287" s="176">
        <v>1.0</v>
      </c>
      <c r="Y287" s="176">
        <v>0.0</v>
      </c>
      <c r="Z287" s="176">
        <v>0.0</v>
      </c>
      <c r="AA287" s="176">
        <v>0.0</v>
      </c>
      <c r="AB287" s="176">
        <v>0.0</v>
      </c>
      <c r="AC287" s="176">
        <v>3.0</v>
      </c>
      <c r="AD287" s="176">
        <v>1.0</v>
      </c>
      <c r="AE287" s="176">
        <v>1.0</v>
      </c>
      <c r="AF287" s="176">
        <v>0.0</v>
      </c>
      <c r="AG287" s="143">
        <f t="shared" si="91"/>
        <v>32</v>
      </c>
    </row>
    <row r="288">
      <c r="A288" s="220" t="s">
        <v>130</v>
      </c>
      <c r="B288" s="219">
        <f t="shared" ref="B288:AF288" si="92">SUM(B280:B287)</f>
        <v>3</v>
      </c>
      <c r="C288" s="219">
        <f t="shared" si="92"/>
        <v>2</v>
      </c>
      <c r="D288" s="219">
        <f t="shared" si="92"/>
        <v>33</v>
      </c>
      <c r="E288" s="219">
        <f t="shared" si="92"/>
        <v>23</v>
      </c>
      <c r="F288" s="219">
        <f t="shared" si="92"/>
        <v>46</v>
      </c>
      <c r="G288" s="219">
        <f t="shared" si="92"/>
        <v>1</v>
      </c>
      <c r="H288" s="219">
        <f t="shared" si="92"/>
        <v>2</v>
      </c>
      <c r="I288" s="219">
        <f t="shared" si="92"/>
        <v>35</v>
      </c>
      <c r="J288" s="219">
        <f t="shared" si="92"/>
        <v>7</v>
      </c>
      <c r="K288" s="219">
        <f t="shared" si="92"/>
        <v>13</v>
      </c>
      <c r="L288" s="219">
        <f t="shared" si="92"/>
        <v>31</v>
      </c>
      <c r="M288" s="219">
        <f t="shared" si="92"/>
        <v>8</v>
      </c>
      <c r="N288" s="219">
        <f t="shared" si="92"/>
        <v>2</v>
      </c>
      <c r="O288" s="219">
        <f t="shared" si="92"/>
        <v>1</v>
      </c>
      <c r="P288" s="219">
        <f t="shared" si="92"/>
        <v>47</v>
      </c>
      <c r="Q288" s="219">
        <f t="shared" si="92"/>
        <v>21</v>
      </c>
      <c r="R288" s="219">
        <f t="shared" si="92"/>
        <v>13</v>
      </c>
      <c r="S288" s="219">
        <f t="shared" si="92"/>
        <v>10</v>
      </c>
      <c r="T288" s="219">
        <f t="shared" si="92"/>
        <v>5</v>
      </c>
      <c r="U288" s="219">
        <f t="shared" si="92"/>
        <v>3</v>
      </c>
      <c r="V288" s="219">
        <f t="shared" si="92"/>
        <v>2</v>
      </c>
      <c r="W288" s="219">
        <f t="shared" si="92"/>
        <v>10</v>
      </c>
      <c r="X288" s="219">
        <f t="shared" si="92"/>
        <v>26</v>
      </c>
      <c r="Y288" s="219">
        <f t="shared" si="92"/>
        <v>5</v>
      </c>
      <c r="Z288" s="219">
        <f t="shared" si="92"/>
        <v>2</v>
      </c>
      <c r="AA288" s="219">
        <f t="shared" si="92"/>
        <v>0</v>
      </c>
      <c r="AB288" s="219">
        <f t="shared" si="92"/>
        <v>9</v>
      </c>
      <c r="AC288" s="219">
        <f t="shared" si="92"/>
        <v>33</v>
      </c>
      <c r="AD288" s="219">
        <f t="shared" si="92"/>
        <v>25</v>
      </c>
      <c r="AE288" s="219">
        <f t="shared" si="92"/>
        <v>25</v>
      </c>
      <c r="AF288" s="219">
        <f t="shared" si="92"/>
        <v>20</v>
      </c>
      <c r="AG288" s="143">
        <f t="shared" si="91"/>
        <v>463</v>
      </c>
    </row>
    <row r="289">
      <c r="A289" s="98"/>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64" t="s">
        <v>91</v>
      </c>
      <c r="AA289" s="187"/>
      <c r="AB289" s="187"/>
      <c r="AC289" s="187"/>
      <c r="AD289" s="187"/>
      <c r="AE289" s="187"/>
      <c r="AF289" s="187"/>
      <c r="AG289" s="209"/>
    </row>
    <row r="290">
      <c r="A290" s="216" t="s">
        <v>250</v>
      </c>
      <c r="B290" s="226"/>
      <c r="C290" s="226"/>
      <c r="D290" s="226"/>
      <c r="E290" s="226"/>
      <c r="F290" s="226"/>
      <c r="G290" s="226"/>
      <c r="H290" s="226"/>
      <c r="I290" s="226"/>
      <c r="J290" s="226"/>
      <c r="K290" s="226"/>
      <c r="L290" s="226"/>
      <c r="M290" s="226"/>
      <c r="N290" s="226"/>
      <c r="O290" s="226"/>
      <c r="P290" s="226"/>
      <c r="Q290" s="226"/>
      <c r="R290" s="226"/>
      <c r="S290" s="226"/>
      <c r="T290" s="226"/>
      <c r="U290" s="226"/>
      <c r="V290" s="226"/>
      <c r="W290" s="226"/>
      <c r="X290" s="226"/>
      <c r="Y290" s="226"/>
      <c r="Z290" s="226"/>
      <c r="AA290" s="226"/>
      <c r="AB290" s="226"/>
      <c r="AC290" s="226"/>
      <c r="AD290" s="226"/>
      <c r="AE290" s="226"/>
      <c r="AF290" s="226"/>
      <c r="AG290" s="143"/>
    </row>
    <row r="291" outlineLevel="1">
      <c r="A291" s="216" t="s">
        <v>197</v>
      </c>
      <c r="B291" s="176">
        <v>0.0</v>
      </c>
      <c r="C291" s="176">
        <v>0.0</v>
      </c>
      <c r="D291" s="176">
        <v>0.0</v>
      </c>
      <c r="E291" s="176">
        <v>0.0</v>
      </c>
      <c r="F291" s="176">
        <v>0.0</v>
      </c>
      <c r="G291" s="176">
        <v>0.0</v>
      </c>
      <c r="H291" s="176">
        <v>0.0</v>
      </c>
      <c r="I291" s="176">
        <v>1.0</v>
      </c>
      <c r="J291" s="176">
        <v>1.0</v>
      </c>
      <c r="K291" s="176"/>
      <c r="L291" s="176">
        <v>0.0</v>
      </c>
      <c r="M291" s="176">
        <v>0.0</v>
      </c>
      <c r="N291" s="176">
        <v>0.0</v>
      </c>
      <c r="O291" s="176">
        <v>0.0</v>
      </c>
      <c r="P291" s="176">
        <v>0.0</v>
      </c>
      <c r="Q291" s="176">
        <v>2.0</v>
      </c>
      <c r="R291" s="176">
        <v>0.0</v>
      </c>
      <c r="S291" s="176">
        <v>0.0</v>
      </c>
      <c r="T291" s="176">
        <v>0.0</v>
      </c>
      <c r="U291" s="176">
        <v>1.0</v>
      </c>
      <c r="V291" s="176">
        <v>0.0</v>
      </c>
      <c r="W291" s="176">
        <v>0.0</v>
      </c>
      <c r="X291" s="176">
        <v>0.0</v>
      </c>
      <c r="Y291" s="176">
        <v>0.0</v>
      </c>
      <c r="Z291" s="176">
        <v>0.0</v>
      </c>
      <c r="AA291" s="176">
        <v>0.0</v>
      </c>
      <c r="AB291" s="176">
        <v>0.0</v>
      </c>
      <c r="AC291" s="176">
        <v>0.0</v>
      </c>
      <c r="AD291" s="176">
        <v>0.0</v>
      </c>
      <c r="AE291" s="176">
        <v>1.0</v>
      </c>
      <c r="AF291" s="176">
        <v>0.0</v>
      </c>
      <c r="AG291" s="143">
        <f t="shared" ref="AG291:AG299" si="93">SUM(B291:AF291)</f>
        <v>6</v>
      </c>
    </row>
    <row r="292" outlineLevel="1">
      <c r="A292" s="216" t="s">
        <v>198</v>
      </c>
      <c r="B292" s="176">
        <v>0.0</v>
      </c>
      <c r="C292" s="176">
        <v>0.0</v>
      </c>
      <c r="D292" s="176">
        <v>0.0</v>
      </c>
      <c r="E292" s="176">
        <v>0.0</v>
      </c>
      <c r="F292" s="176">
        <v>0.0</v>
      </c>
      <c r="G292" s="176">
        <v>0.0</v>
      </c>
      <c r="H292" s="176">
        <v>0.0</v>
      </c>
      <c r="I292" s="164">
        <v>1.0</v>
      </c>
      <c r="J292" s="176">
        <v>0.0</v>
      </c>
      <c r="K292" s="176"/>
      <c r="L292" s="176">
        <v>0.0</v>
      </c>
      <c r="M292" s="176">
        <v>0.0</v>
      </c>
      <c r="N292" s="176">
        <v>0.0</v>
      </c>
      <c r="O292" s="176">
        <v>0.0</v>
      </c>
      <c r="P292" s="176">
        <v>0.0</v>
      </c>
      <c r="Q292" s="176">
        <v>2.0</v>
      </c>
      <c r="R292" s="176">
        <v>0.0</v>
      </c>
      <c r="S292" s="176">
        <v>0.0</v>
      </c>
      <c r="T292" s="176">
        <v>0.0</v>
      </c>
      <c r="U292" s="176">
        <v>2.0</v>
      </c>
      <c r="V292" s="176">
        <v>0.0</v>
      </c>
      <c r="W292" s="176">
        <v>0.0</v>
      </c>
      <c r="X292" s="176">
        <v>0.0</v>
      </c>
      <c r="Y292" s="176">
        <v>0.0</v>
      </c>
      <c r="Z292" s="176">
        <v>0.0</v>
      </c>
      <c r="AA292" s="176">
        <v>0.0</v>
      </c>
      <c r="AB292" s="176">
        <v>0.0</v>
      </c>
      <c r="AC292" s="176">
        <v>0.0</v>
      </c>
      <c r="AD292" s="176">
        <v>0.0</v>
      </c>
      <c r="AE292" s="176">
        <v>0.0</v>
      </c>
      <c r="AF292" s="176">
        <v>0.0</v>
      </c>
      <c r="AG292" s="143">
        <f t="shared" si="93"/>
        <v>5</v>
      </c>
    </row>
    <row r="293" outlineLevel="1">
      <c r="A293" s="216" t="s">
        <v>279</v>
      </c>
      <c r="B293" s="176">
        <v>0.0</v>
      </c>
      <c r="C293" s="176">
        <v>0.0</v>
      </c>
      <c r="D293" s="176">
        <v>0.0</v>
      </c>
      <c r="E293" s="176">
        <v>0.0</v>
      </c>
      <c r="F293" s="176">
        <v>0.0</v>
      </c>
      <c r="G293" s="176">
        <v>0.0</v>
      </c>
      <c r="H293" s="176">
        <v>0.0</v>
      </c>
      <c r="I293" s="176">
        <v>0.0</v>
      </c>
      <c r="J293" s="176">
        <v>0.0</v>
      </c>
      <c r="K293" s="176"/>
      <c r="L293" s="176">
        <v>0.0</v>
      </c>
      <c r="M293" s="176">
        <v>0.0</v>
      </c>
      <c r="N293" s="176">
        <v>0.0</v>
      </c>
      <c r="O293" s="176">
        <v>0.0</v>
      </c>
      <c r="P293" s="176">
        <v>0.0</v>
      </c>
      <c r="Q293" s="176">
        <v>0.0</v>
      </c>
      <c r="R293" s="176">
        <v>0.0</v>
      </c>
      <c r="S293" s="176">
        <v>0.0</v>
      </c>
      <c r="T293" s="176">
        <v>0.0</v>
      </c>
      <c r="U293" s="176">
        <v>1.0</v>
      </c>
      <c r="V293" s="176">
        <v>0.0</v>
      </c>
      <c r="W293" s="176">
        <v>0.0</v>
      </c>
      <c r="X293" s="176">
        <v>0.0</v>
      </c>
      <c r="Y293" s="176">
        <v>0.0</v>
      </c>
      <c r="Z293" s="176">
        <v>0.0</v>
      </c>
      <c r="AA293" s="176">
        <v>0.0</v>
      </c>
      <c r="AB293" s="176">
        <v>0.0</v>
      </c>
      <c r="AC293" s="176">
        <v>0.0</v>
      </c>
      <c r="AD293" s="176">
        <v>0.0</v>
      </c>
      <c r="AE293" s="176">
        <v>0.0</v>
      </c>
      <c r="AF293" s="176">
        <v>0.0</v>
      </c>
      <c r="AG293" s="143">
        <f t="shared" si="93"/>
        <v>1</v>
      </c>
    </row>
    <row r="294" outlineLevel="1">
      <c r="A294" s="216" t="s">
        <v>280</v>
      </c>
      <c r="B294" s="176">
        <v>0.0</v>
      </c>
      <c r="C294" s="176">
        <v>0.0</v>
      </c>
      <c r="D294" s="176">
        <v>0.0</v>
      </c>
      <c r="E294" s="176">
        <v>0.0</v>
      </c>
      <c r="F294" s="176">
        <v>0.0</v>
      </c>
      <c r="G294" s="176">
        <v>0.0</v>
      </c>
      <c r="H294" s="176">
        <v>0.0</v>
      </c>
      <c r="I294" s="176">
        <v>0.0</v>
      </c>
      <c r="J294" s="176">
        <v>0.0</v>
      </c>
      <c r="K294" s="176"/>
      <c r="L294" s="176">
        <v>0.0</v>
      </c>
      <c r="M294" s="176">
        <v>0.0</v>
      </c>
      <c r="N294" s="176">
        <v>0.0</v>
      </c>
      <c r="O294" s="176">
        <v>0.0</v>
      </c>
      <c r="P294" s="176">
        <v>0.0</v>
      </c>
      <c r="Q294" s="176">
        <v>2.0</v>
      </c>
      <c r="R294" s="176">
        <v>0.0</v>
      </c>
      <c r="S294" s="176">
        <v>0.0</v>
      </c>
      <c r="T294" s="176">
        <v>0.0</v>
      </c>
      <c r="U294" s="176">
        <v>0.0</v>
      </c>
      <c r="V294" s="176">
        <v>0.0</v>
      </c>
      <c r="W294" s="176">
        <v>0.0</v>
      </c>
      <c r="X294" s="176">
        <v>0.0</v>
      </c>
      <c r="Y294" s="176">
        <v>0.0</v>
      </c>
      <c r="Z294" s="176">
        <v>0.0</v>
      </c>
      <c r="AA294" s="176">
        <v>0.0</v>
      </c>
      <c r="AB294" s="176">
        <v>0.0</v>
      </c>
      <c r="AC294" s="176">
        <v>0.0</v>
      </c>
      <c r="AD294" s="176">
        <v>0.0</v>
      </c>
      <c r="AE294" s="176">
        <v>0.0</v>
      </c>
      <c r="AF294" s="176">
        <v>0.0</v>
      </c>
      <c r="AG294" s="143">
        <f t="shared" si="93"/>
        <v>2</v>
      </c>
    </row>
    <row r="295" outlineLevel="1">
      <c r="A295" s="216" t="s">
        <v>281</v>
      </c>
      <c r="B295" s="176">
        <v>0.0</v>
      </c>
      <c r="C295" s="176">
        <v>0.0</v>
      </c>
      <c r="D295" s="176">
        <v>0.0</v>
      </c>
      <c r="E295" s="176">
        <v>0.0</v>
      </c>
      <c r="F295" s="176">
        <v>0.0</v>
      </c>
      <c r="G295" s="176">
        <v>0.0</v>
      </c>
      <c r="H295" s="176">
        <v>0.0</v>
      </c>
      <c r="I295" s="176">
        <v>0.0</v>
      </c>
      <c r="J295" s="176">
        <v>0.0</v>
      </c>
      <c r="K295" s="176"/>
      <c r="L295" s="176">
        <v>0.0</v>
      </c>
      <c r="M295" s="176">
        <v>0.0</v>
      </c>
      <c r="N295" s="176">
        <v>0.0</v>
      </c>
      <c r="O295" s="176">
        <v>0.0</v>
      </c>
      <c r="P295" s="176">
        <v>0.0</v>
      </c>
      <c r="Q295" s="176">
        <v>0.0</v>
      </c>
      <c r="R295" s="176">
        <v>0.0</v>
      </c>
      <c r="S295" s="176">
        <v>0.0</v>
      </c>
      <c r="T295" s="176">
        <v>0.0</v>
      </c>
      <c r="U295" s="176">
        <v>0.0</v>
      </c>
      <c r="V295" s="176">
        <v>0.0</v>
      </c>
      <c r="W295" s="176">
        <v>0.0</v>
      </c>
      <c r="X295" s="176">
        <v>0.0</v>
      </c>
      <c r="Y295" s="176">
        <v>0.0</v>
      </c>
      <c r="Z295" s="176">
        <v>0.0</v>
      </c>
      <c r="AA295" s="176">
        <v>0.0</v>
      </c>
      <c r="AB295" s="176">
        <v>0.0</v>
      </c>
      <c r="AC295" s="176">
        <v>0.0</v>
      </c>
      <c r="AD295" s="176">
        <v>0.0</v>
      </c>
      <c r="AE295" s="176">
        <v>0.0</v>
      </c>
      <c r="AF295" s="176">
        <v>0.0</v>
      </c>
      <c r="AG295" s="143">
        <f t="shared" si="93"/>
        <v>0</v>
      </c>
    </row>
    <row r="296" outlineLevel="1">
      <c r="A296" s="216" t="s">
        <v>282</v>
      </c>
      <c r="B296" s="176">
        <v>0.0</v>
      </c>
      <c r="C296" s="176">
        <v>0.0</v>
      </c>
      <c r="D296" s="176">
        <v>0.0</v>
      </c>
      <c r="E296" s="176">
        <v>0.0</v>
      </c>
      <c r="F296" s="176">
        <v>0.0</v>
      </c>
      <c r="G296" s="176">
        <v>0.0</v>
      </c>
      <c r="H296" s="176">
        <v>0.0</v>
      </c>
      <c r="I296" s="176">
        <v>0.0</v>
      </c>
      <c r="J296" s="176">
        <v>0.0</v>
      </c>
      <c r="K296" s="176"/>
      <c r="L296" s="176">
        <v>0.0</v>
      </c>
      <c r="M296" s="176">
        <v>0.0</v>
      </c>
      <c r="N296" s="176">
        <v>0.0</v>
      </c>
      <c r="O296" s="176">
        <v>0.0</v>
      </c>
      <c r="P296" s="176">
        <v>0.0</v>
      </c>
      <c r="Q296" s="176">
        <v>0.0</v>
      </c>
      <c r="R296" s="176">
        <v>0.0</v>
      </c>
      <c r="S296" s="176">
        <v>0.0</v>
      </c>
      <c r="T296" s="176">
        <v>0.0</v>
      </c>
      <c r="U296" s="176">
        <v>0.0</v>
      </c>
      <c r="V296" s="176">
        <v>0.0</v>
      </c>
      <c r="W296" s="176">
        <v>0.0</v>
      </c>
      <c r="X296" s="176">
        <v>0.0</v>
      </c>
      <c r="Y296" s="176">
        <v>0.0</v>
      </c>
      <c r="Z296" s="176">
        <v>0.0</v>
      </c>
      <c r="AA296" s="176">
        <v>0.0</v>
      </c>
      <c r="AB296" s="176">
        <v>0.0</v>
      </c>
      <c r="AC296" s="176">
        <v>0.0</v>
      </c>
      <c r="AD296" s="176">
        <v>0.0</v>
      </c>
      <c r="AE296" s="176">
        <v>0.0</v>
      </c>
      <c r="AF296" s="176">
        <v>0.0</v>
      </c>
      <c r="AG296" s="143">
        <f t="shared" si="93"/>
        <v>0</v>
      </c>
    </row>
    <row r="297" outlineLevel="1">
      <c r="A297" s="216" t="s">
        <v>283</v>
      </c>
      <c r="B297" s="176">
        <v>0.0</v>
      </c>
      <c r="C297" s="176">
        <v>0.0</v>
      </c>
      <c r="D297" s="176">
        <v>0.0</v>
      </c>
      <c r="E297" s="176">
        <v>0.0</v>
      </c>
      <c r="F297" s="176">
        <v>0.0</v>
      </c>
      <c r="G297" s="176">
        <v>0.0</v>
      </c>
      <c r="H297" s="176">
        <v>0.0</v>
      </c>
      <c r="I297" s="176">
        <v>0.0</v>
      </c>
      <c r="J297" s="176">
        <v>0.0</v>
      </c>
      <c r="K297" s="176"/>
      <c r="L297" s="176">
        <v>0.0</v>
      </c>
      <c r="M297" s="176">
        <v>0.0</v>
      </c>
      <c r="N297" s="176">
        <v>0.0</v>
      </c>
      <c r="O297" s="176">
        <v>0.0</v>
      </c>
      <c r="P297" s="176">
        <v>0.0</v>
      </c>
      <c r="Q297" s="176">
        <v>0.0</v>
      </c>
      <c r="R297" s="176">
        <v>0.0</v>
      </c>
      <c r="S297" s="176">
        <v>0.0</v>
      </c>
      <c r="T297" s="176">
        <v>0.0</v>
      </c>
      <c r="U297" s="176">
        <v>1.0</v>
      </c>
      <c r="V297" s="176">
        <v>0.0</v>
      </c>
      <c r="W297" s="176">
        <v>0.0</v>
      </c>
      <c r="X297" s="176">
        <v>0.0</v>
      </c>
      <c r="Y297" s="176">
        <v>0.0</v>
      </c>
      <c r="Z297" s="176">
        <v>0.0</v>
      </c>
      <c r="AA297" s="176">
        <v>0.0</v>
      </c>
      <c r="AB297" s="176">
        <v>0.0</v>
      </c>
      <c r="AC297" s="176">
        <v>0.0</v>
      </c>
      <c r="AD297" s="176">
        <v>0.0</v>
      </c>
      <c r="AE297" s="176">
        <v>0.0</v>
      </c>
      <c r="AF297" s="176">
        <v>0.0</v>
      </c>
      <c r="AG297" s="143">
        <f t="shared" si="93"/>
        <v>1</v>
      </c>
    </row>
    <row r="298" outlineLevel="1">
      <c r="A298" s="216" t="s">
        <v>284</v>
      </c>
      <c r="B298" s="176">
        <v>0.0</v>
      </c>
      <c r="C298" s="176">
        <v>0.0</v>
      </c>
      <c r="D298" s="176">
        <v>0.0</v>
      </c>
      <c r="E298" s="176">
        <v>0.0</v>
      </c>
      <c r="F298" s="176">
        <v>0.0</v>
      </c>
      <c r="G298" s="176">
        <v>0.0</v>
      </c>
      <c r="H298" s="176">
        <v>0.0</v>
      </c>
      <c r="I298" s="176">
        <v>0.0</v>
      </c>
      <c r="J298" s="176">
        <v>0.0</v>
      </c>
      <c r="K298" s="176"/>
      <c r="L298" s="176">
        <v>0.0</v>
      </c>
      <c r="M298" s="176">
        <v>0.0</v>
      </c>
      <c r="N298" s="176">
        <v>0.0</v>
      </c>
      <c r="O298" s="176">
        <v>0.0</v>
      </c>
      <c r="P298" s="176">
        <v>0.0</v>
      </c>
      <c r="Q298" s="176">
        <v>0.0</v>
      </c>
      <c r="R298" s="176">
        <v>0.0</v>
      </c>
      <c r="S298" s="176">
        <v>0.0</v>
      </c>
      <c r="T298" s="176">
        <v>0.0</v>
      </c>
      <c r="U298" s="176">
        <v>0.0</v>
      </c>
      <c r="V298" s="176">
        <v>0.0</v>
      </c>
      <c r="W298" s="176">
        <v>0.0</v>
      </c>
      <c r="X298" s="176">
        <v>0.0</v>
      </c>
      <c r="Y298" s="176">
        <v>0.0</v>
      </c>
      <c r="Z298" s="176">
        <v>0.0</v>
      </c>
      <c r="AA298" s="176">
        <v>0.0</v>
      </c>
      <c r="AB298" s="176">
        <v>0.0</v>
      </c>
      <c r="AC298" s="176">
        <v>0.0</v>
      </c>
      <c r="AD298" s="176">
        <v>0.0</v>
      </c>
      <c r="AE298" s="176">
        <v>0.0</v>
      </c>
      <c r="AF298" s="176">
        <v>0.0</v>
      </c>
      <c r="AG298" s="143">
        <f t="shared" si="93"/>
        <v>0</v>
      </c>
    </row>
    <row r="299">
      <c r="A299" s="220" t="s">
        <v>130</v>
      </c>
      <c r="B299" s="219">
        <f t="shared" ref="B299:AF299" si="94">SUM(B291:B298)</f>
        <v>0</v>
      </c>
      <c r="C299" s="219">
        <f t="shared" si="94"/>
        <v>0</v>
      </c>
      <c r="D299" s="219">
        <f t="shared" si="94"/>
        <v>0</v>
      </c>
      <c r="E299" s="219">
        <f t="shared" si="94"/>
        <v>0</v>
      </c>
      <c r="F299" s="219">
        <f t="shared" si="94"/>
        <v>0</v>
      </c>
      <c r="G299" s="219">
        <f t="shared" si="94"/>
        <v>0</v>
      </c>
      <c r="H299" s="219">
        <f t="shared" si="94"/>
        <v>0</v>
      </c>
      <c r="I299" s="219">
        <f t="shared" si="94"/>
        <v>2</v>
      </c>
      <c r="J299" s="219">
        <f t="shared" si="94"/>
        <v>1</v>
      </c>
      <c r="K299" s="219">
        <f t="shared" si="94"/>
        <v>0</v>
      </c>
      <c r="L299" s="219">
        <f t="shared" si="94"/>
        <v>0</v>
      </c>
      <c r="M299" s="219">
        <f t="shared" si="94"/>
        <v>0</v>
      </c>
      <c r="N299" s="219">
        <f t="shared" si="94"/>
        <v>0</v>
      </c>
      <c r="O299" s="219">
        <f t="shared" si="94"/>
        <v>0</v>
      </c>
      <c r="P299" s="219">
        <f t="shared" si="94"/>
        <v>0</v>
      </c>
      <c r="Q299" s="219">
        <f t="shared" si="94"/>
        <v>6</v>
      </c>
      <c r="R299" s="219">
        <f t="shared" si="94"/>
        <v>0</v>
      </c>
      <c r="S299" s="219">
        <f t="shared" si="94"/>
        <v>0</v>
      </c>
      <c r="T299" s="219">
        <f t="shared" si="94"/>
        <v>0</v>
      </c>
      <c r="U299" s="219">
        <f t="shared" si="94"/>
        <v>5</v>
      </c>
      <c r="V299" s="219">
        <f t="shared" si="94"/>
        <v>0</v>
      </c>
      <c r="W299" s="219">
        <f t="shared" si="94"/>
        <v>0</v>
      </c>
      <c r="X299" s="219">
        <f t="shared" si="94"/>
        <v>0</v>
      </c>
      <c r="Y299" s="219">
        <f t="shared" si="94"/>
        <v>0</v>
      </c>
      <c r="Z299" s="219">
        <f t="shared" si="94"/>
        <v>0</v>
      </c>
      <c r="AA299" s="219">
        <f t="shared" si="94"/>
        <v>0</v>
      </c>
      <c r="AB299" s="219">
        <f t="shared" si="94"/>
        <v>0</v>
      </c>
      <c r="AC299" s="219">
        <f t="shared" si="94"/>
        <v>0</v>
      </c>
      <c r="AD299" s="219">
        <f t="shared" si="94"/>
        <v>0</v>
      </c>
      <c r="AE299" s="219">
        <f t="shared" si="94"/>
        <v>1</v>
      </c>
      <c r="AF299" s="219">
        <f t="shared" si="94"/>
        <v>0</v>
      </c>
      <c r="AG299" s="143">
        <f t="shared" si="93"/>
        <v>15</v>
      </c>
    </row>
    <row r="300">
      <c r="A300" s="177"/>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c r="AE300" s="187"/>
      <c r="AF300" s="187"/>
      <c r="AG300" s="209"/>
    </row>
    <row r="301">
      <c r="A301" s="216" t="s">
        <v>285</v>
      </c>
      <c r="B301" s="176">
        <v>3.0</v>
      </c>
      <c r="C301" s="176">
        <v>2.0</v>
      </c>
      <c r="D301" s="176">
        <v>47.0</v>
      </c>
      <c r="E301" s="176">
        <v>20.0</v>
      </c>
      <c r="F301" s="176">
        <v>51.0</v>
      </c>
      <c r="G301" s="176">
        <v>3.0</v>
      </c>
      <c r="H301" s="176">
        <v>1.0</v>
      </c>
      <c r="I301" s="176">
        <v>49.0</v>
      </c>
      <c r="J301" s="176">
        <v>11.0</v>
      </c>
      <c r="K301" s="176">
        <v>16.0</v>
      </c>
      <c r="L301" s="176">
        <v>52.0</v>
      </c>
      <c r="M301" s="176">
        <v>12.0</v>
      </c>
      <c r="N301" s="176">
        <v>2.0</v>
      </c>
      <c r="O301" s="176">
        <v>3.0</v>
      </c>
      <c r="P301" s="176">
        <v>57.0</v>
      </c>
      <c r="Q301" s="176">
        <v>14.0</v>
      </c>
      <c r="R301" s="176">
        <v>19.0</v>
      </c>
      <c r="S301" s="176">
        <v>7.0</v>
      </c>
      <c r="T301" s="176">
        <v>8.0</v>
      </c>
      <c r="U301" s="176">
        <v>3.0</v>
      </c>
      <c r="V301" s="176">
        <v>18.0</v>
      </c>
      <c r="W301" s="176">
        <v>17.0</v>
      </c>
      <c r="X301" s="176">
        <v>32.0</v>
      </c>
      <c r="Y301" s="176">
        <v>8.0</v>
      </c>
      <c r="Z301" s="176">
        <v>3.0</v>
      </c>
      <c r="AA301" s="176">
        <v>0.0</v>
      </c>
      <c r="AB301" s="176">
        <v>15.0</v>
      </c>
      <c r="AC301" s="176">
        <v>41.0</v>
      </c>
      <c r="AD301" s="176">
        <v>29.0</v>
      </c>
      <c r="AE301" s="176">
        <v>22.0</v>
      </c>
      <c r="AF301" s="176">
        <v>23.0</v>
      </c>
      <c r="AG301" s="143">
        <f t="shared" ref="AG301:AG303" si="95">SUM(B301:AF301)</f>
        <v>588</v>
      </c>
    </row>
    <row r="302">
      <c r="A302" s="216" t="s">
        <v>286</v>
      </c>
      <c r="B302" s="176">
        <v>0.0</v>
      </c>
      <c r="C302" s="176">
        <v>0.0</v>
      </c>
      <c r="D302" s="176">
        <v>1.0</v>
      </c>
      <c r="E302" s="176">
        <v>0.0</v>
      </c>
      <c r="F302" s="176">
        <v>1.0</v>
      </c>
      <c r="G302" s="176">
        <v>0.0</v>
      </c>
      <c r="H302" s="176">
        <v>0.0</v>
      </c>
      <c r="I302" s="176">
        <v>1.0</v>
      </c>
      <c r="J302" s="176">
        <v>1.0</v>
      </c>
      <c r="K302" s="176">
        <v>0.0</v>
      </c>
      <c r="L302" s="176">
        <v>0.0</v>
      </c>
      <c r="M302" s="176">
        <v>0.0</v>
      </c>
      <c r="N302" s="176">
        <v>0.0</v>
      </c>
      <c r="O302" s="176">
        <v>0.0</v>
      </c>
      <c r="P302" s="176">
        <v>0.0</v>
      </c>
      <c r="Q302" s="176">
        <v>5.0</v>
      </c>
      <c r="R302" s="176">
        <v>0.0</v>
      </c>
      <c r="S302" s="176">
        <v>0.0</v>
      </c>
      <c r="T302" s="176">
        <v>2.0</v>
      </c>
      <c r="U302" s="176">
        <v>1.0</v>
      </c>
      <c r="V302" s="176">
        <v>0.0</v>
      </c>
      <c r="W302" s="176">
        <v>0.0</v>
      </c>
      <c r="X302" s="176">
        <v>0.0</v>
      </c>
      <c r="Y302" s="176">
        <v>0.0</v>
      </c>
      <c r="Z302" s="176">
        <v>0.0</v>
      </c>
      <c r="AA302" s="176">
        <v>0.0</v>
      </c>
      <c r="AB302" s="176">
        <v>0.0</v>
      </c>
      <c r="AC302" s="176">
        <v>0.0</v>
      </c>
      <c r="AD302" s="176">
        <v>0.0</v>
      </c>
      <c r="AE302" s="176">
        <v>1.0</v>
      </c>
      <c r="AF302" s="176">
        <v>0.0</v>
      </c>
      <c r="AG302" s="143">
        <f t="shared" si="95"/>
        <v>13</v>
      </c>
    </row>
    <row r="303">
      <c r="A303" s="222" t="s">
        <v>113</v>
      </c>
      <c r="B303" s="219">
        <f t="shared" ref="B303:AF303" si="96">SUM(B301:B302)</f>
        <v>3</v>
      </c>
      <c r="C303" s="219">
        <f t="shared" si="96"/>
        <v>2</v>
      </c>
      <c r="D303" s="219">
        <f t="shared" si="96"/>
        <v>48</v>
      </c>
      <c r="E303" s="219">
        <f t="shared" si="96"/>
        <v>20</v>
      </c>
      <c r="F303" s="219">
        <f t="shared" si="96"/>
        <v>52</v>
      </c>
      <c r="G303" s="219">
        <f t="shared" si="96"/>
        <v>3</v>
      </c>
      <c r="H303" s="219">
        <f t="shared" si="96"/>
        <v>1</v>
      </c>
      <c r="I303" s="219">
        <f t="shared" si="96"/>
        <v>50</v>
      </c>
      <c r="J303" s="219">
        <f t="shared" si="96"/>
        <v>12</v>
      </c>
      <c r="K303" s="219">
        <f t="shared" si="96"/>
        <v>16</v>
      </c>
      <c r="L303" s="219">
        <f t="shared" si="96"/>
        <v>52</v>
      </c>
      <c r="M303" s="219">
        <f t="shared" si="96"/>
        <v>12</v>
      </c>
      <c r="N303" s="219">
        <f t="shared" si="96"/>
        <v>2</v>
      </c>
      <c r="O303" s="219">
        <f t="shared" si="96"/>
        <v>3</v>
      </c>
      <c r="P303" s="219">
        <f t="shared" si="96"/>
        <v>57</v>
      </c>
      <c r="Q303" s="219">
        <f t="shared" si="96"/>
        <v>19</v>
      </c>
      <c r="R303" s="219">
        <f t="shared" si="96"/>
        <v>19</v>
      </c>
      <c r="S303" s="219">
        <f t="shared" si="96"/>
        <v>7</v>
      </c>
      <c r="T303" s="219">
        <f t="shared" si="96"/>
        <v>10</v>
      </c>
      <c r="U303" s="219">
        <f t="shared" si="96"/>
        <v>4</v>
      </c>
      <c r="V303" s="219">
        <f t="shared" si="96"/>
        <v>18</v>
      </c>
      <c r="W303" s="219">
        <f t="shared" si="96"/>
        <v>17</v>
      </c>
      <c r="X303" s="219">
        <f t="shared" si="96"/>
        <v>32</v>
      </c>
      <c r="Y303" s="219">
        <f t="shared" si="96"/>
        <v>8</v>
      </c>
      <c r="Z303" s="219">
        <f t="shared" si="96"/>
        <v>3</v>
      </c>
      <c r="AA303" s="219">
        <f t="shared" si="96"/>
        <v>0</v>
      </c>
      <c r="AB303" s="219">
        <f t="shared" si="96"/>
        <v>15</v>
      </c>
      <c r="AC303" s="219">
        <f t="shared" si="96"/>
        <v>41</v>
      </c>
      <c r="AD303" s="219">
        <f t="shared" si="96"/>
        <v>29</v>
      </c>
      <c r="AE303" s="219">
        <f t="shared" si="96"/>
        <v>23</v>
      </c>
      <c r="AF303" s="219">
        <f t="shared" si="96"/>
        <v>23</v>
      </c>
      <c r="AG303" s="143">
        <f t="shared" si="95"/>
        <v>601</v>
      </c>
    </row>
    <row r="304">
      <c r="A304" s="177"/>
      <c r="B304" s="22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209"/>
    </row>
    <row r="305">
      <c r="A305" s="155" t="s">
        <v>287</v>
      </c>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c r="AB305" s="187"/>
      <c r="AC305" s="187"/>
      <c r="AD305" s="187"/>
      <c r="AE305" s="187"/>
      <c r="AF305" s="187"/>
      <c r="AG305" s="209"/>
    </row>
    <row r="306">
      <c r="A306" s="216" t="s">
        <v>258</v>
      </c>
      <c r="B306" s="200">
        <v>758.32</v>
      </c>
      <c r="C306" s="200">
        <v>389.24</v>
      </c>
      <c r="D306" s="200">
        <v>11351.78</v>
      </c>
      <c r="E306" s="228">
        <v>3431.51</v>
      </c>
      <c r="F306" s="228">
        <v>13101.69</v>
      </c>
      <c r="G306" s="228">
        <v>616.78</v>
      </c>
      <c r="H306" s="228">
        <v>43.84</v>
      </c>
      <c r="I306" s="228">
        <v>13709.61</v>
      </c>
      <c r="J306" s="228">
        <v>2794.64</v>
      </c>
      <c r="K306" s="228">
        <v>3931.03</v>
      </c>
      <c r="L306" s="200">
        <v>13248.84</v>
      </c>
      <c r="M306" s="228">
        <v>2543.23</v>
      </c>
      <c r="N306" s="228">
        <v>360.33</v>
      </c>
      <c r="O306" s="228">
        <v>907.26</v>
      </c>
      <c r="P306" s="228">
        <v>14487.76</v>
      </c>
      <c r="Q306" s="228">
        <v>2825.72</v>
      </c>
      <c r="R306" s="228">
        <v>4707.29</v>
      </c>
      <c r="S306" s="228">
        <v>1967.89</v>
      </c>
      <c r="T306" s="228">
        <v>1523.3</v>
      </c>
      <c r="U306" s="228">
        <v>687.8</v>
      </c>
      <c r="V306" s="228">
        <v>4407.19</v>
      </c>
      <c r="W306" s="228">
        <v>4324.14</v>
      </c>
      <c r="X306" s="200">
        <v>7927.61</v>
      </c>
      <c r="Y306" s="228">
        <v>2074.59</v>
      </c>
      <c r="Z306" s="228">
        <v>762.66</v>
      </c>
      <c r="AA306" s="228">
        <v>0.0</v>
      </c>
      <c r="AB306" s="228">
        <v>4060.28</v>
      </c>
      <c r="AC306" s="228">
        <v>10493.07</v>
      </c>
      <c r="AD306" s="200">
        <v>7494.27</v>
      </c>
      <c r="AE306" s="228">
        <v>5963.24</v>
      </c>
      <c r="AF306" s="228">
        <v>6093.21</v>
      </c>
      <c r="AG306" s="114">
        <f t="shared" ref="AG306:AG307" si="98">SUM(B306:AF306)</f>
        <v>146988.12</v>
      </c>
    </row>
    <row r="307">
      <c r="A307" s="222" t="s">
        <v>259</v>
      </c>
      <c r="B307" s="229">
        <f t="shared" ref="B307:AF307" si="97">sum(B306)</f>
        <v>758.32</v>
      </c>
      <c r="C307" s="229">
        <f t="shared" si="97"/>
        <v>389.24</v>
      </c>
      <c r="D307" s="229">
        <f t="shared" si="97"/>
        <v>11351.78</v>
      </c>
      <c r="E307" s="229">
        <f t="shared" si="97"/>
        <v>3431.51</v>
      </c>
      <c r="F307" s="229">
        <f t="shared" si="97"/>
        <v>13101.69</v>
      </c>
      <c r="G307" s="229">
        <f t="shared" si="97"/>
        <v>616.78</v>
      </c>
      <c r="H307" s="229">
        <f t="shared" si="97"/>
        <v>43.84</v>
      </c>
      <c r="I307" s="229">
        <f t="shared" si="97"/>
        <v>13709.61</v>
      </c>
      <c r="J307" s="229">
        <f t="shared" si="97"/>
        <v>2794.64</v>
      </c>
      <c r="K307" s="229">
        <f t="shared" si="97"/>
        <v>3931.03</v>
      </c>
      <c r="L307" s="229">
        <f t="shared" si="97"/>
        <v>13248.84</v>
      </c>
      <c r="M307" s="229">
        <f t="shared" si="97"/>
        <v>2543.23</v>
      </c>
      <c r="N307" s="229">
        <f t="shared" si="97"/>
        <v>360.33</v>
      </c>
      <c r="O307" s="229">
        <f t="shared" si="97"/>
        <v>907.26</v>
      </c>
      <c r="P307" s="229">
        <f t="shared" si="97"/>
        <v>14487.76</v>
      </c>
      <c r="Q307" s="229">
        <f t="shared" si="97"/>
        <v>2825.72</v>
      </c>
      <c r="R307" s="229">
        <f t="shared" si="97"/>
        <v>4707.29</v>
      </c>
      <c r="S307" s="229">
        <f t="shared" si="97"/>
        <v>1967.89</v>
      </c>
      <c r="T307" s="229">
        <f t="shared" si="97"/>
        <v>1523.3</v>
      </c>
      <c r="U307" s="229">
        <f t="shared" si="97"/>
        <v>687.8</v>
      </c>
      <c r="V307" s="229">
        <f t="shared" si="97"/>
        <v>4407.19</v>
      </c>
      <c r="W307" s="229">
        <f t="shared" si="97"/>
        <v>4324.14</v>
      </c>
      <c r="X307" s="229">
        <f t="shared" si="97"/>
        <v>7927.61</v>
      </c>
      <c r="Y307" s="229">
        <f t="shared" si="97"/>
        <v>2074.59</v>
      </c>
      <c r="Z307" s="229">
        <f t="shared" si="97"/>
        <v>762.66</v>
      </c>
      <c r="AA307" s="229">
        <f t="shared" si="97"/>
        <v>0</v>
      </c>
      <c r="AB307" s="229">
        <f t="shared" si="97"/>
        <v>4060.28</v>
      </c>
      <c r="AC307" s="229">
        <f t="shared" si="97"/>
        <v>10493.07</v>
      </c>
      <c r="AD307" s="229">
        <f t="shared" si="97"/>
        <v>7494.27</v>
      </c>
      <c r="AE307" s="229">
        <f t="shared" si="97"/>
        <v>5963.24</v>
      </c>
      <c r="AF307" s="229">
        <f t="shared" si="97"/>
        <v>6093.21</v>
      </c>
      <c r="AG307" s="114">
        <f t="shared" si="98"/>
        <v>146988.12</v>
      </c>
    </row>
    <row r="308">
      <c r="A308" s="177"/>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c r="AA308" s="230"/>
      <c r="AB308" s="230"/>
      <c r="AC308" s="230"/>
      <c r="AD308" s="230"/>
      <c r="AE308" s="230"/>
      <c r="AF308" s="230"/>
      <c r="AG308" s="209"/>
    </row>
    <row r="309">
      <c r="A309" s="216" t="s">
        <v>260</v>
      </c>
      <c r="B309" s="200">
        <v>0.0</v>
      </c>
      <c r="C309" s="200">
        <v>0.0</v>
      </c>
      <c r="D309" s="200">
        <v>209.0</v>
      </c>
      <c r="E309" s="228">
        <v>0.0</v>
      </c>
      <c r="F309" s="200">
        <v>239.0</v>
      </c>
      <c r="G309" s="200">
        <v>0.0</v>
      </c>
      <c r="H309" s="228">
        <v>0.0</v>
      </c>
      <c r="I309" s="228">
        <v>263.0</v>
      </c>
      <c r="J309" s="228">
        <v>248.0</v>
      </c>
      <c r="K309" s="228">
        <v>0.0</v>
      </c>
      <c r="L309" s="228">
        <v>0.0</v>
      </c>
      <c r="M309" s="228">
        <v>0.0</v>
      </c>
      <c r="N309" s="228">
        <v>0.0</v>
      </c>
      <c r="O309" s="228">
        <v>0.0</v>
      </c>
      <c r="P309" s="228">
        <v>0.0</v>
      </c>
      <c r="Q309" s="228">
        <v>1450.65</v>
      </c>
      <c r="R309" s="200">
        <v>0.0</v>
      </c>
      <c r="S309" s="200">
        <v>0.0</v>
      </c>
      <c r="T309" s="228">
        <v>478.0</v>
      </c>
      <c r="U309" s="228">
        <v>344.0</v>
      </c>
      <c r="V309" s="228">
        <v>0.0</v>
      </c>
      <c r="W309" s="228">
        <v>0.0</v>
      </c>
      <c r="X309" s="228">
        <v>0.0</v>
      </c>
      <c r="Y309" s="228">
        <v>0.0</v>
      </c>
      <c r="Z309" s="228">
        <v>0.0</v>
      </c>
      <c r="AA309" s="228">
        <v>0.0</v>
      </c>
      <c r="AB309" s="228">
        <v>0.0</v>
      </c>
      <c r="AC309" s="228">
        <v>0.0</v>
      </c>
      <c r="AD309" s="228">
        <v>0.0</v>
      </c>
      <c r="AE309" s="228">
        <v>258.0</v>
      </c>
      <c r="AF309" s="228">
        <v>0.0</v>
      </c>
      <c r="AG309" s="114">
        <f t="shared" ref="AG309:AG312" si="99">SUM(B309:AF309)</f>
        <v>3489.65</v>
      </c>
    </row>
    <row r="310">
      <c r="A310" s="216" t="s">
        <v>261</v>
      </c>
      <c r="B310" s="200">
        <v>0.0</v>
      </c>
      <c r="C310" s="200">
        <v>0.0</v>
      </c>
      <c r="D310" s="200">
        <v>35.0</v>
      </c>
      <c r="E310" s="228">
        <v>0.0</v>
      </c>
      <c r="F310" s="200">
        <v>35.0</v>
      </c>
      <c r="G310" s="200">
        <v>0.0</v>
      </c>
      <c r="H310" s="228">
        <v>0.0</v>
      </c>
      <c r="I310" s="228">
        <v>35.0</v>
      </c>
      <c r="J310" s="228">
        <v>35.0</v>
      </c>
      <c r="K310" s="228">
        <v>0.0</v>
      </c>
      <c r="L310" s="228">
        <v>0.0</v>
      </c>
      <c r="M310" s="228">
        <v>0.0</v>
      </c>
      <c r="N310" s="228">
        <v>0.0</v>
      </c>
      <c r="O310" s="228">
        <v>0.0</v>
      </c>
      <c r="P310" s="228">
        <v>0.0</v>
      </c>
      <c r="Q310" s="228">
        <v>175.0</v>
      </c>
      <c r="R310" s="200">
        <v>0.0</v>
      </c>
      <c r="S310" s="200">
        <v>0.0</v>
      </c>
      <c r="T310" s="228">
        <v>70.0</v>
      </c>
      <c r="U310" s="228">
        <v>35.0</v>
      </c>
      <c r="V310" s="228">
        <v>0.0</v>
      </c>
      <c r="W310" s="228">
        <v>0.0</v>
      </c>
      <c r="X310" s="228">
        <v>0.0</v>
      </c>
      <c r="Y310" s="228">
        <v>0.0</v>
      </c>
      <c r="Z310" s="228">
        <v>0.0</v>
      </c>
      <c r="AA310" s="228">
        <v>0.0</v>
      </c>
      <c r="AB310" s="228">
        <v>0.0</v>
      </c>
      <c r="AC310" s="228">
        <v>0.0</v>
      </c>
      <c r="AD310" s="228">
        <v>0.0</v>
      </c>
      <c r="AE310" s="228">
        <v>35.0</v>
      </c>
      <c r="AF310" s="228">
        <v>0.0</v>
      </c>
      <c r="AG310" s="114">
        <f t="shared" si="99"/>
        <v>455</v>
      </c>
    </row>
    <row r="311">
      <c r="A311" s="216" t="s">
        <v>262</v>
      </c>
      <c r="B311" s="200">
        <f t="shared" ref="B311:AF311" si="100">B309*0.22</f>
        <v>0</v>
      </c>
      <c r="C311" s="200">
        <f t="shared" si="100"/>
        <v>0</v>
      </c>
      <c r="D311" s="200">
        <f t="shared" si="100"/>
        <v>45.98</v>
      </c>
      <c r="E311" s="200">
        <f t="shared" si="100"/>
        <v>0</v>
      </c>
      <c r="F311" s="200">
        <f t="shared" si="100"/>
        <v>52.58</v>
      </c>
      <c r="G311" s="200">
        <f t="shared" si="100"/>
        <v>0</v>
      </c>
      <c r="H311" s="200">
        <f t="shared" si="100"/>
        <v>0</v>
      </c>
      <c r="I311" s="200">
        <f t="shared" si="100"/>
        <v>57.86</v>
      </c>
      <c r="J311" s="200">
        <f t="shared" si="100"/>
        <v>54.56</v>
      </c>
      <c r="K311" s="200">
        <f t="shared" si="100"/>
        <v>0</v>
      </c>
      <c r="L311" s="200">
        <f t="shared" si="100"/>
        <v>0</v>
      </c>
      <c r="M311" s="200">
        <f t="shared" si="100"/>
        <v>0</v>
      </c>
      <c r="N311" s="200">
        <f t="shared" si="100"/>
        <v>0</v>
      </c>
      <c r="O311" s="200">
        <f t="shared" si="100"/>
        <v>0</v>
      </c>
      <c r="P311" s="200">
        <f t="shared" si="100"/>
        <v>0</v>
      </c>
      <c r="Q311" s="200">
        <f t="shared" si="100"/>
        <v>319.143</v>
      </c>
      <c r="R311" s="200">
        <f t="shared" si="100"/>
        <v>0</v>
      </c>
      <c r="S311" s="200">
        <f t="shared" si="100"/>
        <v>0</v>
      </c>
      <c r="T311" s="200">
        <f t="shared" si="100"/>
        <v>105.16</v>
      </c>
      <c r="U311" s="200">
        <f t="shared" si="100"/>
        <v>75.68</v>
      </c>
      <c r="V311" s="200">
        <f t="shared" si="100"/>
        <v>0</v>
      </c>
      <c r="W311" s="200">
        <f t="shared" si="100"/>
        <v>0</v>
      </c>
      <c r="X311" s="200">
        <f t="shared" si="100"/>
        <v>0</v>
      </c>
      <c r="Y311" s="200">
        <f t="shared" si="100"/>
        <v>0</v>
      </c>
      <c r="Z311" s="200">
        <f t="shared" si="100"/>
        <v>0</v>
      </c>
      <c r="AA311" s="200">
        <f t="shared" si="100"/>
        <v>0</v>
      </c>
      <c r="AB311" s="200">
        <f t="shared" si="100"/>
        <v>0</v>
      </c>
      <c r="AC311" s="200">
        <f t="shared" si="100"/>
        <v>0</v>
      </c>
      <c r="AD311" s="200">
        <f t="shared" si="100"/>
        <v>0</v>
      </c>
      <c r="AE311" s="200">
        <f t="shared" si="100"/>
        <v>56.76</v>
      </c>
      <c r="AF311" s="200">
        <f t="shared" si="100"/>
        <v>0</v>
      </c>
      <c r="AG311" s="114">
        <f t="shared" si="99"/>
        <v>767.723</v>
      </c>
    </row>
    <row r="312">
      <c r="A312" s="222" t="s">
        <v>263</v>
      </c>
      <c r="B312" s="223">
        <f t="shared" ref="B312:AF312" si="101">SUM(B309+B310)</f>
        <v>0</v>
      </c>
      <c r="C312" s="223">
        <f t="shared" si="101"/>
        <v>0</v>
      </c>
      <c r="D312" s="223">
        <f t="shared" si="101"/>
        <v>244</v>
      </c>
      <c r="E312" s="223">
        <f t="shared" si="101"/>
        <v>0</v>
      </c>
      <c r="F312" s="223">
        <f t="shared" si="101"/>
        <v>274</v>
      </c>
      <c r="G312" s="223">
        <f t="shared" si="101"/>
        <v>0</v>
      </c>
      <c r="H312" s="223">
        <f t="shared" si="101"/>
        <v>0</v>
      </c>
      <c r="I312" s="223">
        <f t="shared" si="101"/>
        <v>298</v>
      </c>
      <c r="J312" s="223">
        <f t="shared" si="101"/>
        <v>283</v>
      </c>
      <c r="K312" s="223">
        <f t="shared" si="101"/>
        <v>0</v>
      </c>
      <c r="L312" s="223">
        <f t="shared" si="101"/>
        <v>0</v>
      </c>
      <c r="M312" s="223">
        <f t="shared" si="101"/>
        <v>0</v>
      </c>
      <c r="N312" s="223">
        <f t="shared" si="101"/>
        <v>0</v>
      </c>
      <c r="O312" s="223">
        <f t="shared" si="101"/>
        <v>0</v>
      </c>
      <c r="P312" s="223">
        <f t="shared" si="101"/>
        <v>0</v>
      </c>
      <c r="Q312" s="223">
        <f t="shared" si="101"/>
        <v>1625.65</v>
      </c>
      <c r="R312" s="223">
        <f t="shared" si="101"/>
        <v>0</v>
      </c>
      <c r="S312" s="223">
        <f t="shared" si="101"/>
        <v>0</v>
      </c>
      <c r="T312" s="223">
        <f t="shared" si="101"/>
        <v>548</v>
      </c>
      <c r="U312" s="223">
        <f t="shared" si="101"/>
        <v>379</v>
      </c>
      <c r="V312" s="223">
        <f t="shared" si="101"/>
        <v>0</v>
      </c>
      <c r="W312" s="223">
        <f t="shared" si="101"/>
        <v>0</v>
      </c>
      <c r="X312" s="223">
        <f t="shared" si="101"/>
        <v>0</v>
      </c>
      <c r="Y312" s="223">
        <f t="shared" si="101"/>
        <v>0</v>
      </c>
      <c r="Z312" s="223">
        <f t="shared" si="101"/>
        <v>0</v>
      </c>
      <c r="AA312" s="223">
        <f t="shared" si="101"/>
        <v>0</v>
      </c>
      <c r="AB312" s="223">
        <f t="shared" si="101"/>
        <v>0</v>
      </c>
      <c r="AC312" s="223">
        <f t="shared" si="101"/>
        <v>0</v>
      </c>
      <c r="AD312" s="223">
        <f t="shared" si="101"/>
        <v>0</v>
      </c>
      <c r="AE312" s="223">
        <f t="shared" si="101"/>
        <v>293</v>
      </c>
      <c r="AF312" s="223">
        <f t="shared" si="101"/>
        <v>0</v>
      </c>
      <c r="AG312" s="114">
        <f t="shared" si="99"/>
        <v>3944.65</v>
      </c>
    </row>
    <row r="313">
      <c r="A313" s="224"/>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c r="AB313" s="187"/>
      <c r="AC313" s="187"/>
      <c r="AD313" s="187"/>
      <c r="AE313" s="187"/>
      <c r="AF313" s="187"/>
      <c r="AG313" s="209"/>
    </row>
    <row r="314">
      <c r="A314" s="224"/>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c r="AB314" s="187"/>
      <c r="AC314" s="187"/>
      <c r="AD314" s="187"/>
      <c r="AE314" s="187"/>
      <c r="AF314" s="187"/>
      <c r="AG314" s="209"/>
    </row>
    <row r="315">
      <c r="A315" s="147" t="s">
        <v>288</v>
      </c>
      <c r="B315" s="231"/>
      <c r="C315" s="225"/>
      <c r="D315" s="225"/>
      <c r="E315" s="225"/>
      <c r="F315" s="225"/>
      <c r="G315" s="225"/>
      <c r="H315" s="225"/>
      <c r="I315" s="225"/>
      <c r="J315" s="225"/>
      <c r="K315" s="225"/>
      <c r="L315" s="225"/>
      <c r="M315" s="225"/>
      <c r="N315" s="225"/>
      <c r="O315" s="225"/>
      <c r="P315" s="225"/>
      <c r="Q315" s="225"/>
      <c r="R315" s="225"/>
      <c r="S315" s="225"/>
      <c r="T315" s="225"/>
      <c r="U315" s="225"/>
      <c r="V315" s="225"/>
      <c r="W315" s="225"/>
      <c r="X315" s="225"/>
      <c r="Y315" s="225"/>
      <c r="Z315" s="225"/>
      <c r="AA315" s="225"/>
      <c r="AB315" s="225"/>
      <c r="AC315" s="225"/>
      <c r="AD315" s="225"/>
      <c r="AE315" s="225"/>
      <c r="AF315" s="225"/>
      <c r="AG315" s="209"/>
    </row>
    <row r="316">
      <c r="A316" s="216" t="s">
        <v>184</v>
      </c>
      <c r="B316" s="232"/>
      <c r="C316" s="232"/>
      <c r="D316" s="232"/>
      <c r="E316" s="232"/>
      <c r="F316" s="232"/>
      <c r="G316" s="232"/>
      <c r="H316" s="232"/>
      <c r="I316" s="232"/>
      <c r="J316" s="232"/>
      <c r="K316" s="232"/>
      <c r="L316" s="232"/>
      <c r="M316" s="232"/>
      <c r="N316" s="232"/>
      <c r="O316" s="232"/>
      <c r="P316" s="232"/>
      <c r="Q316" s="232"/>
      <c r="R316" s="232"/>
      <c r="S316" s="232"/>
      <c r="T316" s="232"/>
      <c r="U316" s="232"/>
      <c r="V316" s="232"/>
      <c r="W316" s="232"/>
      <c r="X316" s="232"/>
      <c r="Y316" s="232"/>
      <c r="Z316" s="232"/>
      <c r="AA316" s="232"/>
      <c r="AB316" s="232"/>
      <c r="AC316" s="232"/>
      <c r="AD316" s="232"/>
      <c r="AE316" s="232"/>
      <c r="AF316" s="232"/>
      <c r="AG316" s="143"/>
    </row>
    <row r="317" outlineLevel="1">
      <c r="A317" s="216" t="s">
        <v>289</v>
      </c>
      <c r="B317" s="176">
        <v>0.0</v>
      </c>
      <c r="C317" s="176">
        <v>0.0</v>
      </c>
      <c r="D317" s="176">
        <v>0.0</v>
      </c>
      <c r="E317" s="176">
        <v>0.0</v>
      </c>
      <c r="F317" s="176">
        <v>0.0</v>
      </c>
      <c r="G317" s="176">
        <v>0.0</v>
      </c>
      <c r="H317" s="176">
        <v>0.0</v>
      </c>
      <c r="I317" s="176">
        <v>1.0</v>
      </c>
      <c r="J317" s="176">
        <v>1.0</v>
      </c>
      <c r="K317" s="176">
        <v>2.0</v>
      </c>
      <c r="L317" s="176">
        <v>0.0</v>
      </c>
      <c r="M317" s="176">
        <v>0.0</v>
      </c>
      <c r="N317" s="176">
        <v>0.0</v>
      </c>
      <c r="O317" s="176">
        <v>0.0</v>
      </c>
      <c r="P317" s="176">
        <v>1.0</v>
      </c>
      <c r="Q317" s="176">
        <v>0.0</v>
      </c>
      <c r="R317" s="176">
        <v>0.0</v>
      </c>
      <c r="S317" s="176">
        <v>0.0</v>
      </c>
      <c r="T317" s="176">
        <v>0.0</v>
      </c>
      <c r="U317" s="176">
        <v>0.0</v>
      </c>
      <c r="V317" s="176">
        <v>0.0</v>
      </c>
      <c r="W317" s="176">
        <v>0.0</v>
      </c>
      <c r="X317" s="176">
        <v>0.0</v>
      </c>
      <c r="Y317" s="176">
        <v>0.0</v>
      </c>
      <c r="Z317" s="176">
        <v>0.0</v>
      </c>
      <c r="AA317" s="176">
        <v>0.0</v>
      </c>
      <c r="AB317" s="176">
        <v>0.0</v>
      </c>
      <c r="AC317" s="176">
        <v>0.0</v>
      </c>
      <c r="AD317" s="176">
        <v>0.0</v>
      </c>
      <c r="AE317" s="176">
        <v>0.0</v>
      </c>
      <c r="AF317" s="176">
        <v>0.0</v>
      </c>
      <c r="AG317" s="143">
        <f t="shared" ref="AG317:AG320" si="102">SUM(B317:AF317)</f>
        <v>5</v>
      </c>
    </row>
    <row r="318" outlineLevel="1">
      <c r="A318" s="216" t="s">
        <v>290</v>
      </c>
      <c r="B318" s="176">
        <v>0.0</v>
      </c>
      <c r="C318" s="176">
        <v>0.0</v>
      </c>
      <c r="D318" s="176">
        <v>0.0</v>
      </c>
      <c r="E318" s="176">
        <v>0.0</v>
      </c>
      <c r="F318" s="176">
        <v>0.0</v>
      </c>
      <c r="G318" s="176">
        <v>0.0</v>
      </c>
      <c r="H318" s="176">
        <v>0.0</v>
      </c>
      <c r="I318" s="176">
        <v>1.0</v>
      </c>
      <c r="J318" s="176">
        <v>0.0</v>
      </c>
      <c r="K318" s="176">
        <v>0.0</v>
      </c>
      <c r="L318" s="176">
        <v>0.0</v>
      </c>
      <c r="M318" s="176">
        <v>0.0</v>
      </c>
      <c r="N318" s="176">
        <v>0.0</v>
      </c>
      <c r="O318" s="176">
        <v>0.0</v>
      </c>
      <c r="P318" s="176">
        <v>1.0</v>
      </c>
      <c r="Q318" s="176">
        <v>0.0</v>
      </c>
      <c r="R318" s="176">
        <v>0.0</v>
      </c>
      <c r="S318" s="176">
        <v>0.0</v>
      </c>
      <c r="T318" s="176">
        <v>0.0</v>
      </c>
      <c r="U318" s="176">
        <v>0.0</v>
      </c>
      <c r="V318" s="176">
        <v>0.0</v>
      </c>
      <c r="W318" s="176">
        <v>0.0</v>
      </c>
      <c r="X318" s="176">
        <v>0.0</v>
      </c>
      <c r="Y318" s="176">
        <v>2.0</v>
      </c>
      <c r="Z318" s="176">
        <v>0.0</v>
      </c>
      <c r="AA318" s="176">
        <v>0.0</v>
      </c>
      <c r="AB318" s="176">
        <v>0.0</v>
      </c>
      <c r="AC318" s="176">
        <v>0.0</v>
      </c>
      <c r="AD318" s="176">
        <v>0.0</v>
      </c>
      <c r="AE318" s="176">
        <v>1.0</v>
      </c>
      <c r="AF318" s="176">
        <v>1.0</v>
      </c>
      <c r="AG318" s="143">
        <f t="shared" si="102"/>
        <v>6</v>
      </c>
    </row>
    <row r="319" outlineLevel="1">
      <c r="A319" s="216" t="s">
        <v>291</v>
      </c>
      <c r="B319" s="176">
        <v>0.0</v>
      </c>
      <c r="C319" s="176">
        <v>0.0</v>
      </c>
      <c r="D319" s="176">
        <v>0.0</v>
      </c>
      <c r="E319" s="176">
        <v>0.0</v>
      </c>
      <c r="F319" s="176">
        <v>0.0</v>
      </c>
      <c r="G319" s="176">
        <v>0.0</v>
      </c>
      <c r="H319" s="176">
        <v>0.0</v>
      </c>
      <c r="I319" s="176">
        <v>4.0</v>
      </c>
      <c r="J319" s="176">
        <v>1.0</v>
      </c>
      <c r="K319" s="176">
        <v>3.0</v>
      </c>
      <c r="L319" s="176">
        <v>0.0</v>
      </c>
      <c r="M319" s="176">
        <v>1.0</v>
      </c>
      <c r="N319" s="176">
        <v>0.0</v>
      </c>
      <c r="O319" s="176">
        <v>0.0</v>
      </c>
      <c r="P319" s="176">
        <v>5.0</v>
      </c>
      <c r="Q319" s="176">
        <v>0.0</v>
      </c>
      <c r="R319" s="176">
        <v>1.0</v>
      </c>
      <c r="S319" s="176">
        <v>0.0</v>
      </c>
      <c r="T319" s="176">
        <v>0.0</v>
      </c>
      <c r="U319" s="176">
        <v>0.0</v>
      </c>
      <c r="V319" s="176">
        <v>0.0</v>
      </c>
      <c r="W319" s="176">
        <v>0.0</v>
      </c>
      <c r="X319" s="176">
        <v>0.0</v>
      </c>
      <c r="Y319" s="176">
        <v>0.0</v>
      </c>
      <c r="Z319" s="176">
        <v>0.0</v>
      </c>
      <c r="AA319" s="176">
        <v>0.0</v>
      </c>
      <c r="AB319" s="176">
        <v>0.0</v>
      </c>
      <c r="AC319" s="176">
        <v>0.0</v>
      </c>
      <c r="AD319" s="176">
        <v>0.0</v>
      </c>
      <c r="AE319" s="176">
        <v>1.0</v>
      </c>
      <c r="AF319" s="176">
        <v>0.0</v>
      </c>
      <c r="AG319" s="143">
        <f t="shared" si="102"/>
        <v>16</v>
      </c>
    </row>
    <row r="320" outlineLevel="1">
      <c r="A320" s="216" t="s">
        <v>292</v>
      </c>
      <c r="B320" s="176">
        <v>0.0</v>
      </c>
      <c r="C320" s="176">
        <v>0.0</v>
      </c>
      <c r="D320" s="176">
        <v>0.0</v>
      </c>
      <c r="E320" s="176">
        <v>0.0</v>
      </c>
      <c r="F320" s="176">
        <v>0.0</v>
      </c>
      <c r="G320" s="176">
        <v>0.0</v>
      </c>
      <c r="H320" s="176">
        <v>0.0</v>
      </c>
      <c r="I320" s="176">
        <v>3.0</v>
      </c>
      <c r="J320" s="176">
        <v>3.0</v>
      </c>
      <c r="K320" s="176">
        <v>1.0</v>
      </c>
      <c r="L320" s="176">
        <v>0.0</v>
      </c>
      <c r="M320" s="176">
        <v>0.0</v>
      </c>
      <c r="N320" s="176">
        <v>0.0</v>
      </c>
      <c r="O320" s="176">
        <v>0.0</v>
      </c>
      <c r="P320" s="176">
        <v>4.0</v>
      </c>
      <c r="Q320" s="176">
        <v>0.0</v>
      </c>
      <c r="R320" s="176">
        <v>0.0</v>
      </c>
      <c r="S320" s="176">
        <v>0.0</v>
      </c>
      <c r="T320" s="176">
        <v>0.0</v>
      </c>
      <c r="U320" s="176">
        <v>0.0</v>
      </c>
      <c r="V320" s="176">
        <v>0.0</v>
      </c>
      <c r="W320" s="176">
        <v>1.0</v>
      </c>
      <c r="X320" s="176">
        <v>0.0</v>
      </c>
      <c r="Y320" s="176">
        <v>3.0</v>
      </c>
      <c r="Z320" s="176">
        <v>0.0</v>
      </c>
      <c r="AA320" s="176">
        <v>0.0</v>
      </c>
      <c r="AB320" s="176">
        <v>0.0</v>
      </c>
      <c r="AC320" s="176">
        <v>0.0</v>
      </c>
      <c r="AD320" s="176">
        <v>5.0</v>
      </c>
      <c r="AE320" s="176">
        <v>0.0</v>
      </c>
      <c r="AF320" s="176">
        <v>2.0</v>
      </c>
      <c r="AG320" s="143">
        <f t="shared" si="102"/>
        <v>22</v>
      </c>
    </row>
    <row r="321">
      <c r="A321" s="216" t="s">
        <v>293</v>
      </c>
      <c r="B321" s="232"/>
      <c r="C321" s="232"/>
      <c r="D321" s="232"/>
      <c r="E321" s="232"/>
      <c r="F321" s="232"/>
      <c r="G321" s="232"/>
      <c r="H321" s="232"/>
      <c r="I321" s="232"/>
      <c r="J321" s="232"/>
      <c r="K321" s="232"/>
      <c r="L321" s="232"/>
      <c r="M321" s="232"/>
      <c r="N321" s="232"/>
      <c r="O321" s="232"/>
      <c r="P321" s="232"/>
      <c r="Q321" s="232"/>
      <c r="R321" s="232"/>
      <c r="S321" s="232"/>
      <c r="T321" s="232"/>
      <c r="U321" s="232"/>
      <c r="V321" s="232"/>
      <c r="W321" s="232"/>
      <c r="X321" s="232"/>
      <c r="Y321" s="232"/>
      <c r="Z321" s="232"/>
      <c r="AA321" s="232"/>
      <c r="AB321" s="232"/>
      <c r="AC321" s="232"/>
      <c r="AD321" s="232"/>
      <c r="AE321" s="232"/>
      <c r="AF321" s="232"/>
      <c r="AG321" s="143"/>
    </row>
    <row r="322" outlineLevel="1">
      <c r="A322" s="216" t="s">
        <v>294</v>
      </c>
      <c r="B322" s="176">
        <v>0.0</v>
      </c>
      <c r="C322" s="233">
        <v>1.0</v>
      </c>
      <c r="D322" s="233">
        <v>14.0</v>
      </c>
      <c r="E322" s="233">
        <v>1.0</v>
      </c>
      <c r="F322" s="176">
        <v>0.0</v>
      </c>
      <c r="G322" s="176">
        <v>0.0</v>
      </c>
      <c r="H322" s="176">
        <v>0.0</v>
      </c>
      <c r="I322" s="233">
        <v>0.0</v>
      </c>
      <c r="J322" s="233">
        <v>4.0</v>
      </c>
      <c r="K322" s="233">
        <v>1.0</v>
      </c>
      <c r="L322" s="233">
        <v>0.0</v>
      </c>
      <c r="M322" s="233">
        <v>0.0</v>
      </c>
      <c r="N322" s="176">
        <v>0.0</v>
      </c>
      <c r="O322" s="176">
        <v>0.0</v>
      </c>
      <c r="P322" s="233">
        <v>0.0</v>
      </c>
      <c r="Q322" s="233">
        <v>0.0</v>
      </c>
      <c r="R322" s="176">
        <v>0.0</v>
      </c>
      <c r="S322" s="176">
        <v>0.0</v>
      </c>
      <c r="T322" s="176">
        <v>6.0</v>
      </c>
      <c r="U322" s="176">
        <v>0.0</v>
      </c>
      <c r="V322" s="176">
        <v>0.0</v>
      </c>
      <c r="W322" s="233">
        <v>0.0</v>
      </c>
      <c r="X322" s="176">
        <v>0.0</v>
      </c>
      <c r="Y322" s="233">
        <v>11.0</v>
      </c>
      <c r="Z322" s="176">
        <v>1.0</v>
      </c>
      <c r="AA322" s="233">
        <v>0.0</v>
      </c>
      <c r="AB322" s="176">
        <v>0.0</v>
      </c>
      <c r="AC322" s="176">
        <v>0.0</v>
      </c>
      <c r="AD322" s="233">
        <v>1.0</v>
      </c>
      <c r="AE322" s="233">
        <v>2.0</v>
      </c>
      <c r="AF322" s="233">
        <v>1.0</v>
      </c>
      <c r="AG322" s="143">
        <f t="shared" ref="AG322:AG324" si="103">SUM(B322:AF322)</f>
        <v>43</v>
      </c>
    </row>
    <row r="323" outlineLevel="1">
      <c r="A323" s="216" t="s">
        <v>295</v>
      </c>
      <c r="B323" s="176">
        <v>0.0</v>
      </c>
      <c r="C323" s="176">
        <v>0.0</v>
      </c>
      <c r="D323" s="233">
        <v>1.0</v>
      </c>
      <c r="E323" s="233">
        <v>0.0</v>
      </c>
      <c r="F323" s="176">
        <v>0.0</v>
      </c>
      <c r="G323" s="176">
        <v>0.0</v>
      </c>
      <c r="H323" s="176">
        <v>0.0</v>
      </c>
      <c r="I323" s="233">
        <v>0.0</v>
      </c>
      <c r="J323" s="233">
        <v>1.0</v>
      </c>
      <c r="K323" s="233">
        <v>0.0</v>
      </c>
      <c r="L323" s="233">
        <v>1.0</v>
      </c>
      <c r="M323" s="233">
        <v>0.0</v>
      </c>
      <c r="N323" s="176">
        <v>0.0</v>
      </c>
      <c r="O323" s="176">
        <v>0.0</v>
      </c>
      <c r="P323" s="233">
        <v>0.0</v>
      </c>
      <c r="Q323" s="233">
        <v>0.0</v>
      </c>
      <c r="R323" s="176">
        <v>0.0</v>
      </c>
      <c r="S323" s="176">
        <v>0.0</v>
      </c>
      <c r="T323" s="176">
        <v>1.0</v>
      </c>
      <c r="U323" s="176">
        <v>0.0</v>
      </c>
      <c r="V323" s="176">
        <v>0.0</v>
      </c>
      <c r="W323" s="233">
        <v>0.0</v>
      </c>
      <c r="X323" s="176">
        <v>0.0</v>
      </c>
      <c r="Y323" s="233">
        <v>2.0</v>
      </c>
      <c r="Z323" s="233">
        <v>0.0</v>
      </c>
      <c r="AA323" s="233">
        <v>0.0</v>
      </c>
      <c r="AB323" s="176">
        <v>0.0</v>
      </c>
      <c r="AC323" s="176">
        <v>0.0</v>
      </c>
      <c r="AD323" s="233">
        <v>1.0</v>
      </c>
      <c r="AE323" s="233">
        <v>0.0</v>
      </c>
      <c r="AF323" s="233">
        <v>0.0</v>
      </c>
      <c r="AG323" s="143">
        <f t="shared" si="103"/>
        <v>7</v>
      </c>
    </row>
    <row r="324" outlineLevel="1">
      <c r="A324" s="216" t="s">
        <v>296</v>
      </c>
      <c r="B324" s="176">
        <v>0.0</v>
      </c>
      <c r="C324" s="176">
        <v>0.0</v>
      </c>
      <c r="D324" s="233">
        <v>0.0</v>
      </c>
      <c r="E324" s="233">
        <v>0.0</v>
      </c>
      <c r="F324" s="176">
        <v>0.0</v>
      </c>
      <c r="G324" s="176">
        <v>0.0</v>
      </c>
      <c r="H324" s="176">
        <v>0.0</v>
      </c>
      <c r="I324" s="233">
        <v>0.0</v>
      </c>
      <c r="J324" s="233">
        <v>32.0</v>
      </c>
      <c r="K324" s="233">
        <v>7.0</v>
      </c>
      <c r="L324" s="233">
        <v>0.0</v>
      </c>
      <c r="M324" s="233">
        <v>0.0</v>
      </c>
      <c r="N324" s="176">
        <v>0.0</v>
      </c>
      <c r="O324" s="176">
        <v>0.0</v>
      </c>
      <c r="P324" s="233">
        <v>0.0</v>
      </c>
      <c r="Q324" s="233">
        <v>23.0</v>
      </c>
      <c r="R324" s="176">
        <v>0.0</v>
      </c>
      <c r="S324" s="176">
        <v>9.0</v>
      </c>
      <c r="T324" s="176">
        <v>0.0</v>
      </c>
      <c r="U324" s="176">
        <v>0.0</v>
      </c>
      <c r="V324" s="176">
        <v>0.0</v>
      </c>
      <c r="W324" s="233">
        <v>3.0</v>
      </c>
      <c r="X324" s="176">
        <v>0.0</v>
      </c>
      <c r="Y324" s="233">
        <v>4.0</v>
      </c>
      <c r="Z324" s="233">
        <v>1.0</v>
      </c>
      <c r="AA324" s="233">
        <v>18.0</v>
      </c>
      <c r="AB324" s="176">
        <v>0.0</v>
      </c>
      <c r="AC324" s="176">
        <v>0.0</v>
      </c>
      <c r="AD324" s="233">
        <v>0.0</v>
      </c>
      <c r="AE324" s="233">
        <v>10.0</v>
      </c>
      <c r="AF324" s="233">
        <v>0.0</v>
      </c>
      <c r="AG324" s="143">
        <f t="shared" si="103"/>
        <v>107</v>
      </c>
    </row>
    <row r="325">
      <c r="A325" s="216" t="s">
        <v>189</v>
      </c>
      <c r="B325" s="232"/>
      <c r="C325" s="232"/>
      <c r="D325" s="232"/>
      <c r="E325" s="232"/>
      <c r="F325" s="232"/>
      <c r="G325" s="232"/>
      <c r="H325" s="232"/>
      <c r="I325" s="232"/>
      <c r="J325" s="232"/>
      <c r="K325" s="232"/>
      <c r="L325" s="232"/>
      <c r="M325" s="232"/>
      <c r="N325" s="232"/>
      <c r="O325" s="232"/>
      <c r="P325" s="232"/>
      <c r="Q325" s="232"/>
      <c r="R325" s="232"/>
      <c r="S325" s="232"/>
      <c r="T325" s="232"/>
      <c r="U325" s="232"/>
      <c r="V325" s="232"/>
      <c r="W325" s="232"/>
      <c r="X325" s="232"/>
      <c r="Y325" s="232"/>
      <c r="Z325" s="232"/>
      <c r="AA325" s="232"/>
      <c r="AB325" s="232"/>
      <c r="AC325" s="232"/>
      <c r="AD325" s="232"/>
      <c r="AE325" s="232"/>
      <c r="AF325" s="232"/>
      <c r="AG325" s="143"/>
    </row>
    <row r="326" outlineLevel="1">
      <c r="A326" s="216" t="s">
        <v>297</v>
      </c>
      <c r="B326" s="176">
        <v>0.0</v>
      </c>
      <c r="C326" s="176">
        <v>0.0</v>
      </c>
      <c r="D326" s="176">
        <v>0.0</v>
      </c>
      <c r="E326" s="176">
        <v>0.0</v>
      </c>
      <c r="F326" s="176">
        <v>0.0</v>
      </c>
      <c r="G326" s="176">
        <v>0.0</v>
      </c>
      <c r="H326" s="176">
        <v>0.0</v>
      </c>
      <c r="I326" s="176">
        <v>0.0</v>
      </c>
      <c r="J326" s="176">
        <v>1.0</v>
      </c>
      <c r="K326" s="176">
        <v>0.0</v>
      </c>
      <c r="L326" s="176">
        <v>0.0</v>
      </c>
      <c r="M326" s="176">
        <v>0.0</v>
      </c>
      <c r="N326" s="176">
        <v>0.0</v>
      </c>
      <c r="O326" s="176">
        <v>0.0</v>
      </c>
      <c r="P326" s="176">
        <v>0.0</v>
      </c>
      <c r="Q326" s="176">
        <v>0.0</v>
      </c>
      <c r="R326" s="176">
        <v>0.0</v>
      </c>
      <c r="S326" s="176">
        <v>0.0</v>
      </c>
      <c r="T326" s="176">
        <v>0.0</v>
      </c>
      <c r="U326" s="176">
        <v>0.0</v>
      </c>
      <c r="V326" s="176">
        <v>0.0</v>
      </c>
      <c r="W326" s="176">
        <v>1.0</v>
      </c>
      <c r="X326" s="176">
        <v>0.0</v>
      </c>
      <c r="Y326" s="176">
        <v>0.0</v>
      </c>
      <c r="Z326" s="233">
        <v>0.0</v>
      </c>
      <c r="AA326" s="176">
        <v>0.0</v>
      </c>
      <c r="AB326" s="176">
        <v>0.0</v>
      </c>
      <c r="AC326" s="176">
        <v>0.0</v>
      </c>
      <c r="AD326" s="176">
        <v>0.0</v>
      </c>
      <c r="AE326" s="176">
        <v>1.0</v>
      </c>
      <c r="AF326" s="176">
        <v>0.0</v>
      </c>
      <c r="AG326" s="143">
        <f t="shared" ref="AG326:AG329" si="104">SUM(B326:AF326)</f>
        <v>3</v>
      </c>
    </row>
    <row r="327" outlineLevel="1">
      <c r="A327" s="216" t="s">
        <v>298</v>
      </c>
      <c r="B327" s="176">
        <v>0.0</v>
      </c>
      <c r="C327" s="176">
        <v>0.0</v>
      </c>
      <c r="D327" s="176">
        <v>0.0</v>
      </c>
      <c r="E327" s="176">
        <v>0.0</v>
      </c>
      <c r="F327" s="176">
        <v>0.0</v>
      </c>
      <c r="G327" s="176">
        <v>0.0</v>
      </c>
      <c r="H327" s="176">
        <v>0.0</v>
      </c>
      <c r="I327" s="176">
        <v>2.0</v>
      </c>
      <c r="J327" s="176">
        <v>0.0</v>
      </c>
      <c r="K327" s="176">
        <v>0.0</v>
      </c>
      <c r="L327" s="176">
        <v>0.0</v>
      </c>
      <c r="M327" s="176">
        <v>0.0</v>
      </c>
      <c r="N327" s="176">
        <v>0.0</v>
      </c>
      <c r="O327" s="176">
        <v>0.0</v>
      </c>
      <c r="P327" s="176">
        <v>0.0</v>
      </c>
      <c r="Q327" s="176">
        <v>0.0</v>
      </c>
      <c r="R327" s="176">
        <v>0.0</v>
      </c>
      <c r="S327" s="176">
        <v>0.0</v>
      </c>
      <c r="T327" s="176">
        <v>0.0</v>
      </c>
      <c r="U327" s="176">
        <v>0.0</v>
      </c>
      <c r="V327" s="176">
        <v>0.0</v>
      </c>
      <c r="W327" s="176">
        <v>1.0</v>
      </c>
      <c r="X327" s="176">
        <v>0.0</v>
      </c>
      <c r="Y327" s="176">
        <v>0.0</v>
      </c>
      <c r="Z327" s="233">
        <v>0.0</v>
      </c>
      <c r="AA327" s="176">
        <v>0.0</v>
      </c>
      <c r="AB327" s="176">
        <v>0.0</v>
      </c>
      <c r="AC327" s="176">
        <v>0.0</v>
      </c>
      <c r="AD327" s="176">
        <v>0.0</v>
      </c>
      <c r="AE327" s="176">
        <v>1.0</v>
      </c>
      <c r="AF327" s="176">
        <v>0.0</v>
      </c>
      <c r="AG327" s="143">
        <f t="shared" si="104"/>
        <v>4</v>
      </c>
    </row>
    <row r="328" outlineLevel="1">
      <c r="A328" s="216" t="s">
        <v>299</v>
      </c>
      <c r="B328" s="176">
        <v>0.0</v>
      </c>
      <c r="C328" s="176">
        <v>0.0</v>
      </c>
      <c r="D328" s="176">
        <v>0.0</v>
      </c>
      <c r="E328" s="176">
        <v>0.0</v>
      </c>
      <c r="F328" s="176">
        <v>1.0</v>
      </c>
      <c r="G328" s="176">
        <v>0.0</v>
      </c>
      <c r="H328" s="176">
        <v>0.0</v>
      </c>
      <c r="I328" s="176">
        <v>0.0</v>
      </c>
      <c r="J328" s="176">
        <v>0.0</v>
      </c>
      <c r="K328" s="176">
        <v>0.0</v>
      </c>
      <c r="L328" s="176">
        <v>0.0</v>
      </c>
      <c r="M328" s="176">
        <v>0.0</v>
      </c>
      <c r="N328" s="176">
        <v>0.0</v>
      </c>
      <c r="O328" s="176">
        <v>0.0</v>
      </c>
      <c r="P328" s="176">
        <v>0.0</v>
      </c>
      <c r="Q328" s="176">
        <v>0.0</v>
      </c>
      <c r="R328" s="176">
        <v>0.0</v>
      </c>
      <c r="S328" s="176">
        <v>0.0</v>
      </c>
      <c r="T328" s="176">
        <v>0.0</v>
      </c>
      <c r="U328" s="176">
        <v>0.0</v>
      </c>
      <c r="V328" s="176">
        <v>0.0</v>
      </c>
      <c r="W328" s="176">
        <v>1.0</v>
      </c>
      <c r="X328" s="176">
        <v>0.0</v>
      </c>
      <c r="Y328" s="176">
        <v>0.0</v>
      </c>
      <c r="Z328" s="233">
        <v>0.0</v>
      </c>
      <c r="AA328" s="176">
        <v>0.0</v>
      </c>
      <c r="AB328" s="176">
        <v>0.0</v>
      </c>
      <c r="AC328" s="176">
        <v>0.0</v>
      </c>
      <c r="AD328" s="176">
        <v>0.0</v>
      </c>
      <c r="AE328" s="176">
        <v>1.0</v>
      </c>
      <c r="AF328" s="176">
        <v>0.0</v>
      </c>
      <c r="AG328" s="143">
        <f t="shared" si="104"/>
        <v>3</v>
      </c>
    </row>
    <row r="329" outlineLevel="1">
      <c r="A329" s="216" t="s">
        <v>300</v>
      </c>
      <c r="B329" s="176">
        <v>0.0</v>
      </c>
      <c r="C329" s="176">
        <v>0.0</v>
      </c>
      <c r="D329" s="176">
        <v>0.0</v>
      </c>
      <c r="E329" s="176">
        <v>0.0</v>
      </c>
      <c r="F329" s="176">
        <v>0.0</v>
      </c>
      <c r="G329" s="176">
        <v>0.0</v>
      </c>
      <c r="H329" s="176">
        <v>0.0</v>
      </c>
      <c r="I329" s="176">
        <v>0.0</v>
      </c>
      <c r="J329" s="176">
        <v>0.0</v>
      </c>
      <c r="K329" s="176">
        <v>0.0</v>
      </c>
      <c r="L329" s="176">
        <v>0.0</v>
      </c>
      <c r="M329" s="176">
        <v>0.0</v>
      </c>
      <c r="N329" s="176">
        <v>0.0</v>
      </c>
      <c r="O329" s="176">
        <v>0.0</v>
      </c>
      <c r="P329" s="176">
        <v>0.0</v>
      </c>
      <c r="Q329" s="176">
        <v>0.0</v>
      </c>
      <c r="R329" s="176">
        <v>0.0</v>
      </c>
      <c r="S329" s="176">
        <v>0.0</v>
      </c>
      <c r="T329" s="176">
        <v>0.0</v>
      </c>
      <c r="U329" s="176">
        <v>0.0</v>
      </c>
      <c r="V329" s="176">
        <v>0.0</v>
      </c>
      <c r="W329" s="176">
        <v>0.0</v>
      </c>
      <c r="X329" s="176">
        <v>0.0</v>
      </c>
      <c r="Y329" s="176">
        <v>0.0</v>
      </c>
      <c r="Z329" s="233">
        <v>0.0</v>
      </c>
      <c r="AA329" s="176">
        <v>0.0</v>
      </c>
      <c r="AB329" s="176">
        <v>0.0</v>
      </c>
      <c r="AC329" s="176">
        <v>0.0</v>
      </c>
      <c r="AD329" s="176">
        <v>0.0</v>
      </c>
      <c r="AE329" s="176">
        <v>0.0</v>
      </c>
      <c r="AF329" s="176">
        <v>0.0</v>
      </c>
      <c r="AG329" s="143">
        <f t="shared" si="104"/>
        <v>0</v>
      </c>
    </row>
    <row r="330">
      <c r="A330" s="216" t="s">
        <v>301</v>
      </c>
      <c r="B330" s="226"/>
      <c r="C330" s="226"/>
      <c r="D330" s="226"/>
      <c r="E330" s="226"/>
      <c r="F330" s="226"/>
      <c r="G330" s="226"/>
      <c r="H330" s="226"/>
      <c r="I330" s="226"/>
      <c r="J330" s="226"/>
      <c r="K330" s="226"/>
      <c r="L330" s="226"/>
      <c r="M330" s="226"/>
      <c r="N330" s="226"/>
      <c r="O330" s="226"/>
      <c r="P330" s="226"/>
      <c r="Q330" s="226"/>
      <c r="R330" s="226"/>
      <c r="S330" s="226"/>
      <c r="T330" s="226"/>
      <c r="U330" s="226"/>
      <c r="V330" s="226"/>
      <c r="W330" s="226"/>
      <c r="X330" s="226"/>
      <c r="Y330" s="226"/>
      <c r="Z330" s="226"/>
      <c r="AA330" s="226"/>
      <c r="AB330" s="226"/>
      <c r="AC330" s="226"/>
      <c r="AD330" s="226"/>
      <c r="AE330" s="226"/>
      <c r="AF330" s="226"/>
      <c r="AG330" s="143"/>
    </row>
    <row r="331" outlineLevel="1">
      <c r="A331" s="216" t="s">
        <v>302</v>
      </c>
      <c r="B331" s="176">
        <v>0.0</v>
      </c>
      <c r="C331" s="176">
        <v>0.0</v>
      </c>
      <c r="D331" s="176">
        <v>0.0</v>
      </c>
      <c r="E331" s="176">
        <v>0.0</v>
      </c>
      <c r="F331" s="176">
        <v>0.0</v>
      </c>
      <c r="G331" s="176">
        <v>0.0</v>
      </c>
      <c r="H331" s="176">
        <v>0.0</v>
      </c>
      <c r="I331" s="176">
        <v>0.0</v>
      </c>
      <c r="J331" s="176">
        <v>0.0</v>
      </c>
      <c r="K331" s="176">
        <v>0.0</v>
      </c>
      <c r="L331" s="176">
        <v>0.0</v>
      </c>
      <c r="M331" s="176">
        <v>0.0</v>
      </c>
      <c r="N331" s="176">
        <v>0.0</v>
      </c>
      <c r="O331" s="176">
        <v>0.0</v>
      </c>
      <c r="P331" s="176">
        <v>0.0</v>
      </c>
      <c r="Q331" s="176">
        <v>0.0</v>
      </c>
      <c r="R331" s="176">
        <v>0.0</v>
      </c>
      <c r="S331" s="176">
        <v>0.0</v>
      </c>
      <c r="T331" s="176">
        <v>0.0</v>
      </c>
      <c r="U331" s="176">
        <v>0.0</v>
      </c>
      <c r="V331" s="176">
        <v>0.0</v>
      </c>
      <c r="W331" s="234">
        <v>0.0</v>
      </c>
      <c r="X331" s="176">
        <v>0.0</v>
      </c>
      <c r="Y331" s="176">
        <v>0.0</v>
      </c>
      <c r="Z331" s="233">
        <v>0.0</v>
      </c>
      <c r="AA331" s="176">
        <v>0.0</v>
      </c>
      <c r="AB331" s="176">
        <v>0.0</v>
      </c>
      <c r="AC331" s="176">
        <v>0.0</v>
      </c>
      <c r="AD331" s="176">
        <v>0.0</v>
      </c>
      <c r="AE331" s="234">
        <v>0.0</v>
      </c>
      <c r="AF331" s="234">
        <v>0.0</v>
      </c>
      <c r="AG331" s="143">
        <f t="shared" ref="AG331:AG335" si="105">SUM(B331:AF331)</f>
        <v>0</v>
      </c>
    </row>
    <row r="332" outlineLevel="1">
      <c r="A332" s="216" t="s">
        <v>303</v>
      </c>
      <c r="B332" s="176">
        <v>0.0</v>
      </c>
      <c r="C332" s="176">
        <v>0.0</v>
      </c>
      <c r="D332" s="176">
        <v>0.0</v>
      </c>
      <c r="E332" s="176">
        <v>0.0</v>
      </c>
      <c r="F332" s="176">
        <v>0.0</v>
      </c>
      <c r="G332" s="176">
        <v>0.0</v>
      </c>
      <c r="H332" s="176">
        <v>0.0</v>
      </c>
      <c r="I332" s="176">
        <v>0.0</v>
      </c>
      <c r="J332" s="176">
        <v>0.0</v>
      </c>
      <c r="K332" s="176">
        <v>0.0</v>
      </c>
      <c r="L332" s="176">
        <v>0.0</v>
      </c>
      <c r="M332" s="176">
        <v>0.0</v>
      </c>
      <c r="N332" s="176">
        <v>0.0</v>
      </c>
      <c r="O332" s="176">
        <v>0.0</v>
      </c>
      <c r="P332" s="176">
        <v>0.0</v>
      </c>
      <c r="Q332" s="176">
        <v>0.0</v>
      </c>
      <c r="R332" s="176">
        <v>0.0</v>
      </c>
      <c r="S332" s="176">
        <v>0.0</v>
      </c>
      <c r="T332" s="176">
        <v>0.0</v>
      </c>
      <c r="U332" s="176">
        <v>0.0</v>
      </c>
      <c r="V332" s="176">
        <v>0.0</v>
      </c>
      <c r="W332" s="234">
        <v>0.0</v>
      </c>
      <c r="X332" s="176">
        <v>0.0</v>
      </c>
      <c r="Y332" s="176">
        <v>0.0</v>
      </c>
      <c r="Z332" s="233">
        <v>0.0</v>
      </c>
      <c r="AA332" s="176">
        <v>0.0</v>
      </c>
      <c r="AB332" s="176">
        <v>0.0</v>
      </c>
      <c r="AC332" s="176">
        <v>0.0</v>
      </c>
      <c r="AD332" s="176">
        <v>0.0</v>
      </c>
      <c r="AE332" s="234">
        <v>0.0</v>
      </c>
      <c r="AF332" s="234">
        <v>0.0</v>
      </c>
      <c r="AG332" s="143">
        <f t="shared" si="105"/>
        <v>0</v>
      </c>
    </row>
    <row r="333" outlineLevel="1">
      <c r="A333" s="216" t="s">
        <v>296</v>
      </c>
      <c r="B333" s="176">
        <v>0.0</v>
      </c>
      <c r="C333" s="176">
        <v>0.0</v>
      </c>
      <c r="D333" s="176">
        <v>0.0</v>
      </c>
      <c r="E333" s="176">
        <v>0.0</v>
      </c>
      <c r="F333" s="176">
        <v>0.0</v>
      </c>
      <c r="G333" s="176">
        <v>0.0</v>
      </c>
      <c r="H333" s="176">
        <v>0.0</v>
      </c>
      <c r="I333" s="176">
        <v>0.0</v>
      </c>
      <c r="J333" s="234">
        <v>4.0</v>
      </c>
      <c r="K333" s="176">
        <v>0.0</v>
      </c>
      <c r="L333" s="176">
        <v>0.0</v>
      </c>
      <c r="M333" s="234">
        <v>10.0</v>
      </c>
      <c r="N333" s="176">
        <v>0.0</v>
      </c>
      <c r="O333" s="176">
        <v>0.0</v>
      </c>
      <c r="P333" s="176">
        <v>0.0</v>
      </c>
      <c r="Q333" s="176">
        <v>0.0</v>
      </c>
      <c r="R333" s="176">
        <v>0.0</v>
      </c>
      <c r="S333" s="176">
        <v>0.0</v>
      </c>
      <c r="T333" s="176">
        <v>0.0</v>
      </c>
      <c r="U333" s="176">
        <v>0.0</v>
      </c>
      <c r="V333" s="176">
        <v>0.0</v>
      </c>
      <c r="W333" s="234">
        <v>5.0</v>
      </c>
      <c r="X333" s="176">
        <v>0.0</v>
      </c>
      <c r="Y333" s="176">
        <v>0.0</v>
      </c>
      <c r="Z333" s="233">
        <v>0.0</v>
      </c>
      <c r="AA333" s="176">
        <v>0.0</v>
      </c>
      <c r="AB333" s="176">
        <v>0.0</v>
      </c>
      <c r="AC333" s="176">
        <v>0.0</v>
      </c>
      <c r="AD333" s="176">
        <v>0.0</v>
      </c>
      <c r="AE333" s="234">
        <v>6.0</v>
      </c>
      <c r="AF333" s="234">
        <v>0.0</v>
      </c>
      <c r="AG333" s="143">
        <f t="shared" si="105"/>
        <v>25</v>
      </c>
    </row>
    <row r="334">
      <c r="A334" s="218" t="s">
        <v>194</v>
      </c>
      <c r="B334" s="235">
        <f t="shared" ref="B334:AF334" si="106">B317+B318+B326+B327</f>
        <v>0</v>
      </c>
      <c r="C334" s="235">
        <f t="shared" si="106"/>
        <v>0</v>
      </c>
      <c r="D334" s="235">
        <f t="shared" si="106"/>
        <v>0</v>
      </c>
      <c r="E334" s="235">
        <f t="shared" si="106"/>
        <v>0</v>
      </c>
      <c r="F334" s="235">
        <f t="shared" si="106"/>
        <v>0</v>
      </c>
      <c r="G334" s="235">
        <f t="shared" si="106"/>
        <v>0</v>
      </c>
      <c r="H334" s="235">
        <f t="shared" si="106"/>
        <v>0</v>
      </c>
      <c r="I334" s="235">
        <f t="shared" si="106"/>
        <v>4</v>
      </c>
      <c r="J334" s="235">
        <f t="shared" si="106"/>
        <v>2</v>
      </c>
      <c r="K334" s="235">
        <f t="shared" si="106"/>
        <v>2</v>
      </c>
      <c r="L334" s="235">
        <f t="shared" si="106"/>
        <v>0</v>
      </c>
      <c r="M334" s="235">
        <f t="shared" si="106"/>
        <v>0</v>
      </c>
      <c r="N334" s="235">
        <f t="shared" si="106"/>
        <v>0</v>
      </c>
      <c r="O334" s="235">
        <f t="shared" si="106"/>
        <v>0</v>
      </c>
      <c r="P334" s="235">
        <f t="shared" si="106"/>
        <v>2</v>
      </c>
      <c r="Q334" s="235">
        <f t="shared" si="106"/>
        <v>0</v>
      </c>
      <c r="R334" s="235">
        <f t="shared" si="106"/>
        <v>0</v>
      </c>
      <c r="S334" s="235">
        <f t="shared" si="106"/>
        <v>0</v>
      </c>
      <c r="T334" s="235">
        <f t="shared" si="106"/>
        <v>0</v>
      </c>
      <c r="U334" s="235">
        <f t="shared" si="106"/>
        <v>0</v>
      </c>
      <c r="V334" s="235">
        <f t="shared" si="106"/>
        <v>0</v>
      </c>
      <c r="W334" s="235">
        <f t="shared" si="106"/>
        <v>2</v>
      </c>
      <c r="X334" s="235">
        <f t="shared" si="106"/>
        <v>0</v>
      </c>
      <c r="Y334" s="235">
        <f t="shared" si="106"/>
        <v>2</v>
      </c>
      <c r="Z334" s="235">
        <f t="shared" si="106"/>
        <v>0</v>
      </c>
      <c r="AA334" s="235">
        <f t="shared" si="106"/>
        <v>0</v>
      </c>
      <c r="AB334" s="235">
        <f t="shared" si="106"/>
        <v>0</v>
      </c>
      <c r="AC334" s="235">
        <f t="shared" si="106"/>
        <v>0</v>
      </c>
      <c r="AD334" s="235">
        <f t="shared" si="106"/>
        <v>0</v>
      </c>
      <c r="AE334" s="235">
        <f t="shared" si="106"/>
        <v>3</v>
      </c>
      <c r="AF334" s="235">
        <f t="shared" si="106"/>
        <v>1</v>
      </c>
      <c r="AG334" s="143">
        <f t="shared" si="105"/>
        <v>18</v>
      </c>
    </row>
    <row r="335">
      <c r="A335" s="218" t="s">
        <v>195</v>
      </c>
      <c r="B335" s="235">
        <f t="shared" ref="B335:AF335" si="107">+B319+B320+B328+B329</f>
        <v>0</v>
      </c>
      <c r="C335" s="235">
        <f t="shared" si="107"/>
        <v>0</v>
      </c>
      <c r="D335" s="235">
        <f t="shared" si="107"/>
        <v>0</v>
      </c>
      <c r="E335" s="235">
        <f t="shared" si="107"/>
        <v>0</v>
      </c>
      <c r="F335" s="235">
        <f t="shared" si="107"/>
        <v>1</v>
      </c>
      <c r="G335" s="235">
        <f t="shared" si="107"/>
        <v>0</v>
      </c>
      <c r="H335" s="235">
        <f t="shared" si="107"/>
        <v>0</v>
      </c>
      <c r="I335" s="235">
        <f t="shared" si="107"/>
        <v>7</v>
      </c>
      <c r="J335" s="235">
        <f t="shared" si="107"/>
        <v>4</v>
      </c>
      <c r="K335" s="235">
        <f t="shared" si="107"/>
        <v>4</v>
      </c>
      <c r="L335" s="235">
        <f t="shared" si="107"/>
        <v>0</v>
      </c>
      <c r="M335" s="235">
        <f t="shared" si="107"/>
        <v>1</v>
      </c>
      <c r="N335" s="235">
        <f t="shared" si="107"/>
        <v>0</v>
      </c>
      <c r="O335" s="235">
        <f t="shared" si="107"/>
        <v>0</v>
      </c>
      <c r="P335" s="235">
        <f t="shared" si="107"/>
        <v>9</v>
      </c>
      <c r="Q335" s="235">
        <f t="shared" si="107"/>
        <v>0</v>
      </c>
      <c r="R335" s="235">
        <f t="shared" si="107"/>
        <v>1</v>
      </c>
      <c r="S335" s="235">
        <f t="shared" si="107"/>
        <v>0</v>
      </c>
      <c r="T335" s="235">
        <f t="shared" si="107"/>
        <v>0</v>
      </c>
      <c r="U335" s="235">
        <f t="shared" si="107"/>
        <v>0</v>
      </c>
      <c r="V335" s="235">
        <f t="shared" si="107"/>
        <v>0</v>
      </c>
      <c r="W335" s="235">
        <f t="shared" si="107"/>
        <v>2</v>
      </c>
      <c r="X335" s="235">
        <f t="shared" si="107"/>
        <v>0</v>
      </c>
      <c r="Y335" s="235">
        <f t="shared" si="107"/>
        <v>3</v>
      </c>
      <c r="Z335" s="235">
        <f t="shared" si="107"/>
        <v>0</v>
      </c>
      <c r="AA335" s="235">
        <f t="shared" si="107"/>
        <v>0</v>
      </c>
      <c r="AB335" s="235">
        <f t="shared" si="107"/>
        <v>0</v>
      </c>
      <c r="AC335" s="235">
        <f t="shared" si="107"/>
        <v>0</v>
      </c>
      <c r="AD335" s="235">
        <f t="shared" si="107"/>
        <v>5</v>
      </c>
      <c r="AE335" s="235">
        <f t="shared" si="107"/>
        <v>2</v>
      </c>
      <c r="AF335" s="235">
        <f t="shared" si="107"/>
        <v>2</v>
      </c>
      <c r="AG335" s="143">
        <f t="shared" si="105"/>
        <v>41</v>
      </c>
    </row>
    <row r="336">
      <c r="A336" s="98"/>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c r="AB336" s="187"/>
      <c r="AC336" s="164"/>
      <c r="AD336" s="187"/>
      <c r="AE336" s="187"/>
      <c r="AF336" s="187"/>
      <c r="AG336" s="209"/>
    </row>
    <row r="337">
      <c r="A337" s="216" t="s">
        <v>196</v>
      </c>
      <c r="B337" s="232"/>
      <c r="C337" s="232"/>
      <c r="D337" s="232"/>
      <c r="E337" s="232"/>
      <c r="F337" s="232"/>
      <c r="G337" s="232"/>
      <c r="H337" s="232"/>
      <c r="I337" s="232"/>
      <c r="J337" s="232"/>
      <c r="K337" s="232"/>
      <c r="L337" s="232"/>
      <c r="M337" s="232"/>
      <c r="N337" s="232"/>
      <c r="O337" s="232"/>
      <c r="P337" s="232"/>
      <c r="Q337" s="232"/>
      <c r="R337" s="232"/>
      <c r="S337" s="232"/>
      <c r="T337" s="232"/>
      <c r="U337" s="232"/>
      <c r="V337" s="232"/>
      <c r="W337" s="232"/>
      <c r="X337" s="232"/>
      <c r="Y337" s="232"/>
      <c r="Z337" s="232"/>
      <c r="AA337" s="232"/>
      <c r="AB337" s="232"/>
      <c r="AC337" s="232"/>
      <c r="AD337" s="232"/>
      <c r="AE337" s="232"/>
      <c r="AF337" s="232"/>
      <c r="AG337" s="143"/>
    </row>
    <row r="338" outlineLevel="1">
      <c r="A338" s="216" t="s">
        <v>197</v>
      </c>
      <c r="B338" s="176">
        <v>0.0</v>
      </c>
      <c r="C338" s="176">
        <v>0.0</v>
      </c>
      <c r="D338" s="176">
        <v>0.0</v>
      </c>
      <c r="E338" s="176">
        <v>0.0</v>
      </c>
      <c r="F338" s="176">
        <v>0.0</v>
      </c>
      <c r="G338" s="176">
        <v>0.0</v>
      </c>
      <c r="H338" s="176">
        <v>0.0</v>
      </c>
      <c r="I338" s="176">
        <v>2.0</v>
      </c>
      <c r="J338" s="176">
        <v>1.0</v>
      </c>
      <c r="K338" s="176">
        <v>1.0</v>
      </c>
      <c r="L338" s="176">
        <v>0.0</v>
      </c>
      <c r="M338" s="176">
        <v>1.0</v>
      </c>
      <c r="N338" s="176">
        <v>0.0</v>
      </c>
      <c r="O338" s="176">
        <v>0.0</v>
      </c>
      <c r="P338" s="176">
        <v>1.0</v>
      </c>
      <c r="Q338" s="176">
        <v>0.0</v>
      </c>
      <c r="R338" s="176">
        <v>0.0</v>
      </c>
      <c r="S338" s="176">
        <v>0.0</v>
      </c>
      <c r="T338" s="176">
        <v>0.0</v>
      </c>
      <c r="U338" s="176">
        <v>0.0</v>
      </c>
      <c r="V338" s="176">
        <v>0.0</v>
      </c>
      <c r="W338" s="176">
        <v>0.0</v>
      </c>
      <c r="X338" s="176">
        <v>0.0</v>
      </c>
      <c r="Y338" s="176">
        <v>1.0</v>
      </c>
      <c r="Z338" s="233">
        <v>0.0</v>
      </c>
      <c r="AA338" s="176">
        <v>0.0</v>
      </c>
      <c r="AB338" s="176">
        <v>0.0</v>
      </c>
      <c r="AC338" s="176">
        <v>0.0</v>
      </c>
      <c r="AD338" s="176">
        <v>1.0</v>
      </c>
      <c r="AE338" s="176">
        <v>0.0</v>
      </c>
      <c r="AF338" s="176">
        <v>1.0</v>
      </c>
      <c r="AG338" s="143">
        <f t="shared" ref="AG338:AG346" si="108">SUM(B338:AF338)</f>
        <v>9</v>
      </c>
    </row>
    <row r="339" outlineLevel="1">
      <c r="A339" s="216" t="s">
        <v>198</v>
      </c>
      <c r="B339" s="176">
        <v>0.0</v>
      </c>
      <c r="C339" s="176">
        <v>2.0</v>
      </c>
      <c r="D339" s="176">
        <v>0.0</v>
      </c>
      <c r="E339" s="176">
        <v>2.0</v>
      </c>
      <c r="F339" s="176">
        <v>0.0</v>
      </c>
      <c r="G339" s="176">
        <v>0.0</v>
      </c>
      <c r="H339" s="176">
        <v>0.0</v>
      </c>
      <c r="I339" s="176">
        <v>0.0</v>
      </c>
      <c r="J339" s="176">
        <v>2.0</v>
      </c>
      <c r="K339" s="176">
        <v>3.0</v>
      </c>
      <c r="L339" s="176">
        <v>0.0</v>
      </c>
      <c r="M339" s="176">
        <v>1.0</v>
      </c>
      <c r="N339" s="176">
        <v>0.0</v>
      </c>
      <c r="O339" s="176">
        <v>0.0</v>
      </c>
      <c r="P339" s="176">
        <v>5.0</v>
      </c>
      <c r="Q339" s="176">
        <v>0.0</v>
      </c>
      <c r="R339" s="176">
        <v>1.0</v>
      </c>
      <c r="S339" s="176">
        <v>0.0</v>
      </c>
      <c r="T339" s="176">
        <v>3.0</v>
      </c>
      <c r="U339" s="176">
        <v>0.0</v>
      </c>
      <c r="V339" s="176">
        <v>0.0</v>
      </c>
      <c r="W339" s="176">
        <v>1.0</v>
      </c>
      <c r="X339" s="176">
        <v>0.0</v>
      </c>
      <c r="Y339" s="176">
        <v>6.0</v>
      </c>
      <c r="Z339" s="233">
        <v>0.0</v>
      </c>
      <c r="AA339" s="176">
        <v>1.0</v>
      </c>
      <c r="AB339" s="176">
        <v>0.0</v>
      </c>
      <c r="AC339" s="176">
        <v>0.0</v>
      </c>
      <c r="AD339" s="176">
        <v>4.0</v>
      </c>
      <c r="AE339" s="176">
        <v>0.0</v>
      </c>
      <c r="AF339" s="176">
        <v>5.0</v>
      </c>
      <c r="AG339" s="143">
        <f t="shared" si="108"/>
        <v>36</v>
      </c>
    </row>
    <row r="340" outlineLevel="1">
      <c r="A340" s="216" t="s">
        <v>304</v>
      </c>
      <c r="B340" s="176">
        <v>0.0</v>
      </c>
      <c r="C340" s="176">
        <v>0.0</v>
      </c>
      <c r="D340" s="176">
        <v>1.0</v>
      </c>
      <c r="E340" s="176">
        <v>0.0</v>
      </c>
      <c r="F340" s="176">
        <v>0.0</v>
      </c>
      <c r="G340" s="176">
        <v>0.0</v>
      </c>
      <c r="H340" s="176">
        <v>0.0</v>
      </c>
      <c r="I340" s="176">
        <v>0.0</v>
      </c>
      <c r="J340" s="176">
        <v>1.0</v>
      </c>
      <c r="K340" s="176">
        <v>0.0</v>
      </c>
      <c r="L340" s="176">
        <v>1.0</v>
      </c>
      <c r="M340" s="176">
        <v>0.0</v>
      </c>
      <c r="N340" s="176">
        <v>0.0</v>
      </c>
      <c r="O340" s="176">
        <v>0.0</v>
      </c>
      <c r="P340" s="176">
        <v>2.0</v>
      </c>
      <c r="Q340" s="176">
        <v>1.0</v>
      </c>
      <c r="R340" s="176">
        <v>0.0</v>
      </c>
      <c r="S340" s="176">
        <v>0.0</v>
      </c>
      <c r="T340" s="176">
        <v>0.0</v>
      </c>
      <c r="U340" s="176">
        <v>0.0</v>
      </c>
      <c r="V340" s="176">
        <v>0.0</v>
      </c>
      <c r="W340" s="176">
        <v>0.0</v>
      </c>
      <c r="X340" s="176">
        <v>0.0</v>
      </c>
      <c r="Y340" s="176">
        <v>0.0</v>
      </c>
      <c r="Z340" s="233">
        <v>0.0</v>
      </c>
      <c r="AA340" s="176">
        <v>0.0</v>
      </c>
      <c r="AB340" s="176">
        <v>0.0</v>
      </c>
      <c r="AC340" s="176">
        <v>0.0</v>
      </c>
      <c r="AD340" s="176">
        <v>0.0</v>
      </c>
      <c r="AE340" s="176">
        <v>0.0</v>
      </c>
      <c r="AF340" s="176">
        <v>0.0</v>
      </c>
      <c r="AG340" s="143">
        <f t="shared" si="108"/>
        <v>6</v>
      </c>
    </row>
    <row r="341" outlineLevel="1">
      <c r="A341" s="216" t="s">
        <v>305</v>
      </c>
      <c r="B341" s="176">
        <v>0.0</v>
      </c>
      <c r="C341" s="176">
        <v>0.0</v>
      </c>
      <c r="D341" s="176">
        <v>1.0</v>
      </c>
      <c r="E341" s="176">
        <v>0.0</v>
      </c>
      <c r="F341" s="176">
        <v>0.0</v>
      </c>
      <c r="G341" s="176">
        <v>0.0</v>
      </c>
      <c r="H341" s="176">
        <v>0.0</v>
      </c>
      <c r="I341" s="176">
        <v>0.0</v>
      </c>
      <c r="J341" s="176">
        <v>0.0</v>
      </c>
      <c r="K341" s="176">
        <v>0.0</v>
      </c>
      <c r="L341" s="176">
        <v>0.0</v>
      </c>
      <c r="M341" s="176">
        <v>0.0</v>
      </c>
      <c r="N341" s="176">
        <v>0.0</v>
      </c>
      <c r="O341" s="176">
        <v>0.0</v>
      </c>
      <c r="P341" s="176">
        <v>1.0</v>
      </c>
      <c r="Q341" s="176">
        <v>0.0</v>
      </c>
      <c r="R341" s="176">
        <v>0.0</v>
      </c>
      <c r="S341" s="176">
        <v>0.0</v>
      </c>
      <c r="T341" s="176">
        <v>0.0</v>
      </c>
      <c r="U341" s="176">
        <v>0.0</v>
      </c>
      <c r="V341" s="176">
        <v>0.0</v>
      </c>
      <c r="W341" s="176">
        <v>0.0</v>
      </c>
      <c r="X341" s="176">
        <v>0.0</v>
      </c>
      <c r="Y341" s="176">
        <v>0.0</v>
      </c>
      <c r="Z341" s="233">
        <v>0.0</v>
      </c>
      <c r="AA341" s="176">
        <v>0.0</v>
      </c>
      <c r="AB341" s="176">
        <v>0.0</v>
      </c>
      <c r="AC341" s="176">
        <v>0.0</v>
      </c>
      <c r="AD341" s="176">
        <v>0.0</v>
      </c>
      <c r="AE341" s="176">
        <v>0.0</v>
      </c>
      <c r="AF341" s="176">
        <v>0.0</v>
      </c>
      <c r="AG341" s="143">
        <f t="shared" si="108"/>
        <v>2</v>
      </c>
    </row>
    <row r="342" outlineLevel="1">
      <c r="A342" s="216" t="s">
        <v>306</v>
      </c>
      <c r="B342" s="176">
        <v>0.0</v>
      </c>
      <c r="C342" s="176">
        <v>0.0</v>
      </c>
      <c r="D342" s="176">
        <v>1.0</v>
      </c>
      <c r="E342" s="176">
        <v>1.0</v>
      </c>
      <c r="F342" s="176">
        <v>0.0</v>
      </c>
      <c r="G342" s="176">
        <v>0.0</v>
      </c>
      <c r="H342" s="176">
        <v>0.0</v>
      </c>
      <c r="I342" s="176">
        <v>0.0</v>
      </c>
      <c r="J342" s="176">
        <v>3.0</v>
      </c>
      <c r="K342" s="176">
        <v>0.0</v>
      </c>
      <c r="L342" s="176">
        <v>2.0</v>
      </c>
      <c r="M342" s="176">
        <v>1.0</v>
      </c>
      <c r="N342" s="176">
        <v>0.0</v>
      </c>
      <c r="O342" s="176">
        <v>0.0</v>
      </c>
      <c r="P342" s="176">
        <v>3.0</v>
      </c>
      <c r="Q342" s="176">
        <v>0.0</v>
      </c>
      <c r="R342" s="176">
        <v>1.0</v>
      </c>
      <c r="S342" s="176">
        <v>0.0</v>
      </c>
      <c r="T342" s="176">
        <v>0.0</v>
      </c>
      <c r="U342" s="176">
        <v>0.0</v>
      </c>
      <c r="V342" s="176">
        <v>0.0</v>
      </c>
      <c r="W342" s="176">
        <v>1.0</v>
      </c>
      <c r="X342" s="176">
        <v>0.0</v>
      </c>
      <c r="Y342" s="176">
        <v>4.0</v>
      </c>
      <c r="Z342" s="233">
        <v>0.0</v>
      </c>
      <c r="AA342" s="176">
        <v>1.0</v>
      </c>
      <c r="AB342" s="176">
        <v>0.0</v>
      </c>
      <c r="AC342" s="176">
        <v>0.0</v>
      </c>
      <c r="AD342" s="176">
        <v>3.0</v>
      </c>
      <c r="AE342" s="176">
        <v>2.0</v>
      </c>
      <c r="AF342" s="176">
        <v>1.0</v>
      </c>
      <c r="AG342" s="143">
        <f t="shared" si="108"/>
        <v>24</v>
      </c>
    </row>
    <row r="343" outlineLevel="1">
      <c r="A343" s="216" t="s">
        <v>307</v>
      </c>
      <c r="B343" s="176">
        <v>0.0</v>
      </c>
      <c r="C343" s="176">
        <v>1.0</v>
      </c>
      <c r="D343" s="176">
        <v>0.0</v>
      </c>
      <c r="E343" s="176">
        <v>2.0</v>
      </c>
      <c r="F343" s="176">
        <v>0.0</v>
      </c>
      <c r="G343" s="176">
        <v>0.0</v>
      </c>
      <c r="H343" s="176">
        <v>0.0</v>
      </c>
      <c r="I343" s="176">
        <v>0.0</v>
      </c>
      <c r="J343" s="176">
        <v>1.0</v>
      </c>
      <c r="K343" s="176">
        <v>1.0</v>
      </c>
      <c r="L343" s="176">
        <v>0.0</v>
      </c>
      <c r="M343" s="176">
        <v>0.0</v>
      </c>
      <c r="N343" s="176">
        <v>0.0</v>
      </c>
      <c r="O343" s="176">
        <v>0.0</v>
      </c>
      <c r="P343" s="176">
        <v>0.0</v>
      </c>
      <c r="Q343" s="176">
        <v>0.0</v>
      </c>
      <c r="R343" s="176">
        <v>0.0</v>
      </c>
      <c r="S343" s="176">
        <v>0.0</v>
      </c>
      <c r="T343" s="176">
        <v>0.0</v>
      </c>
      <c r="U343" s="176">
        <v>0.0</v>
      </c>
      <c r="V343" s="176">
        <v>0.0</v>
      </c>
      <c r="W343" s="176">
        <v>0.0</v>
      </c>
      <c r="X343" s="176">
        <v>0.0</v>
      </c>
      <c r="Y343" s="176">
        <v>0.0</v>
      </c>
      <c r="Z343" s="233">
        <v>0.0</v>
      </c>
      <c r="AA343" s="176">
        <v>0.0</v>
      </c>
      <c r="AB343" s="176">
        <v>0.0</v>
      </c>
      <c r="AC343" s="176">
        <v>0.0</v>
      </c>
      <c r="AD343" s="176">
        <v>0.0</v>
      </c>
      <c r="AE343" s="176">
        <v>0.0</v>
      </c>
      <c r="AF343" s="176">
        <v>0.0</v>
      </c>
      <c r="AG343" s="143">
        <f t="shared" si="108"/>
        <v>5</v>
      </c>
    </row>
    <row r="344" outlineLevel="1">
      <c r="A344" s="216" t="s">
        <v>308</v>
      </c>
      <c r="B344" s="176">
        <v>0.0</v>
      </c>
      <c r="C344" s="176">
        <v>0.0</v>
      </c>
      <c r="D344" s="176">
        <v>0.0</v>
      </c>
      <c r="E344" s="176">
        <v>0.0</v>
      </c>
      <c r="F344" s="176">
        <v>0.0</v>
      </c>
      <c r="G344" s="176">
        <v>0.0</v>
      </c>
      <c r="H344" s="176">
        <v>0.0</v>
      </c>
      <c r="I344" s="176">
        <v>2.0</v>
      </c>
      <c r="J344" s="176">
        <v>0.0</v>
      </c>
      <c r="K344" s="176">
        <v>0.0</v>
      </c>
      <c r="L344" s="176">
        <v>0.0</v>
      </c>
      <c r="M344" s="176">
        <v>0.0</v>
      </c>
      <c r="N344" s="176">
        <v>0.0</v>
      </c>
      <c r="O344" s="176">
        <v>0.0</v>
      </c>
      <c r="P344" s="176">
        <v>0.0</v>
      </c>
      <c r="Q344" s="176">
        <v>0.0</v>
      </c>
      <c r="R344" s="176">
        <v>0.0</v>
      </c>
      <c r="S344" s="176">
        <v>0.0</v>
      </c>
      <c r="T344" s="176">
        <v>1.0</v>
      </c>
      <c r="U344" s="176">
        <v>0.0</v>
      </c>
      <c r="V344" s="176">
        <v>0.0</v>
      </c>
      <c r="W344" s="176">
        <v>0.0</v>
      </c>
      <c r="X344" s="176">
        <v>0.0</v>
      </c>
      <c r="Y344" s="176">
        <v>1.0</v>
      </c>
      <c r="Z344" s="233">
        <v>0.0</v>
      </c>
      <c r="AA344" s="176">
        <v>0.0</v>
      </c>
      <c r="AB344" s="176">
        <v>0.0</v>
      </c>
      <c r="AC344" s="176">
        <v>0.0</v>
      </c>
      <c r="AD344" s="176">
        <v>0.0</v>
      </c>
      <c r="AE344" s="176">
        <v>0.0</v>
      </c>
      <c r="AF344" s="176">
        <v>0.0</v>
      </c>
      <c r="AG344" s="143">
        <f t="shared" si="108"/>
        <v>4</v>
      </c>
    </row>
    <row r="345" outlineLevel="1">
      <c r="A345" s="216" t="s">
        <v>309</v>
      </c>
      <c r="B345" s="176">
        <v>0.0</v>
      </c>
      <c r="C345" s="176">
        <v>0.0</v>
      </c>
      <c r="D345" s="176">
        <v>0.0</v>
      </c>
      <c r="E345" s="176">
        <v>0.0</v>
      </c>
      <c r="F345" s="176">
        <v>0.0</v>
      </c>
      <c r="G345" s="176">
        <v>0.0</v>
      </c>
      <c r="H345" s="176">
        <v>0.0</v>
      </c>
      <c r="I345" s="176">
        <v>0.0</v>
      </c>
      <c r="J345" s="176">
        <v>2.0</v>
      </c>
      <c r="K345" s="176">
        <v>1.0</v>
      </c>
      <c r="L345" s="176">
        <v>0.0</v>
      </c>
      <c r="M345" s="176">
        <v>0.0</v>
      </c>
      <c r="N345" s="176">
        <v>0.0</v>
      </c>
      <c r="O345" s="176">
        <v>0.0</v>
      </c>
      <c r="P345" s="176">
        <v>1.0</v>
      </c>
      <c r="Q345" s="176">
        <v>0.0</v>
      </c>
      <c r="R345" s="176">
        <v>1.0</v>
      </c>
      <c r="S345" s="176">
        <v>0.0</v>
      </c>
      <c r="T345" s="176">
        <v>0.0</v>
      </c>
      <c r="U345" s="176">
        <v>0.0</v>
      </c>
      <c r="V345" s="176">
        <v>0.0</v>
      </c>
      <c r="W345" s="176">
        <v>0.0</v>
      </c>
      <c r="X345" s="176">
        <v>0.0</v>
      </c>
      <c r="Y345" s="176">
        <v>0.0</v>
      </c>
      <c r="Z345" s="233">
        <v>0.0</v>
      </c>
      <c r="AA345" s="176">
        <v>0.0</v>
      </c>
      <c r="AB345" s="176">
        <v>0.0</v>
      </c>
      <c r="AC345" s="176">
        <v>0.0</v>
      </c>
      <c r="AD345" s="176">
        <v>1.0</v>
      </c>
      <c r="AE345" s="176">
        <v>0.0</v>
      </c>
      <c r="AF345" s="176">
        <v>2.0</v>
      </c>
      <c r="AG345" s="143">
        <f t="shared" si="108"/>
        <v>8</v>
      </c>
    </row>
    <row r="346">
      <c r="A346" s="220" t="s">
        <v>130</v>
      </c>
      <c r="B346" s="235">
        <f t="shared" ref="B346:AF346" si="109">SUM(B338:B345)</f>
        <v>0</v>
      </c>
      <c r="C346" s="235">
        <f t="shared" si="109"/>
        <v>3</v>
      </c>
      <c r="D346" s="235">
        <f t="shared" si="109"/>
        <v>3</v>
      </c>
      <c r="E346" s="235">
        <f t="shared" si="109"/>
        <v>5</v>
      </c>
      <c r="F346" s="235">
        <f t="shared" si="109"/>
        <v>0</v>
      </c>
      <c r="G346" s="235">
        <f t="shared" si="109"/>
        <v>0</v>
      </c>
      <c r="H346" s="235">
        <f t="shared" si="109"/>
        <v>0</v>
      </c>
      <c r="I346" s="235">
        <f t="shared" si="109"/>
        <v>4</v>
      </c>
      <c r="J346" s="235">
        <f t="shared" si="109"/>
        <v>10</v>
      </c>
      <c r="K346" s="235">
        <f t="shared" si="109"/>
        <v>6</v>
      </c>
      <c r="L346" s="235">
        <f t="shared" si="109"/>
        <v>3</v>
      </c>
      <c r="M346" s="235">
        <f t="shared" si="109"/>
        <v>3</v>
      </c>
      <c r="N346" s="235">
        <f t="shared" si="109"/>
        <v>0</v>
      </c>
      <c r="O346" s="235">
        <f t="shared" si="109"/>
        <v>0</v>
      </c>
      <c r="P346" s="235">
        <f t="shared" si="109"/>
        <v>13</v>
      </c>
      <c r="Q346" s="235">
        <f t="shared" si="109"/>
        <v>1</v>
      </c>
      <c r="R346" s="235">
        <f t="shared" si="109"/>
        <v>3</v>
      </c>
      <c r="S346" s="235">
        <f t="shared" si="109"/>
        <v>0</v>
      </c>
      <c r="T346" s="235">
        <f t="shared" si="109"/>
        <v>4</v>
      </c>
      <c r="U346" s="235">
        <f t="shared" si="109"/>
        <v>0</v>
      </c>
      <c r="V346" s="235">
        <f t="shared" si="109"/>
        <v>0</v>
      </c>
      <c r="W346" s="235">
        <f t="shared" si="109"/>
        <v>2</v>
      </c>
      <c r="X346" s="235">
        <f t="shared" si="109"/>
        <v>0</v>
      </c>
      <c r="Y346" s="235">
        <f t="shared" si="109"/>
        <v>12</v>
      </c>
      <c r="Z346" s="235">
        <f t="shared" si="109"/>
        <v>0</v>
      </c>
      <c r="AA346" s="235">
        <f t="shared" si="109"/>
        <v>2</v>
      </c>
      <c r="AB346" s="235">
        <f t="shared" si="109"/>
        <v>0</v>
      </c>
      <c r="AC346" s="235">
        <f t="shared" si="109"/>
        <v>0</v>
      </c>
      <c r="AD346" s="235">
        <f t="shared" si="109"/>
        <v>9</v>
      </c>
      <c r="AE346" s="235">
        <f t="shared" si="109"/>
        <v>2</v>
      </c>
      <c r="AF346" s="235">
        <f t="shared" si="109"/>
        <v>9</v>
      </c>
      <c r="AG346" s="143">
        <f t="shared" si="108"/>
        <v>94</v>
      </c>
    </row>
    <row r="347">
      <c r="A347" s="98"/>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c r="AB347" s="176"/>
      <c r="AC347" s="176"/>
      <c r="AD347" s="176"/>
      <c r="AE347" s="176"/>
      <c r="AF347" s="176"/>
      <c r="AG347" s="143"/>
    </row>
    <row r="348">
      <c r="A348" s="216" t="s">
        <v>250</v>
      </c>
      <c r="B348" s="232"/>
      <c r="C348" s="232"/>
      <c r="D348" s="232"/>
      <c r="E348" s="232"/>
      <c r="F348" s="232"/>
      <c r="G348" s="232"/>
      <c r="H348" s="232"/>
      <c r="I348" s="232"/>
      <c r="J348" s="232"/>
      <c r="K348" s="232"/>
      <c r="L348" s="232"/>
      <c r="M348" s="232"/>
      <c r="N348" s="232"/>
      <c r="O348" s="232"/>
      <c r="P348" s="232"/>
      <c r="Q348" s="232"/>
      <c r="R348" s="232"/>
      <c r="S348" s="232"/>
      <c r="T348" s="232"/>
      <c r="U348" s="232"/>
      <c r="V348" s="232"/>
      <c r="W348" s="232"/>
      <c r="X348" s="232"/>
      <c r="Y348" s="232"/>
      <c r="Z348" s="232"/>
      <c r="AA348" s="232"/>
      <c r="AB348" s="232"/>
      <c r="AC348" s="232"/>
      <c r="AD348" s="232"/>
      <c r="AE348" s="232"/>
      <c r="AF348" s="232"/>
      <c r="AG348" s="143"/>
    </row>
    <row r="349" outlineLevel="1">
      <c r="A349" s="216" t="s">
        <v>197</v>
      </c>
      <c r="B349" s="176">
        <v>0.0</v>
      </c>
      <c r="C349" s="176">
        <v>0.0</v>
      </c>
      <c r="D349" s="176">
        <v>0.0</v>
      </c>
      <c r="E349" s="176">
        <v>0.0</v>
      </c>
      <c r="F349" s="176">
        <v>0.0</v>
      </c>
      <c r="G349" s="176">
        <v>0.0</v>
      </c>
      <c r="H349" s="176">
        <v>0.0</v>
      </c>
      <c r="I349" s="176">
        <v>0.0</v>
      </c>
      <c r="J349" s="176">
        <v>0.0</v>
      </c>
      <c r="K349" s="176">
        <v>0.0</v>
      </c>
      <c r="L349" s="176">
        <v>0.0</v>
      </c>
      <c r="M349" s="176">
        <v>0.0</v>
      </c>
      <c r="N349" s="176">
        <v>0.0</v>
      </c>
      <c r="O349" s="176">
        <v>0.0</v>
      </c>
      <c r="P349" s="176">
        <v>0.0</v>
      </c>
      <c r="Q349" s="176">
        <v>0.0</v>
      </c>
      <c r="R349" s="176">
        <v>0.0</v>
      </c>
      <c r="S349" s="176">
        <v>0.0</v>
      </c>
      <c r="T349" s="176">
        <v>0.0</v>
      </c>
      <c r="U349" s="176">
        <v>0.0</v>
      </c>
      <c r="V349" s="176">
        <v>0.0</v>
      </c>
      <c r="W349" s="176">
        <v>3.0</v>
      </c>
      <c r="X349" s="176">
        <v>0.0</v>
      </c>
      <c r="Y349" s="176">
        <v>0.0</v>
      </c>
      <c r="Z349" s="233">
        <v>0.0</v>
      </c>
      <c r="AA349" s="176">
        <v>0.0</v>
      </c>
      <c r="AB349" s="176">
        <v>0.0</v>
      </c>
      <c r="AC349" s="176">
        <v>0.0</v>
      </c>
      <c r="AD349" s="176">
        <v>0.0</v>
      </c>
      <c r="AE349" s="176">
        <v>1.0</v>
      </c>
      <c r="AF349" s="176">
        <v>0.0</v>
      </c>
      <c r="AG349" s="143">
        <f t="shared" ref="AG349:AG357" si="110">SUM(B349:AF349)</f>
        <v>4</v>
      </c>
    </row>
    <row r="350" outlineLevel="1">
      <c r="A350" s="216" t="s">
        <v>198</v>
      </c>
      <c r="B350" s="176">
        <v>0.0</v>
      </c>
      <c r="C350" s="176">
        <v>0.0</v>
      </c>
      <c r="D350" s="176">
        <v>0.0</v>
      </c>
      <c r="E350" s="176">
        <v>0.0</v>
      </c>
      <c r="F350" s="176">
        <v>0.0</v>
      </c>
      <c r="G350" s="176">
        <v>0.0</v>
      </c>
      <c r="H350" s="176">
        <v>0.0</v>
      </c>
      <c r="I350" s="176">
        <v>0.0</v>
      </c>
      <c r="J350" s="176">
        <v>0.0</v>
      </c>
      <c r="K350" s="176">
        <v>0.0</v>
      </c>
      <c r="L350" s="176">
        <v>0.0</v>
      </c>
      <c r="M350" s="176">
        <v>0.0</v>
      </c>
      <c r="N350" s="176">
        <v>0.0</v>
      </c>
      <c r="O350" s="176">
        <v>0.0</v>
      </c>
      <c r="P350" s="176">
        <v>0.0</v>
      </c>
      <c r="Q350" s="176">
        <v>0.0</v>
      </c>
      <c r="R350" s="176">
        <v>0.0</v>
      </c>
      <c r="S350" s="176">
        <v>0.0</v>
      </c>
      <c r="T350" s="176">
        <v>0.0</v>
      </c>
      <c r="U350" s="176">
        <v>0.0</v>
      </c>
      <c r="V350" s="176">
        <v>0.0</v>
      </c>
      <c r="W350" s="176">
        <v>2.0</v>
      </c>
      <c r="X350" s="176">
        <v>0.0</v>
      </c>
      <c r="Y350" s="176">
        <v>0.0</v>
      </c>
      <c r="Z350" s="233">
        <v>0.0</v>
      </c>
      <c r="AA350" s="176">
        <v>0.0</v>
      </c>
      <c r="AB350" s="176">
        <v>0.0</v>
      </c>
      <c r="AC350" s="176">
        <v>0.0</v>
      </c>
      <c r="AD350" s="176">
        <v>0.0</v>
      </c>
      <c r="AE350" s="176">
        <v>0.0</v>
      </c>
      <c r="AF350" s="176">
        <v>0.0</v>
      </c>
      <c r="AG350" s="143">
        <f t="shared" si="110"/>
        <v>2</v>
      </c>
    </row>
    <row r="351" outlineLevel="1">
      <c r="A351" s="216" t="s">
        <v>310</v>
      </c>
      <c r="B351" s="176">
        <v>0.0</v>
      </c>
      <c r="C351" s="176">
        <v>0.0</v>
      </c>
      <c r="D351" s="176">
        <v>0.0</v>
      </c>
      <c r="E351" s="176">
        <v>0.0</v>
      </c>
      <c r="F351" s="176">
        <v>0.0</v>
      </c>
      <c r="G351" s="176">
        <v>0.0</v>
      </c>
      <c r="H351" s="176">
        <v>0.0</v>
      </c>
      <c r="I351" s="176">
        <v>0.0</v>
      </c>
      <c r="J351" s="176">
        <v>0.0</v>
      </c>
      <c r="K351" s="176">
        <v>0.0</v>
      </c>
      <c r="L351" s="176">
        <v>0.0</v>
      </c>
      <c r="M351" s="176">
        <v>0.0</v>
      </c>
      <c r="N351" s="176">
        <v>0.0</v>
      </c>
      <c r="O351" s="176">
        <v>0.0</v>
      </c>
      <c r="P351" s="176">
        <v>0.0</v>
      </c>
      <c r="Q351" s="176">
        <v>0.0</v>
      </c>
      <c r="R351" s="176">
        <v>0.0</v>
      </c>
      <c r="S351" s="176">
        <v>0.0</v>
      </c>
      <c r="T351" s="176">
        <v>0.0</v>
      </c>
      <c r="U351" s="176">
        <v>0.0</v>
      </c>
      <c r="V351" s="176">
        <v>0.0</v>
      </c>
      <c r="W351" s="176">
        <v>1.0</v>
      </c>
      <c r="X351" s="176">
        <v>0.0</v>
      </c>
      <c r="Y351" s="176">
        <v>0.0</v>
      </c>
      <c r="Z351" s="233">
        <v>0.0</v>
      </c>
      <c r="AA351" s="176">
        <v>0.0</v>
      </c>
      <c r="AB351" s="176">
        <v>0.0</v>
      </c>
      <c r="AC351" s="176">
        <v>0.0</v>
      </c>
      <c r="AD351" s="176">
        <v>1.0</v>
      </c>
      <c r="AE351" s="176">
        <v>0.0</v>
      </c>
      <c r="AF351" s="176">
        <v>0.0</v>
      </c>
      <c r="AG351" s="143">
        <f t="shared" si="110"/>
        <v>2</v>
      </c>
    </row>
    <row r="352" outlineLevel="1">
      <c r="A352" s="216" t="s">
        <v>311</v>
      </c>
      <c r="B352" s="176">
        <v>0.0</v>
      </c>
      <c r="C352" s="176">
        <v>0.0</v>
      </c>
      <c r="D352" s="176">
        <v>0.0</v>
      </c>
      <c r="E352" s="176">
        <v>0.0</v>
      </c>
      <c r="F352" s="176">
        <v>0.0</v>
      </c>
      <c r="G352" s="176">
        <v>0.0</v>
      </c>
      <c r="H352" s="176">
        <v>0.0</v>
      </c>
      <c r="I352" s="176">
        <v>0.0</v>
      </c>
      <c r="J352" s="176">
        <v>0.0</v>
      </c>
      <c r="K352" s="176">
        <v>0.0</v>
      </c>
      <c r="L352" s="176">
        <v>0.0</v>
      </c>
      <c r="M352" s="176">
        <v>0.0</v>
      </c>
      <c r="N352" s="176">
        <v>0.0</v>
      </c>
      <c r="O352" s="176">
        <v>0.0</v>
      </c>
      <c r="P352" s="176">
        <v>0.0</v>
      </c>
      <c r="Q352" s="176">
        <v>0.0</v>
      </c>
      <c r="R352" s="176">
        <v>0.0</v>
      </c>
      <c r="S352" s="176">
        <v>0.0</v>
      </c>
      <c r="T352" s="176">
        <v>0.0</v>
      </c>
      <c r="U352" s="176">
        <v>0.0</v>
      </c>
      <c r="V352" s="176">
        <v>0.0</v>
      </c>
      <c r="W352" s="176">
        <v>2.0</v>
      </c>
      <c r="X352" s="176">
        <v>0.0</v>
      </c>
      <c r="Y352" s="176">
        <v>0.0</v>
      </c>
      <c r="Z352" s="233">
        <v>0.0</v>
      </c>
      <c r="AA352" s="176">
        <v>0.0</v>
      </c>
      <c r="AB352" s="176">
        <v>0.0</v>
      </c>
      <c r="AC352" s="176">
        <v>0.0</v>
      </c>
      <c r="AD352" s="176">
        <v>0.0</v>
      </c>
      <c r="AE352" s="176">
        <v>0.0</v>
      </c>
      <c r="AF352" s="176">
        <v>0.0</v>
      </c>
      <c r="AG352" s="143">
        <f t="shared" si="110"/>
        <v>2</v>
      </c>
    </row>
    <row r="353" outlineLevel="1">
      <c r="A353" s="216" t="s">
        <v>312</v>
      </c>
      <c r="B353" s="176">
        <v>0.0</v>
      </c>
      <c r="C353" s="176">
        <v>0.0</v>
      </c>
      <c r="D353" s="176">
        <v>0.0</v>
      </c>
      <c r="E353" s="176">
        <v>0.0</v>
      </c>
      <c r="F353" s="176">
        <v>0.0</v>
      </c>
      <c r="G353" s="176">
        <v>0.0</v>
      </c>
      <c r="H353" s="176">
        <v>0.0</v>
      </c>
      <c r="I353" s="176">
        <v>0.0</v>
      </c>
      <c r="J353" s="176">
        <v>0.0</v>
      </c>
      <c r="K353" s="176">
        <v>0.0</v>
      </c>
      <c r="L353" s="176">
        <v>0.0</v>
      </c>
      <c r="M353" s="176">
        <v>0.0</v>
      </c>
      <c r="N353" s="176">
        <v>0.0</v>
      </c>
      <c r="O353" s="176">
        <v>0.0</v>
      </c>
      <c r="P353" s="176">
        <v>1.0</v>
      </c>
      <c r="Q353" s="176">
        <v>1.0</v>
      </c>
      <c r="R353" s="176">
        <v>0.0</v>
      </c>
      <c r="S353" s="176">
        <v>0.0</v>
      </c>
      <c r="T353" s="176">
        <v>0.0</v>
      </c>
      <c r="U353" s="176">
        <v>0.0</v>
      </c>
      <c r="V353" s="176">
        <v>0.0</v>
      </c>
      <c r="W353" s="176">
        <v>3.0</v>
      </c>
      <c r="X353" s="176">
        <v>0.0</v>
      </c>
      <c r="Y353" s="176">
        <v>0.0</v>
      </c>
      <c r="Z353" s="233">
        <v>0.0</v>
      </c>
      <c r="AA353" s="176">
        <v>0.0</v>
      </c>
      <c r="AB353" s="176">
        <v>0.0</v>
      </c>
      <c r="AC353" s="176">
        <v>0.0</v>
      </c>
      <c r="AD353" s="176">
        <v>0.0</v>
      </c>
      <c r="AE353" s="176">
        <v>0.0</v>
      </c>
      <c r="AF353" s="176">
        <v>0.0</v>
      </c>
      <c r="AG353" s="143">
        <f t="shared" si="110"/>
        <v>5</v>
      </c>
    </row>
    <row r="354" outlineLevel="1">
      <c r="A354" s="216" t="s">
        <v>313</v>
      </c>
      <c r="B354" s="176">
        <v>0.0</v>
      </c>
      <c r="C354" s="176">
        <v>0.0</v>
      </c>
      <c r="D354" s="176">
        <v>0.0</v>
      </c>
      <c r="E354" s="176">
        <v>0.0</v>
      </c>
      <c r="F354" s="176">
        <v>0.0</v>
      </c>
      <c r="G354" s="176">
        <v>0.0</v>
      </c>
      <c r="H354" s="176">
        <v>0.0</v>
      </c>
      <c r="I354" s="176">
        <v>1.0</v>
      </c>
      <c r="J354" s="176">
        <v>0.0</v>
      </c>
      <c r="K354" s="176">
        <v>0.0</v>
      </c>
      <c r="L354" s="176">
        <v>0.0</v>
      </c>
      <c r="M354" s="176">
        <v>0.0</v>
      </c>
      <c r="N354" s="176">
        <v>0.0</v>
      </c>
      <c r="O354" s="176">
        <v>0.0</v>
      </c>
      <c r="P354" s="176">
        <v>0.0</v>
      </c>
      <c r="Q354" s="176">
        <v>0.0</v>
      </c>
      <c r="R354" s="176">
        <v>0.0</v>
      </c>
      <c r="S354" s="176">
        <v>0.0</v>
      </c>
      <c r="T354" s="176">
        <v>0.0</v>
      </c>
      <c r="U354" s="176">
        <v>0.0</v>
      </c>
      <c r="V354" s="176">
        <v>0.0</v>
      </c>
      <c r="W354" s="176">
        <v>0.0</v>
      </c>
      <c r="X354" s="176">
        <v>0.0</v>
      </c>
      <c r="Y354" s="176">
        <v>0.0</v>
      </c>
      <c r="Z354" s="233">
        <v>0.0</v>
      </c>
      <c r="AA354" s="176">
        <v>0.0</v>
      </c>
      <c r="AB354" s="176">
        <v>0.0</v>
      </c>
      <c r="AC354" s="176">
        <v>0.0</v>
      </c>
      <c r="AD354" s="176">
        <v>0.0</v>
      </c>
      <c r="AE354" s="176">
        <v>0.0</v>
      </c>
      <c r="AF354" s="176">
        <v>0.0</v>
      </c>
      <c r="AG354" s="143">
        <f t="shared" si="110"/>
        <v>1</v>
      </c>
    </row>
    <row r="355" outlineLevel="1">
      <c r="A355" s="216" t="s">
        <v>314</v>
      </c>
      <c r="B355" s="176">
        <v>0.0</v>
      </c>
      <c r="C355" s="176">
        <v>0.0</v>
      </c>
      <c r="D355" s="176">
        <v>0.0</v>
      </c>
      <c r="E355" s="176">
        <v>0.0</v>
      </c>
      <c r="F355" s="176">
        <v>0.0</v>
      </c>
      <c r="G355" s="176">
        <v>0.0</v>
      </c>
      <c r="H355" s="176">
        <v>0.0</v>
      </c>
      <c r="I355" s="176">
        <v>0.0</v>
      </c>
      <c r="J355" s="176">
        <v>0.0</v>
      </c>
      <c r="K355" s="176">
        <v>0.0</v>
      </c>
      <c r="L355" s="176">
        <v>0.0</v>
      </c>
      <c r="M355" s="176">
        <v>0.0</v>
      </c>
      <c r="N355" s="176">
        <v>0.0</v>
      </c>
      <c r="O355" s="176">
        <v>0.0</v>
      </c>
      <c r="P355" s="176">
        <v>1.0</v>
      </c>
      <c r="Q355" s="176">
        <v>0.0</v>
      </c>
      <c r="R355" s="176">
        <v>0.0</v>
      </c>
      <c r="S355" s="176">
        <v>0.0</v>
      </c>
      <c r="T355" s="176">
        <v>0.0</v>
      </c>
      <c r="U355" s="176">
        <v>0.0</v>
      </c>
      <c r="V355" s="176">
        <v>0.0</v>
      </c>
      <c r="W355" s="176">
        <v>0.0</v>
      </c>
      <c r="X355" s="176">
        <v>0.0</v>
      </c>
      <c r="Y355" s="176">
        <v>0.0</v>
      </c>
      <c r="Z355" s="233">
        <v>0.0</v>
      </c>
      <c r="AA355" s="176">
        <v>0.0</v>
      </c>
      <c r="AB355" s="176">
        <v>0.0</v>
      </c>
      <c r="AC355" s="176">
        <v>0.0</v>
      </c>
      <c r="AD355" s="176">
        <v>0.0</v>
      </c>
      <c r="AE355" s="176">
        <v>0.0</v>
      </c>
      <c r="AF355" s="176">
        <v>0.0</v>
      </c>
      <c r="AG355" s="143">
        <f t="shared" si="110"/>
        <v>1</v>
      </c>
    </row>
    <row r="356" outlineLevel="1">
      <c r="A356" s="216" t="s">
        <v>315</v>
      </c>
      <c r="B356" s="176">
        <v>0.0</v>
      </c>
      <c r="C356" s="176">
        <v>0.0</v>
      </c>
      <c r="D356" s="176">
        <v>0.0</v>
      </c>
      <c r="E356" s="176">
        <v>0.0</v>
      </c>
      <c r="F356" s="176">
        <v>0.0</v>
      </c>
      <c r="G356" s="176">
        <v>0.0</v>
      </c>
      <c r="H356" s="176">
        <v>0.0</v>
      </c>
      <c r="I356" s="176">
        <v>0.0</v>
      </c>
      <c r="J356" s="176">
        <v>0.0</v>
      </c>
      <c r="K356" s="176">
        <v>0.0</v>
      </c>
      <c r="L356" s="176">
        <v>0.0</v>
      </c>
      <c r="M356" s="176">
        <v>0.0</v>
      </c>
      <c r="N356" s="176">
        <v>0.0</v>
      </c>
      <c r="O356" s="176">
        <v>0.0</v>
      </c>
      <c r="P356" s="176">
        <v>0.0</v>
      </c>
      <c r="Q356" s="176">
        <v>0.0</v>
      </c>
      <c r="R356" s="176">
        <v>0.0</v>
      </c>
      <c r="S356" s="176">
        <v>0.0</v>
      </c>
      <c r="T356" s="176">
        <v>0.0</v>
      </c>
      <c r="U356" s="176">
        <v>0.0</v>
      </c>
      <c r="V356" s="176">
        <v>0.0</v>
      </c>
      <c r="W356" s="176">
        <v>4.0</v>
      </c>
      <c r="X356" s="176">
        <v>0.0</v>
      </c>
      <c r="Y356" s="176">
        <v>0.0</v>
      </c>
      <c r="Z356" s="233">
        <v>0.0</v>
      </c>
      <c r="AA356" s="176">
        <v>0.0</v>
      </c>
      <c r="AB356" s="176">
        <v>0.0</v>
      </c>
      <c r="AC356" s="176">
        <v>0.0</v>
      </c>
      <c r="AD356" s="176">
        <v>0.0</v>
      </c>
      <c r="AE356" s="176">
        <v>0.0</v>
      </c>
      <c r="AF356" s="176">
        <v>0.0</v>
      </c>
      <c r="AG356" s="143">
        <f t="shared" si="110"/>
        <v>4</v>
      </c>
    </row>
    <row r="357">
      <c r="A357" s="220" t="s">
        <v>130</v>
      </c>
      <c r="B357" s="235">
        <f t="shared" ref="B357:AF357" si="111">SUM(B349:B356)</f>
        <v>0</v>
      </c>
      <c r="C357" s="235">
        <f t="shared" si="111"/>
        <v>0</v>
      </c>
      <c r="D357" s="235">
        <f t="shared" si="111"/>
        <v>0</v>
      </c>
      <c r="E357" s="235">
        <f t="shared" si="111"/>
        <v>0</v>
      </c>
      <c r="F357" s="235">
        <f t="shared" si="111"/>
        <v>0</v>
      </c>
      <c r="G357" s="235">
        <f t="shared" si="111"/>
        <v>0</v>
      </c>
      <c r="H357" s="235">
        <f t="shared" si="111"/>
        <v>0</v>
      </c>
      <c r="I357" s="235">
        <f t="shared" si="111"/>
        <v>1</v>
      </c>
      <c r="J357" s="235">
        <f t="shared" si="111"/>
        <v>0</v>
      </c>
      <c r="K357" s="235">
        <f t="shared" si="111"/>
        <v>0</v>
      </c>
      <c r="L357" s="235">
        <f t="shared" si="111"/>
        <v>0</v>
      </c>
      <c r="M357" s="235">
        <f t="shared" si="111"/>
        <v>0</v>
      </c>
      <c r="N357" s="235">
        <f t="shared" si="111"/>
        <v>0</v>
      </c>
      <c r="O357" s="235">
        <f t="shared" si="111"/>
        <v>0</v>
      </c>
      <c r="P357" s="235">
        <f t="shared" si="111"/>
        <v>2</v>
      </c>
      <c r="Q357" s="235">
        <f t="shared" si="111"/>
        <v>1</v>
      </c>
      <c r="R357" s="235">
        <f t="shared" si="111"/>
        <v>0</v>
      </c>
      <c r="S357" s="235">
        <f t="shared" si="111"/>
        <v>0</v>
      </c>
      <c r="T357" s="235">
        <f t="shared" si="111"/>
        <v>0</v>
      </c>
      <c r="U357" s="235">
        <f t="shared" si="111"/>
        <v>0</v>
      </c>
      <c r="V357" s="235">
        <f t="shared" si="111"/>
        <v>0</v>
      </c>
      <c r="W357" s="235">
        <f t="shared" si="111"/>
        <v>15</v>
      </c>
      <c r="X357" s="235">
        <f t="shared" si="111"/>
        <v>0</v>
      </c>
      <c r="Y357" s="235">
        <f t="shared" si="111"/>
        <v>0</v>
      </c>
      <c r="Z357" s="235">
        <f t="shared" si="111"/>
        <v>0</v>
      </c>
      <c r="AA357" s="235">
        <f t="shared" si="111"/>
        <v>0</v>
      </c>
      <c r="AB357" s="235">
        <f t="shared" si="111"/>
        <v>0</v>
      </c>
      <c r="AC357" s="235">
        <f t="shared" si="111"/>
        <v>0</v>
      </c>
      <c r="AD357" s="235">
        <f t="shared" si="111"/>
        <v>1</v>
      </c>
      <c r="AE357" s="235">
        <f t="shared" si="111"/>
        <v>1</v>
      </c>
      <c r="AF357" s="235">
        <f t="shared" si="111"/>
        <v>0</v>
      </c>
      <c r="AG357" s="143">
        <f t="shared" si="110"/>
        <v>21</v>
      </c>
    </row>
    <row r="358">
      <c r="A358" s="23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c r="AA358" s="176"/>
      <c r="AB358" s="176"/>
      <c r="AC358" s="176"/>
      <c r="AD358" s="176"/>
      <c r="AE358" s="176"/>
      <c r="AF358" s="176"/>
      <c r="AG358" s="143"/>
    </row>
    <row r="359">
      <c r="A359" s="237" t="s">
        <v>316</v>
      </c>
      <c r="B359" s="235">
        <v>0.0</v>
      </c>
      <c r="C359" s="235">
        <v>23.0</v>
      </c>
      <c r="D359" s="235">
        <v>61.0</v>
      </c>
      <c r="E359" s="235">
        <v>41.0</v>
      </c>
      <c r="F359" s="235">
        <v>26.0</v>
      </c>
      <c r="G359" s="235">
        <v>0.0</v>
      </c>
      <c r="H359" s="235">
        <v>0.0</v>
      </c>
      <c r="I359" s="235">
        <v>0.0</v>
      </c>
      <c r="J359" s="235">
        <v>71.0</v>
      </c>
      <c r="K359" s="235">
        <v>16.0</v>
      </c>
      <c r="L359" s="235">
        <v>12.0</v>
      </c>
      <c r="M359" s="235">
        <v>11.0</v>
      </c>
      <c r="N359" s="235">
        <v>0.0</v>
      </c>
      <c r="O359" s="235">
        <v>0.0</v>
      </c>
      <c r="P359" s="235">
        <v>0.0</v>
      </c>
      <c r="Q359" s="235">
        <v>27.0</v>
      </c>
      <c r="R359" s="235">
        <v>26.0</v>
      </c>
      <c r="S359" s="235">
        <v>9.0</v>
      </c>
      <c r="T359" s="235">
        <v>33.0</v>
      </c>
      <c r="U359" s="235">
        <v>0.0</v>
      </c>
      <c r="V359" s="235">
        <v>0.0</v>
      </c>
      <c r="W359" s="235">
        <v>22.0</v>
      </c>
      <c r="X359" s="235">
        <v>0.0</v>
      </c>
      <c r="Y359" s="235">
        <v>58.0</v>
      </c>
      <c r="Z359" s="235">
        <v>12.0</v>
      </c>
      <c r="AA359" s="235">
        <v>28.0</v>
      </c>
      <c r="AB359" s="235">
        <v>0.0</v>
      </c>
      <c r="AC359" s="235">
        <v>0.0</v>
      </c>
      <c r="AD359" s="235">
        <v>31.0</v>
      </c>
      <c r="AE359" s="235">
        <v>30.0</v>
      </c>
      <c r="AF359" s="235">
        <v>21.0</v>
      </c>
      <c r="AG359" s="143">
        <f t="shared" ref="AG359:AG360" si="112">SUM(B359:AF359)</f>
        <v>558</v>
      </c>
    </row>
    <row r="360">
      <c r="A360" s="237" t="s">
        <v>317</v>
      </c>
      <c r="B360" s="235">
        <v>0.0</v>
      </c>
      <c r="C360" s="235">
        <v>0.0</v>
      </c>
      <c r="D360" s="235">
        <v>0.0</v>
      </c>
      <c r="E360" s="235">
        <v>0.0</v>
      </c>
      <c r="F360" s="235">
        <v>0.0</v>
      </c>
      <c r="G360" s="235">
        <v>0.0</v>
      </c>
      <c r="H360" s="235">
        <v>0.0</v>
      </c>
      <c r="I360" s="235">
        <v>0.0</v>
      </c>
      <c r="J360" s="235">
        <v>5.0</v>
      </c>
      <c r="K360" s="235">
        <v>0.0</v>
      </c>
      <c r="L360" s="235">
        <v>0.0</v>
      </c>
      <c r="M360" s="235">
        <v>10.0</v>
      </c>
      <c r="N360" s="235">
        <v>0.0</v>
      </c>
      <c r="O360" s="235">
        <v>0.0</v>
      </c>
      <c r="P360" s="235">
        <v>1.0</v>
      </c>
      <c r="Q360" s="235">
        <v>0.0</v>
      </c>
      <c r="R360" s="235">
        <v>0.0</v>
      </c>
      <c r="S360" s="235">
        <v>0.0</v>
      </c>
      <c r="T360" s="235">
        <v>0.0</v>
      </c>
      <c r="U360" s="235">
        <v>0.0</v>
      </c>
      <c r="V360" s="235">
        <v>0.0</v>
      </c>
      <c r="W360" s="235">
        <v>20.0</v>
      </c>
      <c r="X360" s="235">
        <v>0.0</v>
      </c>
      <c r="Y360" s="235">
        <v>0.0</v>
      </c>
      <c r="Z360" s="235">
        <v>0.0</v>
      </c>
      <c r="AA360" s="235">
        <v>0.0</v>
      </c>
      <c r="AB360" s="235">
        <v>0.0</v>
      </c>
      <c r="AC360" s="235">
        <v>0.0</v>
      </c>
      <c r="AD360" s="235">
        <v>0.0</v>
      </c>
      <c r="AE360" s="235">
        <v>10.0</v>
      </c>
      <c r="AF360" s="235">
        <v>0.0</v>
      </c>
      <c r="AG360" s="143">
        <f t="shared" si="112"/>
        <v>46</v>
      </c>
    </row>
    <row r="361">
      <c r="A361" s="17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209"/>
    </row>
    <row r="362">
      <c r="A362" s="147" t="s">
        <v>318</v>
      </c>
      <c r="AG362" s="209"/>
    </row>
    <row r="363">
      <c r="A363" s="222" t="s">
        <v>319</v>
      </c>
      <c r="B363" s="235">
        <v>0.0</v>
      </c>
      <c r="C363" s="235">
        <v>0.0</v>
      </c>
      <c r="D363" s="235">
        <v>0.0</v>
      </c>
      <c r="E363" s="235">
        <v>0.0</v>
      </c>
      <c r="F363" s="235">
        <v>9.0</v>
      </c>
      <c r="G363" s="235">
        <v>0.0</v>
      </c>
      <c r="H363" s="235">
        <v>0.0</v>
      </c>
      <c r="I363" s="235">
        <v>9.0</v>
      </c>
      <c r="J363" s="235">
        <v>1.0</v>
      </c>
      <c r="K363" s="235">
        <v>0.0</v>
      </c>
      <c r="L363" s="235">
        <v>2.0</v>
      </c>
      <c r="M363" s="235">
        <v>0.0</v>
      </c>
      <c r="N363" s="235">
        <v>0.0</v>
      </c>
      <c r="O363" s="235">
        <v>0.0</v>
      </c>
      <c r="P363" s="235">
        <v>0.0</v>
      </c>
      <c r="Q363" s="235">
        <v>0.0</v>
      </c>
      <c r="R363" s="235">
        <v>0.0</v>
      </c>
      <c r="S363" s="235">
        <v>0.0</v>
      </c>
      <c r="T363" s="235">
        <v>0.0</v>
      </c>
      <c r="U363" s="235">
        <v>0.0</v>
      </c>
      <c r="V363" s="235">
        <v>0.0</v>
      </c>
      <c r="W363" s="235">
        <v>2.0</v>
      </c>
      <c r="X363" s="235">
        <v>2.0</v>
      </c>
      <c r="Y363" s="235">
        <v>0.0</v>
      </c>
      <c r="Z363" s="235">
        <v>0.0</v>
      </c>
      <c r="AA363" s="235">
        <v>0.0</v>
      </c>
      <c r="AB363" s="235">
        <v>0.0</v>
      </c>
      <c r="AC363" s="235">
        <v>0.0</v>
      </c>
      <c r="AD363" s="235">
        <v>2.0</v>
      </c>
      <c r="AE363" s="235">
        <v>1.0</v>
      </c>
      <c r="AF363" s="235">
        <v>0.0</v>
      </c>
      <c r="AG363" s="143">
        <f t="shared" ref="AG363:AG364" si="113">SUM(B363:AF363)</f>
        <v>28</v>
      </c>
    </row>
    <row r="364">
      <c r="A364" s="222" t="s">
        <v>320</v>
      </c>
      <c r="B364" s="235">
        <v>0.0</v>
      </c>
      <c r="C364" s="235">
        <v>0.0</v>
      </c>
      <c r="D364" s="235">
        <v>0.0</v>
      </c>
      <c r="E364" s="235">
        <v>0.0</v>
      </c>
      <c r="F364" s="235">
        <v>3.0</v>
      </c>
      <c r="G364" s="235">
        <v>0.0</v>
      </c>
      <c r="H364" s="235">
        <v>0.0</v>
      </c>
      <c r="I364" s="235">
        <v>1.0</v>
      </c>
      <c r="J364" s="235">
        <v>0.0</v>
      </c>
      <c r="K364" s="235">
        <v>0.0</v>
      </c>
      <c r="L364" s="235">
        <v>0.0</v>
      </c>
      <c r="M364" s="235">
        <v>0.0</v>
      </c>
      <c r="N364" s="235">
        <v>0.0</v>
      </c>
      <c r="O364" s="235">
        <v>0.0</v>
      </c>
      <c r="P364" s="235">
        <v>2.0</v>
      </c>
      <c r="Q364" s="235">
        <v>0.0</v>
      </c>
      <c r="R364" s="235">
        <v>0.0</v>
      </c>
      <c r="S364" s="235">
        <v>0.0</v>
      </c>
      <c r="T364" s="235">
        <v>0.0</v>
      </c>
      <c r="U364" s="235">
        <v>0.0</v>
      </c>
      <c r="V364" s="235">
        <v>0.0</v>
      </c>
      <c r="W364" s="235">
        <v>1.0</v>
      </c>
      <c r="X364" s="235">
        <v>1.0</v>
      </c>
      <c r="Y364" s="235">
        <v>0.0</v>
      </c>
      <c r="Z364" s="235">
        <v>0.0</v>
      </c>
      <c r="AA364" s="235">
        <v>1.0</v>
      </c>
      <c r="AB364" s="235">
        <v>0.0</v>
      </c>
      <c r="AC364" s="235">
        <v>0.0</v>
      </c>
      <c r="AD364" s="235">
        <v>1.0</v>
      </c>
      <c r="AE364" s="235">
        <v>0.0</v>
      </c>
      <c r="AF364" s="235">
        <v>0.0</v>
      </c>
      <c r="AG364" s="143">
        <f t="shared" si="113"/>
        <v>10</v>
      </c>
    </row>
    <row r="365">
      <c r="A365" s="177"/>
      <c r="AG365" s="209"/>
    </row>
    <row r="366">
      <c r="A366" s="147" t="s">
        <v>321</v>
      </c>
      <c r="AG366" s="209"/>
    </row>
    <row r="367">
      <c r="A367" s="220" t="s">
        <v>322</v>
      </c>
      <c r="B367" s="222">
        <f t="shared" ref="B367:AF367" si="114">B466</f>
        <v>0</v>
      </c>
      <c r="C367" s="222">
        <f t="shared" si="114"/>
        <v>0</v>
      </c>
      <c r="D367" s="222">
        <f t="shared" si="114"/>
        <v>0</v>
      </c>
      <c r="E367" s="222">
        <f t="shared" si="114"/>
        <v>0</v>
      </c>
      <c r="F367" s="222">
        <f t="shared" si="114"/>
        <v>0</v>
      </c>
      <c r="G367" s="222">
        <f t="shared" si="114"/>
        <v>0</v>
      </c>
      <c r="H367" s="222">
        <f t="shared" si="114"/>
        <v>0</v>
      </c>
      <c r="I367" s="222">
        <f t="shared" si="114"/>
        <v>0</v>
      </c>
      <c r="J367" s="222">
        <f t="shared" si="114"/>
        <v>0</v>
      </c>
      <c r="K367" s="222">
        <f t="shared" si="114"/>
        <v>0</v>
      </c>
      <c r="L367" s="222">
        <f t="shared" si="114"/>
        <v>0</v>
      </c>
      <c r="M367" s="222">
        <f t="shared" si="114"/>
        <v>0</v>
      </c>
      <c r="N367" s="222">
        <f t="shared" si="114"/>
        <v>0</v>
      </c>
      <c r="O367" s="222">
        <f t="shared" si="114"/>
        <v>0</v>
      </c>
      <c r="P367" s="222">
        <f t="shared" si="114"/>
        <v>0</v>
      </c>
      <c r="Q367" s="222">
        <f t="shared" si="114"/>
        <v>0</v>
      </c>
      <c r="R367" s="222">
        <f t="shared" si="114"/>
        <v>0</v>
      </c>
      <c r="S367" s="222">
        <f t="shared" si="114"/>
        <v>0</v>
      </c>
      <c r="T367" s="222">
        <f t="shared" si="114"/>
        <v>0</v>
      </c>
      <c r="U367" s="222">
        <f t="shared" si="114"/>
        <v>0</v>
      </c>
      <c r="V367" s="222">
        <f t="shared" si="114"/>
        <v>0</v>
      </c>
      <c r="W367" s="222">
        <f t="shared" si="114"/>
        <v>0</v>
      </c>
      <c r="X367" s="222">
        <f t="shared" si="114"/>
        <v>0</v>
      </c>
      <c r="Y367" s="222">
        <f t="shared" si="114"/>
        <v>0</v>
      </c>
      <c r="Z367" s="222">
        <f t="shared" si="114"/>
        <v>0</v>
      </c>
      <c r="AA367" s="222">
        <f t="shared" si="114"/>
        <v>0</v>
      </c>
      <c r="AB367" s="222">
        <f t="shared" si="114"/>
        <v>0</v>
      </c>
      <c r="AC367" s="222">
        <f t="shared" si="114"/>
        <v>0</v>
      </c>
      <c r="AD367" s="222">
        <f t="shared" si="114"/>
        <v>0</v>
      </c>
      <c r="AE367" s="222">
        <f t="shared" si="114"/>
        <v>0</v>
      </c>
      <c r="AF367" s="238">
        <f t="shared" si="114"/>
        <v>0</v>
      </c>
      <c r="AG367" s="143">
        <f>SUM(B367:AF367)</f>
        <v>0</v>
      </c>
    </row>
    <row r="368">
      <c r="A368" s="177"/>
      <c r="AG368" s="209"/>
    </row>
    <row r="369">
      <c r="A369" s="239" t="s">
        <v>323</v>
      </c>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209"/>
    </row>
    <row r="370">
      <c r="A370" s="240" t="s">
        <v>324</v>
      </c>
      <c r="B370" s="241">
        <f t="shared" ref="B370:AF370" si="115">SUM(B25:B29)</f>
        <v>8141.217835</v>
      </c>
      <c r="C370" s="241">
        <f t="shared" si="115"/>
        <v>8077.536526</v>
      </c>
      <c r="D370" s="241">
        <f t="shared" si="115"/>
        <v>7613.937425</v>
      </c>
      <c r="E370" s="241">
        <f t="shared" si="115"/>
        <v>7433.402946</v>
      </c>
      <c r="F370" s="241">
        <f t="shared" si="115"/>
        <v>7248.80943</v>
      </c>
      <c r="G370" s="241">
        <f t="shared" si="115"/>
        <v>7076.099775</v>
      </c>
      <c r="H370" s="241">
        <f t="shared" si="115"/>
        <v>7485.79154</v>
      </c>
      <c r="I370" s="241">
        <f t="shared" si="115"/>
        <v>7208.022808</v>
      </c>
      <c r="J370" s="241">
        <f t="shared" si="115"/>
        <v>6930.7099</v>
      </c>
      <c r="K370" s="241">
        <f t="shared" si="115"/>
        <v>5962.774225</v>
      </c>
      <c r="L370" s="241">
        <f t="shared" si="115"/>
        <v>5900.440238</v>
      </c>
      <c r="M370" s="241">
        <f t="shared" si="115"/>
        <v>8189.70517</v>
      </c>
      <c r="N370" s="241">
        <f t="shared" si="115"/>
        <v>9590.904972</v>
      </c>
      <c r="O370" s="241">
        <f t="shared" si="115"/>
        <v>8077.099505</v>
      </c>
      <c r="P370" s="241">
        <f t="shared" si="115"/>
        <v>6244.525725</v>
      </c>
      <c r="Q370" s="241">
        <f t="shared" si="115"/>
        <v>5445.047345</v>
      </c>
      <c r="R370" s="241">
        <f t="shared" si="115"/>
        <v>5314.321555</v>
      </c>
      <c r="S370" s="241">
        <f t="shared" si="115"/>
        <v>5440.823632</v>
      </c>
      <c r="T370" s="241">
        <f t="shared" si="115"/>
        <v>5823.887865</v>
      </c>
      <c r="U370" s="241">
        <f t="shared" si="115"/>
        <v>8089.738335</v>
      </c>
      <c r="V370" s="241">
        <f t="shared" si="115"/>
        <v>8358.363533</v>
      </c>
      <c r="W370" s="241">
        <f t="shared" si="115"/>
        <v>6593.286881</v>
      </c>
      <c r="X370" s="241">
        <f t="shared" si="115"/>
        <v>5802.105172</v>
      </c>
      <c r="Y370" s="241">
        <f t="shared" si="115"/>
        <v>5610.332524</v>
      </c>
      <c r="Z370" s="241">
        <f t="shared" si="115"/>
        <v>5464.28172</v>
      </c>
      <c r="AA370" s="241">
        <f t="shared" si="115"/>
        <v>5750.66428</v>
      </c>
      <c r="AB370" s="241">
        <f t="shared" si="115"/>
        <v>5615.320713</v>
      </c>
      <c r="AC370" s="241">
        <f t="shared" si="115"/>
        <v>5880.383896</v>
      </c>
      <c r="AD370" s="241">
        <f t="shared" si="115"/>
        <v>5411.995691</v>
      </c>
      <c r="AE370" s="241">
        <f t="shared" si="115"/>
        <v>5058.928517</v>
      </c>
      <c r="AF370" s="241">
        <f t="shared" si="115"/>
        <v>4809.078883</v>
      </c>
      <c r="AG370" s="242">
        <f t="shared" ref="AG370:AG379" si="117">SUM(B370:AF370)</f>
        <v>205649.5386</v>
      </c>
    </row>
    <row r="371">
      <c r="A371" s="243" t="s">
        <v>325</v>
      </c>
      <c r="B371" s="142">
        <f t="shared" ref="B371:AF371" si="116">B30</f>
        <v>0</v>
      </c>
      <c r="C371" s="142">
        <f t="shared" si="116"/>
        <v>0</v>
      </c>
      <c r="D371" s="142">
        <f t="shared" si="116"/>
        <v>0</v>
      </c>
      <c r="E371" s="142">
        <f t="shared" si="116"/>
        <v>0</v>
      </c>
      <c r="F371" s="142">
        <f t="shared" si="116"/>
        <v>0</v>
      </c>
      <c r="G371" s="142">
        <f t="shared" si="116"/>
        <v>0</v>
      </c>
      <c r="H371" s="142">
        <f t="shared" si="116"/>
        <v>0</v>
      </c>
      <c r="I371" s="142">
        <f t="shared" si="116"/>
        <v>0</v>
      </c>
      <c r="J371" s="142">
        <f t="shared" si="116"/>
        <v>68.2</v>
      </c>
      <c r="K371" s="142">
        <f t="shared" si="116"/>
        <v>0</v>
      </c>
      <c r="L371" s="142">
        <f t="shared" si="116"/>
        <v>22.91</v>
      </c>
      <c r="M371" s="142">
        <f t="shared" si="116"/>
        <v>0</v>
      </c>
      <c r="N371" s="142">
        <f t="shared" si="116"/>
        <v>0</v>
      </c>
      <c r="O371" s="142">
        <f t="shared" si="116"/>
        <v>0</v>
      </c>
      <c r="P371" s="142">
        <f t="shared" si="116"/>
        <v>0</v>
      </c>
      <c r="Q371" s="142">
        <f t="shared" si="116"/>
        <v>0</v>
      </c>
      <c r="R371" s="142">
        <f t="shared" si="116"/>
        <v>0</v>
      </c>
      <c r="S371" s="142">
        <f t="shared" si="116"/>
        <v>0</v>
      </c>
      <c r="T371" s="142">
        <f t="shared" si="116"/>
        <v>78.86</v>
      </c>
      <c r="U371" s="142">
        <f t="shared" si="116"/>
        <v>0</v>
      </c>
      <c r="V371" s="142">
        <f t="shared" si="116"/>
        <v>0</v>
      </c>
      <c r="W371" s="142">
        <f t="shared" si="116"/>
        <v>0</v>
      </c>
      <c r="X371" s="142">
        <f t="shared" si="116"/>
        <v>0</v>
      </c>
      <c r="Y371" s="142">
        <f t="shared" si="116"/>
        <v>0</v>
      </c>
      <c r="Z371" s="142">
        <f t="shared" si="116"/>
        <v>0</v>
      </c>
      <c r="AA371" s="142">
        <f t="shared" si="116"/>
        <v>0</v>
      </c>
      <c r="AB371" s="142">
        <f t="shared" si="116"/>
        <v>0</v>
      </c>
      <c r="AC371" s="142">
        <f t="shared" si="116"/>
        <v>0</v>
      </c>
      <c r="AD371" s="142">
        <f t="shared" si="116"/>
        <v>0</v>
      </c>
      <c r="AE371" s="142">
        <f t="shared" si="116"/>
        <v>0</v>
      </c>
      <c r="AF371" s="142">
        <f t="shared" si="116"/>
        <v>0</v>
      </c>
      <c r="AG371" s="126">
        <f t="shared" si="117"/>
        <v>169.97</v>
      </c>
    </row>
    <row r="372">
      <c r="A372" s="240" t="s">
        <v>326</v>
      </c>
      <c r="B372" s="244">
        <f>(B54+B55)*'Data - P&amp;L'!$C$3</f>
        <v>1477.3</v>
      </c>
      <c r="C372" s="244">
        <f>(C54+C55)*'Data - P&amp;L'!$C$3</f>
        <v>1911.8</v>
      </c>
      <c r="D372" s="244">
        <f>(D54+D55)*'Data - P&amp;L'!$C$3</f>
        <v>3041.5</v>
      </c>
      <c r="E372" s="244">
        <f>(E54+E55)*'Data - P&amp;L'!$C$3</f>
        <v>2433.2</v>
      </c>
      <c r="F372" s="244">
        <f>(F54+F55)*'Data - P&amp;L'!$C$3</f>
        <v>2520.1</v>
      </c>
      <c r="G372" s="244">
        <f>(G54+G55)*'Data - P&amp;L'!$C$3</f>
        <v>1738</v>
      </c>
      <c r="H372" s="244">
        <f>(H54+H55)*'Data - P&amp;L'!$C$3</f>
        <v>1303.5</v>
      </c>
      <c r="I372" s="244">
        <f>(I54+I55)*'Data - P&amp;L'!$C$3</f>
        <v>1651.1</v>
      </c>
      <c r="J372" s="244">
        <f>(J54+J55)*'Data - P&amp;L'!$C$3</f>
        <v>1042.8</v>
      </c>
      <c r="K372" s="244">
        <f>(K54+K55)*'Data - P&amp;L'!$C$3</f>
        <v>782.1</v>
      </c>
      <c r="L372" s="244">
        <f>(L54+L55)*'Data - P&amp;L'!$C$3</f>
        <v>1042.8</v>
      </c>
      <c r="M372" s="244">
        <f>(M54+M55)*'Data - P&amp;L'!$C$3</f>
        <v>1564.2</v>
      </c>
      <c r="N372" s="244">
        <f>(N54+N55)*'Data - P&amp;L'!$C$3</f>
        <v>869</v>
      </c>
      <c r="O372" s="244">
        <f>(O54+O55)*'Data - P&amp;L'!$C$3</f>
        <v>608.3</v>
      </c>
      <c r="P372" s="244">
        <f>(P54+P55)*'Data - P&amp;L'!$C$3</f>
        <v>1129.7</v>
      </c>
      <c r="Q372" s="244">
        <f>(Q54+Q55)*'Data - P&amp;L'!$C$3</f>
        <v>1129.7</v>
      </c>
      <c r="R372" s="244">
        <f>(R54+R55)*'Data - P&amp;L'!$C$3</f>
        <v>955.9</v>
      </c>
      <c r="S372" s="244">
        <f>(S54+S55)*'Data - P&amp;L'!$C$3</f>
        <v>608.3</v>
      </c>
      <c r="T372" s="244">
        <f>(T54+T55)*'Data - P&amp;L'!$C$3</f>
        <v>1824.9</v>
      </c>
      <c r="U372" s="244">
        <f>(U54+U55)*'Data - P&amp;L'!$C$3</f>
        <v>1477.3</v>
      </c>
      <c r="V372" s="244">
        <f>(V54+V55)*'Data - P&amp;L'!$C$3</f>
        <v>955.9</v>
      </c>
      <c r="W372" s="244">
        <f>(W54+W55)*'Data - P&amp;L'!$C$3</f>
        <v>955.9</v>
      </c>
      <c r="X372" s="244">
        <f>(X54+X55)*'Data - P&amp;L'!$C$3</f>
        <v>782.1</v>
      </c>
      <c r="Y372" s="244">
        <f>(Y54+Y55)*'Data - P&amp;L'!$C$3</f>
        <v>869</v>
      </c>
      <c r="Z372" s="244">
        <f>(Z54+Z55)*'Data - P&amp;L'!$C$3</f>
        <v>1129.7</v>
      </c>
      <c r="AA372" s="244">
        <f>(AA54+AA55)*'Data - P&amp;L'!$C$3</f>
        <v>1390.4</v>
      </c>
      <c r="AB372" s="244">
        <f>(AB54+AB55)*'Data - P&amp;L'!$C$3</f>
        <v>1042.8</v>
      </c>
      <c r="AC372" s="244">
        <f>(AC54+AC55)*'Data - P&amp;L'!$C$3</f>
        <v>1911.8</v>
      </c>
      <c r="AD372" s="244">
        <f>(AD54+AD55)*'Data - P&amp;L'!$C$3</f>
        <v>1390.4</v>
      </c>
      <c r="AE372" s="244">
        <f>(AE54+AE55)*'Data - P&amp;L'!$C$3</f>
        <v>955.9</v>
      </c>
      <c r="AF372" s="244">
        <f>(AF54+AF55)*'Data - P&amp;L'!$C$3</f>
        <v>955.9</v>
      </c>
      <c r="AG372" s="242">
        <f t="shared" si="117"/>
        <v>41451.3</v>
      </c>
    </row>
    <row r="373">
      <c r="A373" s="243" t="s">
        <v>327</v>
      </c>
      <c r="B373" s="142">
        <f>(B56+B57)*'Data - P&amp;L'!$C$4</f>
        <v>5856.6</v>
      </c>
      <c r="C373" s="142">
        <f>(C56+C57)*'Data - P&amp;L'!$C$4</f>
        <v>5563.77</v>
      </c>
      <c r="D373" s="142">
        <f>(D56+D57)*'Data - P&amp;L'!$C$4</f>
        <v>6442.26</v>
      </c>
      <c r="E373" s="142">
        <f>(E56+E57)*'Data - P&amp;L'!$C$4</f>
        <v>6051.82</v>
      </c>
      <c r="F373" s="142">
        <f>(F56+F57)*'Data - P&amp;L'!$C$4</f>
        <v>5661.38</v>
      </c>
      <c r="G373" s="142">
        <f>(G56+G57)*'Data - P&amp;L'!$C$4</f>
        <v>7125.53</v>
      </c>
      <c r="H373" s="142">
        <f>(H56+H57)*'Data - P&amp;L'!$C$4</f>
        <v>6930.31</v>
      </c>
      <c r="I373" s="142">
        <f>(I56+I57)*'Data - P&amp;L'!$C$4</f>
        <v>5856.6</v>
      </c>
      <c r="J373" s="142">
        <f>(J56+J57)*'Data - P&amp;L'!$C$4</f>
        <v>5661.38</v>
      </c>
      <c r="K373" s="142">
        <f>(K56+K57)*'Data - P&amp;L'!$C$4</f>
        <v>5270.94</v>
      </c>
      <c r="L373" s="142">
        <f>(L56+L57)*'Data - P&amp;L'!$C$4</f>
        <v>5954.21</v>
      </c>
      <c r="M373" s="142">
        <f>(M56+M57)*'Data - P&amp;L'!$C$4</f>
        <v>6832.7</v>
      </c>
      <c r="N373" s="142">
        <f>(N56+N57)*'Data - P&amp;L'!$C$4</f>
        <v>5661.38</v>
      </c>
      <c r="O373" s="142">
        <f>(O56+O57)*'Data - P&amp;L'!$C$4</f>
        <v>5563.77</v>
      </c>
      <c r="P373" s="142">
        <f>(P56+P57)*'Data - P&amp;L'!$C$4</f>
        <v>5563.77</v>
      </c>
      <c r="Q373" s="142">
        <f>(Q56+Q57)*'Data - P&amp;L'!$C$4</f>
        <v>5173.33</v>
      </c>
      <c r="R373" s="142">
        <f>(R56+R57)*'Data - P&amp;L'!$C$4</f>
        <v>7027.92</v>
      </c>
      <c r="S373" s="142">
        <f>(S56+S57)*'Data - P&amp;L'!$C$4</f>
        <v>5856.6</v>
      </c>
      <c r="T373" s="142">
        <f>(T56+T57)*'Data - P&amp;L'!$C$4</f>
        <v>4978.11</v>
      </c>
      <c r="U373" s="142">
        <f>(U56+U57)*'Data - P&amp;L'!$C$4</f>
        <v>7125.53</v>
      </c>
      <c r="V373" s="142">
        <f>(V56+V57)*'Data - P&amp;L'!$C$4</f>
        <v>2733.08</v>
      </c>
      <c r="W373" s="142">
        <f>(W56+W57)*'Data - P&amp;L'!$C$4</f>
        <v>3611.57</v>
      </c>
      <c r="X373" s="142">
        <f>(X56+X57)*'Data - P&amp;L'!$C$4</f>
        <v>5075.72</v>
      </c>
      <c r="Y373" s="142">
        <f>(Y56+Y57)*'Data - P&amp;L'!$C$4</f>
        <v>3806.79</v>
      </c>
      <c r="Z373" s="142">
        <f>(Z56+Z57)*'Data - P&amp;L'!$C$4</f>
        <v>3416.35</v>
      </c>
      <c r="AA373" s="142">
        <f>(AA56+AA57)*'Data - P&amp;L'!$C$4</f>
        <v>3513.96</v>
      </c>
      <c r="AB373" s="142">
        <f>(AB56+AB57)*'Data - P&amp;L'!$C$4</f>
        <v>3904.4</v>
      </c>
      <c r="AC373" s="142">
        <f>(AC56+AC57)*'Data - P&amp;L'!$C$4</f>
        <v>3611.57</v>
      </c>
      <c r="AD373" s="142">
        <f>(AD56+AD57)*'Data - P&amp;L'!$C$4</f>
        <v>4002.01</v>
      </c>
      <c r="AE373" s="142">
        <f>(AE56+AE57)*'Data - P&amp;L'!$C$4</f>
        <v>3221.13</v>
      </c>
      <c r="AF373" s="142">
        <f>(AF56+AF57)*'Data - P&amp;L'!$C$4</f>
        <v>3709.18</v>
      </c>
      <c r="AG373" s="126">
        <f t="shared" si="117"/>
        <v>160763.67</v>
      </c>
    </row>
    <row r="374">
      <c r="A374" s="243" t="s">
        <v>328</v>
      </c>
      <c r="B374" s="142">
        <f>B60*'Data - P&amp;L'!$C$6</f>
        <v>323.91</v>
      </c>
      <c r="C374" s="142">
        <f>C60*'Data - P&amp;L'!$C$6</f>
        <v>279.99</v>
      </c>
      <c r="D374" s="142">
        <f>D60*'Data - P&amp;L'!$C$6</f>
        <v>252.54</v>
      </c>
      <c r="E374" s="142">
        <f>E60*'Data - P&amp;L'!$C$6</f>
        <v>301.95</v>
      </c>
      <c r="F374" s="142">
        <f>F60*'Data - P&amp;L'!$C$6</f>
        <v>236.07</v>
      </c>
      <c r="G374" s="142">
        <f>G60*'Data - P&amp;L'!$C$6</f>
        <v>307.44</v>
      </c>
      <c r="H374" s="142">
        <f>H60*'Data - P&amp;L'!$C$6</f>
        <v>318.42</v>
      </c>
      <c r="I374" s="142">
        <f>I60*'Data - P&amp;L'!$C$6</f>
        <v>170.19</v>
      </c>
      <c r="J374" s="142">
        <f>J60*'Data - P&amp;L'!$C$6</f>
        <v>142.74</v>
      </c>
      <c r="K374" s="142">
        <f>K60*'Data - P&amp;L'!$C$6</f>
        <v>126.27</v>
      </c>
      <c r="L374" s="142">
        <f>L60*'Data - P&amp;L'!$C$6</f>
        <v>148.23</v>
      </c>
      <c r="M374" s="142">
        <f>M60*'Data - P&amp;L'!$C$6</f>
        <v>120.78</v>
      </c>
      <c r="N374" s="142">
        <f>N60*'Data - P&amp;L'!$C$6</f>
        <v>192.15</v>
      </c>
      <c r="O374" s="142">
        <f>O60*'Data - P&amp;L'!$C$6</f>
        <v>186.66</v>
      </c>
      <c r="P374" s="142">
        <f>P60*'Data - P&amp;L'!$C$6</f>
        <v>170.19</v>
      </c>
      <c r="Q374" s="142">
        <f>Q60*'Data - P&amp;L'!$C$6</f>
        <v>109.8</v>
      </c>
      <c r="R374" s="142">
        <f>R60*'Data - P&amp;L'!$C$6</f>
        <v>164.7</v>
      </c>
      <c r="S374" s="142">
        <f>S60*'Data - P&amp;L'!$C$6</f>
        <v>109.8</v>
      </c>
      <c r="T374" s="142">
        <f>T60*'Data - P&amp;L'!$C$6</f>
        <v>126.27</v>
      </c>
      <c r="U374" s="142">
        <f>U60*'Data - P&amp;L'!$C$6</f>
        <v>197.64</v>
      </c>
      <c r="V374" s="142">
        <f>V60*'Data - P&amp;L'!$C$6</f>
        <v>148.23</v>
      </c>
      <c r="W374" s="142">
        <f>W60*'Data - P&amp;L'!$C$6</f>
        <v>126.27</v>
      </c>
      <c r="X374" s="142">
        <f>X60*'Data - P&amp;L'!$C$6</f>
        <v>93.33</v>
      </c>
      <c r="Y374" s="142">
        <f>Y60*'Data - P&amp;L'!$C$6</f>
        <v>60.39</v>
      </c>
      <c r="Z374" s="142">
        <f>Z60*'Data - P&amp;L'!$C$6</f>
        <v>60.39</v>
      </c>
      <c r="AA374" s="142">
        <f>AA60*'Data - P&amp;L'!$C$6</f>
        <v>104.31</v>
      </c>
      <c r="AB374" s="142">
        <f>AB60*'Data - P&amp;L'!$C$6</f>
        <v>93.33</v>
      </c>
      <c r="AC374" s="142">
        <f>AC60*'Data - P&amp;L'!$C$6</f>
        <v>87.84</v>
      </c>
      <c r="AD374" s="142">
        <f>AD60*'Data - P&amp;L'!$C$6</f>
        <v>109.8</v>
      </c>
      <c r="AE374" s="142">
        <f>AE60*'Data - P&amp;L'!$C$6</f>
        <v>71.37</v>
      </c>
      <c r="AF374" s="142">
        <f>AF60*'Data - P&amp;L'!$C$6</f>
        <v>71.37</v>
      </c>
      <c r="AG374" s="126">
        <f t="shared" si="117"/>
        <v>5012.37</v>
      </c>
    </row>
    <row r="375">
      <c r="A375" s="243" t="s">
        <v>329</v>
      </c>
      <c r="B375" s="142">
        <f>B61*'Data - P&amp;L'!$C$8</f>
        <v>66.64</v>
      </c>
      <c r="C375" s="142">
        <f>C61*'Data - P&amp;L'!$C$8</f>
        <v>55.93</v>
      </c>
      <c r="D375" s="142">
        <f>D61*'Data - P&amp;L'!$C$8</f>
        <v>45.22</v>
      </c>
      <c r="E375" s="142">
        <f>E61*'Data - P&amp;L'!$C$8</f>
        <v>41.65</v>
      </c>
      <c r="F375" s="142">
        <f>F61*'Data - P&amp;L'!$C$8</f>
        <v>54.74</v>
      </c>
      <c r="G375" s="142">
        <f>G61*'Data - P&amp;L'!$C$8</f>
        <v>49.98</v>
      </c>
      <c r="H375" s="142">
        <f>H61*'Data - P&amp;L'!$C$8</f>
        <v>60.69</v>
      </c>
      <c r="I375" s="142">
        <f>I61*'Data - P&amp;L'!$C$8</f>
        <v>34.51</v>
      </c>
      <c r="J375" s="142">
        <f>J61*'Data - P&amp;L'!$C$8</f>
        <v>35.7</v>
      </c>
      <c r="K375" s="142">
        <f>K61*'Data - P&amp;L'!$C$8</f>
        <v>36.89</v>
      </c>
      <c r="L375" s="142">
        <f>L61*'Data - P&amp;L'!$C$8</f>
        <v>36.89</v>
      </c>
      <c r="M375" s="142">
        <f>M61*'Data - P&amp;L'!$C$8</f>
        <v>30.94</v>
      </c>
      <c r="N375" s="142">
        <f>N61*'Data - P&amp;L'!$C$8</f>
        <v>41.65</v>
      </c>
      <c r="O375" s="142">
        <f>O61*'Data - P&amp;L'!$C$8</f>
        <v>35.7</v>
      </c>
      <c r="P375" s="142">
        <f>P61*'Data - P&amp;L'!$C$8</f>
        <v>27.37</v>
      </c>
      <c r="Q375" s="142">
        <f>Q61*'Data - P&amp;L'!$C$8</f>
        <v>16.66</v>
      </c>
      <c r="R375" s="142">
        <f>R61*'Data - P&amp;L'!$C$8</f>
        <v>27.37</v>
      </c>
      <c r="S375" s="142">
        <f>S61*'Data - P&amp;L'!$C$8</f>
        <v>24.99</v>
      </c>
      <c r="T375" s="142">
        <f>T61*'Data - P&amp;L'!$C$8</f>
        <v>19.04</v>
      </c>
      <c r="U375" s="142">
        <f>U61*'Data - P&amp;L'!$C$8</f>
        <v>28.56</v>
      </c>
      <c r="V375" s="142">
        <f>V61*'Data - P&amp;L'!$C$8</f>
        <v>30.94</v>
      </c>
      <c r="W375" s="142">
        <f>W61*'Data - P&amp;L'!$C$8</f>
        <v>15.47</v>
      </c>
      <c r="X375" s="142">
        <f>X61*'Data - P&amp;L'!$C$8</f>
        <v>21.42</v>
      </c>
      <c r="Y375" s="142">
        <f>Y61*'Data - P&amp;L'!$C$8</f>
        <v>20.23</v>
      </c>
      <c r="Z375" s="142">
        <f>Z61*'Data - P&amp;L'!$C$8</f>
        <v>27.37</v>
      </c>
      <c r="AA375" s="142">
        <f>AA61*'Data - P&amp;L'!$C$8</f>
        <v>32.13</v>
      </c>
      <c r="AB375" s="142">
        <f>AB61*'Data - P&amp;L'!$C$8</f>
        <v>26.18</v>
      </c>
      <c r="AC375" s="142">
        <f>AC61*'Data - P&amp;L'!$C$8</f>
        <v>22.61</v>
      </c>
      <c r="AD375" s="142">
        <f>AD61*'Data - P&amp;L'!$C$8</f>
        <v>29.75</v>
      </c>
      <c r="AE375" s="142">
        <f>AE61*'Data - P&amp;L'!$C$8</f>
        <v>14.28</v>
      </c>
      <c r="AF375" s="142">
        <f>AF61*'Data - P&amp;L'!$C$8</f>
        <v>11.9</v>
      </c>
      <c r="AG375" s="126">
        <f t="shared" si="117"/>
        <v>1023.4</v>
      </c>
    </row>
    <row r="376">
      <c r="A376" s="243" t="s">
        <v>330</v>
      </c>
      <c r="B376" s="142">
        <f>(B62+B63)*'Data - P&amp;L'!$C$9</f>
        <v>239.76</v>
      </c>
      <c r="C376" s="142">
        <f>(C62+C63)*'Data - P&amp;L'!$C$9</f>
        <v>173.16</v>
      </c>
      <c r="D376" s="142">
        <f>(D62+D63)*'Data - P&amp;L'!$C$9</f>
        <v>173.16</v>
      </c>
      <c r="E376" s="142">
        <f>(E62+E63)*'Data - P&amp;L'!$C$9</f>
        <v>233.1</v>
      </c>
      <c r="F376" s="142">
        <f>(F62+F63)*'Data - P&amp;L'!$C$9</f>
        <v>213.12</v>
      </c>
      <c r="G376" s="142">
        <f>(G62+G63)*'Data - P&amp;L'!$C$9</f>
        <v>246.42</v>
      </c>
      <c r="H376" s="142">
        <f>(H62+H63)*'Data - P&amp;L'!$C$9</f>
        <v>279.72</v>
      </c>
      <c r="I376" s="142">
        <f>(I62+I63)*'Data - P&amp;L'!$C$9</f>
        <v>159.84</v>
      </c>
      <c r="J376" s="142">
        <f>(J62+J63)*'Data - P&amp;L'!$C$9</f>
        <v>153.18</v>
      </c>
      <c r="K376" s="142">
        <f>(K62+K63)*'Data - P&amp;L'!$C$9</f>
        <v>93.24</v>
      </c>
      <c r="L376" s="142">
        <f>(L62+L63)*'Data - P&amp;L'!$C$9</f>
        <v>153.18</v>
      </c>
      <c r="M376" s="142">
        <f>(M62+M63)*'Data - P&amp;L'!$C$9</f>
        <v>126.54</v>
      </c>
      <c r="N376" s="142">
        <f>(N62+N63)*'Data - P&amp;L'!$C$9</f>
        <v>186.48</v>
      </c>
      <c r="O376" s="142">
        <f>(O62+O63)*'Data - P&amp;L'!$C$9</f>
        <v>106.56</v>
      </c>
      <c r="P376" s="142">
        <f>(P62+P63)*'Data - P&amp;L'!$C$9</f>
        <v>146.52</v>
      </c>
      <c r="Q376" s="142">
        <f>(Q62+Q63)*'Data - P&amp;L'!$C$9</f>
        <v>106.56</v>
      </c>
      <c r="R376" s="142">
        <f>(R62+R63)*'Data - P&amp;L'!$C$9</f>
        <v>166.5</v>
      </c>
      <c r="S376" s="142">
        <f>(S62+S63)*'Data - P&amp;L'!$C$9</f>
        <v>133.2</v>
      </c>
      <c r="T376" s="142">
        <f>(T62+T63)*'Data - P&amp;L'!$C$9</f>
        <v>59.94</v>
      </c>
      <c r="U376" s="142">
        <f>(U62+U63)*'Data - P&amp;L'!$C$9</f>
        <v>119.88</v>
      </c>
      <c r="V376" s="142">
        <f>(V62+V63)*'Data - P&amp;L'!$C$9</f>
        <v>153.18</v>
      </c>
      <c r="W376" s="142">
        <f>(W62+W63)*'Data - P&amp;L'!$C$9</f>
        <v>79.92</v>
      </c>
      <c r="X376" s="142">
        <f>(X62+X63)*'Data - P&amp;L'!$C$9</f>
        <v>86.58</v>
      </c>
      <c r="Y376" s="142">
        <f>(Y62+Y63)*'Data - P&amp;L'!$C$9</f>
        <v>79.92</v>
      </c>
      <c r="Z376" s="142">
        <f>(Z62+Z63)*'Data - P&amp;L'!$C$9</f>
        <v>79.92</v>
      </c>
      <c r="AA376" s="142">
        <f>(AA62+AA63)*'Data - P&amp;L'!$C$9</f>
        <v>79.92</v>
      </c>
      <c r="AB376" s="142">
        <f>(AB62+AB63)*'Data - P&amp;L'!$C$9</f>
        <v>106.56</v>
      </c>
      <c r="AC376" s="142">
        <f>(AC62+AC63)*'Data - P&amp;L'!$C$9</f>
        <v>53.28</v>
      </c>
      <c r="AD376" s="142">
        <f>(AD62+AD63)*'Data - P&amp;L'!$C$9</f>
        <v>79.92</v>
      </c>
      <c r="AE376" s="142">
        <f>(AE62+AE63)*'Data - P&amp;L'!$C$9</f>
        <v>46.62</v>
      </c>
      <c r="AF376" s="142">
        <f>(AF62+AF63)*'Data - P&amp;L'!$C$9</f>
        <v>53.28</v>
      </c>
      <c r="AG376" s="126">
        <f t="shared" si="117"/>
        <v>4169.16</v>
      </c>
    </row>
    <row r="377">
      <c r="A377" s="243" t="s">
        <v>331</v>
      </c>
      <c r="B377" s="142">
        <f>(B64+B65)*'Data - P&amp;L'!$C$5</f>
        <v>268.8</v>
      </c>
      <c r="C377" s="142">
        <f>(C64+C65)*'Data - P&amp;L'!$C$5</f>
        <v>309.12</v>
      </c>
      <c r="D377" s="142">
        <f>(D64+D65)*'Data - P&amp;L'!$C$5</f>
        <v>201.6</v>
      </c>
      <c r="E377" s="142">
        <f>(E64+E65)*'Data - P&amp;L'!$C$5</f>
        <v>134.4</v>
      </c>
      <c r="F377" s="142">
        <f>(F64+F65)*'Data - P&amp;L'!$C$5</f>
        <v>147.84</v>
      </c>
      <c r="G377" s="142">
        <f>(G64+G65)*'Data - P&amp;L'!$C$5</f>
        <v>188.16</v>
      </c>
      <c r="H377" s="142">
        <f>(H64+H65)*'Data - P&amp;L'!$C$5</f>
        <v>309.12</v>
      </c>
      <c r="I377" s="142">
        <f>(I64+I65)*'Data - P&amp;L'!$C$5</f>
        <v>228.48</v>
      </c>
      <c r="J377" s="142">
        <f>(J64+J65)*'Data - P&amp;L'!$C$5</f>
        <v>107.52</v>
      </c>
      <c r="K377" s="142">
        <f>(K64+K65)*'Data - P&amp;L'!$C$5</f>
        <v>94.08</v>
      </c>
      <c r="L377" s="142">
        <f>(L64+L65)*'Data - P&amp;L'!$C$5</f>
        <v>228.48</v>
      </c>
      <c r="M377" s="142">
        <f>(M64+M65)*'Data - P&amp;L'!$C$5</f>
        <v>147.84</v>
      </c>
      <c r="N377" s="142">
        <f>(N64+N65)*'Data - P&amp;L'!$C$5</f>
        <v>241.92</v>
      </c>
      <c r="O377" s="142">
        <f>(O64+O65)*'Data - P&amp;L'!$C$5</f>
        <v>201.6</v>
      </c>
      <c r="P377" s="142">
        <f>(P64+P65)*'Data - P&amp;L'!$C$5</f>
        <v>94.08</v>
      </c>
      <c r="Q377" s="142">
        <f>(Q64+Q65)*'Data - P&amp;L'!$C$5</f>
        <v>120.96</v>
      </c>
      <c r="R377" s="142">
        <f>(R64+R65)*'Data - P&amp;L'!$C$5</f>
        <v>147.84</v>
      </c>
      <c r="S377" s="142">
        <f>(S64+S65)*'Data - P&amp;L'!$C$5</f>
        <v>147.84</v>
      </c>
      <c r="T377" s="142">
        <f>(T64+T65)*'Data - P&amp;L'!$C$5</f>
        <v>107.52</v>
      </c>
      <c r="U377" s="142">
        <f>(U64+U65)*'Data - P&amp;L'!$C$5</f>
        <v>147.84</v>
      </c>
      <c r="V377" s="142">
        <f>(V64+V65)*'Data - P&amp;L'!$C$5</f>
        <v>188.16</v>
      </c>
      <c r="W377" s="142">
        <f>(W64+W65)*'Data - P&amp;L'!$C$5</f>
        <v>174.72</v>
      </c>
      <c r="X377" s="142">
        <f>(X64+X65)*'Data - P&amp;L'!$C$5</f>
        <v>80.64</v>
      </c>
      <c r="Y377" s="142">
        <f>(Y64+Y65)*'Data - P&amp;L'!$C$5</f>
        <v>120.96</v>
      </c>
      <c r="Z377" s="142">
        <f>(Z64+Z65)*'Data - P&amp;L'!$C$5</f>
        <v>120.96</v>
      </c>
      <c r="AA377" s="142">
        <f>(AA64+AA65)*'Data - P&amp;L'!$C$5</f>
        <v>134.4</v>
      </c>
      <c r="AB377" s="142">
        <f>(AB64+AB65)*'Data - P&amp;L'!$C$5</f>
        <v>107.52</v>
      </c>
      <c r="AC377" s="142">
        <f>(AC64+AC65)*'Data - P&amp;L'!$C$5</f>
        <v>134.4</v>
      </c>
      <c r="AD377" s="142">
        <f>(AD64+AD65)*'Data - P&amp;L'!$C$5</f>
        <v>94.08</v>
      </c>
      <c r="AE377" s="142">
        <f>(AE64+AE65)*'Data - P&amp;L'!$C$5</f>
        <v>147.84</v>
      </c>
      <c r="AF377" s="142">
        <f>(AF64+AF65)*'Data - P&amp;L'!$C$5</f>
        <v>53.76</v>
      </c>
      <c r="AG377" s="126">
        <f t="shared" si="117"/>
        <v>4932.48</v>
      </c>
    </row>
    <row r="378">
      <c r="A378" s="243" t="s">
        <v>332</v>
      </c>
      <c r="B378" s="245">
        <f>(B66+B67)*'Data - P&amp;L'!$C$10</f>
        <v>546</v>
      </c>
      <c r="C378" s="245">
        <f>(C66+C67)*'Data - P&amp;L'!$C$10</f>
        <v>438</v>
      </c>
      <c r="D378" s="245">
        <f>(D66+D67)*'Data - P&amp;L'!$C$10</f>
        <v>360</v>
      </c>
      <c r="E378" s="245">
        <f>(E66+E67)*'Data - P&amp;L'!$C$10</f>
        <v>354</v>
      </c>
      <c r="F378" s="245">
        <f>(F66+F67)*'Data - P&amp;L'!$C$10</f>
        <v>522</v>
      </c>
      <c r="G378" s="245">
        <f>(G66+G67)*'Data - P&amp;L'!$C$10</f>
        <v>528</v>
      </c>
      <c r="H378" s="245">
        <f>(H66+H67)*'Data - P&amp;L'!$C$10</f>
        <v>696</v>
      </c>
      <c r="I378" s="245">
        <f>(I66+I67)*'Data - P&amp;L'!$C$10</f>
        <v>366</v>
      </c>
      <c r="J378" s="245">
        <f>(J66+J67)*'Data - P&amp;L'!$C$10</f>
        <v>336</v>
      </c>
      <c r="K378" s="245">
        <f>(K66+K67)*'Data - P&amp;L'!$C$10</f>
        <v>264</v>
      </c>
      <c r="L378" s="245">
        <f>(L66+L67)*'Data - P&amp;L'!$C$10</f>
        <v>312</v>
      </c>
      <c r="M378" s="245">
        <f>(M66+M67)*'Data - P&amp;L'!$C$10</f>
        <v>360</v>
      </c>
      <c r="N378" s="245">
        <f>(N66+N67)*'Data - P&amp;L'!$C$10</f>
        <v>426</v>
      </c>
      <c r="O378" s="245">
        <f>(O66+O67)*'Data - P&amp;L'!$C$10</f>
        <v>390</v>
      </c>
      <c r="P378" s="245">
        <f>(P66+P67)*'Data - P&amp;L'!$C$10</f>
        <v>312</v>
      </c>
      <c r="Q378" s="245">
        <f>(Q66+Q67)*'Data - P&amp;L'!$C$10</f>
        <v>300</v>
      </c>
      <c r="R378" s="245">
        <f>(R66+R67)*'Data - P&amp;L'!$C$10</f>
        <v>306</v>
      </c>
      <c r="S378" s="245">
        <f>(S66+S67)*'Data - P&amp;L'!$C$10</f>
        <v>306</v>
      </c>
      <c r="T378" s="245">
        <f>(T66+T67)*'Data - P&amp;L'!$C$10</f>
        <v>348</v>
      </c>
      <c r="U378" s="245">
        <f>(U66+U67)*'Data - P&amp;L'!$C$10</f>
        <v>372</v>
      </c>
      <c r="V378" s="245">
        <f>(V66+V67)*'Data - P&amp;L'!$C$10</f>
        <v>408</v>
      </c>
      <c r="W378" s="245">
        <f>(W66+W67)*'Data - P&amp;L'!$C$10</f>
        <v>300</v>
      </c>
      <c r="X378" s="245">
        <f>(X66+X67)*'Data - P&amp;L'!$C$10</f>
        <v>270</v>
      </c>
      <c r="Y378" s="245">
        <f>(Y66+Y67)*'Data - P&amp;L'!$C$10</f>
        <v>192</v>
      </c>
      <c r="Z378" s="245">
        <f>(Z66+Z67)*'Data - P&amp;L'!$C$10</f>
        <v>294</v>
      </c>
      <c r="AA378" s="245">
        <f>(AA66+AA67)*'Data - P&amp;L'!$C$10</f>
        <v>258</v>
      </c>
      <c r="AB378" s="245">
        <f>(AB66+AB67)*'Data - P&amp;L'!$C$10</f>
        <v>300</v>
      </c>
      <c r="AC378" s="245">
        <f>(AC66+AC67)*'Data - P&amp;L'!$C$10</f>
        <v>288</v>
      </c>
      <c r="AD378" s="245">
        <f>(AD66+AD67)*'Data - P&amp;L'!$C$10</f>
        <v>216</v>
      </c>
      <c r="AE378" s="245">
        <f>(AE66+AE67)*'Data - P&amp;L'!$C$10</f>
        <v>174</v>
      </c>
      <c r="AF378" s="245">
        <f>(AF66+AF67)*'Data - P&amp;L'!$C$10</f>
        <v>198</v>
      </c>
      <c r="AG378" s="126">
        <f t="shared" si="117"/>
        <v>10740</v>
      </c>
    </row>
    <row r="379">
      <c r="A379" s="243" t="s">
        <v>333</v>
      </c>
      <c r="B379" s="245">
        <f>B81*'Data - P&amp;L'!$C$11</f>
        <v>11.82</v>
      </c>
      <c r="C379" s="245">
        <f>C81*'Data - P&amp;L'!$C$11</f>
        <v>0</v>
      </c>
      <c r="D379" s="245">
        <f>D81*'Data - P&amp;L'!$C$11</f>
        <v>15.76</v>
      </c>
      <c r="E379" s="245">
        <f>E81*'Data - P&amp;L'!$C$11</f>
        <v>3.94</v>
      </c>
      <c r="F379" s="245">
        <f>F81*'Data - P&amp;L'!$C$11</f>
        <v>3.94</v>
      </c>
      <c r="G379" s="245">
        <f>G81*'Data - P&amp;L'!$C$11</f>
        <v>3.94</v>
      </c>
      <c r="H379" s="245">
        <f>H81*'Data - P&amp;L'!$C$11</f>
        <v>27.58</v>
      </c>
      <c r="I379" s="245">
        <f>I81*'Data - P&amp;L'!$C$11</f>
        <v>0</v>
      </c>
      <c r="J379" s="245">
        <f>J81*'Data - P&amp;L'!$C$11</f>
        <v>7.88</v>
      </c>
      <c r="K379" s="245">
        <f>K81*'Data - P&amp;L'!$C$11</f>
        <v>3.94</v>
      </c>
      <c r="L379" s="245">
        <f>L81*'Data - P&amp;L'!$C$11</f>
        <v>3.94</v>
      </c>
      <c r="M379" s="245">
        <f>M81*'Data - P&amp;L'!$C$11</f>
        <v>0</v>
      </c>
      <c r="N379" s="245">
        <f>N81*'Data - P&amp;L'!$C$11</f>
        <v>0</v>
      </c>
      <c r="O379" s="245">
        <f>O81*'Data - P&amp;L'!$C$11</f>
        <v>0</v>
      </c>
      <c r="P379" s="245">
        <f>P81*'Data - P&amp;L'!$C$11</f>
        <v>3.94</v>
      </c>
      <c r="Q379" s="245">
        <f>Q81*'Data - P&amp;L'!$C$11</f>
        <v>0</v>
      </c>
      <c r="R379" s="245">
        <f>R81*'Data - P&amp;L'!$C$11</f>
        <v>0</v>
      </c>
      <c r="S379" s="245">
        <f>S81*'Data - P&amp;L'!$C$11</f>
        <v>0</v>
      </c>
      <c r="T379" s="245">
        <f>T81*'Data - P&amp;L'!$C$11</f>
        <v>0</v>
      </c>
      <c r="U379" s="245">
        <f>U81*'Data - P&amp;L'!$C$11</f>
        <v>0</v>
      </c>
      <c r="V379" s="245">
        <f>V81*'Data - P&amp;L'!$C$11</f>
        <v>3.94</v>
      </c>
      <c r="W379" s="245">
        <f>W81*'Data - P&amp;L'!$C$11</f>
        <v>0</v>
      </c>
      <c r="X379" s="245">
        <f>X81*'Data - P&amp;L'!$C$11</f>
        <v>0</v>
      </c>
      <c r="Y379" s="245">
        <f>Y81*'Data - P&amp;L'!$C$11</f>
        <v>0</v>
      </c>
      <c r="Z379" s="245">
        <f>Z81*'Data - P&amp;L'!$C$11</f>
        <v>0</v>
      </c>
      <c r="AA379" s="245">
        <f>AA81*'Data - P&amp;L'!$C$11</f>
        <v>0</v>
      </c>
      <c r="AB379" s="245">
        <f>AB81*'Data - P&amp;L'!$C$11</f>
        <v>0</v>
      </c>
      <c r="AC379" s="245">
        <f>AC81*'Data - P&amp;L'!$C$11</f>
        <v>0</v>
      </c>
      <c r="AD379" s="245">
        <f>AD81*'Data - P&amp;L'!$C$11</f>
        <v>0</v>
      </c>
      <c r="AE379" s="245">
        <f>AE81*'Data - P&amp;L'!$C$11</f>
        <v>0</v>
      </c>
      <c r="AF379" s="245">
        <f>AF81*'Data - P&amp;L'!$C$11</f>
        <v>0</v>
      </c>
      <c r="AG379" s="126">
        <f t="shared" si="117"/>
        <v>90.62</v>
      </c>
    </row>
    <row r="380">
      <c r="A380" s="246" t="s">
        <v>334</v>
      </c>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c r="AA380" s="247"/>
      <c r="AB380" s="247"/>
      <c r="AC380" s="247"/>
      <c r="AD380" s="247"/>
      <c r="AE380" s="247"/>
      <c r="AF380" s="247"/>
      <c r="AG380" s="248"/>
    </row>
    <row r="381">
      <c r="A381" s="243" t="s">
        <v>335</v>
      </c>
      <c r="B381" s="142">
        <f>(B51*'Data - P&amp;L'!$L$12*'Data - P&amp;L'!$L$3)+(B51*'Data - P&amp;L'!$L$13*'Data - P&amp;L'!$L$14)</f>
        <v>1009.769011</v>
      </c>
      <c r="C381" s="142">
        <f>(C51*'Data - P&amp;L'!$L$12*'Data - P&amp;L'!$L$3)+(C51*'Data - P&amp;L'!$L$13*'Data - P&amp;L'!$L$14)</f>
        <v>980.4720915</v>
      </c>
      <c r="D381" s="142">
        <f>(D51*'Data - P&amp;L'!$L$12*'Data - P&amp;L'!$L$3)+(D51*'Data - P&amp;L'!$L$13*'Data - P&amp;L'!$L$14)</f>
        <v>1149.590718</v>
      </c>
      <c r="E381" s="142">
        <f>(E51*'Data - P&amp;L'!$L$12*'Data - P&amp;L'!$L$3)+(E51*'Data - P&amp;L'!$L$13*'Data - P&amp;L'!$L$14)</f>
        <v>1037.986959</v>
      </c>
      <c r="F381" s="142">
        <f>(F51*'Data - P&amp;L'!$L$12*'Data - P&amp;L'!$L$3)+(F51*'Data - P&amp;L'!$L$13*'Data - P&amp;L'!$L$14)</f>
        <v>1062.643147</v>
      </c>
      <c r="G381" s="142">
        <f>(G51*'Data - P&amp;L'!$L$12*'Data - P&amp;L'!$L$3)+(G51*'Data - P&amp;L'!$L$13*'Data - P&amp;L'!$L$14)</f>
        <v>1144.783757</v>
      </c>
      <c r="H381" s="142">
        <f>(H51*'Data - P&amp;L'!$L$12*'Data - P&amp;L'!$L$3)+(H51*'Data - P&amp;L'!$L$13*'Data - P&amp;L'!$L$14)</f>
        <v>1166.500175</v>
      </c>
      <c r="I381" s="142">
        <f>(I51*'Data - P&amp;L'!$L$12*'Data - P&amp;L'!$L$3)+(I51*'Data - P&amp;L'!$L$13*'Data - P&amp;L'!$L$14)</f>
        <v>947.9394779</v>
      </c>
      <c r="J381" s="142">
        <f>(J51*'Data - P&amp;L'!$L$12*'Data - P&amp;L'!$L$3)+(J51*'Data - P&amp;L'!$L$13*'Data - P&amp;L'!$L$14)</f>
        <v>819.2043176</v>
      </c>
      <c r="K381" s="142">
        <f>(K51*'Data - P&amp;L'!$L$12*'Data - P&amp;L'!$L$3)+(K51*'Data - P&amp;L'!$L$13*'Data - P&amp;L'!$L$14)</f>
        <v>732.4990888</v>
      </c>
      <c r="L381" s="142">
        <f>(L51*'Data - P&amp;L'!$L$12*'Data - P&amp;L'!$L$3)+(L51*'Data - P&amp;L'!$L$13*'Data - P&amp;L'!$L$14)</f>
        <v>876.2134935</v>
      </c>
      <c r="M381" s="142">
        <f>(M51*'Data - P&amp;L'!$L$12*'Data - P&amp;L'!$L$3)+(M51*'Data - P&amp;L'!$L$13*'Data - P&amp;L'!$L$14)</f>
        <v>986.3260561</v>
      </c>
      <c r="N381" s="142">
        <f>(N51*'Data - P&amp;L'!$L$12*'Data - P&amp;L'!$L$3)+(N51*'Data - P&amp;L'!$L$13*'Data - P&amp;L'!$L$14)</f>
        <v>902.1112283</v>
      </c>
      <c r="O381" s="142">
        <f>(O51*'Data - P&amp;L'!$L$12*'Data - P&amp;L'!$L$3)+(O51*'Data - P&amp;L'!$L$13*'Data - P&amp;L'!$L$14)</f>
        <v>838.8687431</v>
      </c>
      <c r="P381" s="142">
        <f>(P51*'Data - P&amp;L'!$L$12*'Data - P&amp;L'!$L$3)+(P51*'Data - P&amp;L'!$L$13*'Data - P&amp;L'!$L$14)</f>
        <v>848.4805341</v>
      </c>
      <c r="Q381" s="142">
        <f>(Q51*'Data - P&amp;L'!$L$12*'Data - P&amp;L'!$L$3)+(Q51*'Data - P&amp;L'!$L$13*'Data - P&amp;L'!$L$14)</f>
        <v>785.368658</v>
      </c>
      <c r="R381" s="142">
        <f>(R51*'Data - P&amp;L'!$L$12*'Data - P&amp;L'!$L$3)+(R51*'Data - P&amp;L'!$L$13*'Data - P&amp;L'!$L$14)</f>
        <v>986.5346044</v>
      </c>
      <c r="S381" s="142">
        <f>(S51*'Data - P&amp;L'!$L$12*'Data - P&amp;L'!$L$3)+(S51*'Data - P&amp;L'!$L$13*'Data - P&amp;L'!$L$14)</f>
        <v>819.4253483</v>
      </c>
      <c r="T381" s="142">
        <f>(T51*'Data - P&amp;L'!$L$12*'Data - P&amp;L'!$L$3)+(T51*'Data - P&amp;L'!$L$13*'Data - P&amp;L'!$L$14)</f>
        <v>826.3430612</v>
      </c>
      <c r="U381" s="142">
        <f>(U51*'Data - P&amp;L'!$L$12*'Data - P&amp;L'!$L$3)+(U51*'Data - P&amp;L'!$L$13*'Data - P&amp;L'!$L$14)</f>
        <v>1059.944502</v>
      </c>
      <c r="V381" s="142">
        <f>(V51*'Data - P&amp;L'!$L$12*'Data - P&amp;L'!$L$3)+(V51*'Data - P&amp;L'!$L$13*'Data - P&amp;L'!$L$14)</f>
        <v>574.8487898</v>
      </c>
      <c r="W381" s="142">
        <f>(W51*'Data - P&amp;L'!$L$12*'Data - P&amp;L'!$L$3)+(W51*'Data - P&amp;L'!$L$13*'Data - P&amp;L'!$L$14)</f>
        <v>618.1041324</v>
      </c>
      <c r="X381" s="142">
        <f>(X51*'Data - P&amp;L'!$L$12*'Data - P&amp;L'!$L$3)+(X51*'Data - P&amp;L'!$L$13*'Data - P&amp;L'!$L$14)</f>
        <v>684.9707904</v>
      </c>
      <c r="Y381" s="142">
        <f>(Y51*'Data - P&amp;L'!$L$12*'Data - P&amp;L'!$L$3)+(Y51*'Data - P&amp;L'!$L$13*'Data - P&amp;L'!$L$14)</f>
        <v>555.9442715</v>
      </c>
      <c r="Z381" s="142">
        <f>(Z51*'Data - P&amp;L'!$L$12*'Data - P&amp;L'!$L$3)+(Z51*'Data - P&amp;L'!$L$13*'Data - P&amp;L'!$L$14)</f>
        <v>553.7324422</v>
      </c>
      <c r="AA381" s="142">
        <f>(AA51*'Data - P&amp;L'!$L$12*'Data - P&amp;L'!$L$3)+(AA51*'Data - P&amp;L'!$L$13*'Data - P&amp;L'!$L$14)</f>
        <v>580.7006232</v>
      </c>
      <c r="AB381" s="142">
        <f>(AB51*'Data - P&amp;L'!$L$12*'Data - P&amp;L'!$L$3)+(AB51*'Data - P&amp;L'!$L$13*'Data - P&amp;L'!$L$14)</f>
        <v>609.5445207</v>
      </c>
      <c r="AC381" s="142">
        <f>(AC51*'Data - P&amp;L'!$L$12*'Data - P&amp;L'!$L$3)+(AC51*'Data - P&amp;L'!$L$13*'Data - P&amp;L'!$L$14)</f>
        <v>653.0160228</v>
      </c>
      <c r="AD381" s="142">
        <f>(AD51*'Data - P&amp;L'!$L$12*'Data - P&amp;L'!$L$3)+(AD51*'Data - P&amp;L'!$L$13*'Data - P&amp;L'!$L$14)</f>
        <v>612.0120879</v>
      </c>
      <c r="AE381" s="142">
        <f>(AE51*'Data - P&amp;L'!$L$12*'Data - P&amp;L'!$L$3)+(AE51*'Data - P&amp;L'!$L$13*'Data - P&amp;L'!$L$14)</f>
        <v>455.8401981</v>
      </c>
      <c r="AF381" s="142">
        <f>(AF51*'Data - P&amp;L'!$L$12*'Data - P&amp;L'!$L$3)+(AF51*'Data - P&amp;L'!$L$13*'Data - P&amp;L'!$L$14)</f>
        <v>543.4472079</v>
      </c>
      <c r="AG381" s="126">
        <f t="shared" ref="AG381:AG387" si="118">SUM(B381:AF381)</f>
        <v>25423.16606</v>
      </c>
    </row>
    <row r="382">
      <c r="A382" s="249" t="s">
        <v>336</v>
      </c>
      <c r="B382" s="250">
        <f>(B42*'Data - P&amp;L'!$L$12*'Data - P&amp;L'!$I$10)+(B42*'Data - P&amp;L'!$L$13*'Data - P&amp;L'!$L$15)</f>
        <v>57.3</v>
      </c>
      <c r="C382" s="250">
        <f>(C42*'Data - P&amp;L'!$L$12*'Data - P&amp;L'!$I$10)+(C42*'Data - P&amp;L'!$L$13*'Data - P&amp;L'!$L$15)</f>
        <v>47.4</v>
      </c>
      <c r="D382" s="250">
        <f>(D42*'Data - P&amp;L'!$L$12*'Data - P&amp;L'!$I$10)+(D42*'Data - P&amp;L'!$L$13*'Data - P&amp;L'!$L$15)</f>
        <v>53.7</v>
      </c>
      <c r="E382" s="250">
        <f>(E42*'Data - P&amp;L'!$L$12*'Data - P&amp;L'!$I$10)+(E42*'Data - P&amp;L'!$L$13*'Data - P&amp;L'!$L$15)</f>
        <v>46.8</v>
      </c>
      <c r="F382" s="250">
        <f>(F42*'Data - P&amp;L'!$L$12*'Data - P&amp;L'!$I$10)+(F42*'Data - P&amp;L'!$L$13*'Data - P&amp;L'!$L$15)</f>
        <v>53.4</v>
      </c>
      <c r="G382" s="250">
        <f>(G42*'Data - P&amp;L'!$L$12*'Data - P&amp;L'!$I$10)+(G42*'Data - P&amp;L'!$L$13*'Data - P&amp;L'!$L$15)</f>
        <v>56.1</v>
      </c>
      <c r="H382" s="250">
        <f>(H42*'Data - P&amp;L'!$L$12*'Data - P&amp;L'!$I$10)+(H42*'Data - P&amp;L'!$L$13*'Data - P&amp;L'!$L$15)</f>
        <v>58.5</v>
      </c>
      <c r="I382" s="250">
        <f>(I42*'Data - P&amp;L'!$L$12*'Data - P&amp;L'!$I$10)+(I42*'Data - P&amp;L'!$L$13*'Data - P&amp;L'!$L$15)</f>
        <v>43.2</v>
      </c>
      <c r="J382" s="250">
        <f>(J42*'Data - P&amp;L'!$L$12*'Data - P&amp;L'!$I$10)+(J42*'Data - P&amp;L'!$L$13*'Data - P&amp;L'!$L$15)</f>
        <v>33.9</v>
      </c>
      <c r="K382" s="250">
        <f>(K42*'Data - P&amp;L'!$L$12*'Data - P&amp;L'!$I$10)+(K42*'Data - P&amp;L'!$L$13*'Data - P&amp;L'!$L$15)</f>
        <v>31.2</v>
      </c>
      <c r="L382" s="250">
        <f>(L42*'Data - P&amp;L'!$L$12*'Data - P&amp;L'!$I$10)+(L42*'Data - P&amp;L'!$L$13*'Data - P&amp;L'!$L$15)</f>
        <v>39.3</v>
      </c>
      <c r="M382" s="250">
        <f>(M42*'Data - P&amp;L'!$L$12*'Data - P&amp;L'!$I$10)+(M42*'Data - P&amp;L'!$L$13*'Data - P&amp;L'!$L$15)</f>
        <v>41.4</v>
      </c>
      <c r="N382" s="250">
        <f>(N42*'Data - P&amp;L'!$L$12*'Data - P&amp;L'!$I$10)+(N42*'Data - P&amp;L'!$L$13*'Data - P&amp;L'!$L$15)</f>
        <v>42</v>
      </c>
      <c r="O382" s="250">
        <f>(O42*'Data - P&amp;L'!$L$12*'Data - P&amp;L'!$I$10)+(O42*'Data - P&amp;L'!$L$13*'Data - P&amp;L'!$L$15)</f>
        <v>44.1</v>
      </c>
      <c r="P382" s="250">
        <f>(P42*'Data - P&amp;L'!$L$12*'Data - P&amp;L'!$I$10)+(P42*'Data - P&amp;L'!$L$13*'Data - P&amp;L'!$L$15)</f>
        <v>38.4</v>
      </c>
      <c r="Q382" s="250">
        <f>(Q42*'Data - P&amp;L'!$L$12*'Data - P&amp;L'!$I$10)+(Q42*'Data - P&amp;L'!$L$13*'Data - P&amp;L'!$L$15)</f>
        <v>35.1</v>
      </c>
      <c r="R382" s="250">
        <f>(R42*'Data - P&amp;L'!$L$12*'Data - P&amp;L'!$I$10)+(R42*'Data - P&amp;L'!$L$13*'Data - P&amp;L'!$L$15)</f>
        <v>40.2</v>
      </c>
      <c r="S382" s="250">
        <f>(S42*'Data - P&amp;L'!$L$12*'Data - P&amp;L'!$I$10)+(S42*'Data - P&amp;L'!$L$13*'Data - P&amp;L'!$L$15)</f>
        <v>32.1</v>
      </c>
      <c r="T382" s="250">
        <f>(T42*'Data - P&amp;L'!$L$12*'Data - P&amp;L'!$I$10)+(T42*'Data - P&amp;L'!$L$13*'Data - P&amp;L'!$L$15)</f>
        <v>35.7</v>
      </c>
      <c r="U382" s="250">
        <f>(U42*'Data - P&amp;L'!$L$12*'Data - P&amp;L'!$I$10)+(U42*'Data - P&amp;L'!$L$13*'Data - P&amp;L'!$L$15)</f>
        <v>45</v>
      </c>
      <c r="V382" s="250">
        <f>(V42*'Data - P&amp;L'!$L$12*'Data - P&amp;L'!$I$10)+(V42*'Data - P&amp;L'!$L$13*'Data - P&amp;L'!$L$15)</f>
        <v>34.5</v>
      </c>
      <c r="W382" s="250">
        <f>(W42*'Data - P&amp;L'!$L$12*'Data - P&amp;L'!$I$10)+(W42*'Data - P&amp;L'!$L$13*'Data - P&amp;L'!$L$15)</f>
        <v>28.8</v>
      </c>
      <c r="X382" s="250">
        <f>(X42*'Data - P&amp;L'!$L$12*'Data - P&amp;L'!$I$10)+(X42*'Data - P&amp;L'!$L$13*'Data - P&amp;L'!$L$15)</f>
        <v>27.3</v>
      </c>
      <c r="Y382" s="250">
        <f>(Y42*'Data - P&amp;L'!$L$12*'Data - P&amp;L'!$I$10)+(Y42*'Data - P&amp;L'!$L$13*'Data - P&amp;L'!$L$15)</f>
        <v>25.8</v>
      </c>
      <c r="Z382" s="250">
        <f>(Z42*'Data - P&amp;L'!$L$12*'Data - P&amp;L'!$I$10)+(Z42*'Data - P&amp;L'!$L$13*'Data - P&amp;L'!$L$15)</f>
        <v>27.3</v>
      </c>
      <c r="AA382" s="250">
        <f>(AA42*'Data - P&amp;L'!$L$12*'Data - P&amp;L'!$I$10)+(AA42*'Data - P&amp;L'!$L$13*'Data - P&amp;L'!$L$15)</f>
        <v>28.8</v>
      </c>
      <c r="AB382" s="250">
        <f>(AB42*'Data - P&amp;L'!$L$12*'Data - P&amp;L'!$I$10)+(AB42*'Data - P&amp;L'!$L$13*'Data - P&amp;L'!$L$15)</f>
        <v>31.5</v>
      </c>
      <c r="AC382" s="250">
        <f>(AC42*'Data - P&amp;L'!$L$12*'Data - P&amp;L'!$I$10)+(AC42*'Data - P&amp;L'!$L$13*'Data - P&amp;L'!$L$15)</f>
        <v>31.2</v>
      </c>
      <c r="AD382" s="250">
        <f>(AD42*'Data - P&amp;L'!$L$12*'Data - P&amp;L'!$I$10)+(AD42*'Data - P&amp;L'!$L$13*'Data - P&amp;L'!$L$15)</f>
        <v>31.2</v>
      </c>
      <c r="AE382" s="250">
        <f>(AE42*'Data - P&amp;L'!$L$12*'Data - P&amp;L'!$I$10)+(AE42*'Data - P&amp;L'!$L$13*'Data - P&amp;L'!$L$15)</f>
        <v>21.9</v>
      </c>
      <c r="AF382" s="250">
        <f>(AF42*'Data - P&amp;L'!$L$12*'Data - P&amp;L'!$I$10)+(AF42*'Data - P&amp;L'!$L$13*'Data - P&amp;L'!$L$15)</f>
        <v>20.7</v>
      </c>
      <c r="AG382" s="132">
        <f t="shared" si="118"/>
        <v>1183.8</v>
      </c>
    </row>
    <row r="383">
      <c r="A383" s="251" t="s">
        <v>337</v>
      </c>
      <c r="B383" s="142">
        <f>((SUM(B146:B149))*'Data - P&amp;L'!$C$38)+((SUM(B151:B154))*'Data - P&amp;L'!$C$39)</f>
        <v>919.38</v>
      </c>
      <c r="C383" s="142">
        <f>((SUM(C146:C149))*'Data - P&amp;L'!$C$38)+((SUM(C151:C154))*'Data - P&amp;L'!$C$39)</f>
        <v>943.26</v>
      </c>
      <c r="D383" s="142">
        <f>((SUM(D146:D149))*'Data - P&amp;L'!$C$38)+((SUM(D151:D154))*'Data - P&amp;L'!$C$39)</f>
        <v>1205.94</v>
      </c>
      <c r="E383" s="142">
        <f>((SUM(E146:E149))*'Data - P&amp;L'!$C$38)+((SUM(E151:E154))*'Data - P&amp;L'!$C$39)</f>
        <v>1074.6</v>
      </c>
      <c r="F383" s="142">
        <f>((SUM(F146:F149))*'Data - P&amp;L'!$C$38)+((SUM(F151:F154))*'Data - P&amp;L'!$C$39)</f>
        <v>1038.78</v>
      </c>
      <c r="G383" s="142">
        <f>((SUM(G146:G149))*'Data - P&amp;L'!$C$38)+((SUM(G151:G154))*'Data - P&amp;L'!$C$39)</f>
        <v>1110.42</v>
      </c>
      <c r="H383" s="142">
        <f>((SUM(H146:H149))*'Data - P&amp;L'!$C$38)+((SUM(H151:H154))*'Data - P&amp;L'!$C$39)</f>
        <v>1026.84</v>
      </c>
      <c r="I383" s="142">
        <f>((SUM(I146:I149))*'Data - P&amp;L'!$C$38)+((SUM(I151:I154))*'Data - P&amp;L'!$C$39)</f>
        <v>943.26</v>
      </c>
      <c r="J383" s="142">
        <f>((SUM(J146:J149))*'Data - P&amp;L'!$C$38)+((SUM(J151:J154))*'Data - P&amp;L'!$C$39)</f>
        <v>835.8</v>
      </c>
      <c r="K383" s="142">
        <f>((SUM(K146:K149))*'Data - P&amp;L'!$C$38)+((SUM(K151:K154))*'Data - P&amp;L'!$C$39)</f>
        <v>752.22</v>
      </c>
      <c r="L383" s="142">
        <f>((SUM(L146:L149))*'Data - P&amp;L'!$C$38)+((SUM(L151:L154))*'Data - P&amp;L'!$C$39)</f>
        <v>871.62</v>
      </c>
      <c r="M383" s="142">
        <f>((SUM(M146:M149))*'Data - P&amp;L'!$C$38)+((SUM(M151:M154))*'Data - P&amp;L'!$C$39)</f>
        <v>1050.72</v>
      </c>
      <c r="N383" s="142">
        <f>((SUM(N146:N149))*'Data - P&amp;L'!$C$38)+((SUM(N151:N154))*'Data - P&amp;L'!$C$39)</f>
        <v>811.92</v>
      </c>
      <c r="O383" s="142">
        <f>((SUM(O146:O149))*'Data - P&amp;L'!$C$38)+((SUM(O151:O154))*'Data - P&amp;L'!$C$39)</f>
        <v>764.16</v>
      </c>
      <c r="P383" s="142">
        <f>((SUM(P146:P149))*'Data - P&amp;L'!$C$38)+((SUM(P151:P154))*'Data - P&amp;L'!$C$39)</f>
        <v>835.8</v>
      </c>
      <c r="Q383" s="142">
        <f>((SUM(Q146:Q149))*'Data - P&amp;L'!$C$38)+((SUM(Q151:Q154))*'Data - P&amp;L'!$C$39)</f>
        <v>788.04</v>
      </c>
      <c r="R383" s="142">
        <f>((SUM(R146:R149))*'Data - P&amp;L'!$C$38)+((SUM(R151:R154))*'Data - P&amp;L'!$C$39)</f>
        <v>991.02</v>
      </c>
      <c r="S383" s="142">
        <f>((SUM(S146:S149))*'Data - P&amp;L'!$C$38)+((SUM(S151:S154))*'Data - P&amp;L'!$C$39)</f>
        <v>799.98</v>
      </c>
      <c r="T383" s="142">
        <f>((SUM(T146:T149))*'Data - P&amp;L'!$C$38)+((SUM(T151:T154))*'Data - P&amp;L'!$C$39)</f>
        <v>859.68</v>
      </c>
      <c r="U383" s="142">
        <f>((SUM(U146:U149))*'Data - P&amp;L'!$C$38)+((SUM(U151:U154))*'Data - P&amp;L'!$C$39)</f>
        <v>1074.6</v>
      </c>
      <c r="V383" s="142">
        <f>((SUM(V146:V149))*'Data - P&amp;L'!$C$38)+((SUM(V151:V154))*'Data - P&amp;L'!$C$39)</f>
        <v>465.66</v>
      </c>
      <c r="W383" s="142">
        <f>((SUM(W146:W149))*'Data - P&amp;L'!$C$38)+((SUM(W151:W154))*'Data - P&amp;L'!$C$39)</f>
        <v>573.12</v>
      </c>
      <c r="X383" s="142">
        <f>((SUM(X146:X149))*'Data - P&amp;L'!$C$38)+((SUM(X151:X154))*'Data - P&amp;L'!$C$39)</f>
        <v>728.34</v>
      </c>
      <c r="Y383" s="142">
        <f>((SUM(Y146:Y149))*'Data - P&amp;L'!$C$38)+((SUM(Y151:Y154))*'Data - P&amp;L'!$C$39)</f>
        <v>585.06</v>
      </c>
      <c r="Z383" s="142">
        <f>((SUM(Z146:Z149))*'Data - P&amp;L'!$C$38)+((SUM(Z151:Z154))*'Data - P&amp;L'!$C$39)</f>
        <v>573.12</v>
      </c>
      <c r="AA383" s="142">
        <f>((SUM(AA146:AA149))*'Data - P&amp;L'!$C$38)+((SUM(AA151:AA154))*'Data - P&amp;L'!$C$39)</f>
        <v>620.88</v>
      </c>
      <c r="AB383" s="142">
        <f>((SUM(AB146:AB149))*'Data - P&amp;L'!$C$38)+((SUM(AB151:AB154))*'Data - P&amp;L'!$C$39)</f>
        <v>620.88</v>
      </c>
      <c r="AC383" s="142">
        <f>((SUM(AC146:AC149))*'Data - P&amp;L'!$C$38)+((SUM(AC151:AC154))*'Data - P&amp;L'!$C$39)</f>
        <v>704.46</v>
      </c>
      <c r="AD383" s="142">
        <f>((SUM(AD146:AD149))*'Data - P&amp;L'!$C$38)+((SUM(AD151:AD154))*'Data - P&amp;L'!$C$39)</f>
        <v>680.58</v>
      </c>
      <c r="AE383" s="142">
        <f>((SUM(AE146:AE149))*'Data - P&amp;L'!$C$38)+((SUM(AE151:AE154))*'Data - P&amp;L'!$C$39)</f>
        <v>525.36</v>
      </c>
      <c r="AF383" s="142">
        <f>((SUM(AF146:AF149))*'Data - P&amp;L'!$C$38)+((SUM(AF151:AF154))*'Data - P&amp;L'!$C$39)</f>
        <v>585.06</v>
      </c>
      <c r="AG383" s="126">
        <f t="shared" si="118"/>
        <v>25360.56</v>
      </c>
    </row>
    <row r="384">
      <c r="A384" s="243" t="s">
        <v>338</v>
      </c>
      <c r="B384" s="245">
        <f>((SUM(B146:B149))*'Data - P&amp;L'!$C$34)+((SUM(B151:B154))*'Data - P&amp;L'!$C$35)</f>
        <v>2899.34</v>
      </c>
      <c r="C384" s="245">
        <f>((SUM(C146:C149))*'Data - P&amp;L'!$C$34)+((SUM(C151:C154))*'Data - P&amp;L'!$C$35)</f>
        <v>3157.62</v>
      </c>
      <c r="D384" s="245">
        <f>((SUM(D146:D149))*'Data - P&amp;L'!$C$34)+((SUM(D151:D154))*'Data - P&amp;L'!$C$35)</f>
        <v>4116.38</v>
      </c>
      <c r="E384" s="245">
        <f>((SUM(E146:E149))*'Data - P&amp;L'!$C$34)+((SUM(E151:E154))*'Data - P&amp;L'!$C$35)</f>
        <v>3579.96</v>
      </c>
      <c r="F384" s="245">
        <f>((SUM(F146:F149))*'Data - P&amp;L'!$C$34)+((SUM(F151:F154))*'Data - P&amp;L'!$C$35)</f>
        <v>3591.82</v>
      </c>
      <c r="G384" s="245">
        <f>((SUM(G146:G149))*'Data - P&amp;L'!$C$34)+((SUM(G151:G154))*'Data - P&amp;L'!$C$35)</f>
        <v>3938.86</v>
      </c>
      <c r="H384" s="245">
        <f>((SUM(H146:H149))*'Data - P&amp;L'!$C$34)+((SUM(H151:H154))*'Data - P&amp;L'!$C$35)</f>
        <v>3491.2</v>
      </c>
      <c r="I384" s="245">
        <f>((SUM(I146:I149))*'Data - P&amp;L'!$C$34)+((SUM(I151:I154))*'Data - P&amp;L'!$C$35)</f>
        <v>3129.1</v>
      </c>
      <c r="J384" s="245">
        <f>((SUM(J146:J149))*'Data - P&amp;L'!$C$34)+((SUM(J151:J154))*'Data - P&amp;L'!$C$35)</f>
        <v>2736.88</v>
      </c>
      <c r="K384" s="245">
        <f>((SUM(K146:K149))*'Data - P&amp;L'!$C$34)+((SUM(K151:K154))*'Data - P&amp;L'!$C$35)</f>
        <v>2374.78</v>
      </c>
      <c r="L384" s="245">
        <f>((SUM(L146:L149))*'Data - P&amp;L'!$C$34)+((SUM(L151:L154))*'Data - P&amp;L'!$C$35)</f>
        <v>2839.1</v>
      </c>
      <c r="M384" s="245">
        <f>((SUM(M146:M149))*'Data - P&amp;L'!$C$34)+((SUM(M151:M154))*'Data - P&amp;L'!$C$35)</f>
        <v>3549.84</v>
      </c>
      <c r="N384" s="245">
        <f>((SUM(N146:N149))*'Data - P&amp;L'!$C$34)+((SUM(N151:N154))*'Data - P&amp;L'!$C$35)</f>
        <v>2678.24</v>
      </c>
      <c r="O384" s="245">
        <f>((SUM(O146:O149))*'Data - P&amp;L'!$C$34)+((SUM(O151:O154))*'Data - P&amp;L'!$C$35)</f>
        <v>2361.32</v>
      </c>
      <c r="P384" s="245">
        <f>((SUM(P146:P149))*'Data - P&amp;L'!$C$34)+((SUM(P151:P154))*'Data - P&amp;L'!$C$35)</f>
        <v>2908</v>
      </c>
      <c r="Q384" s="245">
        <f>((SUM(Q146:Q149))*'Data - P&amp;L'!$C$34)+((SUM(Q151:Q154))*'Data - P&amp;L'!$C$35)</f>
        <v>2648.12</v>
      </c>
      <c r="R384" s="245">
        <f>((SUM(R146:R149))*'Data - P&amp;L'!$C$34)+((SUM(R151:R154))*'Data - P&amp;L'!$C$35)</f>
        <v>3388.98</v>
      </c>
      <c r="S384" s="245">
        <f>((SUM(S146:S149))*'Data - P&amp;L'!$C$34)+((SUM(S151:S154))*'Data - P&amp;L'!$C$35)</f>
        <v>2634.66</v>
      </c>
      <c r="T384" s="245">
        <f>((SUM(T146:T149))*'Data - P&amp;L'!$C$34)+((SUM(T151:T154))*'Data - P&amp;L'!$C$35)</f>
        <v>2852.56</v>
      </c>
      <c r="U384" s="245">
        <f>((SUM(U146:U149))*'Data - P&amp;L'!$C$34)+((SUM(U151:U154))*'Data - P&amp;L'!$C$35)</f>
        <v>3722.56</v>
      </c>
      <c r="V384" s="245">
        <f>((SUM(V146:V149))*'Data - P&amp;L'!$C$34)+((SUM(V151:V154))*'Data - P&amp;L'!$C$35)</f>
        <v>1642.58</v>
      </c>
      <c r="W384" s="245">
        <f>((SUM(W146:W149))*'Data - P&amp;L'!$C$34)+((SUM(W151:W154))*'Data - P&amp;L'!$C$35)</f>
        <v>1977.76</v>
      </c>
      <c r="X384" s="245">
        <f>((SUM(X146:X149))*'Data - P&amp;L'!$C$34)+((SUM(X151:X154))*'Data - P&amp;L'!$C$35)</f>
        <v>2487.26</v>
      </c>
      <c r="Y384" s="245">
        <f>((SUM(Y146:Y149))*'Data - P&amp;L'!$C$34)+((SUM(Y151:Y154))*'Data - P&amp;L'!$C$35)</f>
        <v>1992.82</v>
      </c>
      <c r="Z384" s="245">
        <f>((SUM(Z146:Z149))*'Data - P&amp;L'!$C$34)+((SUM(Z151:Z154))*'Data - P&amp;L'!$C$35)</f>
        <v>1977.76</v>
      </c>
      <c r="AA384" s="245">
        <f>((SUM(AA146:AA149))*'Data - P&amp;L'!$C$34)+((SUM(AA151:AA154))*'Data - P&amp;L'!$C$35)</f>
        <v>2152.08</v>
      </c>
      <c r="AB384" s="245">
        <f>((SUM(AB146:AB149))*'Data - P&amp;L'!$C$34)+((SUM(AB151:AB154))*'Data - P&amp;L'!$C$35)</f>
        <v>2066.52</v>
      </c>
      <c r="AC384" s="245">
        <f>((SUM(AC146:AC149))*'Data - P&amp;L'!$C$34)+((SUM(AC151:AC154))*'Data - P&amp;L'!$C$35)</f>
        <v>2314.54</v>
      </c>
      <c r="AD384" s="245">
        <f>((SUM(AD146:AD149))*'Data - P&amp;L'!$C$34)+((SUM(AD151:AD154))*'Data - P&amp;L'!$C$35)</f>
        <v>2255.9</v>
      </c>
      <c r="AE384" s="245">
        <f>((SUM(AE146:AE149))*'Data - P&amp;L'!$C$34)+((SUM(AE151:AE154))*'Data - P&amp;L'!$C$35)</f>
        <v>1546.76</v>
      </c>
      <c r="AF384" s="245">
        <f>((SUM(AF146:AF149))*'Data - P&amp;L'!$C$34)+((SUM(AF151:AF154))*'Data - P&amp;L'!$C$35)</f>
        <v>2049.86</v>
      </c>
      <c r="AG384" s="126">
        <f t="shared" si="118"/>
        <v>85063.16</v>
      </c>
    </row>
    <row r="385">
      <c r="A385" s="243" t="s">
        <v>339</v>
      </c>
      <c r="B385" s="252">
        <f>((SUM(B159:B166))*'Data - P&amp;L'!$D$38)+((SUM(B170:B177))*'Data - P&amp;L'!$D$39)</f>
        <v>376.13</v>
      </c>
      <c r="C385" s="252">
        <f>((SUM(C159:C166))*'Data - P&amp;L'!$D$38)+((SUM(C170:C177))*'Data - P&amp;L'!$D$39)</f>
        <v>315.815</v>
      </c>
      <c r="D385" s="252">
        <f>((SUM(D159:D166))*'Data - P&amp;L'!$D$38)+((SUM(D170:D177))*'Data - P&amp;L'!$D$39)</f>
        <v>265.525</v>
      </c>
      <c r="E385" s="252">
        <f>((SUM(E159:E166))*'Data - P&amp;L'!$D$38)+((SUM(E170:E177))*'Data - P&amp;L'!$D$39)</f>
        <v>278.52</v>
      </c>
      <c r="F385" s="252">
        <f>((SUM(F159:F166))*'Data - P&amp;L'!$D$38)+((SUM(F170:F177))*'Data - P&amp;L'!$D$39)</f>
        <v>314.355</v>
      </c>
      <c r="G385" s="252">
        <f>((SUM(G159:G166))*'Data - P&amp;L'!$D$38)+((SUM(G170:G177))*'Data - P&amp;L'!$D$39)</f>
        <v>340.155</v>
      </c>
      <c r="H385" s="252">
        <f>((SUM(H159:H166))*'Data - P&amp;L'!$D$38)+((SUM(H170:H177))*'Data - P&amp;L'!$D$39)</f>
        <v>416.2</v>
      </c>
      <c r="I385" s="252">
        <f>((SUM(I159:I166))*'Data - P&amp;L'!$D$38)+((SUM(I170:I177))*'Data - P&amp;L'!$D$39)</f>
        <v>232.595</v>
      </c>
      <c r="J385" s="252">
        <f>((SUM(J159:J166))*'Data - P&amp;L'!$D$38)+((SUM(J170:J177))*'Data - P&amp;L'!$D$39)</f>
        <v>205.34</v>
      </c>
      <c r="K385" s="252">
        <f>((SUM(K159:K166))*'Data - P&amp;L'!$D$38)+((SUM(K170:K177))*'Data - P&amp;L'!$D$39)</f>
        <v>170.89</v>
      </c>
      <c r="L385" s="252">
        <f>((SUM(L159:L166))*'Data - P&amp;L'!$D$38)+((SUM(L170:L177))*'Data - P&amp;L'!$D$39)</f>
        <v>215.355</v>
      </c>
      <c r="M385" s="252">
        <f>((SUM(M159:M166))*'Data - P&amp;L'!$D$38)+((SUM(M170:M177))*'Data - P&amp;L'!$D$39)</f>
        <v>198.095</v>
      </c>
      <c r="N385" s="252">
        <f>((SUM(N159:N166))*'Data - P&amp;L'!$D$38)+((SUM(N170:N177))*'Data - P&amp;L'!$D$39)</f>
        <v>268.495</v>
      </c>
      <c r="O385" s="252">
        <f>((SUM(O159:O166))*'Data - P&amp;L'!$D$38)+((SUM(O170:O177))*'Data - P&amp;L'!$D$39)</f>
        <v>229.675</v>
      </c>
      <c r="P385" s="252">
        <f>((SUM(P159:P166))*'Data - P&amp;L'!$D$38)+((SUM(P170:P177))*'Data - P&amp;L'!$D$39)</f>
        <v>193.775</v>
      </c>
      <c r="Q385" s="252">
        <f>((SUM(Q159:Q166))*'Data - P&amp;L'!$D$38)+((SUM(Q170:Q177))*'Data - P&amp;L'!$D$39)</f>
        <v>156.465</v>
      </c>
      <c r="R385" s="252">
        <f>((SUM(R159:R166))*'Data - P&amp;L'!$D$38)+((SUM(R170:R177))*'Data - P&amp;L'!$D$39)</f>
        <v>200.955</v>
      </c>
      <c r="S385" s="252">
        <f>((SUM(S159:S166))*'Data - P&amp;L'!$D$38)+((SUM(S170:S177))*'Data - P&amp;L'!$D$39)</f>
        <v>176.545</v>
      </c>
      <c r="T385" s="252">
        <f>((SUM(T159:T166))*'Data - P&amp;L'!$D$38)+((SUM(T170:T177))*'Data - P&amp;L'!$D$39)</f>
        <v>163.675</v>
      </c>
      <c r="U385" s="252">
        <f>((SUM(U159:U166))*'Data - P&amp;L'!$D$38)+((SUM(U170:U177))*'Data - P&amp;L'!$D$39)</f>
        <v>216.79</v>
      </c>
      <c r="V385" s="252">
        <f>((SUM(V159:V166))*'Data - P&amp;L'!$D$38)+((SUM(V170:V177))*'Data - P&amp;L'!$D$39)</f>
        <v>226.79</v>
      </c>
      <c r="W385" s="252">
        <f>((SUM(W159:W166))*'Data - P&amp;L'!$D$38)+((SUM(W170:W177))*'Data - P&amp;L'!$D$39)</f>
        <v>159.305</v>
      </c>
      <c r="X385" s="252">
        <f>((SUM(X159:X166))*'Data - P&amp;L'!$D$38)+((SUM(X170:X177))*'Data - P&amp;L'!$D$39)</f>
        <v>142.115</v>
      </c>
      <c r="Y385" s="252">
        <f>((SUM(Y159:Y166))*'Data - P&amp;L'!$D$38)+((SUM(Y170:Y177))*'Data - P&amp;L'!$D$39)</f>
        <v>116.305</v>
      </c>
      <c r="Z385" s="252">
        <f>((SUM(Z159:Z166))*'Data - P&amp;L'!$D$38)+((SUM(Z170:Z177))*'Data - P&amp;L'!$D$39)</f>
        <v>149.3</v>
      </c>
      <c r="AA385" s="252">
        <f>((SUM(AA159:AA166))*'Data - P&amp;L'!$D$38)+((SUM(AA170:AA177))*'Data - P&amp;L'!$D$39)</f>
        <v>159.295</v>
      </c>
      <c r="AB385" s="252">
        <f>((SUM(AB159:AB166))*'Data - P&amp;L'!$D$38)+((SUM(AB170:AB177))*'Data - P&amp;L'!$D$39)</f>
        <v>162.205</v>
      </c>
      <c r="AC385" s="252">
        <f>((SUM(AC159:AC166))*'Data - P&amp;L'!$D$38)+((SUM(AC170:AC177))*'Data - P&amp;L'!$D$39)</f>
        <v>144.97</v>
      </c>
      <c r="AD385" s="252">
        <f>((SUM(AD159:AD166))*'Data - P&amp;L'!$D$38)+((SUM(AD170:AD177))*'Data - P&amp;L'!$D$39)</f>
        <v>143.54</v>
      </c>
      <c r="AE385" s="252">
        <f>((SUM(AE159:AE166))*'Data - P&amp;L'!$D$38)+((SUM(AE170:AE177))*'Data - P&amp;L'!$D$39)</f>
        <v>103.355</v>
      </c>
      <c r="AF385" s="252">
        <f>((SUM(AF159:AF166))*'Data - P&amp;L'!$D$38)+((SUM(AF170:AF177))*'Data - P&amp;L'!$D$39)</f>
        <v>97.6</v>
      </c>
      <c r="AG385" s="126">
        <f t="shared" si="118"/>
        <v>6540.13</v>
      </c>
    </row>
    <row r="386">
      <c r="A386" s="243" t="s">
        <v>340</v>
      </c>
      <c r="B386" s="252">
        <f>(B167*'Data - P&amp;L'!$D$34)+(B178*'Data - P&amp;L'!$D$35)</f>
        <v>2423.52</v>
      </c>
      <c r="C386" s="252">
        <f>(C167*'Data - P&amp;L'!$D$34)+(C178*'Data - P&amp;L'!$D$35)</f>
        <v>2048.64</v>
      </c>
      <c r="D386" s="252">
        <f>(D167*'Data - P&amp;L'!$D$34)+(D178*'Data - P&amp;L'!$D$35)</f>
        <v>1755.6</v>
      </c>
      <c r="E386" s="252">
        <f>(E167*'Data - P&amp;L'!$D$34)+(E178*'Data - P&amp;L'!$D$35)</f>
        <v>1786.4</v>
      </c>
      <c r="F386" s="252">
        <f>(F167*'Data - P&amp;L'!$D$34)+(F178*'Data - P&amp;L'!$D$35)</f>
        <v>2056.56</v>
      </c>
      <c r="G386" s="252">
        <f>(G167*'Data - P&amp;L'!$D$34)+(G178*'Data - P&amp;L'!$D$35)</f>
        <v>2251.92</v>
      </c>
      <c r="H386" s="252">
        <f>(H167*'Data - P&amp;L'!$D$34)+(H178*'Data - P&amp;L'!$D$35)</f>
        <v>2772</v>
      </c>
      <c r="I386" s="252">
        <f>(I167*'Data - P&amp;L'!$D$34)+(I178*'Data - P&amp;L'!$D$35)</f>
        <v>1480.16</v>
      </c>
      <c r="J386" s="252">
        <f>(J167*'Data - P&amp;L'!$D$34)+(J178*'Data - P&amp;L'!$D$35)</f>
        <v>1289.2</v>
      </c>
      <c r="K386" s="252">
        <f>(K167*'Data - P&amp;L'!$D$34)+(K178*'Data - P&amp;L'!$D$35)</f>
        <v>1063.92</v>
      </c>
      <c r="L386" s="252">
        <f>(L167*'Data - P&amp;L'!$D$34)+(L178*'Data - P&amp;L'!$D$35)</f>
        <v>1378.08</v>
      </c>
      <c r="M386" s="252">
        <f>(M167*'Data - P&amp;L'!$D$34)+(M178*'Data - P&amp;L'!$D$35)</f>
        <v>1290.08</v>
      </c>
      <c r="N386" s="252">
        <f>(N167*'Data - P&amp;L'!$D$34)+(N178*'Data - P&amp;L'!$D$35)</f>
        <v>1704.56</v>
      </c>
      <c r="O386" s="252">
        <f>(O167*'Data - P&amp;L'!$D$34)+(O178*'Data - P&amp;L'!$D$35)</f>
        <v>1496</v>
      </c>
      <c r="P386" s="252">
        <f>(P167*'Data - P&amp;L'!$D$34)+(P178*'Data - P&amp;L'!$D$35)</f>
        <v>1271.6</v>
      </c>
      <c r="Q386" s="252">
        <f>(Q167*'Data - P&amp;L'!$D$34)+(Q178*'Data - P&amp;L'!$D$35)</f>
        <v>1019.92</v>
      </c>
      <c r="R386" s="252">
        <f>(R167*'Data - P&amp;L'!$D$34)+(R178*'Data - P&amp;L'!$D$35)</f>
        <v>1316.48</v>
      </c>
      <c r="S386" s="252">
        <f>(S167*'Data - P&amp;L'!$D$34)+(S178*'Data - P&amp;L'!$D$35)</f>
        <v>1162.48</v>
      </c>
      <c r="T386" s="252">
        <f>(T167*'Data - P&amp;L'!$D$34)+(T178*'Data - P&amp;L'!$D$35)</f>
        <v>1043.68</v>
      </c>
      <c r="U386" s="252">
        <f>(U167*'Data - P&amp;L'!$D$34)+(U178*'Data - P&amp;L'!$D$35)</f>
        <v>1387.76</v>
      </c>
      <c r="V386" s="252">
        <f>(V167*'Data - P&amp;L'!$D$34)+(V178*'Data - P&amp;L'!$D$35)</f>
        <v>1487.2</v>
      </c>
      <c r="W386" s="252">
        <f>(W167*'Data - P&amp;L'!$D$34)+(W178*'Data - P&amp;L'!$D$35)</f>
        <v>1060.4</v>
      </c>
      <c r="X386" s="252">
        <f>(X167*'Data - P&amp;L'!$D$34)+(X178*'Data - P&amp;L'!$D$35)</f>
        <v>923.12</v>
      </c>
      <c r="Y386" s="252">
        <f>(Y167*'Data - P&amp;L'!$D$34)+(Y178*'Data - P&amp;L'!$D$35)</f>
        <v>734.8</v>
      </c>
      <c r="Z386" s="252">
        <f>(Z167*'Data - P&amp;L'!$D$34)+(Z178*'Data - P&amp;L'!$D$35)</f>
        <v>964.48</v>
      </c>
      <c r="AA386" s="252">
        <f>(AA167*'Data - P&amp;L'!$D$34)+(AA178*'Data - P&amp;L'!$D$35)</f>
        <v>1067.44</v>
      </c>
      <c r="AB386" s="252">
        <f>(AB167*'Data - P&amp;L'!$D$34)+(AB178*'Data - P&amp;L'!$D$35)</f>
        <v>1058.64</v>
      </c>
      <c r="AC386" s="252">
        <f>(AC167*'Data - P&amp;L'!$D$34)+(AC178*'Data - P&amp;L'!$D$35)</f>
        <v>953.04</v>
      </c>
      <c r="AD386" s="252">
        <f>(AD167*'Data - P&amp;L'!$D$34)+(AD178*'Data - P&amp;L'!$D$35)</f>
        <v>939.84</v>
      </c>
      <c r="AE386" s="252">
        <f>(AE167*'Data - P&amp;L'!$D$34)+(AE178*'Data - P&amp;L'!$D$35)</f>
        <v>672.32</v>
      </c>
      <c r="AF386" s="252">
        <f>(AF167*'Data - P&amp;L'!$D$34)+(AF178*'Data - P&amp;L'!$D$35)</f>
        <v>644.16</v>
      </c>
      <c r="AG386" s="126">
        <f t="shared" si="118"/>
        <v>42504</v>
      </c>
    </row>
    <row r="387">
      <c r="A387" s="243" t="s">
        <v>341</v>
      </c>
      <c r="B387" s="252">
        <f>B81*'Data - P&amp;L'!$E$23</f>
        <v>16.2</v>
      </c>
      <c r="C387" s="252">
        <f>C81*'Data - P&amp;L'!$E$23</f>
        <v>0</v>
      </c>
      <c r="D387" s="252">
        <f>D81*'Data - P&amp;L'!$E$23</f>
        <v>21.6</v>
      </c>
      <c r="E387" s="252">
        <f>E81*'Data - P&amp;L'!$E$23</f>
        <v>5.4</v>
      </c>
      <c r="F387" s="252">
        <f>F81*'Data - P&amp;L'!$E$23</f>
        <v>5.4</v>
      </c>
      <c r="G387" s="252">
        <f>G81*'Data - P&amp;L'!$E$23</f>
        <v>5.4</v>
      </c>
      <c r="H387" s="252">
        <f>H81*'Data - P&amp;L'!$E$23</f>
        <v>37.8</v>
      </c>
      <c r="I387" s="252">
        <f>I81*'Data - P&amp;L'!$E$23</f>
        <v>0</v>
      </c>
      <c r="J387" s="252">
        <f>J81*'Data - P&amp;L'!$E$23</f>
        <v>10.8</v>
      </c>
      <c r="K387" s="252">
        <f>K81*'Data - P&amp;L'!$E$23</f>
        <v>5.4</v>
      </c>
      <c r="L387" s="252">
        <f>L81*'Data - P&amp;L'!$E$23</f>
        <v>5.4</v>
      </c>
      <c r="M387" s="252">
        <f>M81*'Data - P&amp;L'!$E$23</f>
        <v>0</v>
      </c>
      <c r="N387" s="252">
        <f>N81*'Data - P&amp;L'!$E$23</f>
        <v>0</v>
      </c>
      <c r="O387" s="252">
        <f>O81*'Data - P&amp;L'!$E$23</f>
        <v>0</v>
      </c>
      <c r="P387" s="252">
        <f>P81*'Data - P&amp;L'!$E$23</f>
        <v>5.4</v>
      </c>
      <c r="Q387" s="252">
        <f>Q81*'Data - P&amp;L'!$E$23</f>
        <v>0</v>
      </c>
      <c r="R387" s="252">
        <f>R81*'Data - P&amp;L'!$E$23</f>
        <v>0</v>
      </c>
      <c r="S387" s="252">
        <f>S81*'Data - P&amp;L'!$E$23</f>
        <v>0</v>
      </c>
      <c r="T387" s="252">
        <f>T81*'Data - P&amp;L'!$E$23</f>
        <v>0</v>
      </c>
      <c r="U387" s="252">
        <f>U81*'Data - P&amp;L'!$E$23</f>
        <v>0</v>
      </c>
      <c r="V387" s="252">
        <f>V81*'Data - P&amp;L'!$E$23</f>
        <v>5.4</v>
      </c>
      <c r="W387" s="252">
        <f>W81*'Data - P&amp;L'!$E$23</f>
        <v>0</v>
      </c>
      <c r="X387" s="252">
        <f>X81*'Data - P&amp;L'!$E$23</f>
        <v>0</v>
      </c>
      <c r="Y387" s="252">
        <f>Y81*'Data - P&amp;L'!$E$23</f>
        <v>0</v>
      </c>
      <c r="Z387" s="252">
        <f>Z81*'Data - P&amp;L'!$E$23</f>
        <v>0</v>
      </c>
      <c r="AA387" s="252">
        <f>AA81*'Data - P&amp;L'!$E$23</f>
        <v>0</v>
      </c>
      <c r="AB387" s="252">
        <f>AB81*'Data - P&amp;L'!$E$23</f>
        <v>0</v>
      </c>
      <c r="AC387" s="252">
        <f>AC81*'Data - P&amp;L'!$E$23</f>
        <v>0</v>
      </c>
      <c r="AD387" s="252">
        <f>AD81*'Data - P&amp;L'!$E$23</f>
        <v>0</v>
      </c>
      <c r="AE387" s="252">
        <f>AE81*'Data - P&amp;L'!$E$23</f>
        <v>0</v>
      </c>
      <c r="AF387" s="252">
        <f>AF81*'Data - P&amp;L'!$E$23</f>
        <v>0</v>
      </c>
      <c r="AG387" s="126">
        <f t="shared" si="118"/>
        <v>124.2</v>
      </c>
    </row>
    <row r="388">
      <c r="A388" s="246" t="s">
        <v>342</v>
      </c>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c r="AB388" s="253"/>
      <c r="AC388" s="253"/>
      <c r="AD388" s="253"/>
      <c r="AE388" s="253"/>
      <c r="AF388" s="253"/>
      <c r="AG388" s="248"/>
    </row>
    <row r="389">
      <c r="A389" s="243" t="s">
        <v>343</v>
      </c>
      <c r="B389" s="252">
        <f t="shared" ref="B389:AF389" si="119">B49</f>
        <v>1684.65</v>
      </c>
      <c r="C389" s="252">
        <f t="shared" si="119"/>
        <v>1759.45</v>
      </c>
      <c r="D389" s="252">
        <f t="shared" si="119"/>
        <v>2003.39</v>
      </c>
      <c r="E389" s="252">
        <f t="shared" si="119"/>
        <v>1819.14</v>
      </c>
      <c r="F389" s="252">
        <f t="shared" si="119"/>
        <v>1928.36</v>
      </c>
      <c r="G389" s="252">
        <f t="shared" si="119"/>
        <v>2080.55</v>
      </c>
      <c r="H389" s="252">
        <f t="shared" si="119"/>
        <v>1985.7</v>
      </c>
      <c r="I389" s="252">
        <f t="shared" si="119"/>
        <v>1559.13</v>
      </c>
      <c r="J389" s="252">
        <f t="shared" si="119"/>
        <v>1380.09</v>
      </c>
      <c r="K389" s="252">
        <f t="shared" si="119"/>
        <v>1121.66</v>
      </c>
      <c r="L389" s="252">
        <f t="shared" si="119"/>
        <v>1469.72</v>
      </c>
      <c r="M389" s="252">
        <f t="shared" si="119"/>
        <v>1786.93</v>
      </c>
      <c r="N389" s="252">
        <f t="shared" si="119"/>
        <v>1504.3</v>
      </c>
      <c r="O389" s="252">
        <f t="shared" si="119"/>
        <v>1380.33</v>
      </c>
      <c r="P389" s="252">
        <f t="shared" si="119"/>
        <v>1460.15</v>
      </c>
      <c r="Q389" s="252">
        <f t="shared" si="119"/>
        <v>1348.36</v>
      </c>
      <c r="R389" s="252">
        <f t="shared" si="119"/>
        <v>1757.83</v>
      </c>
      <c r="S389" s="252">
        <f t="shared" si="119"/>
        <v>1417.99</v>
      </c>
      <c r="T389" s="252">
        <f t="shared" si="119"/>
        <v>1343.02</v>
      </c>
      <c r="U389" s="252">
        <f t="shared" si="119"/>
        <v>2054.84</v>
      </c>
      <c r="V389" s="252">
        <f t="shared" si="119"/>
        <v>1013.24</v>
      </c>
      <c r="W389" s="252">
        <f t="shared" si="119"/>
        <v>1121.05</v>
      </c>
      <c r="X389" s="252">
        <f t="shared" si="119"/>
        <v>1175.83</v>
      </c>
      <c r="Y389" s="252">
        <f t="shared" si="119"/>
        <v>939.06</v>
      </c>
      <c r="Z389" s="252">
        <f t="shared" si="119"/>
        <v>1036.36</v>
      </c>
      <c r="AA389" s="252">
        <f t="shared" si="119"/>
        <v>1084.24</v>
      </c>
      <c r="AB389" s="252">
        <f t="shared" si="119"/>
        <v>1022.85</v>
      </c>
      <c r="AC389" s="252">
        <f t="shared" si="119"/>
        <v>1131.64</v>
      </c>
      <c r="AD389" s="252">
        <f t="shared" si="119"/>
        <v>1033.66</v>
      </c>
      <c r="AE389" s="252">
        <f t="shared" si="119"/>
        <v>620.16</v>
      </c>
      <c r="AF389" s="252">
        <f t="shared" si="119"/>
        <v>1017.08</v>
      </c>
      <c r="AG389" s="126">
        <f t="shared" ref="AG389:AG390" si="120">SUM(B389:AF389)</f>
        <v>44040.76</v>
      </c>
    </row>
    <row r="390">
      <c r="A390" s="249" t="s">
        <v>344</v>
      </c>
      <c r="B390" s="254">
        <f>((SUM(B187:B190))+B214)*'Data - P&amp;L'!$O$3</f>
        <v>1050.555</v>
      </c>
      <c r="C390" s="254">
        <f>((SUM(C187:C190))+C214)*'Data - P&amp;L'!$O$3</f>
        <v>769.494</v>
      </c>
      <c r="D390" s="254">
        <f>((SUM(D187:D190))+D214)*'Data - P&amp;L'!$O$3</f>
        <v>716.584</v>
      </c>
      <c r="E390" s="254">
        <f>((SUM(E187:E190))+E214)*'Data - P&amp;L'!$O$3</f>
        <v>856.273</v>
      </c>
      <c r="F390" s="254">
        <f>((SUM(F187:F190))+F214)*'Data - P&amp;L'!$O$3</f>
        <v>533.401</v>
      </c>
      <c r="G390" s="254">
        <f>((SUM(G187:G190))+G214)*'Data - P&amp;L'!$O$3</f>
        <v>327.426</v>
      </c>
      <c r="H390" s="254">
        <f>((SUM(H187:H190))+H214)*'Data - P&amp;L'!$O$3</f>
        <v>651.42</v>
      </c>
      <c r="I390" s="254">
        <f>((SUM(I187:I190))+I214)*'Data - P&amp;L'!$O$3</f>
        <v>807.059</v>
      </c>
      <c r="J390" s="254">
        <f>((SUM(J187:J190))+J214)*'Data - P&amp;L'!$O$3</f>
        <v>801.834</v>
      </c>
      <c r="K390" s="254">
        <f>((SUM(K187:K190))+K214)*'Data - P&amp;L'!$O$3</f>
        <v>940.522</v>
      </c>
      <c r="L390" s="254">
        <f>((SUM(L187:L190))+L214)*'Data - P&amp;L'!$O$3</f>
        <v>893.046</v>
      </c>
      <c r="M390" s="254">
        <f>((SUM(M187:M190))+M214)*'Data - P&amp;L'!$O$3</f>
        <v>672.177</v>
      </c>
      <c r="N390" s="254">
        <f>((SUM(N187:N190))+N214)*'Data - P&amp;L'!$O$3</f>
        <v>793.166</v>
      </c>
      <c r="O390" s="254">
        <f>((SUM(O187:O190))+O214)*'Data - P&amp;L'!$O$3</f>
        <v>989.978</v>
      </c>
      <c r="P390" s="254">
        <f>((SUM(P187:P190))+P214)*'Data - P&amp;L'!$O$3</f>
        <v>394.24</v>
      </c>
      <c r="Q390" s="254">
        <f>((SUM(Q187:Q190))+Q214)*'Data - P&amp;L'!$O$3</f>
        <v>532.257</v>
      </c>
      <c r="R390" s="254">
        <f>((SUM(R187:R190))+R214)*'Data - P&amp;L'!$O$3</f>
        <v>546.04</v>
      </c>
      <c r="S390" s="254">
        <f>((SUM(S187:S190))+S214)*'Data - P&amp;L'!$O$3</f>
        <v>709.94</v>
      </c>
      <c r="T390" s="254">
        <f>((SUM(T187:T190))+T214)*'Data - P&amp;L'!$O$3</f>
        <v>708.279</v>
      </c>
      <c r="U390" s="254">
        <f>((SUM(U187:U190))+U214)*'Data - P&amp;L'!$O$3</f>
        <v>574.706</v>
      </c>
      <c r="V390" s="254">
        <f>((SUM(V187:V190))+V214)*'Data - P&amp;L'!$O$3</f>
        <v>206.14</v>
      </c>
      <c r="W390" s="254">
        <f>((SUM(W187:W190))+W214)*'Data - P&amp;L'!$O$3</f>
        <v>286.44</v>
      </c>
      <c r="X390" s="254">
        <f>((SUM(X187:X190))+X214)*'Data - P&amp;L'!$O$3</f>
        <v>454.08</v>
      </c>
      <c r="Y390" s="254">
        <f>((SUM(Y187:Y190))+Y214)*'Data - P&amp;L'!$O$3</f>
        <v>375.848</v>
      </c>
      <c r="Z390" s="254">
        <f>((SUM(Z187:Z190))+Z214)*'Data - P&amp;L'!$O$3</f>
        <v>321.959</v>
      </c>
      <c r="AA390" s="254">
        <f>((SUM(AA187:AA190))+AA214)*'Data - P&amp;L'!$O$3</f>
        <v>247.28</v>
      </c>
      <c r="AB390" s="254">
        <f>((SUM(AB187:AB190))+AB214)*'Data - P&amp;L'!$O$3</f>
        <v>506.66</v>
      </c>
      <c r="AC390" s="254">
        <f>((SUM(AC187:AC190))+AC214)*'Data - P&amp;L'!$O$3</f>
        <v>588.632</v>
      </c>
      <c r="AD390" s="254">
        <f>((SUM(AD187:AD190))+AD214)*'Data - P&amp;L'!$O$3</f>
        <v>532.213</v>
      </c>
      <c r="AE390" s="254">
        <f>((SUM(AE187:AE190))+AE214)*'Data - P&amp;L'!$O$3</f>
        <v>674.245</v>
      </c>
      <c r="AF390" s="254">
        <f>((SUM(AF187:AF190))+AF214)*'Data - P&amp;L'!$O$3</f>
        <v>199.793</v>
      </c>
      <c r="AG390" s="132">
        <f t="shared" si="120"/>
        <v>18661.687</v>
      </c>
    </row>
    <row r="391">
      <c r="A391" s="85"/>
      <c r="B391" s="255"/>
      <c r="C391" s="255"/>
      <c r="D391" s="255"/>
      <c r="E391" s="255"/>
      <c r="F391" s="255"/>
      <c r="G391" s="255"/>
      <c r="H391" s="255"/>
      <c r="I391" s="255"/>
      <c r="J391" s="255"/>
      <c r="K391" s="255"/>
      <c r="L391" s="255"/>
      <c r="M391" s="255"/>
      <c r="N391" s="255"/>
      <c r="O391" s="255"/>
      <c r="P391" s="255"/>
      <c r="Q391" s="255"/>
      <c r="R391" s="255"/>
      <c r="S391" s="255"/>
      <c r="T391" s="255"/>
      <c r="U391" s="255"/>
      <c r="V391" s="255"/>
      <c r="W391" s="255"/>
      <c r="X391" s="255"/>
      <c r="Y391" s="255"/>
      <c r="Z391" s="255"/>
      <c r="AA391" s="255"/>
      <c r="AB391" s="255"/>
      <c r="AC391" s="255"/>
      <c r="AD391" s="255"/>
      <c r="AE391" s="255"/>
      <c r="AF391" s="255"/>
      <c r="AG391" s="126"/>
    </row>
    <row r="392">
      <c r="A392" s="218" t="s">
        <v>345</v>
      </c>
      <c r="B392" s="256">
        <f t="shared" ref="B392:AF392" si="121">SUM(B370:B390)</f>
        <v>27368.89185</v>
      </c>
      <c r="C392" s="256">
        <f t="shared" si="121"/>
        <v>26831.45762</v>
      </c>
      <c r="D392" s="256">
        <f t="shared" si="121"/>
        <v>29434.28714</v>
      </c>
      <c r="E392" s="256">
        <f t="shared" si="121"/>
        <v>27472.5429</v>
      </c>
      <c r="F392" s="256">
        <f t="shared" si="121"/>
        <v>27192.71858</v>
      </c>
      <c r="G392" s="256">
        <f t="shared" si="121"/>
        <v>28519.18453</v>
      </c>
      <c r="H392" s="256">
        <f t="shared" si="121"/>
        <v>29017.29172</v>
      </c>
      <c r="I392" s="256">
        <f t="shared" si="121"/>
        <v>24817.18629</v>
      </c>
      <c r="J392" s="256">
        <f t="shared" si="121"/>
        <v>22599.15822</v>
      </c>
      <c r="K392" s="256">
        <f t="shared" si="121"/>
        <v>19827.32531</v>
      </c>
      <c r="L392" s="256">
        <f t="shared" si="121"/>
        <v>22390.91473</v>
      </c>
      <c r="M392" s="256">
        <f t="shared" si="121"/>
        <v>26948.27323</v>
      </c>
      <c r="N392" s="256">
        <f t="shared" si="121"/>
        <v>25914.2772</v>
      </c>
      <c r="O392" s="256">
        <f t="shared" si="121"/>
        <v>23274.12125</v>
      </c>
      <c r="P392" s="256">
        <f t="shared" si="121"/>
        <v>21647.94126</v>
      </c>
      <c r="Q392" s="256">
        <f t="shared" si="121"/>
        <v>19715.688</v>
      </c>
      <c r="R392" s="256">
        <f t="shared" si="121"/>
        <v>23338.59116</v>
      </c>
      <c r="S392" s="256">
        <f t="shared" si="121"/>
        <v>20380.67398</v>
      </c>
      <c r="T392" s="256">
        <f t="shared" si="121"/>
        <v>21199.46493</v>
      </c>
      <c r="U392" s="256">
        <f t="shared" si="121"/>
        <v>27694.68884</v>
      </c>
      <c r="V392" s="256">
        <f t="shared" si="121"/>
        <v>18636.15232</v>
      </c>
      <c r="W392" s="256">
        <f t="shared" si="121"/>
        <v>17682.11601</v>
      </c>
      <c r="X392" s="256">
        <f t="shared" si="121"/>
        <v>18834.91096</v>
      </c>
      <c r="Y392" s="256">
        <f t="shared" si="121"/>
        <v>16085.2598</v>
      </c>
      <c r="Z392" s="256">
        <f t="shared" si="121"/>
        <v>16196.98316</v>
      </c>
      <c r="AA392" s="256">
        <f t="shared" si="121"/>
        <v>17204.4999</v>
      </c>
      <c r="AB392" s="256">
        <f t="shared" si="121"/>
        <v>17274.91023</v>
      </c>
      <c r="AC392" s="256">
        <f t="shared" si="121"/>
        <v>18511.38192</v>
      </c>
      <c r="AD392" s="256">
        <f t="shared" si="121"/>
        <v>17562.90078</v>
      </c>
      <c r="AE392" s="256">
        <f t="shared" si="121"/>
        <v>14310.00872</v>
      </c>
      <c r="AF392" s="257">
        <f t="shared" si="121"/>
        <v>15020.16909</v>
      </c>
      <c r="AG392" s="258">
        <f>SUM(B392:AF392)</f>
        <v>682903.9716</v>
      </c>
    </row>
    <row r="393">
      <c r="A393" s="177"/>
      <c r="AG393" s="259"/>
    </row>
    <row r="394">
      <c r="A394" s="177"/>
      <c r="B394" s="45"/>
      <c r="C394" s="45"/>
      <c r="D394" s="45"/>
      <c r="E394" s="45"/>
      <c r="F394" s="45"/>
      <c r="G394" s="45"/>
      <c r="H394" s="45"/>
      <c r="I394" s="45"/>
      <c r="J394" s="45"/>
      <c r="K394" s="45"/>
      <c r="L394" s="45"/>
      <c r="M394" s="45"/>
      <c r="N394" s="45"/>
      <c r="O394" s="45"/>
      <c r="P394" s="45"/>
      <c r="Q394" s="45"/>
      <c r="R394" s="45"/>
      <c r="S394" s="45"/>
      <c r="T394" s="45"/>
      <c r="U394" s="45"/>
      <c r="V394" s="45"/>
      <c r="W394" s="45"/>
      <c r="AG394" s="259"/>
    </row>
    <row r="395">
      <c r="A395" s="85"/>
      <c r="B395" s="255"/>
      <c r="C395" s="255"/>
      <c r="D395" s="255"/>
      <c r="E395" s="255"/>
      <c r="F395" s="255"/>
      <c r="G395" s="255"/>
      <c r="H395" s="255"/>
      <c r="I395" s="255"/>
      <c r="J395" s="255"/>
      <c r="K395" s="255"/>
      <c r="L395" s="255"/>
      <c r="M395" s="255"/>
      <c r="N395" s="255"/>
      <c r="O395" s="255"/>
      <c r="P395" s="255"/>
      <c r="Q395" s="255"/>
      <c r="R395" s="255"/>
      <c r="S395" s="255"/>
      <c r="T395" s="255"/>
      <c r="U395" s="255"/>
      <c r="V395" s="255"/>
      <c r="W395" s="255"/>
      <c r="X395" s="255"/>
      <c r="Y395" s="255"/>
      <c r="Z395" s="255"/>
      <c r="AA395" s="255"/>
      <c r="AB395" s="255"/>
      <c r="AC395" s="255"/>
      <c r="AD395" s="255"/>
      <c r="AE395" s="255"/>
      <c r="AF395" s="255"/>
      <c r="AG395" s="126"/>
    </row>
    <row r="396">
      <c r="A396" s="260" t="s">
        <v>346</v>
      </c>
      <c r="B396" s="261">
        <f t="shared" ref="B396:AF396" si="122">B398/B58</f>
        <v>75.29997603</v>
      </c>
      <c r="C396" s="261">
        <f t="shared" si="122"/>
        <v>68.01572636</v>
      </c>
      <c r="D396" s="261">
        <f t="shared" si="122"/>
        <v>82.42874116</v>
      </c>
      <c r="E396" s="261">
        <f t="shared" si="122"/>
        <v>73.56996772</v>
      </c>
      <c r="F396" s="261">
        <f t="shared" si="122"/>
        <v>88.63197039</v>
      </c>
      <c r="G396" s="261">
        <f t="shared" si="122"/>
        <v>97.66145665</v>
      </c>
      <c r="H396" s="261">
        <f t="shared" si="122"/>
        <v>108.112887</v>
      </c>
      <c r="I396" s="261">
        <f t="shared" si="122"/>
        <v>79.98662929</v>
      </c>
      <c r="J396" s="261">
        <f t="shared" si="122"/>
        <v>61.55031118</v>
      </c>
      <c r="K396" s="261">
        <f t="shared" si="122"/>
        <v>67.18134423</v>
      </c>
      <c r="L396" s="261">
        <f t="shared" si="122"/>
        <v>87.52459272</v>
      </c>
      <c r="M396" s="261">
        <f t="shared" si="122"/>
        <v>61.91712243</v>
      </c>
      <c r="N396" s="261">
        <f t="shared" si="122"/>
        <v>54.65548235</v>
      </c>
      <c r="O396" s="261">
        <f t="shared" si="122"/>
        <v>66.866543</v>
      </c>
      <c r="P396" s="261">
        <f t="shared" si="122"/>
        <v>88.87641058</v>
      </c>
      <c r="Q396" s="261">
        <f t="shared" si="122"/>
        <v>92.13063632</v>
      </c>
      <c r="R396" s="261">
        <f t="shared" si="122"/>
        <v>109.2197451</v>
      </c>
      <c r="S396" s="261">
        <f t="shared" si="122"/>
        <v>97.5263585</v>
      </c>
      <c r="T396" s="261">
        <f t="shared" si="122"/>
        <v>82.53743158</v>
      </c>
      <c r="U396" s="261">
        <f t="shared" si="122"/>
        <v>79.11523515</v>
      </c>
      <c r="V396" s="261">
        <f t="shared" si="122"/>
        <v>6.292248135</v>
      </c>
      <c r="W396" s="261">
        <f t="shared" si="122"/>
        <v>54.58758305</v>
      </c>
      <c r="X396" s="261">
        <f t="shared" si="122"/>
        <v>60.06096783</v>
      </c>
      <c r="Y396" s="261">
        <f t="shared" si="122"/>
        <v>44.39490213</v>
      </c>
      <c r="Z396" s="261">
        <f t="shared" si="122"/>
        <v>41.47868412</v>
      </c>
      <c r="AA396" s="261">
        <f t="shared" si="122"/>
        <v>35.94730955</v>
      </c>
      <c r="AB396" s="261">
        <f t="shared" si="122"/>
        <v>52.81268781</v>
      </c>
      <c r="AC396" s="261">
        <f t="shared" si="122"/>
        <v>49.79081494</v>
      </c>
      <c r="AD396" s="261">
        <f t="shared" si="122"/>
        <v>44.54946002</v>
      </c>
      <c r="AE396" s="261">
        <f t="shared" si="122"/>
        <v>15.05843829</v>
      </c>
      <c r="AF396" s="261">
        <f t="shared" si="122"/>
        <v>57.75430427</v>
      </c>
      <c r="AG396" s="262"/>
    </row>
    <row r="397">
      <c r="A397" s="263">
        <f>SUM(B51:AF51)</f>
        <v>835052.26</v>
      </c>
      <c r="B397" s="255"/>
      <c r="C397" s="255"/>
      <c r="D397" s="255"/>
      <c r="E397" s="255"/>
      <c r="F397" s="255"/>
      <c r="G397" s="255"/>
      <c r="H397" s="255"/>
      <c r="I397" s="255"/>
      <c r="J397" s="255"/>
      <c r="K397" s="255"/>
      <c r="L397" s="255"/>
      <c r="M397" s="255"/>
      <c r="N397" s="255"/>
      <c r="O397" s="255"/>
      <c r="P397" s="255"/>
      <c r="Q397" s="255"/>
      <c r="R397" s="255"/>
      <c r="S397" s="255"/>
      <c r="T397" s="255"/>
      <c r="U397" s="255"/>
      <c r="V397" s="255"/>
      <c r="W397" s="255"/>
      <c r="X397" s="255"/>
      <c r="Y397" s="255"/>
      <c r="Z397" s="255"/>
      <c r="AA397" s="255"/>
      <c r="AB397" s="255"/>
      <c r="AC397" s="255"/>
      <c r="AD397" s="255"/>
      <c r="AE397" s="255"/>
      <c r="AF397" s="255"/>
      <c r="AG397" s="126"/>
    </row>
    <row r="398">
      <c r="A398" s="264" t="s">
        <v>347</v>
      </c>
      <c r="B398" s="255">
        <f t="shared" ref="B398:AF398" si="123">B51-B392</f>
        <v>5798.098154</v>
      </c>
      <c r="C398" s="255">
        <f t="shared" si="123"/>
        <v>5373.242383</v>
      </c>
      <c r="D398" s="255">
        <f t="shared" si="123"/>
        <v>8325.302857</v>
      </c>
      <c r="E398" s="255">
        <f t="shared" si="123"/>
        <v>6621.297095</v>
      </c>
      <c r="F398" s="255">
        <f t="shared" si="123"/>
        <v>7710.981423</v>
      </c>
      <c r="G398" s="255">
        <f t="shared" si="123"/>
        <v>9082.515469</v>
      </c>
      <c r="H398" s="255">
        <f t="shared" si="123"/>
        <v>9297.708285</v>
      </c>
      <c r="I398" s="255">
        <f t="shared" si="123"/>
        <v>6318.943714</v>
      </c>
      <c r="J398" s="255">
        <f t="shared" si="123"/>
        <v>4308.521782</v>
      </c>
      <c r="K398" s="255">
        <f t="shared" si="123"/>
        <v>4232.424686</v>
      </c>
      <c r="L398" s="255">
        <f t="shared" si="123"/>
        <v>6389.295269</v>
      </c>
      <c r="M398" s="255">
        <f t="shared" si="123"/>
        <v>5448.706774</v>
      </c>
      <c r="N398" s="255">
        <f t="shared" si="123"/>
        <v>3716.5728</v>
      </c>
      <c r="O398" s="255">
        <f t="shared" si="123"/>
        <v>4279.458752</v>
      </c>
      <c r="P398" s="255">
        <f t="shared" si="123"/>
        <v>6221.348741</v>
      </c>
      <c r="Q398" s="255">
        <f t="shared" si="123"/>
        <v>6080.621997</v>
      </c>
      <c r="R398" s="255">
        <f t="shared" si="123"/>
        <v>9065.238841</v>
      </c>
      <c r="S398" s="255">
        <f t="shared" si="123"/>
        <v>6534.26602</v>
      </c>
      <c r="T398" s="255">
        <f t="shared" si="123"/>
        <v>5942.695074</v>
      </c>
      <c r="U398" s="255">
        <f t="shared" si="123"/>
        <v>7120.371163</v>
      </c>
      <c r="V398" s="255">
        <f t="shared" si="123"/>
        <v>245.3976772</v>
      </c>
      <c r="W398" s="255">
        <f t="shared" si="123"/>
        <v>2620.203987</v>
      </c>
      <c r="X398" s="255">
        <f t="shared" si="123"/>
        <v>3663.719038</v>
      </c>
      <c r="Y398" s="255">
        <f t="shared" si="123"/>
        <v>2175.350205</v>
      </c>
      <c r="Z398" s="255">
        <f t="shared" si="123"/>
        <v>1990.976838</v>
      </c>
      <c r="AA398" s="255">
        <f t="shared" si="123"/>
        <v>1869.260097</v>
      </c>
      <c r="AB398" s="255">
        <f t="shared" si="123"/>
        <v>2746.259766</v>
      </c>
      <c r="AC398" s="255">
        <f t="shared" si="123"/>
        <v>2937.658081</v>
      </c>
      <c r="AD398" s="255">
        <f t="shared" si="123"/>
        <v>2539.319221</v>
      </c>
      <c r="AE398" s="255">
        <f t="shared" si="123"/>
        <v>662.5712849</v>
      </c>
      <c r="AF398" s="255">
        <f t="shared" si="123"/>
        <v>2829.960909</v>
      </c>
      <c r="AG398" s="126">
        <f>SUM(B398:AF398)</f>
        <v>152148.2884</v>
      </c>
    </row>
    <row r="399">
      <c r="A399" s="265">
        <f>SUM(B398:AF398)</f>
        <v>152148.2884</v>
      </c>
      <c r="B399" s="266"/>
      <c r="C399" s="266"/>
      <c r="D399" s="266"/>
      <c r="E399" s="266"/>
      <c r="F399" s="266"/>
      <c r="G399" s="266"/>
      <c r="H399" s="266"/>
      <c r="I399" s="266"/>
      <c r="J399" s="266"/>
      <c r="K399" s="266"/>
      <c r="L399" s="266"/>
      <c r="M399" s="266"/>
      <c r="N399" s="266"/>
      <c r="O399" s="266"/>
      <c r="P399" s="266"/>
      <c r="Q399" s="266"/>
      <c r="R399" s="266"/>
      <c r="S399" s="266"/>
      <c r="T399" s="266"/>
      <c r="U399" s="266"/>
      <c r="V399" s="266"/>
      <c r="W399" s="266"/>
      <c r="X399" s="266"/>
      <c r="Y399" s="266"/>
      <c r="Z399" s="266"/>
      <c r="AA399" s="266"/>
      <c r="AB399" s="266"/>
      <c r="AC399" s="266"/>
      <c r="AD399" s="266"/>
      <c r="AE399" s="266"/>
      <c r="AF399" s="266"/>
      <c r="AG399" s="126"/>
    </row>
    <row r="400">
      <c r="A400" s="264" t="s">
        <v>348</v>
      </c>
      <c r="B400" s="266">
        <f t="shared" ref="B400:AF400" si="124">B398/B51</f>
        <v>0.1748153256</v>
      </c>
      <c r="C400" s="266">
        <f t="shared" si="124"/>
        <v>0.1668465281</v>
      </c>
      <c r="D400" s="266">
        <f t="shared" si="124"/>
        <v>0.2204818129</v>
      </c>
      <c r="E400" s="266">
        <f t="shared" si="124"/>
        <v>0.1942080181</v>
      </c>
      <c r="F400" s="266">
        <f t="shared" si="124"/>
        <v>0.220921605</v>
      </c>
      <c r="G400" s="266">
        <f t="shared" si="124"/>
        <v>0.2415453415</v>
      </c>
      <c r="H400" s="266">
        <f t="shared" si="124"/>
        <v>0.2426649689</v>
      </c>
      <c r="I400" s="266">
        <f t="shared" si="124"/>
        <v>0.2029457005</v>
      </c>
      <c r="J400" s="266">
        <f t="shared" si="124"/>
        <v>0.1601223808</v>
      </c>
      <c r="K400" s="266">
        <f t="shared" si="124"/>
        <v>0.1759130783</v>
      </c>
      <c r="L400" s="266">
        <f t="shared" si="124"/>
        <v>0.2220030802</v>
      </c>
      <c r="M400" s="266">
        <f t="shared" si="124"/>
        <v>0.1681856387</v>
      </c>
      <c r="N400" s="266">
        <f t="shared" si="124"/>
        <v>0.1254291659</v>
      </c>
      <c r="O400" s="266">
        <f t="shared" si="124"/>
        <v>0.1553140736</v>
      </c>
      <c r="P400" s="266">
        <f t="shared" si="124"/>
        <v>0.2232331265</v>
      </c>
      <c r="Q400" s="266">
        <f t="shared" si="124"/>
        <v>0.2357167361</v>
      </c>
      <c r="R400" s="266">
        <f t="shared" si="124"/>
        <v>0.2797582521</v>
      </c>
      <c r="S400" s="266">
        <f t="shared" si="124"/>
        <v>0.2427746827</v>
      </c>
      <c r="T400" s="266">
        <f t="shared" si="124"/>
        <v>0.2189470209</v>
      </c>
      <c r="U400" s="266">
        <f t="shared" si="124"/>
        <v>0.204519859</v>
      </c>
      <c r="V400" s="266">
        <f t="shared" si="124"/>
        <v>0.01299669133</v>
      </c>
      <c r="W400" s="266">
        <f t="shared" si="124"/>
        <v>0.1290593384</v>
      </c>
      <c r="X400" s="266">
        <f t="shared" si="124"/>
        <v>0.1628418725</v>
      </c>
      <c r="Y400" s="266">
        <f t="shared" si="124"/>
        <v>0.119128014</v>
      </c>
      <c r="Z400" s="266">
        <f t="shared" si="124"/>
        <v>0.1094667482</v>
      </c>
      <c r="AA400" s="266">
        <f t="shared" si="124"/>
        <v>0.09800165761</v>
      </c>
      <c r="AB400" s="266">
        <f t="shared" si="124"/>
        <v>0.1371677962</v>
      </c>
      <c r="AC400" s="266">
        <f t="shared" si="124"/>
        <v>0.1369598864</v>
      </c>
      <c r="AD400" s="266">
        <f t="shared" si="124"/>
        <v>0.1263203378</v>
      </c>
      <c r="AE400" s="266">
        <f t="shared" si="124"/>
        <v>0.04425231222</v>
      </c>
      <c r="AF400" s="266">
        <f t="shared" si="124"/>
        <v>0.1585400728</v>
      </c>
      <c r="AG400" s="126"/>
    </row>
    <row r="401">
      <c r="A401" s="267">
        <f>A399/A397</f>
        <v>0.1822021156</v>
      </c>
      <c r="B401" s="255"/>
      <c r="C401" s="255"/>
      <c r="D401" s="255"/>
      <c r="E401" s="255"/>
      <c r="F401" s="255"/>
      <c r="G401" s="255"/>
      <c r="H401" s="255"/>
      <c r="I401" s="255"/>
      <c r="J401" s="255"/>
      <c r="K401" s="255"/>
      <c r="L401" s="255"/>
      <c r="M401" s="255"/>
      <c r="N401" s="255"/>
      <c r="O401" s="255"/>
      <c r="P401" s="255"/>
      <c r="Q401" s="255"/>
      <c r="R401" s="255"/>
      <c r="S401" s="255"/>
      <c r="T401" s="255"/>
      <c r="U401" s="255"/>
      <c r="V401" s="255"/>
      <c r="W401" s="255"/>
      <c r="X401" s="255"/>
      <c r="Y401" s="255"/>
      <c r="Z401" s="255"/>
      <c r="AA401" s="255"/>
      <c r="AB401" s="255"/>
      <c r="AC401" s="255"/>
      <c r="AD401" s="255"/>
      <c r="AE401" s="255"/>
      <c r="AF401" s="255"/>
      <c r="AG401" s="126"/>
    </row>
    <row r="402">
      <c r="A402" s="268" t="s">
        <v>349</v>
      </c>
      <c r="B402" s="269">
        <f>Summary!B93</f>
        <v>4.073959286</v>
      </c>
      <c r="C402" s="269">
        <f>Summary!C93</f>
        <v>3.98694576</v>
      </c>
      <c r="D402" s="269">
        <f>Summary!D93</f>
        <v>4.959272436</v>
      </c>
      <c r="E402" s="269">
        <f>Summary!E93</f>
        <v>4.586572294</v>
      </c>
      <c r="F402" s="269">
        <f>Summary!F93</f>
        <v>4.815094166</v>
      </c>
      <c r="G402" s="269">
        <f>Summary!G93</f>
        <v>5.313901894</v>
      </c>
      <c r="H402" s="269">
        <f>Summary!H93</f>
        <v>5.118363208</v>
      </c>
      <c r="I402" s="269">
        <f>Summary!I93</f>
        <v>4.319649206</v>
      </c>
      <c r="J402" s="269">
        <f>Summary!J93</f>
        <v>3.844552992</v>
      </c>
      <c r="K402" s="269">
        <f>Summary!K93</f>
        <v>4.034992621</v>
      </c>
      <c r="L402" s="269">
        <f>Summary!L93</f>
        <v>4.85877229</v>
      </c>
      <c r="M402" s="269">
        <f>Summary!M93</f>
        <v>3.955817618</v>
      </c>
      <c r="N402" s="269">
        <f>Summary!N93</f>
        <v>3.089473839</v>
      </c>
      <c r="O402" s="269">
        <f>Summary!O93</f>
        <v>3.411321104</v>
      </c>
      <c r="P402" s="269">
        <f>Summary!P93</f>
        <v>4.462995466</v>
      </c>
      <c r="Q402" s="269">
        <f>Summary!Q93</f>
        <v>4.737573131</v>
      </c>
      <c r="R402" s="269">
        <f>Summary!R93</f>
        <v>6.09745377</v>
      </c>
      <c r="S402" s="269">
        <f>Summary!S93</f>
        <v>4.946850297</v>
      </c>
      <c r="T402" s="269">
        <f>Summary!T93</f>
        <v>4.598224525</v>
      </c>
      <c r="U402" s="269">
        <f>Summary!U93</f>
        <v>4.303607677</v>
      </c>
      <c r="V402" s="269">
        <f>Summary!V93</f>
        <v>2.259000811</v>
      </c>
      <c r="W402" s="269">
        <f>Summary!W93</f>
        <v>3.079241108</v>
      </c>
      <c r="X402" s="269">
        <f>Summary!X93</f>
        <v>3.877666697</v>
      </c>
      <c r="Y402" s="269">
        <f>Summary!Y93</f>
        <v>3.254817771</v>
      </c>
      <c r="Z402" s="269">
        <f>Summary!Z93</f>
        <v>3.328517989</v>
      </c>
      <c r="AA402" s="269">
        <f>Summary!AA93</f>
        <v>3.316792473</v>
      </c>
      <c r="AB402" s="269">
        <f>Summary!AB93</f>
        <v>3.56545441</v>
      </c>
      <c r="AC402" s="269">
        <f>Summary!AC93</f>
        <v>3.647557775</v>
      </c>
      <c r="AD402" s="269">
        <f>Summary!AD93</f>
        <v>3.714382115</v>
      </c>
      <c r="AE402" s="269">
        <f>Summary!AE93</f>
        <v>2.959634624</v>
      </c>
      <c r="AF402" s="269">
        <f>Summary!AF93</f>
        <v>3.711756541</v>
      </c>
      <c r="AG402" s="270"/>
    </row>
    <row r="403">
      <c r="A403" s="85"/>
      <c r="B403" s="255"/>
      <c r="C403" s="255"/>
      <c r="D403" s="255"/>
      <c r="E403" s="255"/>
      <c r="F403" s="255"/>
      <c r="G403" s="255"/>
      <c r="H403" s="255"/>
      <c r="I403" s="255"/>
      <c r="J403" s="255"/>
      <c r="K403" s="255"/>
      <c r="L403" s="255"/>
      <c r="M403" s="255"/>
      <c r="N403" s="255"/>
      <c r="O403" s="255"/>
      <c r="P403" s="255"/>
      <c r="Q403" s="255"/>
      <c r="R403" s="255"/>
      <c r="S403" s="255"/>
      <c r="T403" s="255"/>
      <c r="U403" s="255"/>
      <c r="V403" s="255"/>
      <c r="W403" s="255"/>
      <c r="X403" s="255"/>
      <c r="Y403" s="255"/>
      <c r="Z403" s="255"/>
      <c r="AA403" s="255"/>
      <c r="AB403" s="255"/>
      <c r="AC403" s="255"/>
      <c r="AD403" s="255"/>
      <c r="AE403" s="255"/>
      <c r="AF403" s="255"/>
      <c r="AG403" s="126"/>
    </row>
    <row r="404">
      <c r="A404" s="85"/>
      <c r="B404" s="255"/>
      <c r="C404" s="255"/>
      <c r="D404" s="255"/>
      <c r="E404" s="255"/>
      <c r="F404" s="255"/>
      <c r="G404" s="255"/>
      <c r="H404" s="255"/>
      <c r="I404" s="255"/>
      <c r="J404" s="255"/>
      <c r="K404" s="255"/>
      <c r="L404" s="255"/>
      <c r="M404" s="255"/>
      <c r="N404" s="255"/>
      <c r="O404" s="255"/>
      <c r="P404" s="255"/>
      <c r="Q404" s="255"/>
      <c r="R404" s="255"/>
      <c r="S404" s="255"/>
      <c r="T404" s="255"/>
      <c r="U404" s="255"/>
      <c r="V404" s="255"/>
      <c r="W404" s="255"/>
      <c r="X404" s="255"/>
      <c r="Y404" s="255"/>
      <c r="Z404" s="255"/>
      <c r="AA404" s="255"/>
      <c r="AB404" s="255"/>
      <c r="AC404" s="255"/>
      <c r="AD404" s="255"/>
      <c r="AE404" s="255"/>
      <c r="AF404" s="255"/>
      <c r="AG404" s="126"/>
    </row>
    <row r="405">
      <c r="A405" s="239" t="s">
        <v>350</v>
      </c>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c r="AA405" s="254"/>
      <c r="AB405" s="254"/>
      <c r="AC405" s="254"/>
      <c r="AD405" s="254"/>
      <c r="AE405" s="254"/>
      <c r="AF405" s="254"/>
      <c r="AG405" s="126"/>
    </row>
    <row r="406">
      <c r="A406" s="243" t="s">
        <v>351</v>
      </c>
      <c r="B406" s="271">
        <f t="shared" ref="B406:AF406" si="125">SUM(B407:B417)-B418</f>
        <v>0</v>
      </c>
      <c r="C406" s="271">
        <f t="shared" si="125"/>
        <v>-1416.165</v>
      </c>
      <c r="D406" s="271">
        <f t="shared" si="125"/>
        <v>0</v>
      </c>
      <c r="E406" s="271">
        <f t="shared" si="125"/>
        <v>-409.6</v>
      </c>
      <c r="F406" s="271">
        <f t="shared" si="125"/>
        <v>-312.4</v>
      </c>
      <c r="G406" s="271">
        <f t="shared" si="125"/>
        <v>0</v>
      </c>
      <c r="H406" s="271">
        <f t="shared" si="125"/>
        <v>0</v>
      </c>
      <c r="I406" s="271">
        <f t="shared" si="125"/>
        <v>-285.67</v>
      </c>
      <c r="J406" s="271">
        <f t="shared" si="125"/>
        <v>-45.615</v>
      </c>
      <c r="K406" s="271">
        <f t="shared" si="125"/>
        <v>-282.72</v>
      </c>
      <c r="L406" s="271">
        <f t="shared" si="125"/>
        <v>-281.57</v>
      </c>
      <c r="M406" s="271">
        <f t="shared" si="125"/>
        <v>-934.935</v>
      </c>
      <c r="N406" s="271">
        <f t="shared" si="125"/>
        <v>0</v>
      </c>
      <c r="O406" s="271">
        <f t="shared" si="125"/>
        <v>0</v>
      </c>
      <c r="P406" s="271">
        <f t="shared" si="125"/>
        <v>0</v>
      </c>
      <c r="Q406" s="271">
        <f t="shared" si="125"/>
        <v>-744.45</v>
      </c>
      <c r="R406" s="271">
        <f t="shared" si="125"/>
        <v>-100.115</v>
      </c>
      <c r="S406" s="271">
        <f t="shared" si="125"/>
        <v>0</v>
      </c>
      <c r="T406" s="271">
        <f t="shared" si="125"/>
        <v>-33.655</v>
      </c>
      <c r="U406" s="271">
        <f t="shared" si="125"/>
        <v>-183.64</v>
      </c>
      <c r="V406" s="271">
        <f t="shared" si="125"/>
        <v>-77.885</v>
      </c>
      <c r="W406" s="271">
        <f t="shared" si="125"/>
        <v>-389.73</v>
      </c>
      <c r="X406" s="271">
        <f t="shared" si="125"/>
        <v>0</v>
      </c>
      <c r="Y406" s="271">
        <f t="shared" si="125"/>
        <v>0</v>
      </c>
      <c r="Z406" s="271">
        <f t="shared" si="125"/>
        <v>0</v>
      </c>
      <c r="AA406" s="271">
        <f t="shared" si="125"/>
        <v>0</v>
      </c>
      <c r="AB406" s="271">
        <f t="shared" si="125"/>
        <v>0</v>
      </c>
      <c r="AC406" s="271">
        <f t="shared" si="125"/>
        <v>0</v>
      </c>
      <c r="AD406" s="271">
        <f t="shared" si="125"/>
        <v>0</v>
      </c>
      <c r="AE406" s="271">
        <f t="shared" si="125"/>
        <v>-103.595</v>
      </c>
      <c r="AF406" s="271">
        <f t="shared" si="125"/>
        <v>0</v>
      </c>
      <c r="AG406" s="126">
        <f t="shared" ref="AG406:AG442" si="126">SUM(B406:AF406)</f>
        <v>-5601.745</v>
      </c>
    </row>
    <row r="407" outlineLevel="1">
      <c r="A407" s="157" t="s">
        <v>352</v>
      </c>
      <c r="B407" s="255">
        <f>(B221+B222+B226+B227)*'Data - P&amp;L'!$C$3</f>
        <v>0</v>
      </c>
      <c r="C407" s="255">
        <f>(C221+C222+C226+C227)*'Data - P&amp;L'!$C$3</f>
        <v>173.8</v>
      </c>
      <c r="D407" s="255">
        <f>(D221+D222+D226+D227)*'Data - P&amp;L'!$C$3</f>
        <v>0</v>
      </c>
      <c r="E407" s="255">
        <f>(E221+E222+E226+E227)*'Data - P&amp;L'!$C$3</f>
        <v>0</v>
      </c>
      <c r="F407" s="255">
        <f>(F221+F222+F226+F227)*'Data - P&amp;L'!$C$3</f>
        <v>0</v>
      </c>
      <c r="G407" s="255">
        <f>(G221+G222+G226+G227)*'Data - P&amp;L'!$C$3</f>
        <v>0</v>
      </c>
      <c r="H407" s="255">
        <f>(H221+H222+H226+H227)*'Data - P&amp;L'!$C$3</f>
        <v>0</v>
      </c>
      <c r="I407" s="255">
        <f>(I221+I222+I226+I227)*'Data - P&amp;L'!$C$3</f>
        <v>86.9</v>
      </c>
      <c r="J407" s="255">
        <f>(J221+J222+J226+J227)*'Data - P&amp;L'!$C$3</f>
        <v>86.9</v>
      </c>
      <c r="K407" s="255">
        <f>(K221+K222+K226+K227)*'Data - P&amp;L'!$C$3</f>
        <v>0</v>
      </c>
      <c r="L407" s="255">
        <f>(L221+L222+L226+L227)*'Data - P&amp;L'!$C$3</f>
        <v>0</v>
      </c>
      <c r="M407" s="255">
        <f>(M221+M222+M226+M227)*'Data - P&amp;L'!$C$3</f>
        <v>0</v>
      </c>
      <c r="N407" s="255">
        <f>(N221+N222+N226+N227)*'Data - P&amp;L'!$C$3</f>
        <v>0</v>
      </c>
      <c r="O407" s="255">
        <f>(O221+O222+O226+O227)*'Data - P&amp;L'!$C$3</f>
        <v>0</v>
      </c>
      <c r="P407" s="255">
        <f>(P221+P222+P226+P227)*'Data - P&amp;L'!$C$3</f>
        <v>0</v>
      </c>
      <c r="Q407" s="255">
        <f>(Q221+Q222+Q226+Q227)*'Data - P&amp;L'!$C$3</f>
        <v>0</v>
      </c>
      <c r="R407" s="255">
        <f>(R221+R222+R226+R227)*'Data - P&amp;L'!$C$3</f>
        <v>86.9</v>
      </c>
      <c r="S407" s="255">
        <f>(S221+S222+S226+S227)*'Data - P&amp;L'!$C$3</f>
        <v>0</v>
      </c>
      <c r="T407" s="255">
        <f>(T221+T222+T226+T227)*'Data - P&amp;L'!$C$3</f>
        <v>86.9</v>
      </c>
      <c r="U407" s="255">
        <f>(U221+U222+U226+U227)*'Data - P&amp;L'!$C$3</f>
        <v>0</v>
      </c>
      <c r="V407" s="255">
        <f>(V221+V222+V226+V227)*'Data - P&amp;L'!$C$3</f>
        <v>0</v>
      </c>
      <c r="W407" s="255">
        <f>(W221+W222+W226+W227)*'Data - P&amp;L'!$C$3</f>
        <v>0</v>
      </c>
      <c r="X407" s="255">
        <f>(X221+X222+X226+X227)*'Data - P&amp;L'!$C$3</f>
        <v>0</v>
      </c>
      <c r="Y407" s="255">
        <f>(Y221+Y222+Y226+Y227)*'Data - P&amp;L'!$C$3</f>
        <v>0</v>
      </c>
      <c r="Z407" s="255">
        <f>(Z221+Z222+Z226+Z227)*'Data - P&amp;L'!$C$3</f>
        <v>0</v>
      </c>
      <c r="AA407" s="255">
        <f>(AA221+AA222+AA226+AA227)*'Data - P&amp;L'!$C$3</f>
        <v>0</v>
      </c>
      <c r="AB407" s="255">
        <f>(AB221+AB222+AB226+AB227)*'Data - P&amp;L'!$C$3</f>
        <v>0</v>
      </c>
      <c r="AC407" s="255">
        <f>(AC221+AC222+AC226+AC227)*'Data - P&amp;L'!$C$3</f>
        <v>0</v>
      </c>
      <c r="AD407" s="255">
        <f>(AD221+AD222+AD226+AD227)*'Data - P&amp;L'!$C$3</f>
        <v>0</v>
      </c>
      <c r="AE407" s="255">
        <f>(AE221+AE222+AE226+AE227)*'Data - P&amp;L'!$C$3</f>
        <v>86.9</v>
      </c>
      <c r="AF407" s="255">
        <f>(AF221+AF222+AF226+AF227)*'Data - P&amp;L'!$C$3</f>
        <v>0</v>
      </c>
      <c r="AG407" s="126">
        <f t="shared" si="126"/>
        <v>608.3</v>
      </c>
    </row>
    <row r="408" outlineLevel="1">
      <c r="A408" s="157" t="s">
        <v>353</v>
      </c>
      <c r="B408" s="255">
        <f>(B223+B224+B228+B229)*'Data - P&amp;L'!$C$4</f>
        <v>0</v>
      </c>
      <c r="C408" s="255">
        <f>(C223+C224+C228+C229)*'Data - P&amp;L'!$C$4</f>
        <v>292.83</v>
      </c>
      <c r="D408" s="255">
        <f>(D223+D224+D228+D229)*'Data - P&amp;L'!$C$4</f>
        <v>0</v>
      </c>
      <c r="E408" s="255">
        <f>(E223+E224+E228+E229)*'Data - P&amp;L'!$C$4</f>
        <v>292.83</v>
      </c>
      <c r="F408" s="255">
        <f>(F223+F224+F228+F229)*'Data - P&amp;L'!$C$4</f>
        <v>195.22</v>
      </c>
      <c r="G408" s="255">
        <f>(G223+G224+G228+G229)*'Data - P&amp;L'!$C$4</f>
        <v>0</v>
      </c>
      <c r="H408" s="255">
        <f>(H223+H224+H228+H229)*'Data - P&amp;L'!$C$4</f>
        <v>0</v>
      </c>
      <c r="I408" s="255">
        <f>(I223+I224+I228+I229)*'Data - P&amp;L'!$C$4</f>
        <v>97.61</v>
      </c>
      <c r="J408" s="255">
        <f>(J223+J224+J228+J229)*'Data - P&amp;L'!$C$4</f>
        <v>0</v>
      </c>
      <c r="K408" s="255">
        <f>(K223+K224+K228+K229)*'Data - P&amp;L'!$C$4</f>
        <v>195.22</v>
      </c>
      <c r="L408" s="255">
        <f>(L223+L224+L228+L229)*'Data - P&amp;L'!$C$4</f>
        <v>195.22</v>
      </c>
      <c r="M408" s="255">
        <f>(M223+M224+M228+M229)*'Data - P&amp;L'!$C$4</f>
        <v>292.83</v>
      </c>
      <c r="N408" s="255">
        <f>(N223+N224+N228+N229)*'Data - P&amp;L'!$C$4</f>
        <v>0</v>
      </c>
      <c r="O408" s="255">
        <f>(O223+O224+O228+O229)*'Data - P&amp;L'!$C$4</f>
        <v>0</v>
      </c>
      <c r="P408" s="255">
        <f>(P223+P224+P228+P229)*'Data - P&amp;L'!$C$4</f>
        <v>0</v>
      </c>
      <c r="Q408" s="255">
        <f>(Q223+Q224+Q228+Q229)*'Data - P&amp;L'!$C$4</f>
        <v>97.61</v>
      </c>
      <c r="R408" s="255">
        <f>(R223+R224+R228+R229)*'Data - P&amp;L'!$C$4</f>
        <v>0</v>
      </c>
      <c r="S408" s="255">
        <f>(S223+S224+S228+S229)*'Data - P&amp;L'!$C$4</f>
        <v>0</v>
      </c>
      <c r="T408" s="255">
        <f>(T223+T224+T228+T229)*'Data - P&amp;L'!$C$4</f>
        <v>0</v>
      </c>
      <c r="U408" s="255">
        <f>(U223+U224+U228+U229)*'Data - P&amp;L'!$C$4</f>
        <v>97.61</v>
      </c>
      <c r="V408" s="255">
        <f>(V223+V224+V228+V229)*'Data - P&amp;L'!$C$4</f>
        <v>97.61</v>
      </c>
      <c r="W408" s="255">
        <f>(W223+W224+W228+W229)*'Data - P&amp;L'!$C$4</f>
        <v>97.61</v>
      </c>
      <c r="X408" s="255">
        <f>(X223+X224+X228+X229)*'Data - P&amp;L'!$C$4</f>
        <v>0</v>
      </c>
      <c r="Y408" s="255">
        <f>(Y223+Y224+Y228+Y229)*'Data - P&amp;L'!$C$4</f>
        <v>0</v>
      </c>
      <c r="Z408" s="255">
        <f>(Z223+Z224+Z228+Z229)*'Data - P&amp;L'!$C$4</f>
        <v>0</v>
      </c>
      <c r="AA408" s="255">
        <f>(AA223+AA224+AA228+AA229)*'Data - P&amp;L'!$C$4</f>
        <v>0</v>
      </c>
      <c r="AB408" s="255">
        <f>(AB223+AB224+AB228+AB229)*'Data - P&amp;L'!$C$4</f>
        <v>0</v>
      </c>
      <c r="AC408" s="255">
        <f>(AC223+AC224+AC228+AC229)*'Data - P&amp;L'!$C$4</f>
        <v>0</v>
      </c>
      <c r="AD408" s="255">
        <f>(AD223+AD224+AD228+AD229)*'Data - P&amp;L'!$C$4</f>
        <v>0</v>
      </c>
      <c r="AE408" s="255">
        <f>(AE223+AE224+AE228+AE229)*'Data - P&amp;L'!$C$4</f>
        <v>0</v>
      </c>
      <c r="AF408" s="255">
        <f>(AF223+AF224+AF228+AF229)*'Data - P&amp;L'!$C$4</f>
        <v>0</v>
      </c>
      <c r="AG408" s="126">
        <f t="shared" si="126"/>
        <v>1952.2</v>
      </c>
    </row>
    <row r="409" outlineLevel="1">
      <c r="A409" s="157" t="s">
        <v>354</v>
      </c>
      <c r="B409" s="255">
        <f>(B234+B245)*'Data - P&amp;L'!$C$6</f>
        <v>0</v>
      </c>
      <c r="C409" s="255">
        <f>(C234+C245)*'Data - P&amp;L'!$C$6</f>
        <v>21.96</v>
      </c>
      <c r="D409" s="255">
        <f>(D234+D245)*'Data - P&amp;L'!$C$6</f>
        <v>0</v>
      </c>
      <c r="E409" s="255">
        <f>(E234+E245)*'Data - P&amp;L'!$C$6</f>
        <v>5.49</v>
      </c>
      <c r="F409" s="255">
        <f>(F234+F245)*'Data - P&amp;L'!$C$6</f>
        <v>5.49</v>
      </c>
      <c r="G409" s="255">
        <f>(G234+G245)*'Data - P&amp;L'!$C$6</f>
        <v>0</v>
      </c>
      <c r="H409" s="255">
        <f>(H234+H245)*'Data - P&amp;L'!$C$6</f>
        <v>0</v>
      </c>
      <c r="I409" s="255">
        <f>(I234+I245)*'Data - P&amp;L'!$C$6</f>
        <v>10.98</v>
      </c>
      <c r="J409" s="255">
        <f>(J234+J245)*'Data - P&amp;L'!$C$6</f>
        <v>0</v>
      </c>
      <c r="K409" s="255">
        <f>(K234+K245)*'Data - P&amp;L'!$C$6</f>
        <v>5.49</v>
      </c>
      <c r="L409" s="255">
        <f>(L234+L245)*'Data - P&amp;L'!$C$6</f>
        <v>0</v>
      </c>
      <c r="M409" s="255">
        <f>(M234+M245)*'Data - P&amp;L'!$C$6</f>
        <v>5.49</v>
      </c>
      <c r="N409" s="255">
        <f>(N234+N245)*'Data - P&amp;L'!$C$6</f>
        <v>0</v>
      </c>
      <c r="O409" s="255">
        <f>(O234+O245)*'Data - P&amp;L'!$C$6</f>
        <v>0</v>
      </c>
      <c r="P409" s="255">
        <f>(P234+P245)*'Data - P&amp;L'!$C$6</f>
        <v>0</v>
      </c>
      <c r="Q409" s="255">
        <f>(Q234+Q245)*'Data - P&amp;L'!$C$6</f>
        <v>0</v>
      </c>
      <c r="R409" s="255">
        <f>(R234+R245)*'Data - P&amp;L'!$C$6</f>
        <v>5.49</v>
      </c>
      <c r="S409" s="255">
        <f>(S234+S245)*'Data - P&amp;L'!$C$6</f>
        <v>0</v>
      </c>
      <c r="T409" s="255">
        <f>(T234+T245)*'Data - P&amp;L'!$C$6</f>
        <v>0</v>
      </c>
      <c r="U409" s="255">
        <f>(U234+U245)*'Data - P&amp;L'!$C$6</f>
        <v>0</v>
      </c>
      <c r="V409" s="255">
        <f>(V234+V245)*'Data - P&amp;L'!$C$6</f>
        <v>0</v>
      </c>
      <c r="W409" s="255">
        <f>(W234+W245)*'Data - P&amp;L'!$C$6</f>
        <v>5.49</v>
      </c>
      <c r="X409" s="255">
        <f>(X234+X245)*'Data - P&amp;L'!$C$6</f>
        <v>0</v>
      </c>
      <c r="Y409" s="255">
        <f>(Y234+Y245)*'Data - P&amp;L'!$C$6</f>
        <v>0</v>
      </c>
      <c r="Z409" s="255">
        <f>(Z234+Z245)*'Data - P&amp;L'!$C$6</f>
        <v>0</v>
      </c>
      <c r="AA409" s="255">
        <f>(AA234+AA245)*'Data - P&amp;L'!$C$6</f>
        <v>0</v>
      </c>
      <c r="AB409" s="255">
        <f>(AB234+AB245)*'Data - P&amp;L'!$C$6</f>
        <v>0</v>
      </c>
      <c r="AC409" s="255">
        <f>(AC234+AC245)*'Data - P&amp;L'!$C$6</f>
        <v>0</v>
      </c>
      <c r="AD409" s="255">
        <f>(AD234+AD245)*'Data - P&amp;L'!$C$6</f>
        <v>0</v>
      </c>
      <c r="AE409" s="255">
        <f>(AE234+AE245)*'Data - P&amp;L'!$C$6</f>
        <v>5.49</v>
      </c>
      <c r="AF409" s="255">
        <f>(AF234+AF245)*'Data - P&amp;L'!$C$6</f>
        <v>0</v>
      </c>
      <c r="AG409" s="126">
        <f t="shared" si="126"/>
        <v>71.37</v>
      </c>
    </row>
    <row r="410" outlineLevel="1">
      <c r="A410" s="157" t="s">
        <v>355</v>
      </c>
      <c r="B410" s="255">
        <f>(B235+B246)*'Data - P&amp;L'!$C$8</f>
        <v>0</v>
      </c>
      <c r="C410" s="255">
        <f>(C235+C246)*'Data - P&amp;L'!$C$8</f>
        <v>3.57</v>
      </c>
      <c r="D410" s="255">
        <f>(D235+D246)*'Data - P&amp;L'!$C$8</f>
        <v>0</v>
      </c>
      <c r="E410" s="255">
        <f>(E235+E246)*'Data - P&amp;L'!$C$8</f>
        <v>1.19</v>
      </c>
      <c r="F410" s="255">
        <f>(F235+F246)*'Data - P&amp;L'!$C$8</f>
        <v>1.19</v>
      </c>
      <c r="G410" s="255">
        <f>(G235+G246)*'Data - P&amp;L'!$C$8</f>
        <v>0</v>
      </c>
      <c r="H410" s="255">
        <f>(H235+H246)*'Data - P&amp;L'!$C$8</f>
        <v>0</v>
      </c>
      <c r="I410" s="255">
        <f>(I235+I246)*'Data - P&amp;L'!$C$8</f>
        <v>0</v>
      </c>
      <c r="J410" s="255">
        <f>(J235+J246)*'Data - P&amp;L'!$C$8</f>
        <v>1.19</v>
      </c>
      <c r="K410" s="255">
        <f>(K235+K246)*'Data - P&amp;L'!$C$8</f>
        <v>1.19</v>
      </c>
      <c r="L410" s="255">
        <f>(L235+L246)*'Data - P&amp;L'!$C$8</f>
        <v>0</v>
      </c>
      <c r="M410" s="255">
        <f>(M235+M246)*'Data - P&amp;L'!$C$8</f>
        <v>0</v>
      </c>
      <c r="N410" s="255">
        <f>(N235+N246)*'Data - P&amp;L'!$C$8</f>
        <v>0</v>
      </c>
      <c r="O410" s="255">
        <f>(O235+O246)*'Data - P&amp;L'!$C$8</f>
        <v>0</v>
      </c>
      <c r="P410" s="255">
        <f>(P235+P246)*'Data - P&amp;L'!$C$8</f>
        <v>0</v>
      </c>
      <c r="Q410" s="255">
        <f>(Q235+Q246)*'Data - P&amp;L'!$C$8</f>
        <v>0</v>
      </c>
      <c r="R410" s="255">
        <f>(R235+R246)*'Data - P&amp;L'!$C$8</f>
        <v>0</v>
      </c>
      <c r="S410" s="255">
        <f>(S235+S246)*'Data - P&amp;L'!$C$8</f>
        <v>0</v>
      </c>
      <c r="T410" s="255">
        <f>(T235+T246)*'Data - P&amp;L'!$C$8</f>
        <v>1.19</v>
      </c>
      <c r="U410" s="255">
        <f>(U235+U246)*'Data - P&amp;L'!$C$8</f>
        <v>0</v>
      </c>
      <c r="V410" s="255">
        <f>(V235+V246)*'Data - P&amp;L'!$C$8</f>
        <v>1.19</v>
      </c>
      <c r="W410" s="255">
        <f>(W235+W246)*'Data - P&amp;L'!$C$8</f>
        <v>2.38</v>
      </c>
      <c r="X410" s="255">
        <f>(X235+X246)*'Data - P&amp;L'!$C$8</f>
        <v>0</v>
      </c>
      <c r="Y410" s="255">
        <f>(Y235+Y246)*'Data - P&amp;L'!$C$8</f>
        <v>0</v>
      </c>
      <c r="Z410" s="255">
        <f>(Z235+Z246)*'Data - P&amp;L'!$C$8</f>
        <v>0</v>
      </c>
      <c r="AA410" s="255">
        <f>(AA235+AA246)*'Data - P&amp;L'!$C$8</f>
        <v>0</v>
      </c>
      <c r="AB410" s="255">
        <f>(AB235+AB246)*'Data - P&amp;L'!$C$8</f>
        <v>0</v>
      </c>
      <c r="AC410" s="255">
        <f>(AC235+AC246)*'Data - P&amp;L'!$C$8</f>
        <v>0</v>
      </c>
      <c r="AD410" s="255">
        <f>(AD235+AD246)*'Data - P&amp;L'!$C$8</f>
        <v>0</v>
      </c>
      <c r="AE410" s="255">
        <f>(AE235+AE246)*'Data - P&amp;L'!$C$8</f>
        <v>0</v>
      </c>
      <c r="AF410" s="255">
        <f>(AF235+AF246)*'Data - P&amp;L'!$C$8</f>
        <v>0</v>
      </c>
      <c r="AG410" s="126">
        <f t="shared" si="126"/>
        <v>13.09</v>
      </c>
    </row>
    <row r="411" outlineLevel="1">
      <c r="A411" s="157" t="s">
        <v>356</v>
      </c>
      <c r="B411" s="255">
        <f>(B236+B237+B247+B248)*'Data - P&amp;L'!$C$9</f>
        <v>0</v>
      </c>
      <c r="C411" s="255">
        <f>(C236+C237+C247+C248)*'Data - P&amp;L'!$C$9</f>
        <v>6.66</v>
      </c>
      <c r="D411" s="255">
        <f>(D236+D237+D247+D248)*'Data - P&amp;L'!$C$9</f>
        <v>0</v>
      </c>
      <c r="E411" s="255">
        <f>(E236+E237+E247+E248)*'Data - P&amp;L'!$C$9</f>
        <v>6.66</v>
      </c>
      <c r="F411" s="255">
        <f>(F236+F237+F247+F248)*'Data - P&amp;L'!$C$9</f>
        <v>6.66</v>
      </c>
      <c r="G411" s="255">
        <f>(G236+G237+G247+G248)*'Data - P&amp;L'!$C$9</f>
        <v>0</v>
      </c>
      <c r="H411" s="255">
        <f>(H236+H237+H247+H248)*'Data - P&amp;L'!$C$9</f>
        <v>0</v>
      </c>
      <c r="I411" s="255">
        <f>(I236+I237+I247+I248)*'Data - P&amp;L'!$C$9</f>
        <v>0</v>
      </c>
      <c r="J411" s="255">
        <f>(J236+J237+J247+J248)*'Data - P&amp;L'!$C$9</f>
        <v>0</v>
      </c>
      <c r="K411" s="255">
        <f>(K236+K237+K247+K248)*'Data - P&amp;L'!$C$9</f>
        <v>0</v>
      </c>
      <c r="L411" s="255">
        <f>(L236+L237+L247+L248)*'Data - P&amp;L'!$C$9</f>
        <v>0</v>
      </c>
      <c r="M411" s="255">
        <f>(M236+M237+M247+M248)*'Data - P&amp;L'!$C$9</f>
        <v>0</v>
      </c>
      <c r="N411" s="255">
        <f>(N236+N237+N247+N248)*'Data - P&amp;L'!$C$9</f>
        <v>0</v>
      </c>
      <c r="O411" s="255">
        <f>(O236+O237+O247+O248)*'Data - P&amp;L'!$C$9</f>
        <v>0</v>
      </c>
      <c r="P411" s="255">
        <f>(P236+P237+P247+P248)*'Data - P&amp;L'!$C$9</f>
        <v>0</v>
      </c>
      <c r="Q411" s="255">
        <f>(Q236+Q237+Q247+Q248)*'Data - P&amp;L'!$C$9</f>
        <v>0</v>
      </c>
      <c r="R411" s="255">
        <f>(R236+R237+R247+R248)*'Data - P&amp;L'!$C$9</f>
        <v>0</v>
      </c>
      <c r="S411" s="255">
        <f>(S236+S237+S247+S248)*'Data - P&amp;L'!$C$9</f>
        <v>0</v>
      </c>
      <c r="T411" s="255">
        <f>(T236+T237+T247+T248)*'Data - P&amp;L'!$C$9</f>
        <v>0</v>
      </c>
      <c r="U411" s="255">
        <f>(U236+U237+U247+U248)*'Data - P&amp;L'!$C$9</f>
        <v>0</v>
      </c>
      <c r="V411" s="255">
        <f>(V236+V237+V247+V248)*'Data - P&amp;L'!$C$9</f>
        <v>0</v>
      </c>
      <c r="W411" s="255">
        <f>(W236+W237+W247+W248)*'Data - P&amp;L'!$C$9</f>
        <v>6.66</v>
      </c>
      <c r="X411" s="255">
        <f>(X236+X237+X247+X248)*'Data - P&amp;L'!$C$9</f>
        <v>0</v>
      </c>
      <c r="Y411" s="255">
        <f>(Y236+Y237+Y247+Y248)*'Data - P&amp;L'!$C$9</f>
        <v>0</v>
      </c>
      <c r="Z411" s="255">
        <f>(Z236+Z237+Z247+Z248)*'Data - P&amp;L'!$C$9</f>
        <v>0</v>
      </c>
      <c r="AA411" s="255">
        <f>(AA236+AA237+AA247+AA248)*'Data - P&amp;L'!$C$9</f>
        <v>0</v>
      </c>
      <c r="AB411" s="255">
        <f>(AB236+AB237+AB247+AB248)*'Data - P&amp;L'!$C$9</f>
        <v>0</v>
      </c>
      <c r="AC411" s="255">
        <f>(AC236+AC237+AC247+AC248)*'Data - P&amp;L'!$C$9</f>
        <v>0</v>
      </c>
      <c r="AD411" s="255">
        <f>(AD236+AD237+AD247+AD248)*'Data - P&amp;L'!$C$9</f>
        <v>0</v>
      </c>
      <c r="AE411" s="255">
        <f>(AE236+AE237+AE247+AE248)*'Data - P&amp;L'!$C$9</f>
        <v>0</v>
      </c>
      <c r="AF411" s="255">
        <f>(AF236+AF237+AF247+AF248)*'Data - P&amp;L'!$C$9</f>
        <v>0</v>
      </c>
      <c r="AG411" s="126">
        <f t="shared" si="126"/>
        <v>26.64</v>
      </c>
    </row>
    <row r="412" outlineLevel="1">
      <c r="A412" s="157" t="s">
        <v>357</v>
      </c>
      <c r="B412" s="255">
        <f>(B238+B239+B249+B250)*'Data - P&amp;L'!$C$5</f>
        <v>0</v>
      </c>
      <c r="C412" s="255">
        <f>(C238+C239+C249+C250)*'Data - P&amp;L'!$C$5</f>
        <v>40.32</v>
      </c>
      <c r="D412" s="255">
        <f>(D238+D239+D249+D250)*'Data - P&amp;L'!$C$5</f>
        <v>0</v>
      </c>
      <c r="E412" s="255">
        <f>(E238+E239+E249+E250)*'Data - P&amp;L'!$C$5</f>
        <v>0</v>
      </c>
      <c r="F412" s="255">
        <f>(F238+F239+F249+F250)*'Data - P&amp;L'!$C$5</f>
        <v>0</v>
      </c>
      <c r="G412" s="255">
        <f>(G238+G239+G249+G250)*'Data - P&amp;L'!$C$5</f>
        <v>0</v>
      </c>
      <c r="H412" s="255">
        <f>(H238+H239+H249+H250)*'Data - P&amp;L'!$C$5</f>
        <v>0</v>
      </c>
      <c r="I412" s="255">
        <f>(I238+I239+I249+I250)*'Data - P&amp;L'!$C$5</f>
        <v>0</v>
      </c>
      <c r="J412" s="255">
        <f>(J238+J239+J249+J250)*'Data - P&amp;L'!$C$5</f>
        <v>0</v>
      </c>
      <c r="K412" s="255">
        <f>(K238+K239+K249+K250)*'Data - P&amp;L'!$C$5</f>
        <v>0</v>
      </c>
      <c r="L412" s="255">
        <f>(L238+L239+L249+L250)*'Data - P&amp;L'!$C$5</f>
        <v>13.44</v>
      </c>
      <c r="M412" s="255">
        <f>(M238+M239+M249+M250)*'Data - P&amp;L'!$C$5</f>
        <v>0</v>
      </c>
      <c r="N412" s="255">
        <f>(N238+N239+N249+N250)*'Data - P&amp;L'!$C$5</f>
        <v>0</v>
      </c>
      <c r="O412" s="255">
        <f>(O238+O239+O249+O250)*'Data - P&amp;L'!$C$5</f>
        <v>0</v>
      </c>
      <c r="P412" s="255">
        <f>(P238+P239+P249+P250)*'Data - P&amp;L'!$C$5</f>
        <v>0</v>
      </c>
      <c r="Q412" s="255">
        <f>(Q238+Q239+Q249+Q250)*'Data - P&amp;L'!$C$5</f>
        <v>0</v>
      </c>
      <c r="R412" s="255">
        <f>(R238+R239+R249+R250)*'Data - P&amp;L'!$C$5</f>
        <v>0</v>
      </c>
      <c r="S412" s="255">
        <f>(S238+S239+S249+S250)*'Data - P&amp;L'!$C$5</f>
        <v>0</v>
      </c>
      <c r="T412" s="255">
        <f>(T238+T239+T249+T250)*'Data - P&amp;L'!$C$5</f>
        <v>0</v>
      </c>
      <c r="U412" s="255">
        <f>(U238+U239+U249+U250)*'Data - P&amp;L'!$C$5</f>
        <v>0</v>
      </c>
      <c r="V412" s="255">
        <f>(V238+V239+V249+V250)*'Data - P&amp;L'!$C$5</f>
        <v>0</v>
      </c>
      <c r="W412" s="255">
        <f>(W238+W239+W249+W250)*'Data - P&amp;L'!$C$5</f>
        <v>0</v>
      </c>
      <c r="X412" s="255">
        <f>(X238+X239+X249+X250)*'Data - P&amp;L'!$C$5</f>
        <v>0</v>
      </c>
      <c r="Y412" s="255">
        <f>(Y238+Y239+Y249+Y250)*'Data - P&amp;L'!$C$5</f>
        <v>0</v>
      </c>
      <c r="Z412" s="255">
        <f>(Z238+Z239+Z249+Z250)*'Data - P&amp;L'!$C$5</f>
        <v>0</v>
      </c>
      <c r="AA412" s="255">
        <f>(AA238+AA239+AA249+AA250)*'Data - P&amp;L'!$C$5</f>
        <v>0</v>
      </c>
      <c r="AB412" s="255">
        <f>(AB238+AB239+AB249+AB250)*'Data - P&amp;L'!$C$5</f>
        <v>0</v>
      </c>
      <c r="AC412" s="255">
        <f>(AC238+AC239+AC249+AC250)*'Data - P&amp;L'!$C$5</f>
        <v>0</v>
      </c>
      <c r="AD412" s="255">
        <f>(AD238+AD239+AD249+AD250)*'Data - P&amp;L'!$C$5</f>
        <v>0</v>
      </c>
      <c r="AE412" s="255">
        <f>(AE238+AE239+AE249+AE250)*'Data - P&amp;L'!$C$5</f>
        <v>0</v>
      </c>
      <c r="AF412" s="255">
        <f>(AF238+AF239+AF249+AF250)*'Data - P&amp;L'!$C$5</f>
        <v>0</v>
      </c>
      <c r="AG412" s="126">
        <f t="shared" si="126"/>
        <v>53.76</v>
      </c>
    </row>
    <row r="413" outlineLevel="1">
      <c r="A413" s="157" t="s">
        <v>358</v>
      </c>
      <c r="B413" s="255">
        <f>(B240+B241+B251+B252)*'Data - P&amp;L'!$C$10</f>
        <v>0</v>
      </c>
      <c r="C413" s="255">
        <f>(C240+C241+C251+C252)*'Data - P&amp;L'!$C$10</f>
        <v>36</v>
      </c>
      <c r="D413" s="255">
        <f>(D240+D241+D251+D252)*'Data - P&amp;L'!$C$10</f>
        <v>0</v>
      </c>
      <c r="E413" s="255">
        <f>(E240+E241+E251+E252)*'Data - P&amp;L'!$C$10</f>
        <v>6</v>
      </c>
      <c r="F413" s="255">
        <f>(F240+F241+F251+F252)*'Data - P&amp;L'!$C$10</f>
        <v>6</v>
      </c>
      <c r="G413" s="255">
        <f>(G240+G241+G251+G252)*'Data - P&amp;L'!$C$10</f>
        <v>0</v>
      </c>
      <c r="H413" s="255">
        <f>(H240+H241+H251+H252)*'Data - P&amp;L'!$C$10</f>
        <v>0</v>
      </c>
      <c r="I413" s="255">
        <f>(I240+I241+I251+I252)*'Data - P&amp;L'!$C$10</f>
        <v>0</v>
      </c>
      <c r="J413" s="255">
        <f>(J240+J241+J251+J252)*'Data - P&amp;L'!$C$10</f>
        <v>0</v>
      </c>
      <c r="K413" s="255">
        <f>(K240+K241+K251+K252)*'Data - P&amp;L'!$C$10</f>
        <v>0</v>
      </c>
      <c r="L413" s="255">
        <f>(L240+L241+L251+L252)*'Data - P&amp;L'!$C$10</f>
        <v>0</v>
      </c>
      <c r="M413" s="255">
        <f>(M240+M241+M251+M252)*'Data - P&amp;L'!$C$10</f>
        <v>0</v>
      </c>
      <c r="N413" s="255">
        <f>(N240+N241+N251+N252)*'Data - P&amp;L'!$C$10</f>
        <v>0</v>
      </c>
      <c r="O413" s="255">
        <f>(O240+O241+O251+O252)*'Data - P&amp;L'!$C$10</f>
        <v>0</v>
      </c>
      <c r="P413" s="255">
        <f>(P240+P241+P251+P252)*'Data - P&amp;L'!$C$10</f>
        <v>0</v>
      </c>
      <c r="Q413" s="255">
        <f>(Q240+Q241+Q251+Q252)*'Data - P&amp;L'!$C$10</f>
        <v>0</v>
      </c>
      <c r="R413" s="255">
        <f>(R240+R241+R251+R252)*'Data - P&amp;L'!$C$10</f>
        <v>0</v>
      </c>
      <c r="S413" s="255">
        <f>(S240+S241+S251+S252)*'Data - P&amp;L'!$C$10</f>
        <v>0</v>
      </c>
      <c r="T413" s="255">
        <f>(T240+T241+T251+T252)*'Data - P&amp;L'!$C$10</f>
        <v>0</v>
      </c>
      <c r="U413" s="255">
        <f>(U240+U241+U251+U252)*'Data - P&amp;L'!$C$10</f>
        <v>0</v>
      </c>
      <c r="V413" s="255">
        <f>(V240+V241+V251+V252)*'Data - P&amp;L'!$C$10</f>
        <v>0</v>
      </c>
      <c r="W413" s="255">
        <f>(W240+W241+W251+W252)*'Data - P&amp;L'!$C$10</f>
        <v>24</v>
      </c>
      <c r="X413" s="255">
        <f>(X240+X241+X251+X252)*'Data - P&amp;L'!$C$10</f>
        <v>0</v>
      </c>
      <c r="Y413" s="255">
        <f>(Y240+Y241+Y251+Y252)*'Data - P&amp;L'!$C$10</f>
        <v>0</v>
      </c>
      <c r="Z413" s="255">
        <f>(Z240+Z241+Z251+Z252)*'Data - P&amp;L'!$C$10</f>
        <v>0</v>
      </c>
      <c r="AA413" s="255">
        <f>(AA240+AA241+AA251+AA252)*'Data - P&amp;L'!$C$10</f>
        <v>0</v>
      </c>
      <c r="AB413" s="255">
        <f>(AB240+AB241+AB251+AB252)*'Data - P&amp;L'!$C$10</f>
        <v>0</v>
      </c>
      <c r="AC413" s="255">
        <f>(AC240+AC241+AC251+AC252)*'Data - P&amp;L'!$C$10</f>
        <v>0</v>
      </c>
      <c r="AD413" s="255">
        <f>(AD240+AD241+AD251+AD252)*'Data - P&amp;L'!$C$10</f>
        <v>0</v>
      </c>
      <c r="AE413" s="255">
        <f>(AE240+AE241+AE251+AE252)*'Data - P&amp;L'!$C$10</f>
        <v>0</v>
      </c>
      <c r="AF413" s="255">
        <f>(AF240+AF241+AF251+AF252)*'Data - P&amp;L'!$C$10</f>
        <v>0</v>
      </c>
      <c r="AG413" s="126">
        <f t="shared" si="126"/>
        <v>72</v>
      </c>
    </row>
    <row r="414" outlineLevel="1">
      <c r="A414" s="157" t="s">
        <v>359</v>
      </c>
      <c r="B414" s="255">
        <f>((SUM(B221:B224))*'Data - P&amp;L'!$C$38)+((SUM(B226:B229))*'Data - P&amp;L'!$C$39)</f>
        <v>0</v>
      </c>
      <c r="C414" s="255">
        <f>((SUM(C221:C224))*'Data - P&amp;L'!$C$38)+((SUM(C226:C229))*'Data - P&amp;L'!$C$39)</f>
        <v>59.7</v>
      </c>
      <c r="D414" s="255">
        <f>((SUM(D221:D224))*'Data - P&amp;L'!$C$38)+((SUM(D226:D229))*'Data - P&amp;L'!$C$39)</f>
        <v>0</v>
      </c>
      <c r="E414" s="255">
        <f>((SUM(E221:E224))*'Data - P&amp;L'!$C$38)+((SUM(E226:E229))*'Data - P&amp;L'!$C$39)</f>
        <v>35.82</v>
      </c>
      <c r="F414" s="255">
        <f>((SUM(F221:F224))*'Data - P&amp;L'!$C$38)+((SUM(F226:F229))*'Data - P&amp;L'!$C$39)</f>
        <v>23.88</v>
      </c>
      <c r="G414" s="255">
        <f>((SUM(G221:G224))*'Data - P&amp;L'!$C$38)+((SUM(G226:G229))*'Data - P&amp;L'!$C$39)</f>
        <v>0</v>
      </c>
      <c r="H414" s="255">
        <f>((SUM(H221:H224))*'Data - P&amp;L'!$C$38)+((SUM(H226:H229))*'Data - P&amp;L'!$C$39)</f>
        <v>0</v>
      </c>
      <c r="I414" s="255">
        <f>((SUM(I221:I224))*'Data - P&amp;L'!$C$38)+((SUM(I226:I229))*'Data - P&amp;L'!$C$39)</f>
        <v>23.88</v>
      </c>
      <c r="J414" s="255">
        <f>((SUM(J221:J224))*'Data - P&amp;L'!$C$38)+((SUM(J226:J229))*'Data - P&amp;L'!$C$39)</f>
        <v>11.94</v>
      </c>
      <c r="K414" s="255">
        <f>((SUM(K221:K224))*'Data - P&amp;L'!$C$38)+((SUM(K226:K229))*'Data - P&amp;L'!$C$39)</f>
        <v>23.88</v>
      </c>
      <c r="L414" s="255">
        <f>((SUM(L221:L224))*'Data - P&amp;L'!$C$38)+((SUM(L226:L229))*'Data - P&amp;L'!$C$39)</f>
        <v>23.88</v>
      </c>
      <c r="M414" s="255">
        <f>((SUM(M221:M224))*'Data - P&amp;L'!$C$38)+((SUM(M226:M229))*'Data - P&amp;L'!$C$39)</f>
        <v>35.82</v>
      </c>
      <c r="N414" s="255">
        <f>((SUM(N221:N224))*'Data - P&amp;L'!$C$38)+((SUM(N226:N229))*'Data - P&amp;L'!$C$39)</f>
        <v>0</v>
      </c>
      <c r="O414" s="255">
        <f>((SUM(O221:O224))*'Data - P&amp;L'!$C$38)+((SUM(O226:O229))*'Data - P&amp;L'!$C$39)</f>
        <v>0</v>
      </c>
      <c r="P414" s="255">
        <f>((SUM(P221:P224))*'Data - P&amp;L'!$C$38)+((SUM(P226:P229))*'Data - P&amp;L'!$C$39)</f>
        <v>0</v>
      </c>
      <c r="Q414" s="255">
        <f>((SUM(Q221:Q224))*'Data - P&amp;L'!$C$38)+((SUM(Q226:Q229))*'Data - P&amp;L'!$C$39)</f>
        <v>11.94</v>
      </c>
      <c r="R414" s="255">
        <f>((SUM(R221:R224))*'Data - P&amp;L'!$C$38)+((SUM(R226:R229))*'Data - P&amp;L'!$C$39)</f>
        <v>11.94</v>
      </c>
      <c r="S414" s="255">
        <f>((SUM(S221:S224))*'Data - P&amp;L'!$C$38)+((SUM(S226:S229))*'Data - P&amp;L'!$C$39)</f>
        <v>0</v>
      </c>
      <c r="T414" s="255">
        <f>((SUM(T221:T224))*'Data - P&amp;L'!$C$38)+((SUM(T226:T229))*'Data - P&amp;L'!$C$39)</f>
        <v>11.94</v>
      </c>
      <c r="U414" s="255">
        <f>((SUM(U221:U224))*'Data - P&amp;L'!$C$38)+((SUM(U226:U229))*'Data - P&amp;L'!$C$39)</f>
        <v>11.94</v>
      </c>
      <c r="V414" s="255">
        <f>((SUM(V221:V224))*'Data - P&amp;L'!$C$38)+((SUM(V226:V229))*'Data - P&amp;L'!$C$39)</f>
        <v>11.94</v>
      </c>
      <c r="W414" s="255">
        <f>((SUM(W221:W224))*'Data - P&amp;L'!$C$38)+((SUM(W226:W229))*'Data - P&amp;L'!$C$39)</f>
        <v>11.94</v>
      </c>
      <c r="X414" s="255">
        <f>((SUM(X221:X224))*'Data - P&amp;L'!$C$38)+((SUM(X226:X229))*'Data - P&amp;L'!$C$39)</f>
        <v>0</v>
      </c>
      <c r="Y414" s="255">
        <f>((SUM(Y221:Y224))*'Data - P&amp;L'!$C$38)+((SUM(Y226:Y229))*'Data - P&amp;L'!$C$39)</f>
        <v>0</v>
      </c>
      <c r="Z414" s="255">
        <f>((SUM(Z221:Z224))*'Data - P&amp;L'!$C$38)+((SUM(Z226:Z229))*'Data - P&amp;L'!$C$39)</f>
        <v>0</v>
      </c>
      <c r="AA414" s="255">
        <f>((SUM(AA221:AA224))*'Data - P&amp;L'!$C$38)+((SUM(AA226:AA229))*'Data - P&amp;L'!$C$39)</f>
        <v>0</v>
      </c>
      <c r="AB414" s="255">
        <f>((SUM(AB221:AB224))*'Data - P&amp;L'!$C$38)+((SUM(AB226:AB229))*'Data - P&amp;L'!$C$39)</f>
        <v>0</v>
      </c>
      <c r="AC414" s="255">
        <f>((SUM(AC221:AC224))*'Data - P&amp;L'!$C$38)+((SUM(AC226:AC229))*'Data - P&amp;L'!$C$39)</f>
        <v>0</v>
      </c>
      <c r="AD414" s="255">
        <f>((SUM(AD221:AD224))*'Data - P&amp;L'!$C$38)+((SUM(AD226:AD229))*'Data - P&amp;L'!$C$39)</f>
        <v>0</v>
      </c>
      <c r="AE414" s="255">
        <f>((SUM(AE221:AE224))*'Data - P&amp;L'!$C$38)+((SUM(AE226:AE229))*'Data - P&amp;L'!$C$39)</f>
        <v>11.94</v>
      </c>
      <c r="AF414" s="255">
        <f>((SUM(AF221:AF224))*'Data - P&amp;L'!$C$38)+((SUM(AF226:AF229))*'Data - P&amp;L'!$C$39)</f>
        <v>0</v>
      </c>
      <c r="AG414" s="126">
        <f t="shared" si="126"/>
        <v>322.38</v>
      </c>
    </row>
    <row r="415" outlineLevel="1">
      <c r="A415" s="157" t="s">
        <v>360</v>
      </c>
      <c r="B415" s="255">
        <f>((B221+B222+B223+B224)*'Data - P&amp;L'!$C$34)+((B226+B227+B228+B229)*'Data - P&amp;L'!$C$35)</f>
        <v>0</v>
      </c>
      <c r="C415" s="255">
        <f>((C221+C222+C223+C224)*'Data - P&amp;L'!$C$34)+((C226+C227+C228+C229)*'Data - P&amp;L'!$C$35)</f>
        <v>217.9</v>
      </c>
      <c r="D415" s="255">
        <f>((D221+D222+D223+D224)*'Data - P&amp;L'!$C$34)+((D226+D227+D228+D229)*'Data - P&amp;L'!$C$35)</f>
        <v>0</v>
      </c>
      <c r="E415" s="255">
        <f>((E221+E222+E223+E224)*'Data - P&amp;L'!$C$34)+((E226+E227+E228+E229)*'Data - P&amp;L'!$C$35)</f>
        <v>130.74</v>
      </c>
      <c r="F415" s="255">
        <f>((F221+F222+F223+F224)*'Data - P&amp;L'!$C$34)+((F226+F227+F228+F229)*'Data - P&amp;L'!$C$35)</f>
        <v>58.64</v>
      </c>
      <c r="G415" s="255">
        <f>((G221+G222+G223+G224)*'Data - P&amp;L'!$C$34)+((G226+G227+G228+G229)*'Data - P&amp;L'!$C$35)</f>
        <v>0</v>
      </c>
      <c r="H415" s="255">
        <f>((H221+H222+H223+H224)*'Data - P&amp;L'!$C$34)+((H226+H227+H228+H229)*'Data - P&amp;L'!$C$35)</f>
        <v>0</v>
      </c>
      <c r="I415" s="255">
        <f>((I221+I222+I223+I224)*'Data - P&amp;L'!$C$34)+((I226+I227+I228+I229)*'Data - P&amp;L'!$C$35)</f>
        <v>87.16</v>
      </c>
      <c r="J415" s="255">
        <f>((J221+J222+J223+J224)*'Data - P&amp;L'!$C$34)+((J226+J227+J228+J229)*'Data - P&amp;L'!$C$35)</f>
        <v>43.58</v>
      </c>
      <c r="K415" s="255">
        <f>((K221+K222+K223+K224)*'Data - P&amp;L'!$C$34)+((K226+K227+K228+K229)*'Data - P&amp;L'!$C$35)</f>
        <v>87.16</v>
      </c>
      <c r="L415" s="255">
        <f>((L221+L222+L223+L224)*'Data - P&amp;L'!$C$34)+((L226+L227+L228+L229)*'Data - P&amp;L'!$C$35)</f>
        <v>87.16</v>
      </c>
      <c r="M415" s="255">
        <f>((M221+M222+M223+M224)*'Data - P&amp;L'!$C$34)+((M226+M227+M228+M229)*'Data - P&amp;L'!$C$35)</f>
        <v>130.74</v>
      </c>
      <c r="N415" s="255">
        <f>((N221+N222+N223+N224)*'Data - P&amp;L'!$C$34)+((N226+N227+N228+N229)*'Data - P&amp;L'!$C$35)</f>
        <v>0</v>
      </c>
      <c r="O415" s="255">
        <f>((O221+O222+O223+O224)*'Data - P&amp;L'!$C$34)+((O226+O227+O228+O229)*'Data - P&amp;L'!$C$35)</f>
        <v>0</v>
      </c>
      <c r="P415" s="255">
        <f>((P221+P222+P223+P224)*'Data - P&amp;L'!$C$34)+((P226+P227+P228+P229)*'Data - P&amp;L'!$C$35)</f>
        <v>0</v>
      </c>
      <c r="Q415" s="255">
        <f>((Q221+Q222+Q223+Q224)*'Data - P&amp;L'!$C$34)+((Q226+Q227+Q228+Q229)*'Data - P&amp;L'!$C$35)</f>
        <v>43.58</v>
      </c>
      <c r="R415" s="255">
        <f>((R221+R222+R223+R224)*'Data - P&amp;L'!$C$34)+((R226+R227+R228+R229)*'Data - P&amp;L'!$C$35)</f>
        <v>43.58</v>
      </c>
      <c r="S415" s="255">
        <f>((S221+S222+S223+S224)*'Data - P&amp;L'!$C$34)+((S226+S227+S228+S229)*'Data - P&amp;L'!$C$35)</f>
        <v>0</v>
      </c>
      <c r="T415" s="255">
        <f>((T221+T222+T223+T224)*'Data - P&amp;L'!$C$34)+((T226+T227+T228+T229)*'Data - P&amp;L'!$C$35)</f>
        <v>43.58</v>
      </c>
      <c r="U415" s="255">
        <f>((U221+U222+U223+U224)*'Data - P&amp;L'!$C$34)+((U226+U227+U228+U229)*'Data - P&amp;L'!$C$35)</f>
        <v>43.58</v>
      </c>
      <c r="V415" s="255">
        <f>((V221+V222+V223+V224)*'Data - P&amp;L'!$C$34)+((V226+V227+V228+V229)*'Data - P&amp;L'!$C$35)</f>
        <v>43.58</v>
      </c>
      <c r="W415" s="255">
        <f>((W221+W222+W223+W224)*'Data - P&amp;L'!$C$34)+((W226+W227+W228+W229)*'Data - P&amp;L'!$C$35)</f>
        <v>43.58</v>
      </c>
      <c r="X415" s="255">
        <f>((X221+X222+X223+X224)*'Data - P&amp;L'!$C$34)+((X226+X227+X228+X229)*'Data - P&amp;L'!$C$35)</f>
        <v>0</v>
      </c>
      <c r="Y415" s="255">
        <f>((Y221+Y222+Y223+Y224)*'Data - P&amp;L'!$C$34)+((Y226+Y227+Y228+Y229)*'Data - P&amp;L'!$C$35)</f>
        <v>0</v>
      </c>
      <c r="Z415" s="255">
        <f>((Z221+Z222+Z223+Z224)*'Data - P&amp;L'!$C$34)+((Z226+Z227+Z228+Z229)*'Data - P&amp;L'!$C$35)</f>
        <v>0</v>
      </c>
      <c r="AA415" s="255">
        <f>((AA221+AA222+AA223+AA224)*'Data - P&amp;L'!$C$34)+((AA226+AA227+AA228+AA229)*'Data - P&amp;L'!$C$35)</f>
        <v>0</v>
      </c>
      <c r="AB415" s="255">
        <f>((AB221+AB222+AB223+AB224)*'Data - P&amp;L'!$C$34)+((AB226+AB227+AB228+AB229)*'Data - P&amp;L'!$C$35)</f>
        <v>0</v>
      </c>
      <c r="AC415" s="255">
        <f>((AC221+AC222+AC223+AC224)*'Data - P&amp;L'!$C$34)+((AC226+AC227+AC228+AC229)*'Data - P&amp;L'!$C$35)</f>
        <v>0</v>
      </c>
      <c r="AD415" s="255">
        <f>((AD221+AD222+AD223+AD224)*'Data - P&amp;L'!$C$34)+((AD226+AD227+AD228+AD229)*'Data - P&amp;L'!$C$35)</f>
        <v>0</v>
      </c>
      <c r="AE415" s="255">
        <f>((AE221+AE222+AE223+AE224)*'Data - P&amp;L'!$C$34)+((AE226+AE227+AE228+AE229)*'Data - P&amp;L'!$C$35)</f>
        <v>43.58</v>
      </c>
      <c r="AF415" s="255">
        <f>((AF221+AF222+AF223+AF224)*'Data - P&amp;L'!$C$34)+((AF226+AF227+AF228+AF229)*'Data - P&amp;L'!$C$35)</f>
        <v>0</v>
      </c>
      <c r="AG415" s="126">
        <f t="shared" si="126"/>
        <v>1148.14</v>
      </c>
    </row>
    <row r="416" outlineLevel="1">
      <c r="A416" s="157" t="s">
        <v>361</v>
      </c>
      <c r="B416" s="255">
        <f>(B242*'Data - P&amp;L'!$D$38)+(B253*'Data - P&amp;L'!$D$39)</f>
        <v>0</v>
      </c>
      <c r="C416" s="255">
        <f>(C242*'Data - P&amp;L'!$D$38)+(C253*'Data - P&amp;L'!$D$39)</f>
        <v>24.395</v>
      </c>
      <c r="D416" s="255">
        <f>(D242*'Data - P&amp;L'!$D$38)+(D253*'Data - P&amp;L'!$D$39)</f>
        <v>0</v>
      </c>
      <c r="E416" s="255">
        <f>(E242*'Data - P&amp;L'!$D$38)+(E253*'Data - P&amp;L'!$D$39)</f>
        <v>5.74</v>
      </c>
      <c r="F416" s="255">
        <f>(F242*'Data - P&amp;L'!$D$38)+(F253*'Data - P&amp;L'!$D$39)</f>
        <v>5.75</v>
      </c>
      <c r="G416" s="255">
        <f>(G242*'Data - P&amp;L'!$D$38)+(G253*'Data - P&amp;L'!$D$39)</f>
        <v>0</v>
      </c>
      <c r="H416" s="255">
        <f>(H242*'Data - P&amp;L'!$D$38)+(H253*'Data - P&amp;L'!$D$39)</f>
        <v>0</v>
      </c>
      <c r="I416" s="255">
        <f>(I242*'Data - P&amp;L'!$D$38)+(I253*'Data - P&amp;L'!$D$39)</f>
        <v>2.87</v>
      </c>
      <c r="J416" s="255">
        <f>(J242*'Data - P&amp;L'!$D$38)+(J253*'Data - P&amp;L'!$D$39)</f>
        <v>1.435</v>
      </c>
      <c r="K416" s="255">
        <f>(K242*'Data - P&amp;L'!$D$38)+(K253*'Data - P&amp;L'!$D$39)</f>
        <v>2.87</v>
      </c>
      <c r="L416" s="255">
        <f>(L242*'Data - P&amp;L'!$D$38)+(L253*'Data - P&amp;L'!$D$39)</f>
        <v>1.44</v>
      </c>
      <c r="M416" s="255">
        <f>(M242*'Data - P&amp;L'!$D$38)+(M253*'Data - P&amp;L'!$D$39)</f>
        <v>1.435</v>
      </c>
      <c r="N416" s="255">
        <f>(N242*'Data - P&amp;L'!$D$38)+(N253*'Data - P&amp;L'!$D$39)</f>
        <v>0</v>
      </c>
      <c r="O416" s="255">
        <f>(O242*'Data - P&amp;L'!$D$38)+(O253*'Data - P&amp;L'!$D$39)</f>
        <v>0</v>
      </c>
      <c r="P416" s="255">
        <f>(P242*'Data - P&amp;L'!$D$38)+(P253*'Data - P&amp;L'!$D$39)</f>
        <v>0</v>
      </c>
      <c r="Q416" s="255">
        <f>(Q242*'Data - P&amp;L'!$D$38)+(Q253*'Data - P&amp;L'!$D$39)</f>
        <v>0</v>
      </c>
      <c r="R416" s="255">
        <f>(R242*'Data - P&amp;L'!$D$38)+(R253*'Data - P&amp;L'!$D$39)</f>
        <v>1.435</v>
      </c>
      <c r="S416" s="255">
        <f>(S242*'Data - P&amp;L'!$D$38)+(S253*'Data - P&amp;L'!$D$39)</f>
        <v>0</v>
      </c>
      <c r="T416" s="255">
        <f>(T242*'Data - P&amp;L'!$D$38)+(T253*'Data - P&amp;L'!$D$39)</f>
        <v>1.435</v>
      </c>
      <c r="U416" s="255">
        <f>(U242*'Data - P&amp;L'!$D$38)+(U253*'Data - P&amp;L'!$D$39)</f>
        <v>0</v>
      </c>
      <c r="V416" s="255">
        <f>(V242*'Data - P&amp;L'!$D$38)+(V253*'Data - P&amp;L'!$D$39)</f>
        <v>1.435</v>
      </c>
      <c r="W416" s="255">
        <f>(W242*'Data - P&amp;L'!$D$38)+(W253*'Data - P&amp;L'!$D$39)</f>
        <v>11.48</v>
      </c>
      <c r="X416" s="255">
        <f>(X242*'Data - P&amp;L'!$D$38)+(X253*'Data - P&amp;L'!$D$39)</f>
        <v>0</v>
      </c>
      <c r="Y416" s="255">
        <f>(Y242*'Data - P&amp;L'!$D$38)+(Y253*'Data - P&amp;L'!$D$39)</f>
        <v>0</v>
      </c>
      <c r="Z416" s="255">
        <f>(Z242*'Data - P&amp;L'!$D$38)+(Z253*'Data - P&amp;L'!$D$39)</f>
        <v>0</v>
      </c>
      <c r="AA416" s="255">
        <f>(AA242*'Data - P&amp;L'!$D$38)+(AA253*'Data - P&amp;L'!$D$39)</f>
        <v>0</v>
      </c>
      <c r="AB416" s="255">
        <f>(AB242*'Data - P&amp;L'!$D$38)+(AB253*'Data - P&amp;L'!$D$39)</f>
        <v>0</v>
      </c>
      <c r="AC416" s="255">
        <f>(AC242*'Data - P&amp;L'!$D$38)+(AC253*'Data - P&amp;L'!$D$39)</f>
        <v>0</v>
      </c>
      <c r="AD416" s="255">
        <f>(AD242*'Data - P&amp;L'!$D$38)+(AD253*'Data - P&amp;L'!$D$39)</f>
        <v>0</v>
      </c>
      <c r="AE416" s="255">
        <f>(AE242*'Data - P&amp;L'!$D$38)+(AE253*'Data - P&amp;L'!$D$39)</f>
        <v>1.435</v>
      </c>
      <c r="AF416" s="255">
        <f>(AF242*'Data - P&amp;L'!$D$38)+(AF253*'Data - P&amp;L'!$D$39)</f>
        <v>0</v>
      </c>
      <c r="AG416" s="126">
        <f t="shared" si="126"/>
        <v>63.155</v>
      </c>
    </row>
    <row r="417" outlineLevel="1">
      <c r="A417" s="157" t="s">
        <v>362</v>
      </c>
      <c r="B417" s="255">
        <f>(B242*'Data - P&amp;L'!$D$34)+(B253*'Data - P&amp;L'!$D$35)</f>
        <v>0</v>
      </c>
      <c r="C417" s="255">
        <f>(C242*'Data - P&amp;L'!$D$34)+(C253*'Data - P&amp;L'!$D$35)</f>
        <v>164.56</v>
      </c>
      <c r="D417" s="255">
        <f>(D242*'Data - P&amp;L'!$D$34)+(D253*'Data - P&amp;L'!$D$35)</f>
        <v>0</v>
      </c>
      <c r="E417" s="255">
        <f>(E242*'Data - P&amp;L'!$D$34)+(E253*'Data - P&amp;L'!$D$35)</f>
        <v>38.72</v>
      </c>
      <c r="F417" s="255">
        <f>(F242*'Data - P&amp;L'!$D$34)+(F253*'Data - P&amp;L'!$D$35)</f>
        <v>31.68</v>
      </c>
      <c r="G417" s="255">
        <f>(G242*'Data - P&amp;L'!$D$34)+(G253*'Data - P&amp;L'!$D$35)</f>
        <v>0</v>
      </c>
      <c r="H417" s="255">
        <f>(H242*'Data - P&amp;L'!$D$34)+(H253*'Data - P&amp;L'!$D$35)</f>
        <v>0</v>
      </c>
      <c r="I417" s="255">
        <f>(I242*'Data - P&amp;L'!$D$34)+(I253*'Data - P&amp;L'!$D$35)</f>
        <v>19.36</v>
      </c>
      <c r="J417" s="255">
        <f>(J242*'Data - P&amp;L'!$D$34)+(J253*'Data - P&amp;L'!$D$35)</f>
        <v>9.68</v>
      </c>
      <c r="K417" s="255">
        <f>(K242*'Data - P&amp;L'!$D$34)+(K253*'Data - P&amp;L'!$D$35)</f>
        <v>19.36</v>
      </c>
      <c r="L417" s="255">
        <f>(L242*'Data - P&amp;L'!$D$34)+(L253*'Data - P&amp;L'!$D$35)</f>
        <v>6.16</v>
      </c>
      <c r="M417" s="255">
        <f>(M242*'Data - P&amp;L'!$D$34)+(M253*'Data - P&amp;L'!$D$35)</f>
        <v>9.68</v>
      </c>
      <c r="N417" s="255">
        <f>(N242*'Data - P&amp;L'!$D$34)+(N253*'Data - P&amp;L'!$D$35)</f>
        <v>0</v>
      </c>
      <c r="O417" s="255">
        <f>(O242*'Data - P&amp;L'!$D$34)+(O253*'Data - P&amp;L'!$D$35)</f>
        <v>0</v>
      </c>
      <c r="P417" s="255">
        <f>(P242*'Data - P&amp;L'!$D$34)+(P253*'Data - P&amp;L'!$D$35)</f>
        <v>0</v>
      </c>
      <c r="Q417" s="255">
        <f>(Q242*'Data - P&amp;L'!$D$34)+(Q253*'Data - P&amp;L'!$D$35)</f>
        <v>0</v>
      </c>
      <c r="R417" s="255">
        <f>(R242*'Data - P&amp;L'!$D$34)+(R253*'Data - P&amp;L'!$D$35)</f>
        <v>9.68</v>
      </c>
      <c r="S417" s="255">
        <f>(S242*'Data - P&amp;L'!$D$34)+(S253*'Data - P&amp;L'!$D$35)</f>
        <v>0</v>
      </c>
      <c r="T417" s="255">
        <f>(T242*'Data - P&amp;L'!$D$34)+(T253*'Data - P&amp;L'!$D$35)</f>
        <v>9.68</v>
      </c>
      <c r="U417" s="255">
        <f>(U242*'Data - P&amp;L'!$D$34)+(U253*'Data - P&amp;L'!$D$35)</f>
        <v>0</v>
      </c>
      <c r="V417" s="255">
        <f>(V242*'Data - P&amp;L'!$D$34)+(V253*'Data - P&amp;L'!$D$35)</f>
        <v>9.68</v>
      </c>
      <c r="W417" s="255">
        <f>(W242*'Data - P&amp;L'!$D$34)+(W253*'Data - P&amp;L'!$D$35)</f>
        <v>77.44</v>
      </c>
      <c r="X417" s="255">
        <f>(X242*'Data - P&amp;L'!$D$34)+(X253*'Data - P&amp;L'!$D$35)</f>
        <v>0</v>
      </c>
      <c r="Y417" s="255">
        <f>(Y242*'Data - P&amp;L'!$D$34)+(Y253*'Data - P&amp;L'!$D$35)</f>
        <v>0</v>
      </c>
      <c r="Z417" s="255">
        <f>(Z242*'Data - P&amp;L'!$D$34)+(Z253*'Data - P&amp;L'!$D$35)</f>
        <v>0</v>
      </c>
      <c r="AA417" s="255">
        <f>(AA242*'Data - P&amp;L'!$D$34)+(AA253*'Data - P&amp;L'!$D$35)</f>
        <v>0</v>
      </c>
      <c r="AB417" s="255">
        <f>(AB242*'Data - P&amp;L'!$D$34)+(AB253*'Data - P&amp;L'!$D$35)</f>
        <v>0</v>
      </c>
      <c r="AC417" s="255">
        <f>(AC242*'Data - P&amp;L'!$D$34)+(AC253*'Data - P&amp;L'!$D$35)</f>
        <v>0</v>
      </c>
      <c r="AD417" s="255">
        <f>(AD242*'Data - P&amp;L'!$D$34)+(AD253*'Data - P&amp;L'!$D$35)</f>
        <v>0</v>
      </c>
      <c r="AE417" s="255">
        <f>(AE242*'Data - P&amp;L'!$D$34)+(AE253*'Data - P&amp;L'!$D$35)</f>
        <v>9.68</v>
      </c>
      <c r="AF417" s="255">
        <f>(AF242*'Data - P&amp;L'!$D$34)+(AF253*'Data - P&amp;L'!$D$35)</f>
        <v>0</v>
      </c>
      <c r="AG417" s="126">
        <f t="shared" si="126"/>
        <v>415.36</v>
      </c>
    </row>
    <row r="418" outlineLevel="1">
      <c r="A418" s="157" t="s">
        <v>363</v>
      </c>
      <c r="B418" s="255">
        <f t="shared" ref="B418:AF418" si="127">B257+B262</f>
        <v>0</v>
      </c>
      <c r="C418" s="255">
        <f t="shared" si="127"/>
        <v>2457.86</v>
      </c>
      <c r="D418" s="255">
        <f t="shared" si="127"/>
        <v>0</v>
      </c>
      <c r="E418" s="255">
        <f t="shared" si="127"/>
        <v>932.79</v>
      </c>
      <c r="F418" s="255">
        <f t="shared" si="127"/>
        <v>646.91</v>
      </c>
      <c r="G418" s="255">
        <f t="shared" si="127"/>
        <v>0</v>
      </c>
      <c r="H418" s="255">
        <f t="shared" si="127"/>
        <v>0</v>
      </c>
      <c r="I418" s="255">
        <f t="shared" si="127"/>
        <v>614.43</v>
      </c>
      <c r="J418" s="255">
        <f t="shared" si="127"/>
        <v>200.34</v>
      </c>
      <c r="K418" s="255">
        <f t="shared" si="127"/>
        <v>617.89</v>
      </c>
      <c r="L418" s="255">
        <f t="shared" si="127"/>
        <v>608.87</v>
      </c>
      <c r="M418" s="255">
        <f t="shared" si="127"/>
        <v>1410.93</v>
      </c>
      <c r="N418" s="255">
        <f t="shared" si="127"/>
        <v>0</v>
      </c>
      <c r="O418" s="255">
        <f t="shared" si="127"/>
        <v>0</v>
      </c>
      <c r="P418" s="255">
        <f t="shared" si="127"/>
        <v>0</v>
      </c>
      <c r="Q418" s="255">
        <f t="shared" si="127"/>
        <v>897.58</v>
      </c>
      <c r="R418" s="255">
        <f t="shared" si="127"/>
        <v>259.14</v>
      </c>
      <c r="S418" s="255">
        <f t="shared" si="127"/>
        <v>0</v>
      </c>
      <c r="T418" s="255">
        <f t="shared" si="127"/>
        <v>188.38</v>
      </c>
      <c r="U418" s="255">
        <f t="shared" si="127"/>
        <v>336.77</v>
      </c>
      <c r="V418" s="255">
        <f t="shared" si="127"/>
        <v>243.32</v>
      </c>
      <c r="W418" s="255">
        <f t="shared" si="127"/>
        <v>670.31</v>
      </c>
      <c r="X418" s="255">
        <f t="shared" si="127"/>
        <v>0</v>
      </c>
      <c r="Y418" s="255">
        <f t="shared" si="127"/>
        <v>0</v>
      </c>
      <c r="Z418" s="255">
        <f t="shared" si="127"/>
        <v>0</v>
      </c>
      <c r="AA418" s="255">
        <f t="shared" si="127"/>
        <v>0</v>
      </c>
      <c r="AB418" s="255">
        <f t="shared" si="127"/>
        <v>0</v>
      </c>
      <c r="AC418" s="255">
        <f t="shared" si="127"/>
        <v>0</v>
      </c>
      <c r="AD418" s="255">
        <f t="shared" si="127"/>
        <v>0</v>
      </c>
      <c r="AE418" s="255">
        <f t="shared" si="127"/>
        <v>262.62</v>
      </c>
      <c r="AF418" s="255">
        <f t="shared" si="127"/>
        <v>0</v>
      </c>
      <c r="AG418" s="126">
        <f t="shared" si="126"/>
        <v>10348.14</v>
      </c>
    </row>
    <row r="419">
      <c r="A419" s="243" t="s">
        <v>364</v>
      </c>
      <c r="B419" s="271">
        <f t="shared" ref="B419:AF419" si="128">SUM(B420:B428)-B429-B430</f>
        <v>-718.38625</v>
      </c>
      <c r="C419" s="271">
        <f t="shared" si="128"/>
        <v>-386.275</v>
      </c>
      <c r="D419" s="271">
        <f t="shared" si="128"/>
        <v>-11130.22875</v>
      </c>
      <c r="E419" s="271">
        <f t="shared" si="128"/>
        <v>-3403.30375</v>
      </c>
      <c r="F419" s="271">
        <f t="shared" si="128"/>
        <v>-12749.9775</v>
      </c>
      <c r="G419" s="271">
        <f t="shared" si="128"/>
        <v>-609.02625</v>
      </c>
      <c r="H419" s="271">
        <f t="shared" si="128"/>
        <v>-55.3775</v>
      </c>
      <c r="I419" s="271">
        <f t="shared" si="128"/>
        <v>-13284.22125</v>
      </c>
      <c r="J419" s="271">
        <f t="shared" si="128"/>
        <v>-2980.00375</v>
      </c>
      <c r="K419" s="271">
        <f t="shared" si="128"/>
        <v>-3750.72875</v>
      </c>
      <c r="L419" s="271">
        <f t="shared" si="128"/>
        <v>-12616.75125</v>
      </c>
      <c r="M419" s="271">
        <f t="shared" si="128"/>
        <v>-2470.0275</v>
      </c>
      <c r="N419" s="271">
        <f t="shared" si="128"/>
        <v>-359.48</v>
      </c>
      <c r="O419" s="271">
        <f t="shared" si="128"/>
        <v>-872.11875</v>
      </c>
      <c r="P419" s="271">
        <f t="shared" si="128"/>
        <v>-13796.34875</v>
      </c>
      <c r="Q419" s="271">
        <f t="shared" si="128"/>
        <v>-4442.40625</v>
      </c>
      <c r="R419" s="271">
        <f t="shared" si="128"/>
        <v>-4473.70375</v>
      </c>
      <c r="S419" s="271">
        <f t="shared" si="128"/>
        <v>-1873.735</v>
      </c>
      <c r="T419" s="271">
        <f t="shared" si="128"/>
        <v>-2059.35375</v>
      </c>
      <c r="U419" s="271">
        <f t="shared" si="128"/>
        <v>-1034.95125</v>
      </c>
      <c r="V419" s="271">
        <f t="shared" si="128"/>
        <v>-4226.8825</v>
      </c>
      <c r="W419" s="271">
        <f t="shared" si="128"/>
        <v>-4119.0275</v>
      </c>
      <c r="X419" s="271">
        <f t="shared" si="128"/>
        <v>-7578.255</v>
      </c>
      <c r="Y419" s="271">
        <f t="shared" si="128"/>
        <v>-1980.38375</v>
      </c>
      <c r="Z419" s="271">
        <f t="shared" si="128"/>
        <v>-725.4025</v>
      </c>
      <c r="AA419" s="271">
        <f t="shared" si="128"/>
        <v>0</v>
      </c>
      <c r="AB419" s="271">
        <f t="shared" si="128"/>
        <v>-3873.64125</v>
      </c>
      <c r="AC419" s="271">
        <f t="shared" si="128"/>
        <v>-10009.62625</v>
      </c>
      <c r="AD419" s="271">
        <f t="shared" si="128"/>
        <v>-7158.92875</v>
      </c>
      <c r="AE419" s="271">
        <f t="shared" si="128"/>
        <v>-6034.86375</v>
      </c>
      <c r="AF419" s="271">
        <f t="shared" si="128"/>
        <v>-5824.5025</v>
      </c>
      <c r="AG419" s="126">
        <f t="shared" si="126"/>
        <v>-144597.9188</v>
      </c>
    </row>
    <row r="420" outlineLevel="1">
      <c r="A420" s="157" t="s">
        <v>365</v>
      </c>
      <c r="B420" s="255">
        <f>((B267+B268+B272+B273)*'Data - P&amp;L'!$C$3)*'Data - P&amp;L'!$C$54</f>
        <v>21.725</v>
      </c>
      <c r="C420" s="255">
        <f>((C267+C268+C272+C273)*'Data - P&amp;L'!$C$3)*'Data - P&amp;L'!$C$54</f>
        <v>0</v>
      </c>
      <c r="D420" s="255">
        <f>((D267+D268+D272+D273)*'Data - P&amp;L'!$C$3)*'Data - P&amp;L'!$C$54</f>
        <v>391.05</v>
      </c>
      <c r="E420" s="255">
        <f>((E267+E268+E272+E273)*'Data - P&amp;L'!$C$3)*'Data - P&amp;L'!$C$54</f>
        <v>86.9</v>
      </c>
      <c r="F420" s="255">
        <f>((F267+F268+F272+F273)*'Data - P&amp;L'!$C$3)*'Data - P&amp;L'!$C$54</f>
        <v>477.95</v>
      </c>
      <c r="G420" s="255">
        <f>((G267+G268+G272+G273)*'Data - P&amp;L'!$C$3)*'Data - P&amp;L'!$C$54</f>
        <v>21.725</v>
      </c>
      <c r="H420" s="255">
        <f>((H267+H268+H272+H273)*'Data - P&amp;L'!$C$3)*'Data - P&amp;L'!$C$54</f>
        <v>0</v>
      </c>
      <c r="I420" s="255">
        <f>((I267+I268+I272+I273)*'Data - P&amp;L'!$C$3)*'Data - P&amp;L'!$C$54</f>
        <v>369.325</v>
      </c>
      <c r="J420" s="255">
        <f>((J267+J268+J272+J273)*'Data - P&amp;L'!$C$3)*'Data - P&amp;L'!$C$54</f>
        <v>86.9</v>
      </c>
      <c r="K420" s="255">
        <f>((K267+K268+K272+K273)*'Data - P&amp;L'!$C$3)*'Data - P&amp;L'!$C$54</f>
        <v>130.35</v>
      </c>
      <c r="L420" s="255">
        <f>((L267+L268+L272+L273)*'Data - P&amp;L'!$C$3)*'Data - P&amp;L'!$C$54</f>
        <v>477.95</v>
      </c>
      <c r="M420" s="255">
        <f>((M267+M268+M272+M273)*'Data - P&amp;L'!$C$3)*'Data - P&amp;L'!$C$54</f>
        <v>86.9</v>
      </c>
      <c r="N420" s="255">
        <f>((N267+N268+N272+N273)*'Data - P&amp;L'!$C$3)*'Data - P&amp;L'!$C$54</f>
        <v>0</v>
      </c>
      <c r="O420" s="255">
        <f>((O267+O268+O272+O273)*'Data - P&amp;L'!$C$3)*'Data - P&amp;L'!$C$54</f>
        <v>21.725</v>
      </c>
      <c r="P420" s="255">
        <f>((P267+P268+P272+P273)*'Data - P&amp;L'!$C$3)*'Data - P&amp;L'!$C$54</f>
        <v>521.4</v>
      </c>
      <c r="Q420" s="255">
        <f>((Q267+Q268+Q272+Q273)*'Data - P&amp;L'!$C$3)*'Data - P&amp;L'!$C$54</f>
        <v>86.9</v>
      </c>
      <c r="R420" s="255">
        <f>((R267+R268+R272+R273)*'Data - P&amp;L'!$C$3)*'Data - P&amp;L'!$C$54</f>
        <v>130.35</v>
      </c>
      <c r="S420" s="255">
        <f>((S267+S268+S272+S273)*'Data - P&amp;L'!$C$3)*'Data - P&amp;L'!$C$54</f>
        <v>65.175</v>
      </c>
      <c r="T420" s="255">
        <f>((T267+T268+T272+T273)*'Data - P&amp;L'!$C$3)*'Data - P&amp;L'!$C$54</f>
        <v>130.35</v>
      </c>
      <c r="U420" s="255">
        <f>((U267+U268+U272+U273)*'Data - P&amp;L'!$C$3)*'Data - P&amp;L'!$C$54</f>
        <v>21.725</v>
      </c>
      <c r="V420" s="255">
        <f>((V267+V268+V272+V273)*'Data - P&amp;L'!$C$3)*'Data - P&amp;L'!$C$54</f>
        <v>152.075</v>
      </c>
      <c r="W420" s="255">
        <f>((W267+W268+W272+W273)*'Data - P&amp;L'!$C$3)*'Data - P&amp;L'!$C$54</f>
        <v>152.075</v>
      </c>
      <c r="X420" s="255">
        <f>((X267+X268+X272+X273)*'Data - P&amp;L'!$C$3)*'Data - P&amp;L'!$C$54</f>
        <v>238.975</v>
      </c>
      <c r="Y420" s="255">
        <f>((Y267+Y268+Y272+Y273)*'Data - P&amp;L'!$C$3)*'Data - P&amp;L'!$C$54</f>
        <v>108.625</v>
      </c>
      <c r="Z420" s="255">
        <f>((Z267+Z268+Z272+Z273)*'Data - P&amp;L'!$C$3)*'Data - P&amp;L'!$C$54</f>
        <v>43.45</v>
      </c>
      <c r="AA420" s="255">
        <f>((AA267+AA268+AA272+AA273)*'Data - P&amp;L'!$C$3)*'Data - P&amp;L'!$C$54</f>
        <v>0</v>
      </c>
      <c r="AB420" s="255">
        <f>((AB267+AB268+AB272+AB273)*'Data - P&amp;L'!$C$3)*'Data - P&amp;L'!$C$54</f>
        <v>86.9</v>
      </c>
      <c r="AC420" s="255">
        <f>((AC267+AC268+AC272+AC273)*'Data - P&amp;L'!$C$3)*'Data - P&amp;L'!$C$54</f>
        <v>325.875</v>
      </c>
      <c r="AD420" s="255">
        <f>((AD267+AD268+AD272+AD273)*'Data - P&amp;L'!$C$3)*'Data - P&amp;L'!$C$54</f>
        <v>325.875</v>
      </c>
      <c r="AE420" s="255">
        <f>((AE267+AE268+AE272+AE273)*'Data - P&amp;L'!$C$3)*'Data - P&amp;L'!$C$54</f>
        <v>195.525</v>
      </c>
      <c r="AF420" s="255">
        <f>((AF267+AF268+AF272+AF273)*'Data - P&amp;L'!$C$3)*'Data - P&amp;L'!$C$54</f>
        <v>130.35</v>
      </c>
      <c r="AG420" s="126">
        <f t="shared" si="126"/>
        <v>4888.125</v>
      </c>
    </row>
    <row r="421" outlineLevel="1">
      <c r="A421" s="157" t="s">
        <v>366</v>
      </c>
      <c r="B421" s="255">
        <f>(B269+B270+B274+B275)*'Data - P&amp;L'!$C$4*'Data - P&amp;L'!$C$54</f>
        <v>48.805</v>
      </c>
      <c r="C421" s="255">
        <f>(C269+C270+C274+C275)*'Data - P&amp;L'!$C$4*'Data - P&amp;L'!$C$54</f>
        <v>24.4025</v>
      </c>
      <c r="D421" s="255">
        <f>(D269+D270+D274+D275)*'Data - P&amp;L'!$C$4*'Data - P&amp;L'!$C$54</f>
        <v>634.465</v>
      </c>
      <c r="E421" s="255">
        <f>(E269+E270+E274+E275)*'Data - P&amp;L'!$C$4*'Data - P&amp;L'!$C$54</f>
        <v>170.8175</v>
      </c>
      <c r="F421" s="255">
        <f>(F269+F270+F274+F275)*'Data - P&amp;L'!$C$4*'Data - P&amp;L'!$C$54</f>
        <v>732.075</v>
      </c>
      <c r="G421" s="255">
        <f>(G269+G270+G274+G275)*'Data - P&amp;L'!$C$4*'Data - P&amp;L'!$C$54</f>
        <v>24.4025</v>
      </c>
      <c r="H421" s="255">
        <f>(H269+H270+H274+H275)*'Data - P&amp;L'!$C$4*'Data - P&amp;L'!$C$54</f>
        <v>0</v>
      </c>
      <c r="I421" s="255">
        <f>(I269+I270+I274+I275)*'Data - P&amp;L'!$C$4*'Data - P&amp;L'!$C$54</f>
        <v>902.8925</v>
      </c>
      <c r="J421" s="255">
        <f>(J269+J270+J274+J275)*'Data - P&amp;L'!$C$4*'Data - P&amp;L'!$C$54</f>
        <v>170.8175</v>
      </c>
      <c r="K421" s="255">
        <f>(K269+K270+K274+K275)*'Data - P&amp;L'!$C$4*'Data - P&amp;L'!$C$54</f>
        <v>219.6225</v>
      </c>
      <c r="L421" s="255">
        <f>(L269+L270+L274+L275)*'Data - P&amp;L'!$C$4*'Data - P&amp;L'!$C$54</f>
        <v>732.075</v>
      </c>
      <c r="M421" s="255">
        <f>(M269+M270+M274+M275)*'Data - P&amp;L'!$C$4*'Data - P&amp;L'!$C$54</f>
        <v>122.0125</v>
      </c>
      <c r="N421" s="255">
        <f>(N269+N270+N274+N275)*'Data - P&amp;L'!$C$4*'Data - P&amp;L'!$C$54</f>
        <v>24.4025</v>
      </c>
      <c r="O421" s="255">
        <f>(O269+O270+O274+O275)*'Data - P&amp;L'!$C$4*'Data - P&amp;L'!$C$54</f>
        <v>48.805</v>
      </c>
      <c r="P421" s="255">
        <f>(P269+P270+P274+P275)*'Data - P&amp;L'!$C$4*'Data - P&amp;L'!$C$54</f>
        <v>780.88</v>
      </c>
      <c r="Q421" s="255">
        <f>(Q269+Q270+Q274+Q275)*'Data - P&amp;L'!$C$4*'Data - P&amp;L'!$C$54</f>
        <v>244.025</v>
      </c>
      <c r="R421" s="255">
        <f>(R269+R270+R274+R275)*'Data - P&amp;L'!$C$4*'Data - P&amp;L'!$C$54</f>
        <v>317.2325</v>
      </c>
      <c r="S421" s="255">
        <f>(S269+S270+S274+S275)*'Data - P&amp;L'!$C$4*'Data - P&amp;L'!$C$54</f>
        <v>97.61</v>
      </c>
      <c r="T421" s="255">
        <f>(T269+T270+T274+T275)*'Data - P&amp;L'!$C$4*'Data - P&amp;L'!$C$54</f>
        <v>48.805</v>
      </c>
      <c r="U421" s="255">
        <f>(U269+U270+U274+U275)*'Data - P&amp;L'!$C$4*'Data - P&amp;L'!$C$54</f>
        <v>73.2075</v>
      </c>
      <c r="V421" s="255">
        <f>(V269+V270+V274+V275)*'Data - P&amp;L'!$C$4*'Data - P&amp;L'!$C$54</f>
        <v>244.025</v>
      </c>
      <c r="W421" s="255">
        <f>(W269+W270+W274+W275)*'Data - P&amp;L'!$C$4*'Data - P&amp;L'!$C$54</f>
        <v>244.025</v>
      </c>
      <c r="X421" s="255">
        <f>(X269+X270+X274+X275)*'Data - P&amp;L'!$C$4*'Data - P&amp;L'!$C$54</f>
        <v>463.6475</v>
      </c>
      <c r="Y421" s="255">
        <f>(Y269+Y270+Y274+Y275)*'Data - P&amp;L'!$C$4*'Data - P&amp;L'!$C$54</f>
        <v>73.2075</v>
      </c>
      <c r="Z421" s="255">
        <f>(Z269+Z270+Z274+Z275)*'Data - P&amp;L'!$C$4*'Data - P&amp;L'!$C$54</f>
        <v>24.4025</v>
      </c>
      <c r="AA421" s="255">
        <f>(AA269+AA270+AA274+AA275)*'Data - P&amp;L'!$C$4*'Data - P&amp;L'!$C$54</f>
        <v>0</v>
      </c>
      <c r="AB421" s="255">
        <f>(AB269+AB270+AB274+AB275)*'Data - P&amp;L'!$C$4*'Data - P&amp;L'!$C$54</f>
        <v>268.4275</v>
      </c>
      <c r="AC421" s="255">
        <f>(AC269+AC270+AC274+AC275)*'Data - P&amp;L'!$C$4*'Data - P&amp;L'!$C$54</f>
        <v>610.0625</v>
      </c>
      <c r="AD421" s="255">
        <f>(AD269+AD270+AD274+AD275)*'Data - P&amp;L'!$C$4*'Data - P&amp;L'!$C$54</f>
        <v>317.2325</v>
      </c>
      <c r="AE421" s="255">
        <f>(AE269+AE270+AE274+AE275)*'Data - P&amp;L'!$C$4*'Data - P&amp;L'!$C$54</f>
        <v>292.83</v>
      </c>
      <c r="AF421" s="255">
        <f>(AF269+AF270+AF274+AF275)*'Data - P&amp;L'!$C$4*'Data - P&amp;L'!$C$54</f>
        <v>390.44</v>
      </c>
      <c r="AG421" s="126">
        <f t="shared" si="126"/>
        <v>8345.655</v>
      </c>
    </row>
    <row r="422" outlineLevel="1">
      <c r="A422" s="157" t="s">
        <v>367</v>
      </c>
      <c r="B422" s="255">
        <f>(B280+B291)*'Data - P&amp;L'!$C$6*'Data - P&amp;L'!$C$54</f>
        <v>1.3725</v>
      </c>
      <c r="C422" s="255">
        <f>(C280+C291)*'Data - P&amp;L'!$C$6*'Data - P&amp;L'!$C$54</f>
        <v>0</v>
      </c>
      <c r="D422" s="255">
        <f>(D280+D291)*'Data - P&amp;L'!$C$6*'Data - P&amp;L'!$C$54</f>
        <v>12.3525</v>
      </c>
      <c r="E422" s="255">
        <f>(E280+E291)*'Data - P&amp;L'!$C$6*'Data - P&amp;L'!$C$54</f>
        <v>13.725</v>
      </c>
      <c r="F422" s="255">
        <f>(F280+F291)*'Data - P&amp;L'!$C$6*'Data - P&amp;L'!$C$54</f>
        <v>15.0975</v>
      </c>
      <c r="G422" s="255">
        <f>(G280+G291)*'Data - P&amp;L'!$C$6*'Data - P&amp;L'!$C$54</f>
        <v>0</v>
      </c>
      <c r="H422" s="255">
        <f>(H280+H291)*'Data - P&amp;L'!$C$6*'Data - P&amp;L'!$C$54</f>
        <v>2.745</v>
      </c>
      <c r="I422" s="255">
        <f>(I280+I291)*'Data - P&amp;L'!$C$6*'Data - P&amp;L'!$C$54</f>
        <v>15.0975</v>
      </c>
      <c r="J422" s="255">
        <f>(J280+J291)*'Data - P&amp;L'!$C$6*'Data - P&amp;L'!$C$54</f>
        <v>4.1175</v>
      </c>
      <c r="K422" s="255">
        <f>(K280+K291)*'Data - P&amp;L'!$C$6*'Data - P&amp;L'!$C$54</f>
        <v>2.745</v>
      </c>
      <c r="L422" s="255">
        <f>(L280+L291)*'Data - P&amp;L'!$C$6*'Data - P&amp;L'!$C$54</f>
        <v>9.6075</v>
      </c>
      <c r="M422" s="255">
        <f>(M280+M291)*'Data - P&amp;L'!$C$6*'Data - P&amp;L'!$C$54</f>
        <v>1.3725</v>
      </c>
      <c r="N422" s="255">
        <f>(N280+N291)*'Data - P&amp;L'!$C$6*'Data - P&amp;L'!$C$54</f>
        <v>2.745</v>
      </c>
      <c r="O422" s="255">
        <f>(O280+O291)*'Data - P&amp;L'!$C$6*'Data - P&amp;L'!$C$54</f>
        <v>0</v>
      </c>
      <c r="P422" s="255">
        <f>(P280+P291)*'Data - P&amp;L'!$C$6*'Data - P&amp;L'!$C$54</f>
        <v>17.8425</v>
      </c>
      <c r="Q422" s="255">
        <f>(Q280+Q291)*'Data - P&amp;L'!$C$6*'Data - P&amp;L'!$C$54</f>
        <v>13.725</v>
      </c>
      <c r="R422" s="255">
        <f>(R280+R291)*'Data - P&amp;L'!$C$6*'Data - P&amp;L'!$C$54</f>
        <v>2.745</v>
      </c>
      <c r="S422" s="255">
        <f>(S280+S291)*'Data - P&amp;L'!$C$6*'Data - P&amp;L'!$C$54</f>
        <v>0</v>
      </c>
      <c r="T422" s="255">
        <f>(T280+T291)*'Data - P&amp;L'!$C$6*'Data - P&amp;L'!$C$54</f>
        <v>4.1175</v>
      </c>
      <c r="U422" s="255">
        <f>(U280+U291)*'Data - P&amp;L'!$C$6*'Data - P&amp;L'!$C$54</f>
        <v>2.745</v>
      </c>
      <c r="V422" s="255">
        <f>(V280+V291)*'Data - P&amp;L'!$C$6*'Data - P&amp;L'!$C$54</f>
        <v>2.745</v>
      </c>
      <c r="W422" s="255">
        <f>(W280+W291)*'Data - P&amp;L'!$C$6*'Data - P&amp;L'!$C$54</f>
        <v>5.49</v>
      </c>
      <c r="X422" s="255">
        <f>(X280+X291)*'Data - P&amp;L'!$C$6*'Data - P&amp;L'!$C$54</f>
        <v>12.3525</v>
      </c>
      <c r="Y422" s="255">
        <f>(Y280+Y291)*'Data - P&amp;L'!$C$6*'Data - P&amp;L'!$C$54</f>
        <v>2.745</v>
      </c>
      <c r="Z422" s="255">
        <f>(Z280+Z291)*'Data - P&amp;L'!$C$6*'Data - P&amp;L'!$C$54</f>
        <v>1.3725</v>
      </c>
      <c r="AA422" s="255">
        <f>(AA280+AA291)*'Data - P&amp;L'!$C$6*'Data - P&amp;L'!$C$54</f>
        <v>0</v>
      </c>
      <c r="AB422" s="255">
        <f>(AB280+AB291)*'Data - P&amp;L'!$C$6*'Data - P&amp;L'!$C$54</f>
        <v>4.1175</v>
      </c>
      <c r="AC422" s="255">
        <f>(AC280+AC291)*'Data - P&amp;L'!$C$6*'Data - P&amp;L'!$C$54</f>
        <v>10.98</v>
      </c>
      <c r="AD422" s="255">
        <f>(AD280+AD291)*'Data - P&amp;L'!$C$6*'Data - P&amp;L'!$C$54</f>
        <v>6.8625</v>
      </c>
      <c r="AE422" s="255">
        <f>(AE280+AE291)*'Data - P&amp;L'!$C$6*'Data - P&amp;L'!$C$54</f>
        <v>9.6075</v>
      </c>
      <c r="AF422" s="255">
        <f>(AF280+AF291)*'Data - P&amp;L'!$C$6*'Data - P&amp;L'!$C$54</f>
        <v>6.8625</v>
      </c>
      <c r="AG422" s="126">
        <f t="shared" si="126"/>
        <v>185.2875</v>
      </c>
    </row>
    <row r="423" outlineLevel="1">
      <c r="A423" s="157" t="s">
        <v>368</v>
      </c>
      <c r="B423" s="255">
        <f>(B281+B292)*'Data - P&amp;L'!$C$8*'Data - P&amp;L'!$C$54</f>
        <v>0</v>
      </c>
      <c r="C423" s="255">
        <f>(C281+C292)*'Data - P&amp;L'!$C$8*'Data - P&amp;L'!$C$54</f>
        <v>0</v>
      </c>
      <c r="D423" s="255">
        <f>(D281+D292)*'Data - P&amp;L'!$C$8*'Data - P&amp;L'!$C$54</f>
        <v>3.57</v>
      </c>
      <c r="E423" s="255">
        <f>(E281+E292)*'Data - P&amp;L'!$C$8*'Data - P&amp;L'!$C$54</f>
        <v>1.4875</v>
      </c>
      <c r="F423" s="255">
        <f>(F281+F292)*'Data - P&amp;L'!$C$8*'Data - P&amp;L'!$C$54</f>
        <v>5.6525</v>
      </c>
      <c r="G423" s="255">
        <f>(G281+G292)*'Data - P&amp;L'!$C$8*'Data - P&amp;L'!$C$54</f>
        <v>0.2975</v>
      </c>
      <c r="H423" s="255">
        <f>(H281+H292)*'Data - P&amp;L'!$C$8*'Data - P&amp;L'!$C$54</f>
        <v>0</v>
      </c>
      <c r="I423" s="255">
        <f>(I281+I291)*'Data - P&amp;L'!$C$8*'Data - P&amp;L'!$C$54</f>
        <v>2.6775</v>
      </c>
      <c r="J423" s="255">
        <f>(J281+J292)*'Data - P&amp;L'!$C$8*'Data - P&amp;L'!$C$54</f>
        <v>0.595</v>
      </c>
      <c r="K423" s="255">
        <f>(K281+K292)*'Data - P&amp;L'!$C$8*'Data - P&amp;L'!$C$54</f>
        <v>0.595</v>
      </c>
      <c r="L423" s="255">
        <f>(L281+L292)*'Data - P&amp;L'!$C$8*'Data - P&amp;L'!$C$54</f>
        <v>3.57</v>
      </c>
      <c r="M423" s="255">
        <f>(M281+M292)*'Data - P&amp;L'!$C$8*'Data - P&amp;L'!$C$54</f>
        <v>0.2975</v>
      </c>
      <c r="N423" s="255">
        <f>(N281+N292)*'Data - P&amp;L'!$C$8*'Data - P&amp;L'!$C$54</f>
        <v>0</v>
      </c>
      <c r="O423" s="255">
        <f>(O281+O292)*'Data - P&amp;L'!$C$8*'Data - P&amp;L'!$C$54</f>
        <v>0.2975</v>
      </c>
      <c r="P423" s="255">
        <f>(P281+P292)*'Data - P&amp;L'!$C$8*'Data - P&amp;L'!$C$54</f>
        <v>3.8675</v>
      </c>
      <c r="Q423" s="255">
        <f>(Q281+Q292)*'Data - P&amp;L'!$C$8*'Data - P&amp;L'!$C$54</f>
        <v>1.785</v>
      </c>
      <c r="R423" s="255">
        <f>(R281+R292)*'Data - P&amp;L'!$C$8*'Data - P&amp;L'!$C$54</f>
        <v>2.38</v>
      </c>
      <c r="S423" s="255">
        <f>(S281+S292)*'Data - P&amp;L'!$C$8*'Data - P&amp;L'!$C$54</f>
        <v>0.8925</v>
      </c>
      <c r="T423" s="255">
        <f>(T281+T292)*'Data - P&amp;L'!$C$8*'Data - P&amp;L'!$C$54</f>
        <v>0</v>
      </c>
      <c r="U423" s="255">
        <f>(U281+U292)*'Data - P&amp;L'!$C$8*'Data - P&amp;L'!$C$54</f>
        <v>1.19</v>
      </c>
      <c r="V423" s="255">
        <f>(V281+V292)*'Data - P&amp;L'!$C$8*'Data - P&amp;L'!$C$54</f>
        <v>0</v>
      </c>
      <c r="W423" s="255">
        <f>(W281+W292)*'Data - P&amp;L'!$C$8*'Data - P&amp;L'!$C$54</f>
        <v>1.19</v>
      </c>
      <c r="X423" s="255">
        <f>(X281+X292)*'Data - P&amp;L'!$C$8*'Data - P&amp;L'!$C$54</f>
        <v>2.6775</v>
      </c>
      <c r="Y423" s="255">
        <f>(Y281+Y292)*'Data - P&amp;L'!$C$8*'Data - P&amp;L'!$C$54</f>
        <v>0.595</v>
      </c>
      <c r="Z423" s="255">
        <f>(Z281+Z292)*'Data - P&amp;L'!$C$8*'Data - P&amp;L'!$C$54</f>
        <v>0</v>
      </c>
      <c r="AA423" s="255">
        <f>(AA281+AA292)*'Data - P&amp;L'!$C$8*'Data - P&amp;L'!$C$54</f>
        <v>0</v>
      </c>
      <c r="AB423" s="255">
        <f>(AB281+AB292)*'Data - P&amp;L'!$C$8*'Data - P&amp;L'!$C$54</f>
        <v>1.19</v>
      </c>
      <c r="AC423" s="255">
        <f>(AC281+AC292)*'Data - P&amp;L'!$C$8*'Data - P&amp;L'!$C$54</f>
        <v>4.4625</v>
      </c>
      <c r="AD423" s="255">
        <f>(AD281+AD292)*'Data - P&amp;L'!$C$8*'Data - P&amp;L'!$C$54</f>
        <v>2.0825</v>
      </c>
      <c r="AE423" s="255">
        <f>(AE281+AE292)*'Data - P&amp;L'!$C$8*'Data - P&amp;L'!$C$54</f>
        <v>2.38</v>
      </c>
      <c r="AF423" s="255">
        <f>(AF281+AF292)*'Data - P&amp;L'!$C$8*'Data - P&amp;L'!$C$54</f>
        <v>2.38</v>
      </c>
      <c r="AG423" s="126">
        <f t="shared" si="126"/>
        <v>46.1125</v>
      </c>
    </row>
    <row r="424" outlineLevel="1">
      <c r="A424" s="157" t="s">
        <v>356</v>
      </c>
      <c r="B424" s="255">
        <f>(B282+B283+B293+B294)*'Data - P&amp;L'!$C$9*'Data - P&amp;L'!$C$54</f>
        <v>0</v>
      </c>
      <c r="C424" s="255">
        <f>(C282+C283+C293+C294)*'Data - P&amp;L'!$C$9*'Data - P&amp;L'!$C$54</f>
        <v>0</v>
      </c>
      <c r="D424" s="255">
        <f>(D282+D283+D293+D294)*'Data - P&amp;L'!$C$9*'Data - P&amp;L'!$C$54</f>
        <v>4.995</v>
      </c>
      <c r="E424" s="255">
        <f>(E282+E283+E293+E294)*'Data - P&amp;L'!$C$9*'Data - P&amp;L'!$C$54</f>
        <v>3.33</v>
      </c>
      <c r="F424" s="255">
        <f>(F282+F283+F293+F294)*'Data - P&amp;L'!$C$9*'Data - P&amp;L'!$C$54</f>
        <v>4.995</v>
      </c>
      <c r="G424" s="255">
        <f>(G282+G283+G293+G294)*'Data - P&amp;L'!$C$9*'Data - P&amp;L'!$C$54</f>
        <v>0</v>
      </c>
      <c r="H424" s="255">
        <f>(H282+H283+H293+H294)*'Data - P&amp;L'!$C$9*'Data - P&amp;L'!$C$54</f>
        <v>0</v>
      </c>
      <c r="I424" s="255">
        <f>(I282+I283+I293+I294)*'Data - P&amp;L'!$C$9*'Data - P&amp;L'!$C$54</f>
        <v>9.99</v>
      </c>
      <c r="J424" s="255">
        <f>(J282+J283+J293+J294)*'Data - P&amp;L'!$C$9*'Data - P&amp;L'!$C$54</f>
        <v>0</v>
      </c>
      <c r="K424" s="255">
        <f>(K282+K283+K293+K294)*'Data - P&amp;L'!$C$9*'Data - P&amp;L'!$C$54</f>
        <v>3.33</v>
      </c>
      <c r="L424" s="255">
        <f>(L282+L283+L293+L294)*'Data - P&amp;L'!$C$9*'Data - P&amp;L'!$C$54</f>
        <v>8.325</v>
      </c>
      <c r="M424" s="255">
        <f>(M282+M283+M293+M294)*'Data - P&amp;L'!$C$9*'Data - P&amp;L'!$C$54</f>
        <v>1.665</v>
      </c>
      <c r="N424" s="255">
        <f>(N282+N283+N293+N294)*'Data - P&amp;L'!$C$9*'Data - P&amp;L'!$C$54</f>
        <v>0</v>
      </c>
      <c r="O424" s="255">
        <f>(O282+O283+O293+O294)*'Data - P&amp;L'!$C$9*'Data - P&amp;L'!$C$54</f>
        <v>0</v>
      </c>
      <c r="P424" s="255">
        <f>(P282+P283+P293+P294)*'Data - P&amp;L'!$C$9*'Data - P&amp;L'!$C$54</f>
        <v>13.32</v>
      </c>
      <c r="Q424" s="255">
        <f>(Q282+Q283+Q293+Q294)*'Data - P&amp;L'!$C$9*'Data - P&amp;L'!$C$54</f>
        <v>8.325</v>
      </c>
      <c r="R424" s="255">
        <f>(R282+R283+R293+R294)*'Data - P&amp;L'!$C$9*'Data - P&amp;L'!$C$54</f>
        <v>0</v>
      </c>
      <c r="S424" s="255">
        <f>(S282+S283+S293+S294)*'Data - P&amp;L'!$C$9*'Data - P&amp;L'!$C$54</f>
        <v>4.995</v>
      </c>
      <c r="T424" s="255">
        <f>(T282+T283+T293+T294)*'Data - P&amp;L'!$C$9*'Data - P&amp;L'!$C$54</f>
        <v>0</v>
      </c>
      <c r="U424" s="255">
        <f>(U282+U283+U293+U294)*'Data - P&amp;L'!$C$9*'Data - P&amp;L'!$C$54</f>
        <v>1.665</v>
      </c>
      <c r="V424" s="255">
        <f>(V282+V283+V293+V294)*'Data - P&amp;L'!$C$9*'Data - P&amp;L'!$C$54</f>
        <v>0</v>
      </c>
      <c r="W424" s="255">
        <f>(W282+W283+W293+W294)*'Data - P&amp;L'!$C$9*'Data - P&amp;L'!$C$54</f>
        <v>0</v>
      </c>
      <c r="X424" s="255">
        <f>(X282+X283+X293+X294)*'Data - P&amp;L'!$C$9*'Data - P&amp;L'!$C$54</f>
        <v>8.325</v>
      </c>
      <c r="Y424" s="255">
        <f>(Y282+Y283+Y293+Y294)*'Data - P&amp;L'!$C$9*'Data - P&amp;L'!$C$54</f>
        <v>0</v>
      </c>
      <c r="Z424" s="255">
        <f>(Z282+Z283+Z293+Z294)*'Data - P&amp;L'!$C$9*'Data - P&amp;L'!$C$54</f>
        <v>0</v>
      </c>
      <c r="AA424" s="255">
        <f>(AA282+AA283+AA293+AA294)*'Data - P&amp;L'!$C$9*'Data - P&amp;L'!$C$54</f>
        <v>0</v>
      </c>
      <c r="AB424" s="255">
        <f>(AB282+AB283+AB293+AB294)*'Data - P&amp;L'!$C$9*'Data - P&amp;L'!$C$54</f>
        <v>0</v>
      </c>
      <c r="AC424" s="255">
        <f>(AC282+AC283+AC293+AC294)*'Data - P&amp;L'!$C$9*'Data - P&amp;L'!$C$54</f>
        <v>8.325</v>
      </c>
      <c r="AD424" s="255">
        <f>(AD282+AD283+AD293+AD294)*'Data - P&amp;L'!$C$9*'Data - P&amp;L'!$C$54</f>
        <v>6.66</v>
      </c>
      <c r="AE424" s="255">
        <f>(AE282+AE283+AE293+AE294)*'Data - P&amp;L'!$C$9*'Data - P&amp;L'!$C$54</f>
        <v>6.66</v>
      </c>
      <c r="AF424" s="255">
        <f>(AF282+AF283+AF293+AF294)*'Data - P&amp;L'!$C$9*'Data - P&amp;L'!$C$54</f>
        <v>3.33</v>
      </c>
      <c r="AG424" s="126">
        <f t="shared" si="126"/>
        <v>98.235</v>
      </c>
    </row>
    <row r="425" outlineLevel="1">
      <c r="A425" s="157" t="s">
        <v>357</v>
      </c>
      <c r="B425" s="255">
        <f>(B284+B285+B295+B296)*'Data - P&amp;L'!$C$5*'Data - P&amp;L'!$C$54</f>
        <v>0</v>
      </c>
      <c r="C425" s="255">
        <f>(C284+C285+C295+C296)*'Data - P&amp;L'!$C$5*'Data - P&amp;L'!$C$54</f>
        <v>3.36</v>
      </c>
      <c r="D425" s="255">
        <f>(D284+D285+D295+D296)*'Data - P&amp;L'!$C$5*'Data - P&amp;L'!$C$54</f>
        <v>13.44</v>
      </c>
      <c r="E425" s="255">
        <f>(E284+E285+E295+E296)*'Data - P&amp;L'!$C$5*'Data - P&amp;L'!$C$54</f>
        <v>3.36</v>
      </c>
      <c r="F425" s="255">
        <f>(F284+F285+F295+F296)*'Data - P&amp;L'!$C$5*'Data - P&amp;L'!$C$54</f>
        <v>6.72</v>
      </c>
      <c r="G425" s="255">
        <f>(G284+G285+G295+G296)*'Data - P&amp;L'!$C$5*'Data - P&amp;L'!$C$54</f>
        <v>0</v>
      </c>
      <c r="H425" s="255">
        <f>(H284+H285+H295+H296)*'Data - P&amp;L'!$C$5*'Data - P&amp;L'!$C$54</f>
        <v>0</v>
      </c>
      <c r="I425" s="255">
        <f>(I284+I285+I295+I296)*'Data - P&amp;L'!$C$5*'Data - P&amp;L'!$C$54</f>
        <v>13.44</v>
      </c>
      <c r="J425" s="255">
        <f>(J284+J285+J295+J296)*'Data - P&amp;L'!$C$5*'Data - P&amp;L'!$C$54</f>
        <v>0</v>
      </c>
      <c r="K425" s="255">
        <f>(K284+K285+K295+K296)*'Data - P&amp;L'!$C$5*'Data - P&amp;L'!$C$54</f>
        <v>6.72</v>
      </c>
      <c r="L425" s="255">
        <f>(L284+L285+L295+L296)*'Data - P&amp;L'!$C$5*'Data - P&amp;L'!$C$54</f>
        <v>6.72</v>
      </c>
      <c r="M425" s="255">
        <f>(M284+M285+M295+M296)*'Data - P&amp;L'!$C$5*'Data - P&amp;L'!$C$54</f>
        <v>6.72</v>
      </c>
      <c r="N425" s="255">
        <f>(N284+N285+N295+N296)*'Data - P&amp;L'!$C$5*'Data - P&amp;L'!$C$54</f>
        <v>0</v>
      </c>
      <c r="O425" s="255">
        <f>(O284+O285+O295+O296)*'Data - P&amp;L'!$C$5*'Data - P&amp;L'!$C$54</f>
        <v>0</v>
      </c>
      <c r="P425" s="255">
        <f>(P284+P285+P295+P296)*'Data - P&amp;L'!$C$5*'Data - P&amp;L'!$C$54</f>
        <v>10.08</v>
      </c>
      <c r="Q425" s="255">
        <f>(Q284+Q285+Q295+Q296)*'Data - P&amp;L'!$C$5*'Data - P&amp;L'!$C$54</f>
        <v>6.72</v>
      </c>
      <c r="R425" s="255">
        <f>(R284+R285+R295+R296)*'Data - P&amp;L'!$C$5*'Data - P&amp;L'!$C$54</f>
        <v>0</v>
      </c>
      <c r="S425" s="255">
        <f>(S284+S285+S295+S296)*'Data - P&amp;L'!$C$5*'Data - P&amp;L'!$C$54</f>
        <v>0</v>
      </c>
      <c r="T425" s="255">
        <f>(T284+T285+T295+T296)*'Data - P&amp;L'!$C$5*'Data - P&amp;L'!$C$54</f>
        <v>0</v>
      </c>
      <c r="U425" s="255">
        <f>(U284+U285+U295+U296)*'Data - P&amp;L'!$C$5*'Data - P&amp;L'!$C$54</f>
        <v>0</v>
      </c>
      <c r="V425" s="255">
        <f>(V284+V285+V295+V296)*'Data - P&amp;L'!$C$5*'Data - P&amp;L'!$C$54</f>
        <v>0</v>
      </c>
      <c r="W425" s="255">
        <f>(W284+W285+W295+W296)*'Data - P&amp;L'!$C$5*'Data - P&amp;L'!$C$54</f>
        <v>0</v>
      </c>
      <c r="X425" s="255">
        <f>(X284+X285+X295+X296)*'Data - P&amp;L'!$C$5*'Data - P&amp;L'!$C$54</f>
        <v>0</v>
      </c>
      <c r="Y425" s="255">
        <f>(Y284+Y285+Y295+Y296)*'Data - P&amp;L'!$C$5*'Data - P&amp;L'!$C$54</f>
        <v>3.36</v>
      </c>
      <c r="Z425" s="255">
        <f>(Z284+Z285+Z295+Z296)*'Data - P&amp;L'!$C$5*'Data - P&amp;L'!$C$54</f>
        <v>3.36</v>
      </c>
      <c r="AA425" s="255">
        <f>(AA284+AA285+AA295+AA296)*'Data - P&amp;L'!$C$5*'Data - P&amp;L'!$C$54</f>
        <v>0</v>
      </c>
      <c r="AB425" s="255">
        <f>(AB284+AB285+AB295+AB296)*'Data - P&amp;L'!$C$5*'Data - P&amp;L'!$C$54</f>
        <v>0</v>
      </c>
      <c r="AC425" s="255">
        <f>(AC284+AC285+AC295+AC296)*'Data - P&amp;L'!$C$5*'Data - P&amp;L'!$C$54</f>
        <v>0</v>
      </c>
      <c r="AD425" s="255">
        <f>(AD284+AD285+AD295+AD296)*'Data - P&amp;L'!$C$5*'Data - P&amp;L'!$C$54</f>
        <v>10.08</v>
      </c>
      <c r="AE425" s="255">
        <f>(AE284+AE285+AE295+AE296)*'Data - P&amp;L'!$C$5*'Data - P&amp;L'!$C$54</f>
        <v>3.36</v>
      </c>
      <c r="AF425" s="255">
        <f>(AF284+AF285+AF295+AF296)*'Data - P&amp;L'!$C$5*'Data - P&amp;L'!$C$54</f>
        <v>0</v>
      </c>
      <c r="AG425" s="126">
        <f t="shared" si="126"/>
        <v>97.44</v>
      </c>
    </row>
    <row r="426" outlineLevel="1">
      <c r="A426" s="157" t="s">
        <v>358</v>
      </c>
      <c r="B426" s="255">
        <f>(B286+B287+B297+B298)*'Data - P&amp;L'!$C$10*'Data - P&amp;L'!$C$54</f>
        <v>3</v>
      </c>
      <c r="C426" s="255">
        <f>(C286+C287+C297+C298)*'Data - P&amp;L'!$C$10*'Data - P&amp;L'!$C$54</f>
        <v>1.5</v>
      </c>
      <c r="D426" s="255">
        <f>(D286+D287+D297+D298)*'Data - P&amp;L'!$C$10*'Data - P&amp;L'!$C$54</f>
        <v>7.5</v>
      </c>
      <c r="E426" s="255">
        <f>(E286+E287+E297+E298)*'Data - P&amp;L'!$C$10*'Data - P&amp;L'!$C$54</f>
        <v>7.5</v>
      </c>
      <c r="F426" s="255">
        <f>(F286+F287+F297+F298)*'Data - P&amp;L'!$C$10*'Data - P&amp;L'!$C$54</f>
        <v>16.5</v>
      </c>
      <c r="G426" s="255">
        <f>(G286+G287+G297+G298)*'Data - P&amp;L'!$C$10*'Data - P&amp;L'!$C$54</f>
        <v>0</v>
      </c>
      <c r="H426" s="255">
        <f>(H286+H287+H297+H298)*'Data - P&amp;L'!$C$10*'Data - P&amp;L'!$C$54</f>
        <v>0</v>
      </c>
      <c r="I426" s="255">
        <f>(I286+I287+I297+I298)*'Data - P&amp;L'!$C$10*'Data - P&amp;L'!$C$54</f>
        <v>10.5</v>
      </c>
      <c r="J426" s="255">
        <f>(J286+J287+J297+J298)*'Data - P&amp;L'!$C$10*'Data - P&amp;L'!$C$54</f>
        <v>4.5</v>
      </c>
      <c r="K426" s="255">
        <f>(K286+K287+K297+K298)*'Data - P&amp;L'!$C$10*'Data - P&amp;L'!$C$54</f>
        <v>7.5</v>
      </c>
      <c r="L426" s="255">
        <f>(L286+L287+L297+L298)*'Data - P&amp;L'!$C$10*'Data - P&amp;L'!$C$54</f>
        <v>7.5</v>
      </c>
      <c r="M426" s="255">
        <f>(M286+M287+M297+M298)*'Data - P&amp;L'!$C$10*'Data - P&amp;L'!$C$54</f>
        <v>4.5</v>
      </c>
      <c r="N426" s="255">
        <f>(N286+N287+N297+N298)*'Data - P&amp;L'!$C$10*'Data - P&amp;L'!$C$54</f>
        <v>0</v>
      </c>
      <c r="O426" s="255">
        <f>(O286+O287+O297+O298)*'Data - P&amp;L'!$C$10*'Data - P&amp;L'!$C$54</f>
        <v>0</v>
      </c>
      <c r="P426" s="255">
        <f>(P286+P287+P297+P298)*'Data - P&amp;L'!$C$10*'Data - P&amp;L'!$C$54</f>
        <v>15</v>
      </c>
      <c r="Q426" s="255">
        <f>(Q286+Q287+Q297+Q298)*'Data - P&amp;L'!$C$10*'Data - P&amp;L'!$C$54</f>
        <v>6</v>
      </c>
      <c r="R426" s="255">
        <f>(R286+R287+R297+R298)*'Data - P&amp;L'!$C$10*'Data - P&amp;L'!$C$54</f>
        <v>4.5</v>
      </c>
      <c r="S426" s="255">
        <f>(S286+S287+S297+S298)*'Data - P&amp;L'!$C$10*'Data - P&amp;L'!$C$54</f>
        <v>6</v>
      </c>
      <c r="T426" s="255">
        <f>(T286+T287+T297+T298)*'Data - P&amp;L'!$C$10*'Data - P&amp;L'!$C$54</f>
        <v>3</v>
      </c>
      <c r="U426" s="255">
        <f>(U286+U287+U297+U298)*'Data - P&amp;L'!$C$10*'Data - P&amp;L'!$C$54</f>
        <v>1.5</v>
      </c>
      <c r="V426" s="255">
        <f>(V286+V287+V297+V298)*'Data - P&amp;L'!$C$10*'Data - P&amp;L'!$C$54</f>
        <v>0</v>
      </c>
      <c r="W426" s="255">
        <f>(W286+W287+W297+W298)*'Data - P&amp;L'!$C$10*'Data - P&amp;L'!$C$54</f>
        <v>3</v>
      </c>
      <c r="X426" s="255">
        <f>(X286+X287+X297+X298)*'Data - P&amp;L'!$C$10*'Data - P&amp;L'!$C$54</f>
        <v>4.5</v>
      </c>
      <c r="Y426" s="255">
        <f>(Y286+Y287+Y297+Y298)*'Data - P&amp;L'!$C$10*'Data - P&amp;L'!$C$54</f>
        <v>0</v>
      </c>
      <c r="Z426" s="255">
        <f>(Z286+Z287+Z297+Z298)*'Data - P&amp;L'!$C$10*'Data - P&amp;L'!$C$54</f>
        <v>0</v>
      </c>
      <c r="AA426" s="255">
        <f>(AA286+AA287+AA297+AA298)*'Data - P&amp;L'!$C$10*'Data - P&amp;L'!$C$54</f>
        <v>0</v>
      </c>
      <c r="AB426" s="255">
        <f>(AB286+AB287+AB297+AB298)*'Data - P&amp;L'!$C$10*'Data - P&amp;L'!$C$54</f>
        <v>3</v>
      </c>
      <c r="AC426" s="255">
        <f>(AC286+AC287+AC297+AC298)*'Data - P&amp;L'!$C$10*'Data - P&amp;L'!$C$54</f>
        <v>7.5</v>
      </c>
      <c r="AD426" s="255">
        <f>(AD286+AD287+AD297+AD298)*'Data - P&amp;L'!$C$10*'Data - P&amp;L'!$C$54</f>
        <v>9</v>
      </c>
      <c r="AE426" s="255">
        <f>(AE286+AE287+AE297+AE298)*'Data - P&amp;L'!$C$10*'Data - P&amp;L'!$C$54</f>
        <v>9</v>
      </c>
      <c r="AF426" s="255">
        <f>(AF286+AF287+AF297+AF298)*'Data - P&amp;L'!$C$10*'Data - P&amp;L'!$C$54</f>
        <v>7.5</v>
      </c>
      <c r="AG426" s="126">
        <f t="shared" si="126"/>
        <v>150</v>
      </c>
    </row>
    <row r="427" outlineLevel="1">
      <c r="A427" s="272" t="s">
        <v>359</v>
      </c>
      <c r="B427" s="255">
        <f>((B276*'Data - P&amp;L'!$C$38)+(B277*'Data - P&amp;L'!$C$39))*'Data - P&amp;L'!$C$54</f>
        <v>8.955</v>
      </c>
      <c r="C427" s="255">
        <f>((C276*'Data - P&amp;L'!$C$38)+(C277*'Data - P&amp;L'!$C$39))*'Data - P&amp;L'!$C$54</f>
        <v>2.985</v>
      </c>
      <c r="D427" s="255">
        <f>((D276*'Data - P&amp;L'!$C$38)+(D277*'Data - P&amp;L'!$C$39))*'Data - P&amp;L'!$C$54</f>
        <v>131.34</v>
      </c>
      <c r="E427" s="255">
        <f>((E276*'Data - P&amp;L'!$C$38)+(E277*'Data - P&amp;L'!$C$39))*'Data - P&amp;L'!$C$54</f>
        <v>32.835</v>
      </c>
      <c r="F427" s="255">
        <f>((F276*'Data - P&amp;L'!$C$38)+(F277*'Data - P&amp;L'!$C$39))*'Data - P&amp;L'!$C$54</f>
        <v>155.22</v>
      </c>
      <c r="G427" s="255">
        <f>((G276*'Data - P&amp;L'!$C$38)+(G277*'Data - P&amp;L'!$C$39))*'Data - P&amp;L'!$C$54</f>
        <v>5.97</v>
      </c>
      <c r="H427" s="255">
        <f>((H276*'Data - P&amp;L'!$C$38)+(H277*'Data - P&amp;L'!$C$39))*'Data - P&amp;L'!$C$54</f>
        <v>0</v>
      </c>
      <c r="I427" s="255">
        <f>((I276*'Data - P&amp;L'!$C$38)+(I277*'Data - P&amp;L'!$C$39))*'Data - P&amp;L'!$C$54</f>
        <v>161.19</v>
      </c>
      <c r="J427" s="255">
        <f>((J276*'Data - P&amp;L'!$C$38)+(J277*'Data - P&amp;L'!$C$39))*'Data - P&amp;L'!$C$54</f>
        <v>32.835</v>
      </c>
      <c r="K427" s="255">
        <f>((K276*'Data - P&amp;L'!$C$38)+(K277*'Data - P&amp;L'!$C$39))*'Data - P&amp;L'!$C$54</f>
        <v>44.775</v>
      </c>
      <c r="L427" s="255">
        <f>((L276*'Data - P&amp;L'!$C$38)+(L277*'Data - P&amp;L'!$C$39))*'Data - P&amp;L'!$C$54</f>
        <v>155.22</v>
      </c>
      <c r="M427" s="255">
        <f>((M276*'Data - P&amp;L'!$C$38)+(M277*'Data - P&amp;L'!$C$39))*'Data - P&amp;L'!$C$54</f>
        <v>26.865</v>
      </c>
      <c r="N427" s="255">
        <f>((N276*'Data - P&amp;L'!$C$38)+(N277*'Data - P&amp;L'!$C$39))*'Data - P&amp;L'!$C$54</f>
        <v>2.985</v>
      </c>
      <c r="O427" s="255">
        <f>((O276*'Data - P&amp;L'!$C$38)+(O277*'Data - P&amp;L'!$C$39))*'Data - P&amp;L'!$C$54</f>
        <v>8.955</v>
      </c>
      <c r="P427" s="255">
        <f>((P276*'Data - P&amp;L'!$C$38)+(P277*'Data - P&amp;L'!$C$39))*'Data - P&amp;L'!$C$54</f>
        <v>167.16</v>
      </c>
      <c r="Q427" s="255">
        <f>((Q276*'Data - P&amp;L'!$C$38)+(Q277*'Data - P&amp;L'!$C$39))*'Data - P&amp;L'!$C$54</f>
        <v>41.79</v>
      </c>
      <c r="R427" s="255">
        <f>((R276*'Data - P&amp;L'!$C$38)+(R277*'Data - P&amp;L'!$C$39))*'Data - P&amp;L'!$C$54</f>
        <v>56.715</v>
      </c>
      <c r="S427" s="255">
        <f>((S276*'Data - P&amp;L'!$C$38)+(S277*'Data - P&amp;L'!$C$39))*'Data - P&amp;L'!$C$54</f>
        <v>20.895</v>
      </c>
      <c r="T427" s="255">
        <f>((T276*'Data - P&amp;L'!$C$38)+(T277*'Data - P&amp;L'!$C$39))*'Data - P&amp;L'!$C$54</f>
        <v>23.88</v>
      </c>
      <c r="U427" s="255">
        <f>((U276*'Data - P&amp;L'!$C$38)+(U277*'Data - P&amp;L'!$C$39))*'Data - P&amp;L'!$C$54</f>
        <v>11.94</v>
      </c>
      <c r="V427" s="255">
        <f>((V276*'Data - P&amp;L'!$C$38)+(V277*'Data - P&amp;L'!$C$39))*'Data - P&amp;L'!$C$54</f>
        <v>50.745</v>
      </c>
      <c r="W427" s="255">
        <f>((W276*'Data - P&amp;L'!$C$38)+(W277*'Data - P&amp;L'!$C$39))*'Data - P&amp;L'!$C$54</f>
        <v>50.745</v>
      </c>
      <c r="X427" s="255">
        <f>((X276*'Data - P&amp;L'!$C$38)+(X277*'Data - P&amp;L'!$C$39))*'Data - P&amp;L'!$C$54</f>
        <v>89.55</v>
      </c>
      <c r="Y427" s="255">
        <f>((Y276*'Data - P&amp;L'!$C$38)+(Y277*'Data - P&amp;L'!$C$39))*'Data - P&amp;L'!$C$54</f>
        <v>23.88</v>
      </c>
      <c r="Z427" s="255">
        <f>((Z276*'Data - P&amp;L'!$C$38)+(Z277*'Data - P&amp;L'!$C$39))*'Data - P&amp;L'!$C$54</f>
        <v>8.955</v>
      </c>
      <c r="AA427" s="255">
        <f>((AA276*'Data - P&amp;L'!$C$38)+(AA277*'Data - P&amp;L'!$C$39))*'Data - P&amp;L'!$C$54</f>
        <v>0</v>
      </c>
      <c r="AB427" s="255">
        <f>((AB276*'Data - P&amp;L'!$C$38)+(AB277*'Data - P&amp;L'!$C$39))*'Data - P&amp;L'!$C$54</f>
        <v>44.775</v>
      </c>
      <c r="AC427" s="255">
        <f>((AC276*'Data - P&amp;L'!$C$38)+(AC277*'Data - P&amp;L'!$C$39))*'Data - P&amp;L'!$C$54</f>
        <v>119.4</v>
      </c>
      <c r="AD427" s="255">
        <f>((AD276*'Data - P&amp;L'!$C$38)+(AD277*'Data - P&amp;L'!$C$39))*'Data - P&amp;L'!$C$54</f>
        <v>83.58</v>
      </c>
      <c r="AE427" s="255">
        <f>((AE276*'Data - P&amp;L'!$C$38)+(AE277*'Data - P&amp;L'!$C$39))*'Data - P&amp;L'!$C$54</f>
        <v>62.685</v>
      </c>
      <c r="AF427" s="255">
        <f>((AF276*'Data - P&amp;L'!$C$38)+(AF277*'Data - P&amp;L'!$C$39))*'Data - P&amp;L'!$C$54</f>
        <v>65.67</v>
      </c>
      <c r="AG427" s="126">
        <f t="shared" si="126"/>
        <v>1692.495</v>
      </c>
    </row>
    <row r="428" outlineLevel="1">
      <c r="A428" s="272" t="s">
        <v>361</v>
      </c>
      <c r="B428" s="255">
        <f>((B288*'Data - P&amp;L'!$D$38)+(B299*'Data - P&amp;L'!$D$39))*'Data - P&amp;L'!$C$54</f>
        <v>1.07625</v>
      </c>
      <c r="C428" s="255">
        <f>((C288*'Data - P&amp;L'!$D$38)+(C299*'Data - P&amp;L'!$D$39))*'Data - P&amp;L'!$C$54</f>
        <v>0.7175</v>
      </c>
      <c r="D428" s="255">
        <f>((D288*'Data - P&amp;L'!$D$38)+(D299*'Data - P&amp;L'!$D$39))*'Data - P&amp;L'!$C$54</f>
        <v>11.83875</v>
      </c>
      <c r="E428" s="255">
        <f>((E288*'Data - P&amp;L'!$D$38)+(E299*'Data - P&amp;L'!$D$39))*'Data - P&amp;L'!$C$54</f>
        <v>8.25125</v>
      </c>
      <c r="F428" s="255">
        <f>((F288*'Data - P&amp;L'!$D$38)+(F299*'Data - P&amp;L'!$D$39))*'Data - P&amp;L'!$C$54</f>
        <v>16.5025</v>
      </c>
      <c r="G428" s="255">
        <f>((G288*'Data - P&amp;L'!$D$38)+(G299*'Data - P&amp;L'!$D$39))*'Data - P&amp;L'!$C$54</f>
        <v>0.35875</v>
      </c>
      <c r="H428" s="255">
        <f>((H288*'Data - P&amp;L'!$D$38)+(H299*'Data - P&amp;L'!$D$39))*'Data - P&amp;L'!$C$54</f>
        <v>0.7175</v>
      </c>
      <c r="I428" s="255">
        <f>((I288*'Data - P&amp;L'!$D$38)+(I299*'Data - P&amp;L'!$D$39))*'Data - P&amp;L'!$C$54</f>
        <v>13.27625</v>
      </c>
      <c r="J428" s="255">
        <f>((J288*'Data - P&amp;L'!$D$38)+(J299*'Data - P&amp;L'!$D$39))*'Data - P&amp;L'!$C$54</f>
        <v>2.87125</v>
      </c>
      <c r="K428" s="255">
        <f>((K288*'Data - P&amp;L'!$D$38)+(K299*'Data - P&amp;L'!$D$39))*'Data - P&amp;L'!$C$54</f>
        <v>4.66375</v>
      </c>
      <c r="L428" s="255">
        <f>((L288*'Data - P&amp;L'!$D$38)+(L299*'Data - P&amp;L'!$D$39))*'Data - P&amp;L'!$C$54</f>
        <v>11.12125</v>
      </c>
      <c r="M428" s="255">
        <f>((M288*'Data - P&amp;L'!$D$38)+(M299*'Data - P&amp;L'!$D$39))*'Data - P&amp;L'!$C$54</f>
        <v>2.87</v>
      </c>
      <c r="N428" s="255">
        <f>((N288*'Data - P&amp;L'!$D$38)+(N299*'Data - P&amp;L'!$D$39))*'Data - P&amp;L'!$C$54</f>
        <v>0.7175</v>
      </c>
      <c r="O428" s="255">
        <f>((O288*'Data - P&amp;L'!$D$38)+(O299*'Data - P&amp;L'!$D$39))*'Data - P&amp;L'!$C$54</f>
        <v>0.35875</v>
      </c>
      <c r="P428" s="255">
        <f>((P288*'Data - P&amp;L'!$D$38)+(P299*'Data - P&amp;L'!$D$39))*'Data - P&amp;L'!$C$54</f>
        <v>16.86125</v>
      </c>
      <c r="Q428" s="255">
        <f>((Q288*'Data - P&amp;L'!$D$38)+(Q299*'Data - P&amp;L'!$D$39))*'Data - P&amp;L'!$C$54</f>
        <v>9.69375</v>
      </c>
      <c r="R428" s="255">
        <f>((R288*'Data - P&amp;L'!$D$38)+(R299*'Data - P&amp;L'!$D$39))*'Data - P&amp;L'!$C$54</f>
        <v>4.66375</v>
      </c>
      <c r="S428" s="255">
        <f>((S288*'Data - P&amp;L'!$D$38)+(S299*'Data - P&amp;L'!$D$39))*'Data - P&amp;L'!$C$54</f>
        <v>3.5875</v>
      </c>
      <c r="T428" s="255">
        <f>((T288*'Data - P&amp;L'!$D$38)+(T299*'Data - P&amp;L'!$D$39))*'Data - P&amp;L'!$C$54</f>
        <v>1.79375</v>
      </c>
      <c r="U428" s="255">
        <f>((U288*'Data - P&amp;L'!$D$38)+(U299*'Data - P&amp;L'!$D$39))*'Data - P&amp;L'!$C$54</f>
        <v>2.87625</v>
      </c>
      <c r="V428" s="255">
        <f>((V288*'Data - P&amp;L'!$D$38)+(V299*'Data - P&amp;L'!$D$39))*'Data - P&amp;L'!$C$54</f>
        <v>0.7175</v>
      </c>
      <c r="W428" s="255">
        <f>((W288*'Data - P&amp;L'!$D$38)+(W299*'Data - P&amp;L'!$D$39))*'Data - P&amp;L'!$C$54</f>
        <v>3.5875</v>
      </c>
      <c r="X428" s="255">
        <f>((X288*'Data - P&amp;L'!$D$38)+(X299*'Data - P&amp;L'!$D$39))*'Data - P&amp;L'!$C$54</f>
        <v>9.3275</v>
      </c>
      <c r="Y428" s="255">
        <f>((Y288*'Data - P&amp;L'!$D$38)+(Y299*'Data - P&amp;L'!$D$39))*'Data - P&amp;L'!$C$54</f>
        <v>1.79375</v>
      </c>
      <c r="Z428" s="255">
        <f>((Z288*'Data - P&amp;L'!$D$38)+(Z299*'Data - P&amp;L'!$D$39))*'Data - P&amp;L'!$C$54</f>
        <v>0.7175</v>
      </c>
      <c r="AA428" s="255">
        <f>((AA288*'Data - P&amp;L'!$D$38)+(AA299*'Data - P&amp;L'!$D$39))*'Data - P&amp;L'!$C$54</f>
        <v>0</v>
      </c>
      <c r="AB428" s="255">
        <f>((AB288*'Data - P&amp;L'!$D$38)+(AB299*'Data - P&amp;L'!$D$39))*'Data - P&amp;L'!$C$54</f>
        <v>3.22875</v>
      </c>
      <c r="AC428" s="255">
        <f>((AC288*'Data - P&amp;L'!$D$38)+(AC299*'Data - P&amp;L'!$D$39))*'Data - P&amp;L'!$C$54</f>
        <v>11.83875</v>
      </c>
      <c r="AD428" s="255">
        <f>((AD288*'Data - P&amp;L'!$D$38)+(AD299*'Data - P&amp;L'!$D$39))*'Data - P&amp;L'!$C$54</f>
        <v>8.96875</v>
      </c>
      <c r="AE428" s="255">
        <f>((AE288*'Data - P&amp;L'!$D$38)+(AE299*'Data - P&amp;L'!$D$39))*'Data - P&amp;L'!$C$54</f>
        <v>9.32875</v>
      </c>
      <c r="AF428" s="255">
        <f>((AF288*'Data - P&amp;L'!$D$38)+(AF299*'Data - P&amp;L'!$D$39))*'Data - P&amp;L'!$C$54</f>
        <v>7.175</v>
      </c>
      <c r="AG428" s="126">
        <f t="shared" si="126"/>
        <v>171.50125</v>
      </c>
    </row>
    <row r="429" outlineLevel="1">
      <c r="A429" s="273" t="s">
        <v>369</v>
      </c>
      <c r="B429" s="255">
        <f>(B301*'Data - P&amp;L'!$R$3)+(B302*'Data - P&amp;L'!$R$4)</f>
        <v>45</v>
      </c>
      <c r="C429" s="255">
        <f>(C301*'Data - P&amp;L'!$R$3)+(C302*'Data - P&amp;L'!$R$4)</f>
        <v>30</v>
      </c>
      <c r="D429" s="255">
        <f>(D301*'Data - P&amp;L'!$R$3)+(D302*'Data - P&amp;L'!$R$4)</f>
        <v>745</v>
      </c>
      <c r="E429" s="255">
        <f>(E301*'Data - P&amp;L'!$R$3)+(E302*'Data - P&amp;L'!$R$4)</f>
        <v>300</v>
      </c>
      <c r="F429" s="255">
        <f>(F301*'Data - P&amp;L'!$R$3)+(F302*'Data - P&amp;L'!$R$4)</f>
        <v>805</v>
      </c>
      <c r="G429" s="255">
        <f>(G301*'Data - P&amp;L'!$R$3)+(G302*'Data - P&amp;L'!$R$4)</f>
        <v>45</v>
      </c>
      <c r="H429" s="255">
        <f>(H301*'Data - P&amp;L'!$R$3)+(H302*'Data - P&amp;L'!$R$4)</f>
        <v>15</v>
      </c>
      <c r="I429" s="255">
        <f>(I301*'Data - P&amp;L'!$R$3)+(I302*'Data - P&amp;L'!$R$4)</f>
        <v>775</v>
      </c>
      <c r="J429" s="255">
        <f>(J301*'Data - P&amp;L'!$R$3)+(J302*'Data - P&amp;L'!$R$4)</f>
        <v>205</v>
      </c>
      <c r="K429" s="255">
        <f>(K301*'Data - P&amp;L'!$R$3)+(K302*'Data - P&amp;L'!$R$4)</f>
        <v>240</v>
      </c>
      <c r="L429" s="255">
        <f>(L301*'Data - P&amp;L'!$R$3)+(L302*'Data - P&amp;L'!$R$4)</f>
        <v>780</v>
      </c>
      <c r="M429" s="255">
        <f>(M301*'Data - P&amp;L'!$R$3)+(M302*'Data - P&amp;L'!$R$4)</f>
        <v>180</v>
      </c>
      <c r="N429" s="255">
        <f>(N301*'Data - P&amp;L'!$R$3)+(N302*'Data - P&amp;L'!$R$4)</f>
        <v>30</v>
      </c>
      <c r="O429" s="255">
        <f>(O301*'Data - P&amp;L'!$R$3)+(O302*'Data - P&amp;L'!$R$4)</f>
        <v>45</v>
      </c>
      <c r="P429" s="255">
        <f>(P301*'Data - P&amp;L'!$R$3)+(P302*'Data - P&amp;L'!$R$4)</f>
        <v>855</v>
      </c>
      <c r="Q429" s="255">
        <f>(Q301*'Data - P&amp;L'!$R$3)+(Q302*'Data - P&amp;L'!$R$4)</f>
        <v>410</v>
      </c>
      <c r="R429" s="255">
        <f>(R301*'Data - P&amp;L'!$R$3)+(R302*'Data - P&amp;L'!$R$4)</f>
        <v>285</v>
      </c>
      <c r="S429" s="255">
        <f>(S301*'Data - P&amp;L'!$R$3)+(S302*'Data - P&amp;L'!$R$4)</f>
        <v>105</v>
      </c>
      <c r="T429" s="255">
        <f>(T301*'Data - P&amp;L'!$R$3)+(T302*'Data - P&amp;L'!$R$4)</f>
        <v>200</v>
      </c>
      <c r="U429" s="255">
        <f>(U301*'Data - P&amp;L'!$R$3)+(U302*'Data - P&amp;L'!$R$4)</f>
        <v>85</v>
      </c>
      <c r="V429" s="255">
        <f>(V301*'Data - P&amp;L'!$R$3)+(V302*'Data - P&amp;L'!$R$4)</f>
        <v>270</v>
      </c>
      <c r="W429" s="255">
        <f>(W301*'Data - P&amp;L'!$R$3)+(W302*'Data - P&amp;L'!$R$4)</f>
        <v>255</v>
      </c>
      <c r="X429" s="255">
        <f>(X301*'Data - P&amp;L'!$R$3)+(X302*'Data - P&amp;L'!$R$4)</f>
        <v>480</v>
      </c>
      <c r="Y429" s="255">
        <f>(Y301*'Data - P&amp;L'!$R$3)+(Y302*'Data - P&amp;L'!$R$4)</f>
        <v>120</v>
      </c>
      <c r="Z429" s="255">
        <f>(Z301*'Data - P&amp;L'!$R$3)+(Z302*'Data - P&amp;L'!$R$4)</f>
        <v>45</v>
      </c>
      <c r="AA429" s="255">
        <f>(AA301*'Data - P&amp;L'!$R$3)+(AA302*'Data - P&amp;L'!$R$4)</f>
        <v>0</v>
      </c>
      <c r="AB429" s="255">
        <f>(AB301*'Data - P&amp;L'!$R$3)+(AB302*'Data - P&amp;L'!$R$4)</f>
        <v>225</v>
      </c>
      <c r="AC429" s="255">
        <f>(AC301*'Data - P&amp;L'!$R$3)+(AC302*'Data - P&amp;L'!$R$4)</f>
        <v>615</v>
      </c>
      <c r="AD429" s="255">
        <f>(AD301*'Data - P&amp;L'!$R$3)+(AD302*'Data - P&amp;L'!$R$4)</f>
        <v>435</v>
      </c>
      <c r="AE429" s="255">
        <f>(AE301*'Data - P&amp;L'!$R$3)+(AE302*'Data - P&amp;L'!$R$4)</f>
        <v>370</v>
      </c>
      <c r="AF429" s="255">
        <f>(AF301*'Data - P&amp;L'!$R$3)+(AF302*'Data - P&amp;L'!$R$4)</f>
        <v>345</v>
      </c>
      <c r="AG429" s="126">
        <f t="shared" si="126"/>
        <v>9340</v>
      </c>
    </row>
    <row r="430" outlineLevel="1">
      <c r="A430" s="273" t="s">
        <v>370</v>
      </c>
      <c r="B430" s="255">
        <f t="shared" ref="B430:AF430" si="129">B307+B312</f>
        <v>758.32</v>
      </c>
      <c r="C430" s="255">
        <f t="shared" si="129"/>
        <v>389.24</v>
      </c>
      <c r="D430" s="255">
        <f t="shared" si="129"/>
        <v>11595.78</v>
      </c>
      <c r="E430" s="255">
        <f t="shared" si="129"/>
        <v>3431.51</v>
      </c>
      <c r="F430" s="255">
        <f t="shared" si="129"/>
        <v>13375.69</v>
      </c>
      <c r="G430" s="255">
        <f t="shared" si="129"/>
        <v>616.78</v>
      </c>
      <c r="H430" s="255">
        <f t="shared" si="129"/>
        <v>43.84</v>
      </c>
      <c r="I430" s="255">
        <f t="shared" si="129"/>
        <v>14007.61</v>
      </c>
      <c r="J430" s="255">
        <f t="shared" si="129"/>
        <v>3077.64</v>
      </c>
      <c r="K430" s="255">
        <f t="shared" si="129"/>
        <v>3931.03</v>
      </c>
      <c r="L430" s="255">
        <f t="shared" si="129"/>
        <v>13248.84</v>
      </c>
      <c r="M430" s="255">
        <f t="shared" si="129"/>
        <v>2543.23</v>
      </c>
      <c r="N430" s="255">
        <f t="shared" si="129"/>
        <v>360.33</v>
      </c>
      <c r="O430" s="255">
        <f t="shared" si="129"/>
        <v>907.26</v>
      </c>
      <c r="P430" s="255">
        <f t="shared" si="129"/>
        <v>14487.76</v>
      </c>
      <c r="Q430" s="255">
        <f t="shared" si="129"/>
        <v>4451.37</v>
      </c>
      <c r="R430" s="255">
        <f t="shared" si="129"/>
        <v>4707.29</v>
      </c>
      <c r="S430" s="255">
        <f t="shared" si="129"/>
        <v>1967.89</v>
      </c>
      <c r="T430" s="255">
        <f t="shared" si="129"/>
        <v>2071.3</v>
      </c>
      <c r="U430" s="255">
        <f t="shared" si="129"/>
        <v>1066.8</v>
      </c>
      <c r="V430" s="255">
        <f t="shared" si="129"/>
        <v>4407.19</v>
      </c>
      <c r="W430" s="255">
        <f t="shared" si="129"/>
        <v>4324.14</v>
      </c>
      <c r="X430" s="255">
        <f t="shared" si="129"/>
        <v>7927.61</v>
      </c>
      <c r="Y430" s="255">
        <f t="shared" si="129"/>
        <v>2074.59</v>
      </c>
      <c r="Z430" s="255">
        <f t="shared" si="129"/>
        <v>762.66</v>
      </c>
      <c r="AA430" s="255">
        <f t="shared" si="129"/>
        <v>0</v>
      </c>
      <c r="AB430" s="255">
        <f t="shared" si="129"/>
        <v>4060.28</v>
      </c>
      <c r="AC430" s="255">
        <f t="shared" si="129"/>
        <v>10493.07</v>
      </c>
      <c r="AD430" s="255">
        <f t="shared" si="129"/>
        <v>7494.27</v>
      </c>
      <c r="AE430" s="255">
        <f t="shared" si="129"/>
        <v>6256.24</v>
      </c>
      <c r="AF430" s="255">
        <f t="shared" si="129"/>
        <v>6093.21</v>
      </c>
      <c r="AG430" s="126">
        <f t="shared" si="126"/>
        <v>150932.77</v>
      </c>
    </row>
    <row r="431">
      <c r="A431" s="243" t="s">
        <v>371</v>
      </c>
      <c r="B431" s="271">
        <f t="shared" ref="B431:AF431" si="130">sum(B432:B442)-B445</f>
        <v>0</v>
      </c>
      <c r="C431" s="271">
        <f t="shared" si="130"/>
        <v>-342.9875</v>
      </c>
      <c r="D431" s="271">
        <f t="shared" si="130"/>
        <v>-911.8935</v>
      </c>
      <c r="E431" s="271">
        <f t="shared" si="130"/>
        <v>-610.0125</v>
      </c>
      <c r="F431" s="271">
        <f t="shared" si="130"/>
        <v>-379.045</v>
      </c>
      <c r="G431" s="271">
        <f t="shared" si="130"/>
        <v>0</v>
      </c>
      <c r="H431" s="271">
        <f t="shared" si="130"/>
        <v>0</v>
      </c>
      <c r="I431" s="271">
        <f t="shared" si="130"/>
        <v>120.581</v>
      </c>
      <c r="J431" s="271">
        <f t="shared" si="130"/>
        <v>-1191.948</v>
      </c>
      <c r="K431" s="271">
        <f t="shared" si="130"/>
        <v>-172.701</v>
      </c>
      <c r="L431" s="271">
        <f t="shared" si="130"/>
        <v>-176.2155</v>
      </c>
      <c r="M431" s="271">
        <f t="shared" si="130"/>
        <v>-551.6025</v>
      </c>
      <c r="N431" s="271">
        <f t="shared" si="130"/>
        <v>0</v>
      </c>
      <c r="O431" s="271">
        <f t="shared" si="130"/>
        <v>0</v>
      </c>
      <c r="P431" s="271">
        <f t="shared" si="130"/>
        <v>90.2345</v>
      </c>
      <c r="Q431" s="271">
        <f t="shared" si="130"/>
        <v>-402.7025</v>
      </c>
      <c r="R431" s="271">
        <f t="shared" si="130"/>
        <v>-376.5515</v>
      </c>
      <c r="S431" s="271">
        <f t="shared" si="130"/>
        <v>-135</v>
      </c>
      <c r="T431" s="271">
        <f t="shared" si="130"/>
        <v>-493.469</v>
      </c>
      <c r="U431" s="271">
        <f t="shared" si="130"/>
        <v>0</v>
      </c>
      <c r="V431" s="271">
        <f t="shared" si="130"/>
        <v>0</v>
      </c>
      <c r="W431" s="271">
        <f t="shared" si="130"/>
        <v>-1074.097</v>
      </c>
      <c r="X431" s="271">
        <f t="shared" si="130"/>
        <v>0</v>
      </c>
      <c r="Y431" s="271">
        <f t="shared" si="130"/>
        <v>-808.406</v>
      </c>
      <c r="Z431" s="271">
        <f t="shared" si="130"/>
        <v>-180</v>
      </c>
      <c r="AA431" s="271">
        <f t="shared" si="130"/>
        <v>-418.25</v>
      </c>
      <c r="AB431" s="271">
        <f t="shared" si="130"/>
        <v>0</v>
      </c>
      <c r="AC431" s="271">
        <f t="shared" si="130"/>
        <v>0</v>
      </c>
      <c r="AD431" s="271">
        <f t="shared" si="130"/>
        <v>-402.4665</v>
      </c>
      <c r="AE431" s="271">
        <f t="shared" si="130"/>
        <v>-794.77</v>
      </c>
      <c r="AF431" s="271">
        <f t="shared" si="130"/>
        <v>-278.2265</v>
      </c>
      <c r="AG431" s="126">
        <f t="shared" si="126"/>
        <v>-9489.529</v>
      </c>
    </row>
    <row r="432" outlineLevel="1">
      <c r="A432" s="157" t="s">
        <v>352</v>
      </c>
      <c r="B432" s="255">
        <f>B334*'Data - P&amp;L'!$C$3*'Data - P&amp;L'!$C$55</f>
        <v>0</v>
      </c>
      <c r="C432" s="255">
        <f>C334*'Data - P&amp;L'!$C$3*'Data - P&amp;L'!$C$55</f>
        <v>0</v>
      </c>
      <c r="D432" s="255">
        <f>D334*'Data - P&amp;L'!$C$3*'Data - P&amp;L'!$C$55</f>
        <v>0</v>
      </c>
      <c r="E432" s="255">
        <f>E334*'Data - P&amp;L'!$C$3*'Data - P&amp;L'!$C$55</f>
        <v>0</v>
      </c>
      <c r="F432" s="255">
        <f>F334*'Data - P&amp;L'!$C$3*'Data - P&amp;L'!$C$55</f>
        <v>0</v>
      </c>
      <c r="G432" s="255">
        <f>G334*'Data - P&amp;L'!$C$3*'Data - P&amp;L'!$C$55</f>
        <v>0</v>
      </c>
      <c r="H432" s="255">
        <f>H334*'Data - P&amp;L'!$C$3*'Data - P&amp;L'!$C$55</f>
        <v>0</v>
      </c>
      <c r="I432" s="255">
        <f>I334*'Data - P&amp;L'!$C$3*'Data - P&amp;L'!$C$55</f>
        <v>34.76</v>
      </c>
      <c r="J432" s="255">
        <f>J334*'Data - P&amp;L'!$C$3*'Data - P&amp;L'!$C$55</f>
        <v>17.38</v>
      </c>
      <c r="K432" s="255">
        <f>K334*'Data - P&amp;L'!$C$3*'Data - P&amp;L'!$C$55</f>
        <v>17.38</v>
      </c>
      <c r="L432" s="255">
        <f>L334*'Data - P&amp;L'!$C$3*'Data - P&amp;L'!$C$55</f>
        <v>0</v>
      </c>
      <c r="M432" s="255">
        <f>M334*'Data - P&amp;L'!$C$3*'Data - P&amp;L'!$C$55</f>
        <v>0</v>
      </c>
      <c r="N432" s="255">
        <f>N334*'Data - P&amp;L'!$C$3*'Data - P&amp;L'!$C$55</f>
        <v>0</v>
      </c>
      <c r="O432" s="255">
        <f>O334*'Data - P&amp;L'!$C$3*'Data - P&amp;L'!$C$55</f>
        <v>0</v>
      </c>
      <c r="P432" s="255">
        <f>P334*'Data - P&amp;L'!$C$3*'Data - P&amp;L'!$C$55</f>
        <v>17.38</v>
      </c>
      <c r="Q432" s="255">
        <f>Q334*'Data - P&amp;L'!$C$3*'Data - P&amp;L'!$C$55</f>
        <v>0</v>
      </c>
      <c r="R432" s="255">
        <f>R334*'Data - P&amp;L'!$C$3*'Data - P&amp;L'!$C$55</f>
        <v>0</v>
      </c>
      <c r="S432" s="255">
        <f>S334*'Data - P&amp;L'!$C$3*'Data - P&amp;L'!$C$55</f>
        <v>0</v>
      </c>
      <c r="T432" s="255">
        <f>T334*'Data - P&amp;L'!$C$3*'Data - P&amp;L'!$C$55</f>
        <v>0</v>
      </c>
      <c r="U432" s="255">
        <f>U334*'Data - P&amp;L'!$C$3*'Data - P&amp;L'!$C$55</f>
        <v>0</v>
      </c>
      <c r="V432" s="255">
        <f>V334*'Data - P&amp;L'!$C$3*'Data - P&amp;L'!$C$55</f>
        <v>0</v>
      </c>
      <c r="W432" s="255">
        <f>W334*'Data - P&amp;L'!$C$3*'Data - P&amp;L'!$C$55</f>
        <v>17.38</v>
      </c>
      <c r="X432" s="255">
        <f>X334*'Data - P&amp;L'!$C$3*'Data - P&amp;L'!$C$55</f>
        <v>0</v>
      </c>
      <c r="Y432" s="255">
        <f>Y334*'Data - P&amp;L'!$C$3*'Data - P&amp;L'!$C$55</f>
        <v>17.38</v>
      </c>
      <c r="Z432" s="255">
        <f>Z334*'Data - P&amp;L'!$C$3*'Data - P&amp;L'!$C$55</f>
        <v>0</v>
      </c>
      <c r="AA432" s="255">
        <f>AA334*'Data - P&amp;L'!$C$3*'Data - P&amp;L'!$C$55</f>
        <v>0</v>
      </c>
      <c r="AB432" s="255">
        <f>AB334*'Data - P&amp;L'!$C$3*'Data - P&amp;L'!$C$55</f>
        <v>0</v>
      </c>
      <c r="AC432" s="255">
        <f>AC334*'Data - P&amp;L'!$C$3*'Data - P&amp;L'!$C$55</f>
        <v>0</v>
      </c>
      <c r="AD432" s="255">
        <f>AD334*'Data - P&amp;L'!$C$3*'Data - P&amp;L'!$C$55</f>
        <v>0</v>
      </c>
      <c r="AE432" s="255">
        <f>AE334*'Data - P&amp;L'!$C$3*'Data - P&amp;L'!$C$55</f>
        <v>26.07</v>
      </c>
      <c r="AF432" s="255">
        <f>AF334*'Data - P&amp;L'!$C$3*'Data - P&amp;L'!$C$55</f>
        <v>8.69</v>
      </c>
      <c r="AG432" s="126">
        <f t="shared" si="126"/>
        <v>156.42</v>
      </c>
    </row>
    <row r="433" outlineLevel="1">
      <c r="A433" s="157" t="s">
        <v>353</v>
      </c>
      <c r="B433" s="255">
        <f>B335*'Data - P&amp;L'!$C$4*'Data - P&amp;L'!$C$55</f>
        <v>0</v>
      </c>
      <c r="C433" s="255">
        <f>C335*'Data - P&amp;L'!$C$4*'Data - P&amp;L'!$C$55</f>
        <v>0</v>
      </c>
      <c r="D433" s="255">
        <f>D335*'Data - P&amp;L'!$C$4*'Data - P&amp;L'!$C$55</f>
        <v>0</v>
      </c>
      <c r="E433" s="255">
        <f>E335*'Data - P&amp;L'!$C$4*'Data - P&amp;L'!$C$55</f>
        <v>0</v>
      </c>
      <c r="F433" s="255">
        <f>F335*'Data - P&amp;L'!$C$4*'Data - P&amp;L'!$C$55</f>
        <v>9.761</v>
      </c>
      <c r="G433" s="255">
        <f>G335*'Data - P&amp;L'!$C$4*'Data - P&amp;L'!$C$55</f>
        <v>0</v>
      </c>
      <c r="H433" s="255">
        <f>H335*'Data - P&amp;L'!$C$4*'Data - P&amp;L'!$C$55</f>
        <v>0</v>
      </c>
      <c r="I433" s="255">
        <f>I335*'Data - P&amp;L'!$C$4*'Data - P&amp;L'!$C$55</f>
        <v>68.327</v>
      </c>
      <c r="J433" s="255">
        <f>J335*'Data - P&amp;L'!$C$4*'Data - P&amp;L'!$C$55</f>
        <v>39.044</v>
      </c>
      <c r="K433" s="255">
        <f>K335*'Data - P&amp;L'!$C$4*'Data - P&amp;L'!$C$55</f>
        <v>39.044</v>
      </c>
      <c r="L433" s="255">
        <f>L335*'Data - P&amp;L'!$C$4*'Data - P&amp;L'!$C$55</f>
        <v>0</v>
      </c>
      <c r="M433" s="255">
        <f>M335*'Data - P&amp;L'!$C$4*'Data - P&amp;L'!$C$55</f>
        <v>9.761</v>
      </c>
      <c r="N433" s="255">
        <f>N335*'Data - P&amp;L'!$C$4*'Data - P&amp;L'!$C$55</f>
        <v>0</v>
      </c>
      <c r="O433" s="255">
        <f>O335*'Data - P&amp;L'!$C$4*'Data - P&amp;L'!$C$55</f>
        <v>0</v>
      </c>
      <c r="P433" s="255">
        <f>P335*'Data - P&amp;L'!$C$4*'Data - P&amp;L'!$C$55</f>
        <v>87.849</v>
      </c>
      <c r="Q433" s="255">
        <f>Q335*'Data - P&amp;L'!$C$4*'Data - P&amp;L'!$C$55</f>
        <v>0</v>
      </c>
      <c r="R433" s="255">
        <f>R335*'Data - P&amp;L'!$C$4*'Data - P&amp;L'!$C$55</f>
        <v>9.761</v>
      </c>
      <c r="S433" s="255">
        <f>S335*'Data - P&amp;L'!$C$4*'Data - P&amp;L'!$C$55</f>
        <v>0</v>
      </c>
      <c r="T433" s="255">
        <f>T335*'Data - P&amp;L'!$C$4*'Data - P&amp;L'!$C$55</f>
        <v>0</v>
      </c>
      <c r="U433" s="255">
        <f>U335*'Data - P&amp;L'!$C$4*'Data - P&amp;L'!$C$55</f>
        <v>0</v>
      </c>
      <c r="V433" s="255">
        <f>V335*'Data - P&amp;L'!$C$4*'Data - P&amp;L'!$C$55</f>
        <v>0</v>
      </c>
      <c r="W433" s="255">
        <f>W335*'Data - P&amp;L'!$C$4*'Data - P&amp;L'!$C$55</f>
        <v>19.522</v>
      </c>
      <c r="X433" s="255">
        <f>X335*'Data - P&amp;L'!$C$4*'Data - P&amp;L'!$C$55</f>
        <v>0</v>
      </c>
      <c r="Y433" s="255">
        <f>Y335*'Data - P&amp;L'!$C$4*'Data - P&amp;L'!$C$55</f>
        <v>29.283</v>
      </c>
      <c r="Z433" s="255">
        <f>Z335*'Data - P&amp;L'!$C$4*'Data - P&amp;L'!$C$55</f>
        <v>0</v>
      </c>
      <c r="AA433" s="255">
        <f>AA335*'Data - P&amp;L'!$C$4*'Data - P&amp;L'!$C$55</f>
        <v>0</v>
      </c>
      <c r="AB433" s="255">
        <f>AB335*'Data - P&amp;L'!$C$4*'Data - P&amp;L'!$C$55</f>
        <v>0</v>
      </c>
      <c r="AC433" s="255">
        <f>AC335*'Data - P&amp;L'!$C$4*'Data - P&amp;L'!$C$55</f>
        <v>0</v>
      </c>
      <c r="AD433" s="255">
        <f>AD335*'Data - P&amp;L'!$C$4*'Data - P&amp;L'!$C$55</f>
        <v>48.805</v>
      </c>
      <c r="AE433" s="255">
        <f>AE335*'Data - P&amp;L'!$C$4*'Data - P&amp;L'!$C$55</f>
        <v>19.522</v>
      </c>
      <c r="AF433" s="255">
        <f>AF335*'Data - P&amp;L'!$C$4*'Data - P&amp;L'!$C$55</f>
        <v>19.522</v>
      </c>
      <c r="AG433" s="126">
        <f t="shared" si="126"/>
        <v>400.201</v>
      </c>
    </row>
    <row r="434" outlineLevel="1">
      <c r="A434" s="157" t="s">
        <v>354</v>
      </c>
      <c r="B434" s="255">
        <f>(B338+B349)*'Data - P&amp;L'!$C$6*'Data - P&amp;L'!$C$55</f>
        <v>0</v>
      </c>
      <c r="C434" s="255">
        <f>(C338+C349)*'Data - P&amp;L'!$C$6*'Data - P&amp;L'!$C$55</f>
        <v>0</v>
      </c>
      <c r="D434" s="255">
        <f>(D338+D349)*'Data - P&amp;L'!$C$6*'Data - P&amp;L'!$C$55</f>
        <v>0</v>
      </c>
      <c r="E434" s="255">
        <f>(E338+E349)*'Data - P&amp;L'!$C$6*'Data - P&amp;L'!$C$55</f>
        <v>0</v>
      </c>
      <c r="F434" s="255">
        <f>(F338+F349)*'Data - P&amp;L'!$C$6*'Data - P&amp;L'!$C$55</f>
        <v>0</v>
      </c>
      <c r="G434" s="255">
        <f>(G338+G349)*'Data - P&amp;L'!$C$6*'Data - P&amp;L'!$C$55</f>
        <v>0</v>
      </c>
      <c r="H434" s="255">
        <f>(H338+H349)*'Data - P&amp;L'!$C$6*'Data - P&amp;L'!$C$55</f>
        <v>0</v>
      </c>
      <c r="I434" s="255">
        <f>(I338+I349)*'Data - P&amp;L'!$C$6*'Data - P&amp;L'!$C$55</f>
        <v>1.098</v>
      </c>
      <c r="J434" s="255">
        <f>(J338+J349)*'Data - P&amp;L'!$C$6*'Data - P&amp;L'!$C$55</f>
        <v>0.549</v>
      </c>
      <c r="K434" s="255">
        <f>(K338+K349)*'Data - P&amp;L'!$C$6*'Data - P&amp;L'!$C$55</f>
        <v>0.549</v>
      </c>
      <c r="L434" s="255">
        <f>(L338+L349)*'Data - P&amp;L'!$C$6*'Data - P&amp;L'!$C$55</f>
        <v>0</v>
      </c>
      <c r="M434" s="255">
        <f>(M338+M349)*'Data - P&amp;L'!$C$6*'Data - P&amp;L'!$C$55</f>
        <v>0.549</v>
      </c>
      <c r="N434" s="255">
        <f>(N338+N349)*'Data - P&amp;L'!$C$6*'Data - P&amp;L'!$C$55</f>
        <v>0</v>
      </c>
      <c r="O434" s="255">
        <f>(O338+O349)*'Data - P&amp;L'!$C$6*'Data - P&amp;L'!$C$55</f>
        <v>0</v>
      </c>
      <c r="P434" s="255">
        <f>(P338+P349)*'Data - P&amp;L'!$C$6*'Data - P&amp;L'!$C$55</f>
        <v>0.549</v>
      </c>
      <c r="Q434" s="255">
        <f>(Q338+Q349)*'Data - P&amp;L'!$C$6*'Data - P&amp;L'!$C$55</f>
        <v>0</v>
      </c>
      <c r="R434" s="255">
        <f>(R338+R349)*'Data - P&amp;L'!$C$6*'Data - P&amp;L'!$C$55</f>
        <v>0</v>
      </c>
      <c r="S434" s="255">
        <f>(S338+S349)*'Data - P&amp;L'!$C$6*'Data - P&amp;L'!$C$55</f>
        <v>0</v>
      </c>
      <c r="T434" s="255">
        <f>(T338+T349)*'Data - P&amp;L'!$C$6*'Data - P&amp;L'!$C$55</f>
        <v>0</v>
      </c>
      <c r="U434" s="255">
        <f>(U338+U349)*'Data - P&amp;L'!$C$6*'Data - P&amp;L'!$C$55</f>
        <v>0</v>
      </c>
      <c r="V434" s="255">
        <f>(V338+V349)*'Data - P&amp;L'!$C$6*'Data - P&amp;L'!$C$55</f>
        <v>0</v>
      </c>
      <c r="W434" s="255">
        <f>(W338+W349)*'Data - P&amp;L'!$C$6*'Data - P&amp;L'!$C$55</f>
        <v>1.647</v>
      </c>
      <c r="X434" s="255">
        <f>(X338+X349)*'Data - P&amp;L'!$C$6*'Data - P&amp;L'!$C$55</f>
        <v>0</v>
      </c>
      <c r="Y434" s="255">
        <f>(Y338+Y349)*'Data - P&amp;L'!$C$6*'Data - P&amp;L'!$C$55</f>
        <v>0.549</v>
      </c>
      <c r="Z434" s="255">
        <f>(Z338+Z349)*'Data - P&amp;L'!$C$6*'Data - P&amp;L'!$C$55</f>
        <v>0</v>
      </c>
      <c r="AA434" s="255">
        <f>(AA338+AA349)*'Data - P&amp;L'!$C$6*'Data - P&amp;L'!$C$55</f>
        <v>0</v>
      </c>
      <c r="AB434" s="255">
        <f>(AB338+AB349)*'Data - P&amp;L'!$C$6*'Data - P&amp;L'!$C$55</f>
        <v>0</v>
      </c>
      <c r="AC434" s="255">
        <f>(AC338+AC349)*'Data - P&amp;L'!$C$6*'Data - P&amp;L'!$C$55</f>
        <v>0</v>
      </c>
      <c r="AD434" s="255">
        <f>(AD338+AD349)*'Data - P&amp;L'!$C$6*'Data - P&amp;L'!$C$55</f>
        <v>0.549</v>
      </c>
      <c r="AE434" s="255">
        <f>(AE338+AE349)*'Data - P&amp;L'!$C$6*'Data - P&amp;L'!$C$55</f>
        <v>0.549</v>
      </c>
      <c r="AF434" s="255">
        <f>(AF338+AF349)*'Data - P&amp;L'!$C$6*'Data - P&amp;L'!$C$55</f>
        <v>0.549</v>
      </c>
      <c r="AG434" s="126">
        <f t="shared" si="126"/>
        <v>7.137</v>
      </c>
    </row>
    <row r="435" outlineLevel="1">
      <c r="A435" s="157" t="s">
        <v>355</v>
      </c>
      <c r="B435" s="255">
        <f>(B339+B350)*'Data - P&amp;L'!$C$8*'Data - P&amp;L'!$C$55</f>
        <v>0</v>
      </c>
      <c r="C435" s="255">
        <f>(C339+C350)*'Data - P&amp;L'!$C$8*'Data - P&amp;L'!$C$55</f>
        <v>0.238</v>
      </c>
      <c r="D435" s="255">
        <f>(D339+D350)*'Data - P&amp;L'!$C$8*'Data - P&amp;L'!$C$55</f>
        <v>0</v>
      </c>
      <c r="E435" s="255">
        <f>(E339+E350)*'Data - P&amp;L'!$C$8*'Data - P&amp;L'!$C$55</f>
        <v>0.238</v>
      </c>
      <c r="F435" s="255">
        <f>(F339+F350)*'Data - P&amp;L'!$C$8*'Data - P&amp;L'!$C$55</f>
        <v>0</v>
      </c>
      <c r="G435" s="255">
        <f>(G339+G350)*'Data - P&amp;L'!$C$8*'Data - P&amp;L'!$C$55</f>
        <v>0</v>
      </c>
      <c r="H435" s="255">
        <f>(H339+H350)*'Data - P&amp;L'!$C$8*'Data - P&amp;L'!$C$55</f>
        <v>0</v>
      </c>
      <c r="I435" s="255">
        <f>(I339+I350)*'Data - P&amp;L'!$C$8*'Data - P&amp;L'!$C$55</f>
        <v>0</v>
      </c>
      <c r="J435" s="255">
        <f>(J339+J350)*'Data - P&amp;L'!$C$8*'Data - P&amp;L'!$C$55</f>
        <v>0.238</v>
      </c>
      <c r="K435" s="255">
        <f>(K339+K350)*'Data - P&amp;L'!$C$8*'Data - P&amp;L'!$C$55</f>
        <v>0.357</v>
      </c>
      <c r="L435" s="255">
        <f>(L339+L350)*'Data - P&amp;L'!$C$8*'Data - P&amp;L'!$C$55</f>
        <v>0</v>
      </c>
      <c r="M435" s="255">
        <f>(M339+M350)*'Data - P&amp;L'!$C$8*'Data - P&amp;L'!$C$55</f>
        <v>0.119</v>
      </c>
      <c r="N435" s="255">
        <f>(N339+N350)*'Data - P&amp;L'!$C$8*'Data - P&amp;L'!$C$55</f>
        <v>0</v>
      </c>
      <c r="O435" s="255">
        <f>(O339+O350)*'Data - P&amp;L'!$C$8*'Data - P&amp;L'!$C$55</f>
        <v>0</v>
      </c>
      <c r="P435" s="255">
        <f>(P339+P350)*'Data - P&amp;L'!$C$8*'Data - P&amp;L'!$C$55</f>
        <v>0.595</v>
      </c>
      <c r="Q435" s="255">
        <f>(Q339+Q350)*'Data - P&amp;L'!$C$8*'Data - P&amp;L'!$C$55</f>
        <v>0</v>
      </c>
      <c r="R435" s="255">
        <f>(R339+R350)*'Data - P&amp;L'!$C$8*'Data - P&amp;L'!$C$55</f>
        <v>0.119</v>
      </c>
      <c r="S435" s="255">
        <f>(S339+S350)*'Data - P&amp;L'!$C$8*'Data - P&amp;L'!$C$55</f>
        <v>0</v>
      </c>
      <c r="T435" s="255">
        <f>(T339+T350)*'Data - P&amp;L'!$C$8*'Data - P&amp;L'!$C$55</f>
        <v>0.357</v>
      </c>
      <c r="U435" s="255">
        <f>(U339+U350)*'Data - P&amp;L'!$C$8*'Data - P&amp;L'!$C$55</f>
        <v>0</v>
      </c>
      <c r="V435" s="255">
        <f>(V339+V350)*'Data - P&amp;L'!$C$8*'Data - P&amp;L'!$C$55</f>
        <v>0</v>
      </c>
      <c r="W435" s="255">
        <f>(W339+W350)*'Data - P&amp;L'!$C$8*'Data - P&amp;L'!$C$55</f>
        <v>0.357</v>
      </c>
      <c r="X435" s="255">
        <f>(X339+X350)*'Data - P&amp;L'!$C$8*'Data - P&amp;L'!$C$55</f>
        <v>0</v>
      </c>
      <c r="Y435" s="255">
        <f>(Y339+Y350)*'Data - P&amp;L'!$C$8*'Data - P&amp;L'!$C$55</f>
        <v>0.714</v>
      </c>
      <c r="Z435" s="255">
        <f>(Z339+Z350)*'Data - P&amp;L'!$C$8*'Data - P&amp;L'!$C$55</f>
        <v>0</v>
      </c>
      <c r="AA435" s="255">
        <f>(AA339+AA350)*'Data - P&amp;L'!$C$8*'Data - P&amp;L'!$C$55</f>
        <v>0.119</v>
      </c>
      <c r="AB435" s="255">
        <f>(AB339+AB350)*'Data - P&amp;L'!$C$8*'Data - P&amp;L'!$C$55</f>
        <v>0</v>
      </c>
      <c r="AC435" s="255">
        <f>(AC339+AC350)*'Data - P&amp;L'!$C$8*'Data - P&amp;L'!$C$55</f>
        <v>0</v>
      </c>
      <c r="AD435" s="255">
        <f>(AD339+AD350)*'Data - P&amp;L'!$C$8*'Data - P&amp;L'!$C$55</f>
        <v>0.476</v>
      </c>
      <c r="AE435" s="255">
        <f>(AE339+AE350)*'Data - P&amp;L'!$C$8*'Data - P&amp;L'!$C$55</f>
        <v>0</v>
      </c>
      <c r="AF435" s="255">
        <f>(AF339+AF350)*'Data - P&amp;L'!$C$8*'Data - P&amp;L'!$C$55</f>
        <v>0.595</v>
      </c>
      <c r="AG435" s="126">
        <f t="shared" si="126"/>
        <v>4.522</v>
      </c>
    </row>
    <row r="436" outlineLevel="1">
      <c r="A436" s="157" t="s">
        <v>356</v>
      </c>
      <c r="B436" s="255">
        <f>(B340+B341+B351+B352)*'Data - P&amp;L'!$C$9*'Data - P&amp;L'!$C$55</f>
        <v>0</v>
      </c>
      <c r="C436" s="255">
        <f>(C340+C341+C351+C352)*'Data - P&amp;L'!$C$9*'Data - P&amp;L'!$C$55</f>
        <v>0</v>
      </c>
      <c r="D436" s="255">
        <f>(D340+D341+D351+D352)*'Data - P&amp;L'!$C$9*'Data - P&amp;L'!$C$55</f>
        <v>1.332</v>
      </c>
      <c r="E436" s="255">
        <f>(E340+E341+E351+E352)*'Data - P&amp;L'!$C$9*'Data - P&amp;L'!$C$55</f>
        <v>0</v>
      </c>
      <c r="F436" s="255">
        <f>(F340+F341+F351+F352)*'Data - P&amp;L'!$C$9*'Data - P&amp;L'!$C$55</f>
        <v>0</v>
      </c>
      <c r="G436" s="255">
        <f>(G340+G341+G351+G352)*'Data - P&amp;L'!$C$9*'Data - P&amp;L'!$C$55</f>
        <v>0</v>
      </c>
      <c r="H436" s="255">
        <f>(H340+H341+H351+H352)*'Data - P&amp;L'!$C$9*'Data - P&amp;L'!$C$55</f>
        <v>0</v>
      </c>
      <c r="I436" s="255">
        <f>(I340+I341+I351+I352)*'Data - P&amp;L'!$C$9*'Data - P&amp;L'!$C$55</f>
        <v>0</v>
      </c>
      <c r="J436" s="255">
        <f>(J340+J341+J351+J352)*'Data - P&amp;L'!$C$9*'Data - P&amp;L'!$C$55</f>
        <v>0.666</v>
      </c>
      <c r="K436" s="255">
        <f>(K340+K341+K351+K352)*'Data - P&amp;L'!$C$9*'Data - P&amp;L'!$C$55</f>
        <v>0</v>
      </c>
      <c r="L436" s="255">
        <f>(L340+L341+L351+L352)*'Data - P&amp;L'!$C$9*'Data - P&amp;L'!$C$55</f>
        <v>0.666</v>
      </c>
      <c r="M436" s="255">
        <f>(M340+M341+M351+M352)*'Data - P&amp;L'!$C$9*'Data - P&amp;L'!$C$55</f>
        <v>0</v>
      </c>
      <c r="N436" s="255">
        <f>(N340+N341+N351+N352)*'Data - P&amp;L'!$C$9*'Data - P&amp;L'!$C$55</f>
        <v>0</v>
      </c>
      <c r="O436" s="255">
        <f>(O340+O341+O351+O352)*'Data - P&amp;L'!$C$9*'Data - P&amp;L'!$C$55</f>
        <v>0</v>
      </c>
      <c r="P436" s="255">
        <f>(P340+P341+P351+P352)*'Data - P&amp;L'!$C$9*'Data - P&amp;L'!$C$55</f>
        <v>1.998</v>
      </c>
      <c r="Q436" s="255">
        <f>(Q340+Q341+Q351+Q352)*'Data - P&amp;L'!$C$9*'Data - P&amp;L'!$C$55</f>
        <v>0.666</v>
      </c>
      <c r="R436" s="255">
        <f>(R340+R341+R351+R352)*'Data - P&amp;L'!$C$9*'Data - P&amp;L'!$C$55</f>
        <v>0</v>
      </c>
      <c r="S436" s="255">
        <f>(S340+S341+S351+S352)*'Data - P&amp;L'!$C$9*'Data - P&amp;L'!$C$55</f>
        <v>0</v>
      </c>
      <c r="T436" s="255">
        <f>(T340+T341+T351+T352)*'Data - P&amp;L'!$C$9*'Data - P&amp;L'!$C$55</f>
        <v>0</v>
      </c>
      <c r="U436" s="255">
        <f>(U340+U341+U351+U352)*'Data - P&amp;L'!$C$9*'Data - P&amp;L'!$C$55</f>
        <v>0</v>
      </c>
      <c r="V436" s="255">
        <f>(V340+V341+V351+V352)*'Data - P&amp;L'!$C$9*'Data - P&amp;L'!$C$55</f>
        <v>0</v>
      </c>
      <c r="W436" s="255">
        <f>(W340+W341+W351+W352)*'Data - P&amp;L'!$C$9*'Data - P&amp;L'!$C$55</f>
        <v>1.998</v>
      </c>
      <c r="X436" s="255">
        <f>(X340+X341+X351+X352)*'Data - P&amp;L'!$C$9*'Data - P&amp;L'!$C$55</f>
        <v>0</v>
      </c>
      <c r="Y436" s="255">
        <f>(Y340+Y341+Y351+Y352)*'Data - P&amp;L'!$C$9*'Data - P&amp;L'!$C$55</f>
        <v>0</v>
      </c>
      <c r="Z436" s="255">
        <f>(Z340+Z341+Z351+Z352)*'Data - P&amp;L'!$C$9*'Data - P&amp;L'!$C$55</f>
        <v>0</v>
      </c>
      <c r="AA436" s="255">
        <f>(AA340+AA341+AA351+AA352)*'Data - P&amp;L'!$C$9*'Data - P&amp;L'!$C$55</f>
        <v>0</v>
      </c>
      <c r="AB436" s="255">
        <f>(AB340+AB341+AB351+AB352)*'Data - P&amp;L'!$C$9*'Data - P&amp;L'!$C$55</f>
        <v>0</v>
      </c>
      <c r="AC436" s="255">
        <f>(AC340+AC341+AC351+AC352)*'Data - P&amp;L'!$C$9*'Data - P&amp;L'!$C$55</f>
        <v>0</v>
      </c>
      <c r="AD436" s="255">
        <f>(AD340+AD341+AD351+AD352)*'Data - P&amp;L'!$C$9*'Data - P&amp;L'!$C$55</f>
        <v>0.666</v>
      </c>
      <c r="AE436" s="255">
        <f>(AE340+AE341+AE351+AE352)*'Data - P&amp;L'!$C$9*'Data - P&amp;L'!$C$55</f>
        <v>0</v>
      </c>
      <c r="AF436" s="255">
        <f>(AF340+AF341+AF351+AF352)*'Data - P&amp;L'!$C$9*'Data - P&amp;L'!$C$55</f>
        <v>0</v>
      </c>
      <c r="AG436" s="126">
        <f t="shared" si="126"/>
        <v>7.992</v>
      </c>
    </row>
    <row r="437" outlineLevel="1">
      <c r="A437" s="157" t="s">
        <v>357</v>
      </c>
      <c r="B437" s="255">
        <f>(B342+B343+B353+B354)*'Data - P&amp;L'!$C$5*'Data - P&amp;L'!$C$55</f>
        <v>0</v>
      </c>
      <c r="C437" s="255">
        <f>(C342+C343+C353+C354)*'Data - P&amp;L'!$C$5*'Data - P&amp;L'!$C$55</f>
        <v>1.344</v>
      </c>
      <c r="D437" s="255">
        <f>(D342+D343+D353+D354)*'Data - P&amp;L'!$C$5*'Data - P&amp;L'!$C$55</f>
        <v>1.344</v>
      </c>
      <c r="E437" s="255">
        <f>(E342+E343+E353+E354)*'Data - P&amp;L'!$C$5*'Data - P&amp;L'!$C$55</f>
        <v>4.032</v>
      </c>
      <c r="F437" s="255">
        <f>(F342+F343+F353+F354)*'Data - P&amp;L'!$C$5*'Data - P&amp;L'!$C$55</f>
        <v>0</v>
      </c>
      <c r="G437" s="255">
        <f>(G342+G343+G353+G354)*'Data - P&amp;L'!$C$5*'Data - P&amp;L'!$C$55</f>
        <v>0</v>
      </c>
      <c r="H437" s="255">
        <f>(H342+H343+H353+H354)*'Data - P&amp;L'!$C$5*'Data - P&amp;L'!$C$55</f>
        <v>0</v>
      </c>
      <c r="I437" s="255">
        <f>(I342+I343+I353+I354)*'Data - P&amp;L'!$C$5*'Data - P&amp;L'!$C$55</f>
        <v>1.344</v>
      </c>
      <c r="J437" s="255">
        <f>(J342+J343+J353+J354)*'Data - P&amp;L'!$C$5*'Data - P&amp;L'!$C$55</f>
        <v>5.376</v>
      </c>
      <c r="K437" s="255">
        <f>(K342+K343+K353+K354)*'Data - P&amp;L'!$C$5*'Data - P&amp;L'!$C$55</f>
        <v>1.344</v>
      </c>
      <c r="L437" s="255">
        <f>(L342+L343+L353+L354)*'Data - P&amp;L'!$C$5*'Data - P&amp;L'!$C$55</f>
        <v>2.688</v>
      </c>
      <c r="M437" s="255">
        <f>(M342+M343+M353+M354)*'Data - P&amp;L'!$C$5*'Data - P&amp;L'!$C$55</f>
        <v>1.344</v>
      </c>
      <c r="N437" s="255">
        <f>(N342+N343+N353+N354)*'Data - P&amp;L'!$C$5*'Data - P&amp;L'!$C$55</f>
        <v>0</v>
      </c>
      <c r="O437" s="255">
        <f>(O342+O343+O353+O354)*'Data - P&amp;L'!$C$5*'Data - P&amp;L'!$C$55</f>
        <v>0</v>
      </c>
      <c r="P437" s="255">
        <f>(P342+P343+P353+P354)*'Data - P&amp;L'!$C$5*'Data - P&amp;L'!$C$55</f>
        <v>5.376</v>
      </c>
      <c r="Q437" s="255">
        <f>(Q342+Q343+Q353+Q354)*'Data - P&amp;L'!$C$5*'Data - P&amp;L'!$C$55</f>
        <v>1.344</v>
      </c>
      <c r="R437" s="255">
        <f>(R342+R343+R353+R354)*'Data - P&amp;L'!$C$5*'Data - P&amp;L'!$C$55</f>
        <v>1.344</v>
      </c>
      <c r="S437" s="255">
        <f>(S342+S343+S353+S354)*'Data - P&amp;L'!$C$5*'Data - P&amp;L'!$C$55</f>
        <v>0</v>
      </c>
      <c r="T437" s="255">
        <f>(T342+T343+T353+T354)*'Data - P&amp;L'!$C$5*'Data - P&amp;L'!$C$55</f>
        <v>0</v>
      </c>
      <c r="U437" s="255">
        <f>(U342+U343+U353+U354)*'Data - P&amp;L'!$C$5*'Data - P&amp;L'!$C$55</f>
        <v>0</v>
      </c>
      <c r="V437" s="255">
        <f>(V342+V343+V353+V354)*'Data - P&amp;L'!$C$5*'Data - P&amp;L'!$C$55</f>
        <v>0</v>
      </c>
      <c r="W437" s="255">
        <f>(W342+W343+W353+W354)*'Data - P&amp;L'!$C$5*'Data - P&amp;L'!$C$55</f>
        <v>5.376</v>
      </c>
      <c r="X437" s="255">
        <f>(X342+X343+X353+X354)*'Data - P&amp;L'!$C$5*'Data - P&amp;L'!$C$55</f>
        <v>0</v>
      </c>
      <c r="Y437" s="255">
        <f>(Y342+Y343+Y353+Y354)*'Data - P&amp;L'!$C$5*'Data - P&amp;L'!$C$55</f>
        <v>5.376</v>
      </c>
      <c r="Z437" s="255">
        <f>(Z342+Z343+Z353+Z354)*'Data - P&amp;L'!$C$5*'Data - P&amp;L'!$C$55</f>
        <v>0</v>
      </c>
      <c r="AA437" s="255">
        <f>(AA342+AA343+AA353+AA354)*'Data - P&amp;L'!$C$5*'Data - P&amp;L'!$C$55</f>
        <v>1.344</v>
      </c>
      <c r="AB437" s="255">
        <f>(AB342+AB343+AB353+AB354)*'Data - P&amp;L'!$C$5*'Data - P&amp;L'!$C$55</f>
        <v>0</v>
      </c>
      <c r="AC437" s="255">
        <f>(AC342+AC343+AC353+AC354)*'Data - P&amp;L'!$C$5*'Data - P&amp;L'!$C$55</f>
        <v>0</v>
      </c>
      <c r="AD437" s="255">
        <f>(AD342+AD343+AD353+AD354)*'Data - P&amp;L'!$C$5*'Data - P&amp;L'!$C$55</f>
        <v>4.032</v>
      </c>
      <c r="AE437" s="255">
        <f>(AE342+AE343+AE353+AE354)*'Data - P&amp;L'!$C$5*'Data - P&amp;L'!$C$55</f>
        <v>2.688</v>
      </c>
      <c r="AF437" s="255">
        <f>(AF342+AF343+AF353+AF354)*'Data - P&amp;L'!$C$5*'Data - P&amp;L'!$C$55</f>
        <v>1.344</v>
      </c>
      <c r="AG437" s="126">
        <f t="shared" si="126"/>
        <v>47.04</v>
      </c>
    </row>
    <row r="438" outlineLevel="1">
      <c r="A438" s="157" t="s">
        <v>358</v>
      </c>
      <c r="B438" s="255">
        <f>(B344+B345+B355+B356)*'Data - P&amp;L'!$C$10*'Data - P&amp;L'!$C$55</f>
        <v>0</v>
      </c>
      <c r="C438" s="255">
        <f>(C344+C345+C355+C356)*'Data - P&amp;L'!$C$10*'Data - P&amp;L'!$C$55</f>
        <v>0</v>
      </c>
      <c r="D438" s="255">
        <f>(D344+D345+D355+D356)*'Data - P&amp;L'!$C$10*'Data - P&amp;L'!$C$55</f>
        <v>0</v>
      </c>
      <c r="E438" s="255">
        <f>(E344+E345+E355+E356)*'Data - P&amp;L'!$C$10*'Data - P&amp;L'!$C$55</f>
        <v>0</v>
      </c>
      <c r="F438" s="255">
        <f>(F344+F345+F355+F356)*'Data - P&amp;L'!$C$10*'Data - P&amp;L'!$C$55</f>
        <v>0</v>
      </c>
      <c r="G438" s="255">
        <f>(G344+G345+G355+G356)*'Data - P&amp;L'!$C$10*'Data - P&amp;L'!$C$55</f>
        <v>0</v>
      </c>
      <c r="H438" s="255">
        <f>(H344+H345+H355+H356)*'Data - P&amp;L'!$C$10*'Data - P&amp;L'!$C$55</f>
        <v>0</v>
      </c>
      <c r="I438" s="255">
        <f>(I344+I345+I355+I356)*'Data - P&amp;L'!$C$10*'Data - P&amp;L'!$C$55</f>
        <v>1.2</v>
      </c>
      <c r="J438" s="255">
        <f>(J344+J345+J355+J356)*'Data - P&amp;L'!$C$10*'Data - P&amp;L'!$C$55</f>
        <v>1.2</v>
      </c>
      <c r="K438" s="255">
        <f>(K344+K345+K355+K356)*'Data - P&amp;L'!$C$10*'Data - P&amp;L'!$C$55</f>
        <v>0.6</v>
      </c>
      <c r="L438" s="255">
        <f>(L344+L345+L355+L356)*'Data - P&amp;L'!$C$10*'Data - P&amp;L'!$C$55</f>
        <v>0</v>
      </c>
      <c r="M438" s="255">
        <f>(M344+M345+M355+M356)*'Data - P&amp;L'!$C$10*'Data - P&amp;L'!$C$55</f>
        <v>0</v>
      </c>
      <c r="N438" s="255">
        <f>(N344+N345+N355+N356)*'Data - P&amp;L'!$C$10*'Data - P&amp;L'!$C$55</f>
        <v>0</v>
      </c>
      <c r="O438" s="255">
        <f>(O344+O345+O355+O356)*'Data - P&amp;L'!$C$10*'Data - P&amp;L'!$C$55</f>
        <v>0</v>
      </c>
      <c r="P438" s="255">
        <f>(P344+P345+P355+P356)*'Data - P&amp;L'!$C$10*'Data - P&amp;L'!$C$55</f>
        <v>1.2</v>
      </c>
      <c r="Q438" s="255">
        <f>(Q344+Q345+Q355+Q356)*'Data - P&amp;L'!$C$10*'Data - P&amp;L'!$C$55</f>
        <v>0</v>
      </c>
      <c r="R438" s="255">
        <f>(R344+R345+R355+R356)*'Data - P&amp;L'!$C$10*'Data - P&amp;L'!$C$55</f>
        <v>0.6</v>
      </c>
      <c r="S438" s="255">
        <f>(S344+S345+S355+S356)*'Data - P&amp;L'!$C$10*'Data - P&amp;L'!$C$55</f>
        <v>0</v>
      </c>
      <c r="T438" s="255">
        <f>(T344+T345+T355+T356)*'Data - P&amp;L'!$C$10*'Data - P&amp;L'!$C$55</f>
        <v>0.6</v>
      </c>
      <c r="U438" s="255">
        <f>(U344+U345+U355+U356)*'Data - P&amp;L'!$C$10*'Data - P&amp;L'!$C$55</f>
        <v>0</v>
      </c>
      <c r="V438" s="255">
        <f>(V344+V345+V355+V356)*'Data - P&amp;L'!$C$10*'Data - P&amp;L'!$C$55</f>
        <v>0</v>
      </c>
      <c r="W438" s="255">
        <f>(W344+W345+W355+W356)*'Data - P&amp;L'!$C$10*'Data - P&amp;L'!$C$55</f>
        <v>2.4</v>
      </c>
      <c r="X438" s="255">
        <f>(X344+X345+X355+X356)*'Data - P&amp;L'!$C$10*'Data - P&amp;L'!$C$55</f>
        <v>0</v>
      </c>
      <c r="Y438" s="255">
        <f>(Y344+Y345+Y355+Y356)*'Data - P&amp;L'!$C$10*'Data - P&amp;L'!$C$55</f>
        <v>0.6</v>
      </c>
      <c r="Z438" s="255">
        <f>(Z344+Z345+Z355+Z356)*'Data - P&amp;L'!$C$10*'Data - P&amp;L'!$C$55</f>
        <v>0</v>
      </c>
      <c r="AA438" s="255">
        <f>(AA344+AA345+AA355+AA356)*'Data - P&amp;L'!$C$10*'Data - P&amp;L'!$C$55</f>
        <v>0</v>
      </c>
      <c r="AB438" s="255">
        <f>(AB344+AB345+AB355+AB356)*'Data - P&amp;L'!$C$10*'Data - P&amp;L'!$C$55</f>
        <v>0</v>
      </c>
      <c r="AC438" s="255">
        <f>(AC344+AC345+AC355+AC356)*'Data - P&amp;L'!$C$10*'Data - P&amp;L'!$C$55</f>
        <v>0</v>
      </c>
      <c r="AD438" s="255">
        <f>(AD344+AD345+AD355+AD356)*'Data - P&amp;L'!$C$10*'Data - P&amp;L'!$C$55</f>
        <v>0.6</v>
      </c>
      <c r="AE438" s="255">
        <f>(AE344+AE345+AE355+AE356)*'Data - P&amp;L'!$C$10*'Data - P&amp;L'!$C$55</f>
        <v>0</v>
      </c>
      <c r="AF438" s="255">
        <f>(AF344+AF345+AF355+AF356)*'Data - P&amp;L'!$C$10*'Data - P&amp;L'!$C$55</f>
        <v>1.2</v>
      </c>
      <c r="AG438" s="126">
        <f t="shared" si="126"/>
        <v>10.2</v>
      </c>
    </row>
    <row r="439" outlineLevel="1">
      <c r="A439" s="157" t="s">
        <v>372</v>
      </c>
      <c r="B439" s="255">
        <f>((B322+B323+B331+B332)*'Data - P&amp;L'!$C$13)*'Data - P&amp;L'!$C$55</f>
        <v>0</v>
      </c>
      <c r="C439" s="255">
        <f>((C322+C323+C331+C332)*'Data - P&amp;L'!$C$13)*'Data - P&amp;L'!$C$55</f>
        <v>0</v>
      </c>
      <c r="D439" s="255">
        <f>((D322+D323+D331+D332)*'Data - P&amp;L'!$C$13)*'Data - P&amp;L'!$C$55</f>
        <v>0</v>
      </c>
      <c r="E439" s="255">
        <f>((E322+E323+E331+E332)*'Data - P&amp;L'!$C$13)*'Data - P&amp;L'!$C$55</f>
        <v>0</v>
      </c>
      <c r="F439" s="255">
        <f>((F322+F323+F331+F332)*'Data - P&amp;L'!$C$13)*'Data - P&amp;L'!$C$55</f>
        <v>0</v>
      </c>
      <c r="G439" s="255">
        <f>((G322+G323+G331+G332)*'Data - P&amp;L'!$C$13)*'Data - P&amp;L'!$C$55</f>
        <v>0</v>
      </c>
      <c r="H439" s="255">
        <f>((H322+H323+H331+H332)*'Data - P&amp;L'!$C$13)*'Data - P&amp;L'!$C$55</f>
        <v>0</v>
      </c>
      <c r="I439" s="255">
        <f>((I322+I323+I331+I332)*'Data - P&amp;L'!$C$13)*'Data - P&amp;L'!$C$55</f>
        <v>0</v>
      </c>
      <c r="J439" s="255">
        <f>((J322+J323+J331+J332)*'Data - P&amp;L'!$C$13)*'Data - P&amp;L'!$C$55</f>
        <v>0</v>
      </c>
      <c r="K439" s="255">
        <f>((K322+K323+K331+K332)*'Data - P&amp;L'!$C$13)*'Data - P&amp;L'!$C$55</f>
        <v>0</v>
      </c>
      <c r="L439" s="255">
        <f>((L322+L323+L331+L332)*'Data - P&amp;L'!$C$13)*'Data - P&amp;L'!$C$55</f>
        <v>0</v>
      </c>
      <c r="M439" s="255">
        <f>((M322+M323+M331+M332)*'Data - P&amp;L'!$C$13)*'Data - P&amp;L'!$C$55</f>
        <v>0</v>
      </c>
      <c r="N439" s="255">
        <f>((N322+N323+N331+N332)*'Data - P&amp;L'!$C$13)*'Data - P&amp;L'!$C$55</f>
        <v>0</v>
      </c>
      <c r="O439" s="255">
        <f>((O322+O323+O331+O332)*'Data - P&amp;L'!$C$13)*'Data - P&amp;L'!$C$55</f>
        <v>0</v>
      </c>
      <c r="P439" s="255">
        <f>((P322+P323+P331+P332)*'Data - P&amp;L'!$C$13)*'Data - P&amp;L'!$C$55</f>
        <v>0</v>
      </c>
      <c r="Q439" s="255">
        <f>((Q322+Q323+Q331+Q332)*'Data - P&amp;L'!$C$13)*'Data - P&amp;L'!$C$55</f>
        <v>0</v>
      </c>
      <c r="R439" s="255">
        <f>((R322+R323+R331+R332)*'Data - P&amp;L'!$C$13)*'Data - P&amp;L'!$C$55</f>
        <v>0</v>
      </c>
      <c r="S439" s="255">
        <f>((S322+S323+S331+S332)*'Data - P&amp;L'!$C$13)*'Data - P&amp;L'!$C$55</f>
        <v>0</v>
      </c>
      <c r="T439" s="255">
        <f>((T322+T323+T331+T332)*'Data - P&amp;L'!$C$13)*'Data - P&amp;L'!$C$55</f>
        <v>0</v>
      </c>
      <c r="U439" s="255">
        <f>((U322+U323+U331+U332)*'Data - P&amp;L'!$C$13)*'Data - P&amp;L'!$C$55</f>
        <v>0</v>
      </c>
      <c r="V439" s="255">
        <f>((V322+V323+V331+V332)*'Data - P&amp;L'!$C$13)*'Data - P&amp;L'!$C$55</f>
        <v>0</v>
      </c>
      <c r="W439" s="255">
        <f>((W322+W323+W331+W332)*'Data - P&amp;L'!$C$13)*'Data - P&amp;L'!$C$55</f>
        <v>0</v>
      </c>
      <c r="X439" s="255">
        <f>((X322+X323+X331+X332)*'Data - P&amp;L'!$C$13)*'Data - P&amp;L'!$C$55</f>
        <v>0</v>
      </c>
      <c r="Y439" s="255">
        <f>((Y322+Y323+Y331+Y332)*'Data - P&amp;L'!$C$13)*'Data - P&amp;L'!$C$55</f>
        <v>0</v>
      </c>
      <c r="Z439" s="255">
        <f>((Z322+Z323+Z331+Z332)*'Data - P&amp;L'!$C$13)*'Data - P&amp;L'!$C$55</f>
        <v>0</v>
      </c>
      <c r="AA439" s="255">
        <f>((AA322+AA323+AA331+AA332)*'Data - P&amp;L'!$C$13)*'Data - P&amp;L'!$C$55</f>
        <v>0</v>
      </c>
      <c r="AB439" s="255">
        <f>((AB322+AB323+AB331+AB332)*'Data - P&amp;L'!$C$13)*'Data - P&amp;L'!$C$55</f>
        <v>0</v>
      </c>
      <c r="AC439" s="255">
        <f>((AC322+AC323+AC331+AC332)*'Data - P&amp;L'!$C$13)*'Data - P&amp;L'!$C$55</f>
        <v>0</v>
      </c>
      <c r="AD439" s="255">
        <f>((AD322+AD323+AD331+AD332)*'Data - P&amp;L'!$C$13)*'Data - P&amp;L'!$C$55</f>
        <v>0</v>
      </c>
      <c r="AE439" s="255">
        <f>((AE322+AE323+AE331+AE332)*'Data - P&amp;L'!$C$13)*'Data - P&amp;L'!$C$55</f>
        <v>0</v>
      </c>
      <c r="AF439" s="255">
        <f>((AF322+AF323+AF331+AF332)*'Data - P&amp;L'!$C$13)*'Data - P&amp;L'!$C$55</f>
        <v>0</v>
      </c>
      <c r="AG439" s="126">
        <f t="shared" si="126"/>
        <v>0</v>
      </c>
    </row>
    <row r="440" outlineLevel="1">
      <c r="A440" s="157" t="s">
        <v>373</v>
      </c>
      <c r="B440" s="255">
        <f>((B324+B333)*'Data - P&amp;L'!$C$14)*'Data - P&amp;L'!$C$55</f>
        <v>0</v>
      </c>
      <c r="C440" s="255">
        <f>((C324+C333)*'Data - P&amp;L'!$C$14)*'Data - P&amp;L'!$C$55</f>
        <v>0</v>
      </c>
      <c r="D440" s="255">
        <f>((D324+D333)*'Data - P&amp;L'!$C$14)*'Data - P&amp;L'!$C$55</f>
        <v>0</v>
      </c>
      <c r="E440" s="255">
        <f>((E324+E333)*'Data - P&amp;L'!$C$14)*'Data - P&amp;L'!$C$55</f>
        <v>0</v>
      </c>
      <c r="F440" s="255">
        <f>((F324+F333)*'Data - P&amp;L'!$C$14)*'Data - P&amp;L'!$C$55</f>
        <v>0</v>
      </c>
      <c r="G440" s="255">
        <f>((G324+G333)*'Data - P&amp;L'!$C$14)*'Data - P&amp;L'!$C$55</f>
        <v>0</v>
      </c>
      <c r="H440" s="255">
        <f>((H324+H333)*'Data - P&amp;L'!$C$14)*'Data - P&amp;L'!$C$55</f>
        <v>0</v>
      </c>
      <c r="I440" s="255">
        <f>((I324+I333)*'Data - P&amp;L'!$C$14)*'Data - P&amp;L'!$C$55</f>
        <v>0</v>
      </c>
      <c r="J440" s="255">
        <f>((J324+J333)*'Data - P&amp;L'!$C$14)*'Data - P&amp;L'!$C$55</f>
        <v>0</v>
      </c>
      <c r="K440" s="255">
        <f>((K324+K333)*'Data - P&amp;L'!$C$14)*'Data - P&amp;L'!$C$55</f>
        <v>0</v>
      </c>
      <c r="L440" s="255">
        <f>((L324+L333)*'Data - P&amp;L'!$C$14)*'Data - P&amp;L'!$C$55</f>
        <v>0</v>
      </c>
      <c r="M440" s="255">
        <f>((M324+M333)*'Data - P&amp;L'!$C$14)*'Data - P&amp;L'!$C$55</f>
        <v>0</v>
      </c>
      <c r="N440" s="255">
        <f>((N324+N333)*'Data - P&amp;L'!$C$14)*'Data - P&amp;L'!$C$55</f>
        <v>0</v>
      </c>
      <c r="O440" s="255">
        <f>((O324+O333)*'Data - P&amp;L'!$C$14)*'Data - P&amp;L'!$C$55</f>
        <v>0</v>
      </c>
      <c r="P440" s="255">
        <f>((P324+P333)*'Data - P&amp;L'!$C$14)*'Data - P&amp;L'!$C$55</f>
        <v>0</v>
      </c>
      <c r="Q440" s="255">
        <f>((Q324+Q333)*'Data - P&amp;L'!$C$14)*'Data - P&amp;L'!$C$55</f>
        <v>0</v>
      </c>
      <c r="R440" s="255">
        <f>((R324+R333)*'Data - P&amp;L'!$C$14)*'Data - P&amp;L'!$C$55</f>
        <v>0</v>
      </c>
      <c r="S440" s="255">
        <f>((S324+S333)*'Data - P&amp;L'!$C$14)*'Data - P&amp;L'!$C$55</f>
        <v>0</v>
      </c>
      <c r="T440" s="255">
        <f>((T324+T333)*'Data - P&amp;L'!$C$14)*'Data - P&amp;L'!$C$55</f>
        <v>0</v>
      </c>
      <c r="U440" s="255">
        <f>((U324+U333)*'Data - P&amp;L'!$C$14)*'Data - P&amp;L'!$C$55</f>
        <v>0</v>
      </c>
      <c r="V440" s="255">
        <f>((V324+V333)*'Data - P&amp;L'!$C$14)*'Data - P&amp;L'!$C$55</f>
        <v>0</v>
      </c>
      <c r="W440" s="255">
        <f>((W324+W333)*'Data - P&amp;L'!$C$14)*'Data - P&amp;L'!$C$55</f>
        <v>0</v>
      </c>
      <c r="X440" s="255">
        <f>((X324+X333)*'Data - P&amp;L'!$C$14)*'Data - P&amp;L'!$C$55</f>
        <v>0</v>
      </c>
      <c r="Y440" s="255">
        <f>((Y324+Y333)*'Data - P&amp;L'!$C$14)*'Data - P&amp;L'!$C$55</f>
        <v>0</v>
      </c>
      <c r="Z440" s="255">
        <f>((Z324+Z333)*'Data - P&amp;L'!$C$14)*'Data - P&amp;L'!$C$55</f>
        <v>0</v>
      </c>
      <c r="AA440" s="255">
        <f>((AA324+AA333)*'Data - P&amp;L'!$C$14)*'Data - P&amp;L'!$C$55</f>
        <v>0</v>
      </c>
      <c r="AB440" s="255">
        <f>((AB324+AB333)*'Data - P&amp;L'!$C$14)*'Data - P&amp;L'!$C$55</f>
        <v>0</v>
      </c>
      <c r="AC440" s="255">
        <f>((AC324+AC333)*'Data - P&amp;L'!$C$14)*'Data - P&amp;L'!$C$55</f>
        <v>0</v>
      </c>
      <c r="AD440" s="255">
        <f>((AD324+AD333)*'Data - P&amp;L'!$C$14)*'Data - P&amp;L'!$C$55</f>
        <v>0</v>
      </c>
      <c r="AE440" s="255">
        <f>((AE324+AE333)*'Data - P&amp;L'!$C$14)*'Data - P&amp;L'!$C$55</f>
        <v>0</v>
      </c>
      <c r="AF440" s="255">
        <f>((AF324+AF333)*'Data - P&amp;L'!$C$14)*'Data - P&amp;L'!$C$55</f>
        <v>0</v>
      </c>
      <c r="AG440" s="126">
        <f t="shared" si="126"/>
        <v>0</v>
      </c>
    </row>
    <row r="441" outlineLevel="1">
      <c r="A441" s="272" t="s">
        <v>359</v>
      </c>
      <c r="B441" s="255">
        <f>((B334*'Data - P&amp;L'!$C$38)+(B335*'Data - P&amp;L'!$C$39))*'Data - P&amp;L'!$C$55</f>
        <v>0</v>
      </c>
      <c r="C441" s="255">
        <f>((C334*'Data - P&amp;L'!$C$38)+(C335*'Data - P&amp;L'!$C$39))*'Data - P&amp;L'!$C$55</f>
        <v>0</v>
      </c>
      <c r="D441" s="255">
        <f>((D334*'Data - P&amp;L'!$C$38)+(D335*'Data - P&amp;L'!$C$39))*'Data - P&amp;L'!$C$55</f>
        <v>0</v>
      </c>
      <c r="E441" s="255">
        <f>((E334*'Data - P&amp;L'!$C$38)+(E335*'Data - P&amp;L'!$C$39))*'Data - P&amp;L'!$C$55</f>
        <v>0</v>
      </c>
      <c r="F441" s="255">
        <f>((F334*'Data - P&amp;L'!$C$38)+(F335*'Data - P&amp;L'!$C$39))*'Data - P&amp;L'!$C$55</f>
        <v>1.194</v>
      </c>
      <c r="G441" s="255">
        <f>((G334*'Data - P&amp;L'!$C$38)+(G335*'Data - P&amp;L'!$C$39))*'Data - P&amp;L'!$C$55</f>
        <v>0</v>
      </c>
      <c r="H441" s="255">
        <f>((H334*'Data - P&amp;L'!$C$38)+(H335*'Data - P&amp;L'!$C$39))*'Data - P&amp;L'!$C$55</f>
        <v>0</v>
      </c>
      <c r="I441" s="255">
        <f>((I334*'Data - P&amp;L'!$C$38)+(I335*'Data - P&amp;L'!$C$39))*'Data - P&amp;L'!$C$55</f>
        <v>13.134</v>
      </c>
      <c r="J441" s="255">
        <f>((J334*'Data - P&amp;L'!$C$38)+(J335*'Data - P&amp;L'!$C$39))*'Data - P&amp;L'!$C$55</f>
        <v>7.164</v>
      </c>
      <c r="K441" s="255">
        <f>((K334*'Data - P&amp;L'!$C$38)+(K335*'Data - P&amp;L'!$C$39))*'Data - P&amp;L'!$C$55</f>
        <v>7.164</v>
      </c>
      <c r="L441" s="255">
        <f>((L334*'Data - P&amp;L'!$C$38)+(L335*'Data - P&amp;L'!$C$39))*'Data - P&amp;L'!$C$55</f>
        <v>0</v>
      </c>
      <c r="M441" s="255">
        <f>((M334*'Data - P&amp;L'!$C$38)+(M335*'Data - P&amp;L'!$C$39))*'Data - P&amp;L'!$C$55</f>
        <v>1.194</v>
      </c>
      <c r="N441" s="255">
        <f>((N334*'Data - P&amp;L'!$C$38)+(N335*'Data - P&amp;L'!$C$39))*'Data - P&amp;L'!$C$55</f>
        <v>0</v>
      </c>
      <c r="O441" s="255">
        <f>((O334*'Data - P&amp;L'!$C$38)+(O335*'Data - P&amp;L'!$C$39))*'Data - P&amp;L'!$C$55</f>
        <v>0</v>
      </c>
      <c r="P441" s="255">
        <f>((P334*'Data - P&amp;L'!$C$38)+(P335*'Data - P&amp;L'!$C$39))*'Data - P&amp;L'!$C$55</f>
        <v>13.134</v>
      </c>
      <c r="Q441" s="255">
        <f>((Q334*'Data - P&amp;L'!$C$38)+(Q335*'Data - P&amp;L'!$C$39))*'Data - P&amp;L'!$C$55</f>
        <v>0</v>
      </c>
      <c r="R441" s="255">
        <f>((R334*'Data - P&amp;L'!$C$38)+(R335*'Data - P&amp;L'!$C$39))*'Data - P&amp;L'!$C$55</f>
        <v>1.194</v>
      </c>
      <c r="S441" s="255">
        <f>((S334*'Data - P&amp;L'!$C$38)+(S335*'Data - P&amp;L'!$C$39))*'Data - P&amp;L'!$C$55</f>
        <v>0</v>
      </c>
      <c r="T441" s="255">
        <f>((T334*'Data - P&amp;L'!$C$38)+(T335*'Data - P&amp;L'!$C$39))*'Data - P&amp;L'!$C$55</f>
        <v>0</v>
      </c>
      <c r="U441" s="255">
        <f>((U334*'Data - P&amp;L'!$C$38)+(U335*'Data - P&amp;L'!$C$39))*'Data - P&amp;L'!$C$55</f>
        <v>0</v>
      </c>
      <c r="V441" s="255">
        <f>((V334*'Data - P&amp;L'!$C$38)+(V335*'Data - P&amp;L'!$C$39))*'Data - P&amp;L'!$C$55</f>
        <v>0</v>
      </c>
      <c r="W441" s="255">
        <f>((W334*'Data - P&amp;L'!$C$38)+(W335*'Data - P&amp;L'!$C$39))*'Data - P&amp;L'!$C$55</f>
        <v>4.776</v>
      </c>
      <c r="X441" s="255">
        <f>((X334*'Data - P&amp;L'!$C$38)+(X335*'Data - P&amp;L'!$C$39))*'Data - P&amp;L'!$C$55</f>
        <v>0</v>
      </c>
      <c r="Y441" s="255">
        <f>((Y334*'Data - P&amp;L'!$C$38)+(Y335*'Data - P&amp;L'!$C$39))*'Data - P&amp;L'!$C$55</f>
        <v>5.97</v>
      </c>
      <c r="Z441" s="255">
        <f>((Z334*'Data - P&amp;L'!$C$38)+(Z335*'Data - P&amp;L'!$C$39))*'Data - P&amp;L'!$C$55</f>
        <v>0</v>
      </c>
      <c r="AA441" s="255">
        <f>((AA334*'Data - P&amp;L'!$C$38)+(AA335*'Data - P&amp;L'!$C$39))*'Data - P&amp;L'!$C$55</f>
        <v>0</v>
      </c>
      <c r="AB441" s="255">
        <f>((AB334*'Data - P&amp;L'!$C$38)+(AB335*'Data - P&amp;L'!$C$39))*'Data - P&amp;L'!$C$55</f>
        <v>0</v>
      </c>
      <c r="AC441" s="255">
        <f>((AC334*'Data - P&amp;L'!$C$38)+(AC335*'Data - P&amp;L'!$C$39))*'Data - P&amp;L'!$C$55</f>
        <v>0</v>
      </c>
      <c r="AD441" s="255">
        <f>((AD334*'Data - P&amp;L'!$C$38)+(AD335*'Data - P&amp;L'!$C$39))*'Data - P&amp;L'!$C$55</f>
        <v>5.97</v>
      </c>
      <c r="AE441" s="255">
        <f>((AE334*'Data - P&amp;L'!$C$38)+(AE335*'Data - P&amp;L'!$C$39))*'Data - P&amp;L'!$C$55</f>
        <v>5.97</v>
      </c>
      <c r="AF441" s="255">
        <f>((AF334*'Data - P&amp;L'!$C$38)+(AF335*'Data - P&amp;L'!$C$39))*'Data - P&amp;L'!$C$55</f>
        <v>3.582</v>
      </c>
      <c r="AG441" s="126">
        <f t="shared" si="126"/>
        <v>70.446</v>
      </c>
    </row>
    <row r="442" outlineLevel="1">
      <c r="A442" s="272" t="s">
        <v>361</v>
      </c>
      <c r="B442" s="255">
        <f>((B346*'Data - P&amp;L'!$D$38)+(B357*'Data - P&amp;L'!$D$39))*'Data - P&amp;L'!$C$55</f>
        <v>0</v>
      </c>
      <c r="C442" s="255">
        <f>((C346*'Data - P&amp;L'!$D$38)+(C357*'Data - P&amp;L'!$D$39))*'Data - P&amp;L'!$C$55</f>
        <v>0.4305</v>
      </c>
      <c r="D442" s="255">
        <f>((D346*'Data - P&amp;L'!$D$38)+(D357*'Data - P&amp;L'!$D$39))*'Data - P&amp;L'!$C$55</f>
        <v>0.4305</v>
      </c>
      <c r="E442" s="255">
        <f>((E346*'Data - P&amp;L'!$D$38)+(E357*'Data - P&amp;L'!$D$39))*'Data - P&amp;L'!$C$55</f>
        <v>0.7175</v>
      </c>
      <c r="F442" s="255">
        <f>((F346*'Data - P&amp;L'!$D$38)+(F357*'Data - P&amp;L'!$D$39))*'Data - P&amp;L'!$C$55</f>
        <v>0</v>
      </c>
      <c r="G442" s="255">
        <f>((G346*'Data - P&amp;L'!$D$38)+(G357*'Data - P&amp;L'!$D$39))*'Data - P&amp;L'!$C$55</f>
        <v>0</v>
      </c>
      <c r="H442" s="255">
        <f>((H346*'Data - P&amp;L'!$D$38)+(H357*'Data - P&amp;L'!$D$39))*'Data - P&amp;L'!$C$55</f>
        <v>0</v>
      </c>
      <c r="I442" s="255">
        <f>((I346*'Data - P&amp;L'!$D$38)+(I357*'Data - P&amp;L'!$D$39))*'Data - P&amp;L'!$C$55</f>
        <v>0.718</v>
      </c>
      <c r="J442" s="255">
        <f>((J346*'Data - P&amp;L'!$D$38)+(J357*'Data - P&amp;L'!$D$39))*'Data - P&amp;L'!$C$55</f>
        <v>1.435</v>
      </c>
      <c r="K442" s="255">
        <f>((K346*'Data - P&amp;L'!$D$38)+(K357*'Data - P&amp;L'!$D$39))*'Data - P&amp;L'!$C$55</f>
        <v>0.861</v>
      </c>
      <c r="L442" s="255">
        <f>((L346*'Data - P&amp;L'!$D$38)+(L357*'Data - P&amp;L'!$D$39))*'Data - P&amp;L'!$C$55</f>
        <v>0.4305</v>
      </c>
      <c r="M442" s="255">
        <f>((M346*'Data - P&amp;L'!$D$38)+(M357*'Data - P&amp;L'!$D$39))*'Data - P&amp;L'!$C$55</f>
        <v>0.4305</v>
      </c>
      <c r="N442" s="255">
        <f>((N346*'Data - P&amp;L'!$D$38)+(N357*'Data - P&amp;L'!$D$39))*'Data - P&amp;L'!$C$55</f>
        <v>0</v>
      </c>
      <c r="O442" s="255">
        <f>((O346*'Data - P&amp;L'!$D$38)+(O357*'Data - P&amp;L'!$D$39))*'Data - P&amp;L'!$C$55</f>
        <v>0</v>
      </c>
      <c r="P442" s="255">
        <f>((P346*'Data - P&amp;L'!$D$38)+(P357*'Data - P&amp;L'!$D$39))*'Data - P&amp;L'!$C$55</f>
        <v>2.1535</v>
      </c>
      <c r="Q442" s="255">
        <f>((Q346*'Data - P&amp;L'!$D$38)+(Q357*'Data - P&amp;L'!$D$39))*'Data - P&amp;L'!$C$55</f>
        <v>0.2875</v>
      </c>
      <c r="R442" s="255">
        <f>((R346*'Data - P&amp;L'!$D$38)+(R357*'Data - P&amp;L'!$D$39))*'Data - P&amp;L'!$C$55</f>
        <v>0.4305</v>
      </c>
      <c r="S442" s="255">
        <f>((S346*'Data - P&amp;L'!$D$38)+(S357*'Data - P&amp;L'!$D$39))*'Data - P&amp;L'!$C$55</f>
        <v>0</v>
      </c>
      <c r="T442" s="255">
        <f>((T346*'Data - P&amp;L'!$D$38)+(T357*'Data - P&amp;L'!$D$39))*'Data - P&amp;L'!$C$55</f>
        <v>0.574</v>
      </c>
      <c r="U442" s="255">
        <f>((U346*'Data - P&amp;L'!$D$38)+(U357*'Data - P&amp;L'!$D$39))*'Data - P&amp;L'!$C$55</f>
        <v>0</v>
      </c>
      <c r="V442" s="255">
        <f>((V346*'Data - P&amp;L'!$D$38)+(V357*'Data - P&amp;L'!$D$39))*'Data - P&amp;L'!$C$55</f>
        <v>0</v>
      </c>
      <c r="W442" s="255">
        <f>((W346*'Data - P&amp;L'!$D$38)+(W357*'Data - P&amp;L'!$D$39))*'Data - P&amp;L'!$C$55</f>
        <v>2.447</v>
      </c>
      <c r="X442" s="255">
        <f>((X346*'Data - P&amp;L'!$D$38)+(X357*'Data - P&amp;L'!$D$39))*'Data - P&amp;L'!$C$55</f>
        <v>0</v>
      </c>
      <c r="Y442" s="255">
        <f>((Y346*'Data - P&amp;L'!$D$38)+(Y357*'Data - P&amp;L'!$D$39))*'Data - P&amp;L'!$C$55</f>
        <v>1.722</v>
      </c>
      <c r="Z442" s="255">
        <f>((Z346*'Data - P&amp;L'!$D$38)+(Z357*'Data - P&amp;L'!$D$39))*'Data - P&amp;L'!$C$55</f>
        <v>0</v>
      </c>
      <c r="AA442" s="255">
        <f>((AA346*'Data - P&amp;L'!$D$38)+(AA357*'Data - P&amp;L'!$D$39))*'Data - P&amp;L'!$C$55</f>
        <v>0.287</v>
      </c>
      <c r="AB442" s="255">
        <f>((AB346*'Data - P&amp;L'!$D$38)+(AB357*'Data - P&amp;L'!$D$39))*'Data - P&amp;L'!$C$55</f>
        <v>0</v>
      </c>
      <c r="AC442" s="255">
        <f>((AC346*'Data - P&amp;L'!$D$38)+(AC357*'Data - P&amp;L'!$D$39))*'Data - P&amp;L'!$C$55</f>
        <v>0</v>
      </c>
      <c r="AD442" s="255">
        <f>((AD346*'Data - P&amp;L'!$D$38)+(AD357*'Data - P&amp;L'!$D$39))*'Data - P&amp;L'!$C$55</f>
        <v>1.4355</v>
      </c>
      <c r="AE442" s="255">
        <f>((AE346*'Data - P&amp;L'!$D$38)+(AE357*'Data - P&amp;L'!$D$39))*'Data - P&amp;L'!$C$55</f>
        <v>0.431</v>
      </c>
      <c r="AF442" s="255">
        <f>((AF346*'Data - P&amp;L'!$D$38)+(AF357*'Data - P&amp;L'!$D$39))*'Data - P&amp;L'!$C$55</f>
        <v>1.2915</v>
      </c>
      <c r="AG442" s="126">
        <f t="shared" si="126"/>
        <v>16.513</v>
      </c>
    </row>
    <row r="443" outlineLevel="1">
      <c r="A443" s="157" t="s">
        <v>374</v>
      </c>
      <c r="B443" s="274"/>
      <c r="C443" s="274"/>
      <c r="D443" s="274"/>
      <c r="E443" s="274"/>
      <c r="F443" s="274"/>
      <c r="G443" s="274"/>
      <c r="H443" s="274"/>
      <c r="I443" s="274"/>
      <c r="J443" s="274"/>
      <c r="K443" s="274"/>
      <c r="L443" s="274"/>
      <c r="M443" s="274"/>
      <c r="N443" s="274"/>
      <c r="O443" s="274"/>
      <c r="P443" s="274"/>
      <c r="Q443" s="274"/>
      <c r="R443" s="274"/>
      <c r="S443" s="274"/>
      <c r="T443" s="274"/>
      <c r="U443" s="274"/>
      <c r="V443" s="274"/>
      <c r="W443" s="274"/>
      <c r="X443" s="274"/>
      <c r="Y443" s="274"/>
      <c r="Z443" s="274"/>
      <c r="AA443" s="274"/>
      <c r="AB443" s="274"/>
      <c r="AC443" s="274"/>
      <c r="AD443" s="274"/>
      <c r="AE443" s="274"/>
      <c r="AF443" s="274"/>
      <c r="AG443" s="126"/>
    </row>
    <row r="444" outlineLevel="1">
      <c r="A444" s="157" t="s">
        <v>375</v>
      </c>
      <c r="B444" s="274"/>
      <c r="C444" s="274"/>
      <c r="D444" s="274"/>
      <c r="E444" s="274"/>
      <c r="F444" s="274"/>
      <c r="G444" s="274"/>
      <c r="H444" s="274"/>
      <c r="I444" s="274"/>
      <c r="J444" s="274"/>
      <c r="K444" s="274"/>
      <c r="L444" s="274"/>
      <c r="M444" s="274"/>
      <c r="N444" s="274"/>
      <c r="O444" s="274"/>
      <c r="P444" s="274"/>
      <c r="Q444" s="274"/>
      <c r="R444" s="274"/>
      <c r="S444" s="274"/>
      <c r="T444" s="274"/>
      <c r="U444" s="274"/>
      <c r="V444" s="274"/>
      <c r="W444" s="274"/>
      <c r="X444" s="274"/>
      <c r="Y444" s="274"/>
      <c r="Z444" s="274"/>
      <c r="AA444" s="274"/>
      <c r="AB444" s="274"/>
      <c r="AC444" s="274"/>
      <c r="AD444" s="274"/>
      <c r="AE444" s="274"/>
      <c r="AF444" s="274"/>
      <c r="AG444" s="126"/>
    </row>
    <row r="445" outlineLevel="1">
      <c r="A445" s="157" t="s">
        <v>376</v>
      </c>
      <c r="B445" s="255">
        <f>(B359*'Data - P&amp;L'!$R$3)+('Data - P&amp;L'!$R$4*B360)</f>
        <v>0</v>
      </c>
      <c r="C445" s="255">
        <f>(C359*'Data - P&amp;L'!$R$3)+('Data - P&amp;L'!$R$4*C360)</f>
        <v>345</v>
      </c>
      <c r="D445" s="255">
        <f>(D359*'Data - P&amp;L'!$R$3)+('Data - P&amp;L'!$R$4*D360)</f>
        <v>915</v>
      </c>
      <c r="E445" s="255">
        <f>(E359*'Data - P&amp;L'!$R$3)+('Data - P&amp;L'!$R$4*E360)</f>
        <v>615</v>
      </c>
      <c r="F445" s="255">
        <f>(F359*'Data - P&amp;L'!$R$3)+('Data - P&amp;L'!$R$4*F360)</f>
        <v>390</v>
      </c>
      <c r="G445" s="255">
        <f>(G359*'Data - P&amp;L'!$R$3)+('Data - P&amp;L'!$R$4*G360)</f>
        <v>0</v>
      </c>
      <c r="H445" s="255">
        <f>(H359*'Data - P&amp;L'!$R$3)+('Data - P&amp;L'!$R$4*H360)</f>
        <v>0</v>
      </c>
      <c r="I445" s="255">
        <f>(I359*'Data - P&amp;L'!$R$3)+('Data - P&amp;L'!$R$4*I360)</f>
        <v>0</v>
      </c>
      <c r="J445" s="255">
        <f>(J359*'Data - P&amp;L'!$R$3)+('Data - P&amp;L'!$R$4*J360)</f>
        <v>1265</v>
      </c>
      <c r="K445" s="255">
        <f>(K359*'Data - P&amp;L'!$R$3)+('Data - P&amp;L'!$R$4*K360)</f>
        <v>240</v>
      </c>
      <c r="L445" s="255">
        <f>(L359*'Data - P&amp;L'!$R$3)+('Data - P&amp;L'!$R$4*L360)</f>
        <v>180</v>
      </c>
      <c r="M445" s="255">
        <f>(M359*'Data - P&amp;L'!$R$3)+('Data - P&amp;L'!$R$4*M360)</f>
        <v>565</v>
      </c>
      <c r="N445" s="255">
        <f>(N359*'Data - P&amp;L'!$R$3)+('Data - P&amp;L'!$R$4*N360)</f>
        <v>0</v>
      </c>
      <c r="O445" s="255">
        <f>(O359*'Data - P&amp;L'!$R$3)+('Data - P&amp;L'!$R$4*O360)</f>
        <v>0</v>
      </c>
      <c r="P445" s="255">
        <f>(P359*'Data - P&amp;L'!$R$3)+('Data - P&amp;L'!$R$4*P360)</f>
        <v>40</v>
      </c>
      <c r="Q445" s="255">
        <f>(Q359*'Data - P&amp;L'!$R$3)+('Data - P&amp;L'!$R$4*Q360)</f>
        <v>405</v>
      </c>
      <c r="R445" s="255">
        <f>(R359*'Data - P&amp;L'!$R$3)+('Data - P&amp;L'!$R$4*R360)</f>
        <v>390</v>
      </c>
      <c r="S445" s="255">
        <f>(S359*'Data - P&amp;L'!$R$3)+('Data - P&amp;L'!$R$4*S360)</f>
        <v>135</v>
      </c>
      <c r="T445" s="255">
        <f>(T359*'Data - P&amp;L'!$R$3)+('Data - P&amp;L'!$R$4*T360)</f>
        <v>495</v>
      </c>
      <c r="U445" s="255">
        <f>(U359*'Data - P&amp;L'!$R$3)+('Data - P&amp;L'!$R$4*U360)</f>
        <v>0</v>
      </c>
      <c r="V445" s="255">
        <f>(V359*'Data - P&amp;L'!$R$3)+('Data - P&amp;L'!$R$4*V360)</f>
        <v>0</v>
      </c>
      <c r="W445" s="255">
        <f>(W359*'Data - P&amp;L'!$R$3)+('Data - P&amp;L'!$R$4*W360)</f>
        <v>1130</v>
      </c>
      <c r="X445" s="255">
        <f>(X359*'Data - P&amp;L'!$R$3)+('Data - P&amp;L'!$R$4*X360)</f>
        <v>0</v>
      </c>
      <c r="Y445" s="255">
        <f>(Y359*'Data - P&amp;L'!$R$3)+('Data - P&amp;L'!$R$4*Y360)</f>
        <v>870</v>
      </c>
      <c r="Z445" s="255">
        <f>(Z359*'Data - P&amp;L'!$R$3)+('Data - P&amp;L'!$R$4*Z360)</f>
        <v>180</v>
      </c>
      <c r="AA445" s="255">
        <f>(AA359*'Data - P&amp;L'!$R$3)+('Data - P&amp;L'!$R$4*AA360)</f>
        <v>420</v>
      </c>
      <c r="AB445" s="255">
        <f>(AB359*'Data - P&amp;L'!$R$3)+('Data - P&amp;L'!$R$4*AB360)</f>
        <v>0</v>
      </c>
      <c r="AC445" s="255">
        <f>(AC359*'Data - P&amp;L'!$R$3)+('Data - P&amp;L'!$R$4*AC360)</f>
        <v>0</v>
      </c>
      <c r="AD445" s="255">
        <f>(AD359*'Data - P&amp;L'!$R$3)+('Data - P&amp;L'!$R$4*AD360)</f>
        <v>465</v>
      </c>
      <c r="AE445" s="255">
        <f>(AE359*'Data - P&amp;L'!$R$3)+('Data - P&amp;L'!$R$4*AE360)</f>
        <v>850</v>
      </c>
      <c r="AF445" s="255">
        <f>(AF359*'Data - P&amp;L'!$R$3)+('Data - P&amp;L'!$R$4*AF360)</f>
        <v>315</v>
      </c>
      <c r="AG445" s="126">
        <f>SUM(B445:AF445)</f>
        <v>10210</v>
      </c>
    </row>
    <row r="446" outlineLevel="1">
      <c r="A446" s="243" t="s">
        <v>377</v>
      </c>
      <c r="B446" s="271">
        <f t="shared" ref="B446:AF446" si="131">sum(B447:B459)</f>
        <v>0</v>
      </c>
      <c r="C446" s="271">
        <f t="shared" si="131"/>
        <v>45.2905</v>
      </c>
      <c r="D446" s="271">
        <f t="shared" si="131"/>
        <v>56.2305</v>
      </c>
      <c r="E446" s="271">
        <f t="shared" si="131"/>
        <v>91.8175</v>
      </c>
      <c r="F446" s="271">
        <f t="shared" si="131"/>
        <v>113.864</v>
      </c>
      <c r="G446" s="271">
        <f t="shared" si="131"/>
        <v>0</v>
      </c>
      <c r="H446" s="271">
        <f t="shared" si="131"/>
        <v>0</v>
      </c>
      <c r="I446" s="271">
        <f t="shared" si="131"/>
        <v>1548.362</v>
      </c>
      <c r="J446" s="271">
        <f t="shared" si="131"/>
        <v>982.889</v>
      </c>
      <c r="K446" s="271">
        <f t="shared" si="131"/>
        <v>920.325</v>
      </c>
      <c r="L446" s="271">
        <f t="shared" si="131"/>
        <v>63.0105</v>
      </c>
      <c r="M446" s="271">
        <f t="shared" si="131"/>
        <v>191.9745</v>
      </c>
      <c r="N446" s="271">
        <f t="shared" si="131"/>
        <v>0</v>
      </c>
      <c r="O446" s="271">
        <f t="shared" si="131"/>
        <v>0</v>
      </c>
      <c r="P446" s="271">
        <f t="shared" si="131"/>
        <v>1782.2975</v>
      </c>
      <c r="Q446" s="271">
        <f t="shared" si="131"/>
        <v>36.2275</v>
      </c>
      <c r="R446" s="271">
        <f t="shared" si="131"/>
        <v>192.4845</v>
      </c>
      <c r="S446" s="271">
        <f t="shared" si="131"/>
        <v>0</v>
      </c>
      <c r="T446" s="271">
        <f t="shared" si="131"/>
        <v>48.864</v>
      </c>
      <c r="U446" s="271">
        <f t="shared" si="131"/>
        <v>0</v>
      </c>
      <c r="V446" s="271">
        <f t="shared" si="131"/>
        <v>0</v>
      </c>
      <c r="W446" s="271">
        <f t="shared" si="131"/>
        <v>694.543</v>
      </c>
      <c r="X446" s="271">
        <f t="shared" si="131"/>
        <v>0</v>
      </c>
      <c r="Y446" s="271">
        <f t="shared" si="131"/>
        <v>880.772</v>
      </c>
      <c r="Z446" s="271">
        <f t="shared" si="131"/>
        <v>0</v>
      </c>
      <c r="AA446" s="271">
        <f t="shared" si="131"/>
        <v>34.277</v>
      </c>
      <c r="AB446" s="271">
        <f t="shared" si="131"/>
        <v>0</v>
      </c>
      <c r="AC446" s="271">
        <f t="shared" si="131"/>
        <v>0</v>
      </c>
      <c r="AD446" s="271">
        <f t="shared" si="131"/>
        <v>869.8655</v>
      </c>
      <c r="AE446" s="271">
        <f t="shared" si="131"/>
        <v>652.551</v>
      </c>
      <c r="AF446" s="271">
        <f t="shared" si="131"/>
        <v>541.7335</v>
      </c>
      <c r="AG446" s="126">
        <f>SUM(AG432:AG445)</f>
        <v>10930.471</v>
      </c>
    </row>
    <row r="447" outlineLevel="1">
      <c r="A447" s="157" t="s">
        <v>378</v>
      </c>
      <c r="B447" s="255">
        <f>B334*'Data - P&amp;L'!$C$3</f>
        <v>0</v>
      </c>
      <c r="C447" s="255">
        <f>C334*'Data - P&amp;L'!$C$3</f>
        <v>0</v>
      </c>
      <c r="D447" s="255">
        <f>D334*'Data - P&amp;L'!$C$3</f>
        <v>0</v>
      </c>
      <c r="E447" s="255">
        <f>E334*'Data - P&amp;L'!$C$3</f>
        <v>0</v>
      </c>
      <c r="F447" s="255">
        <f>F334*'Data - P&amp;L'!$C$3</f>
        <v>0</v>
      </c>
      <c r="G447" s="255">
        <f>G334*'Data - P&amp;L'!$C$3</f>
        <v>0</v>
      </c>
      <c r="H447" s="255">
        <f>H334*'Data - P&amp;L'!$C$3</f>
        <v>0</v>
      </c>
      <c r="I447" s="255">
        <f>I334*'Data - P&amp;L'!$C$3</f>
        <v>347.6</v>
      </c>
      <c r="J447" s="255">
        <f>J334*'Data - P&amp;L'!$C$3</f>
        <v>173.8</v>
      </c>
      <c r="K447" s="255">
        <f>K334*'Data - P&amp;L'!$C$3</f>
        <v>173.8</v>
      </c>
      <c r="L447" s="255">
        <f>L334*'Data - P&amp;L'!$C$3</f>
        <v>0</v>
      </c>
      <c r="M447" s="255">
        <f>M334*'Data - P&amp;L'!$C$3</f>
        <v>0</v>
      </c>
      <c r="N447" s="255">
        <f>N334*'Data - P&amp;L'!$C$3</f>
        <v>0</v>
      </c>
      <c r="O447" s="255">
        <f>O334*'Data - P&amp;L'!$C$3</f>
        <v>0</v>
      </c>
      <c r="P447" s="255">
        <f>P334*'Data - P&amp;L'!$C$3</f>
        <v>173.8</v>
      </c>
      <c r="Q447" s="255">
        <f>Q334*'Data - P&amp;L'!$C$3</f>
        <v>0</v>
      </c>
      <c r="R447" s="255">
        <f>R334*'Data - P&amp;L'!$C$3</f>
        <v>0</v>
      </c>
      <c r="S447" s="255">
        <f>S334*'Data - P&amp;L'!$C$3</f>
        <v>0</v>
      </c>
      <c r="T447" s="255">
        <f>T334*'Data - P&amp;L'!$C$3</f>
        <v>0</v>
      </c>
      <c r="U447" s="255">
        <f>U334*'Data - P&amp;L'!$C$3</f>
        <v>0</v>
      </c>
      <c r="V447" s="255">
        <f>V334*'Data - P&amp;L'!$C$3</f>
        <v>0</v>
      </c>
      <c r="W447" s="255">
        <f>W334*'Data - P&amp;L'!$C$3</f>
        <v>173.8</v>
      </c>
      <c r="X447" s="255">
        <f>X334*'Data - P&amp;L'!$C$3</f>
        <v>0</v>
      </c>
      <c r="Y447" s="255">
        <f>Y334*'Data - P&amp;L'!$C$3</f>
        <v>173.8</v>
      </c>
      <c r="Z447" s="255">
        <f>Z334*'Data - P&amp;L'!$C$3</f>
        <v>0</v>
      </c>
      <c r="AA447" s="255">
        <f>AA334*'Data - P&amp;L'!$C$3</f>
        <v>0</v>
      </c>
      <c r="AB447" s="255">
        <f>AB334*'Data - P&amp;L'!$C$3</f>
        <v>0</v>
      </c>
      <c r="AC447" s="255">
        <f>AC334*'Data - P&amp;L'!$C$3</f>
        <v>0</v>
      </c>
      <c r="AD447" s="255">
        <f>AD334*'Data - P&amp;L'!$C$3</f>
        <v>0</v>
      </c>
      <c r="AE447" s="255">
        <f>AE334*'Data - P&amp;L'!$C$3</f>
        <v>260.7</v>
      </c>
      <c r="AF447" s="255">
        <f>AF334*'Data - P&amp;L'!$C$3</f>
        <v>86.9</v>
      </c>
      <c r="AG447" s="126">
        <f t="shared" ref="AG447:AG459" si="132">SUM(B447:AF447)</f>
        <v>1564.2</v>
      </c>
    </row>
    <row r="448" outlineLevel="1">
      <c r="A448" s="157" t="s">
        <v>379</v>
      </c>
      <c r="B448" s="255">
        <f>B335*'Data - P&amp;L'!$C$4</f>
        <v>0</v>
      </c>
      <c r="C448" s="255">
        <f>C335*'Data - P&amp;L'!$C$4</f>
        <v>0</v>
      </c>
      <c r="D448" s="255">
        <f>D335*'Data - P&amp;L'!$C$4</f>
        <v>0</v>
      </c>
      <c r="E448" s="255">
        <f>E335*'Data - P&amp;L'!$C$4</f>
        <v>0</v>
      </c>
      <c r="F448" s="255">
        <f>F335*'Data - P&amp;L'!$C$4</f>
        <v>97.61</v>
      </c>
      <c r="G448" s="255">
        <f>G335*'Data - P&amp;L'!$C$4</f>
        <v>0</v>
      </c>
      <c r="H448" s="255">
        <f>H335*'Data - P&amp;L'!$C$4</f>
        <v>0</v>
      </c>
      <c r="I448" s="255">
        <f>I335*'Data - P&amp;L'!$C$4</f>
        <v>683.27</v>
      </c>
      <c r="J448" s="255">
        <f>J335*'Data - P&amp;L'!$C$4</f>
        <v>390.44</v>
      </c>
      <c r="K448" s="255">
        <f>K335*'Data - P&amp;L'!$C$4</f>
        <v>390.44</v>
      </c>
      <c r="L448" s="255">
        <f>L335*'Data - P&amp;L'!$C$4</f>
        <v>0</v>
      </c>
      <c r="M448" s="255">
        <f>M335*'Data - P&amp;L'!$C$4</f>
        <v>97.61</v>
      </c>
      <c r="N448" s="255">
        <f>N335*'Data - P&amp;L'!$C$4</f>
        <v>0</v>
      </c>
      <c r="O448" s="255">
        <f>O335*'Data - P&amp;L'!$C$4</f>
        <v>0</v>
      </c>
      <c r="P448" s="255">
        <f>P335*'Data - P&amp;L'!$C$4</f>
        <v>878.49</v>
      </c>
      <c r="Q448" s="255">
        <f>Q335*'Data - P&amp;L'!$C$4</f>
        <v>0</v>
      </c>
      <c r="R448" s="255">
        <f>R335*'Data - P&amp;L'!$C$4</f>
        <v>97.61</v>
      </c>
      <c r="S448" s="255">
        <f>S335*'Data - P&amp;L'!$C$4</f>
        <v>0</v>
      </c>
      <c r="T448" s="255">
        <f>T335*'Data - P&amp;L'!$C$4</f>
        <v>0</v>
      </c>
      <c r="U448" s="255">
        <f>U335*'Data - P&amp;L'!$C$4</f>
        <v>0</v>
      </c>
      <c r="V448" s="255">
        <f>V335*'Data - P&amp;L'!$C$4</f>
        <v>0</v>
      </c>
      <c r="W448" s="255">
        <f>W335*'Data - P&amp;L'!$C$4</f>
        <v>195.22</v>
      </c>
      <c r="X448" s="255">
        <f>X335*'Data - P&amp;L'!$C$4</f>
        <v>0</v>
      </c>
      <c r="Y448" s="255">
        <f>Y335*'Data - P&amp;L'!$C$4</f>
        <v>292.83</v>
      </c>
      <c r="Z448" s="255">
        <f>Z335*'Data - P&amp;L'!$C$4</f>
        <v>0</v>
      </c>
      <c r="AA448" s="255">
        <f>AA335*'Data - P&amp;L'!$C$4</f>
        <v>0</v>
      </c>
      <c r="AB448" s="255">
        <f>AB335*'Data - P&amp;L'!$C$4</f>
        <v>0</v>
      </c>
      <c r="AC448" s="255">
        <f>AC335*'Data - P&amp;L'!$C$4</f>
        <v>0</v>
      </c>
      <c r="AD448" s="255">
        <f>AD335*'Data - P&amp;L'!$C$4</f>
        <v>488.05</v>
      </c>
      <c r="AE448" s="255">
        <f>AE335*'Data - P&amp;L'!$C$4</f>
        <v>195.22</v>
      </c>
      <c r="AF448" s="255">
        <f>AF335*'Data - P&amp;L'!$C$4</f>
        <v>195.22</v>
      </c>
      <c r="AG448" s="126">
        <f t="shared" si="132"/>
        <v>4002.01</v>
      </c>
    </row>
    <row r="449" outlineLevel="1">
      <c r="A449" s="157" t="s">
        <v>380</v>
      </c>
      <c r="B449" s="255">
        <f>(B338+B349)*'Data - P&amp;L'!$C$6</f>
        <v>0</v>
      </c>
      <c r="C449" s="255">
        <f>(C338+C349)*'Data - P&amp;L'!$C$6</f>
        <v>0</v>
      </c>
      <c r="D449" s="255">
        <f>(D338+D349)*'Data - P&amp;L'!$C$6</f>
        <v>0</v>
      </c>
      <c r="E449" s="255">
        <f>(E338+E349)*'Data - P&amp;L'!$C$6</f>
        <v>0</v>
      </c>
      <c r="F449" s="255">
        <f>(F338+F349)*'Data - P&amp;L'!$C$6</f>
        <v>0</v>
      </c>
      <c r="G449" s="255">
        <f>(G338+G349)*'Data - P&amp;L'!$C$6</f>
        <v>0</v>
      </c>
      <c r="H449" s="255">
        <f>(H338+H349)*'Data - P&amp;L'!$C$6</f>
        <v>0</v>
      </c>
      <c r="I449" s="255">
        <f>(I338+I349)*'Data - P&amp;L'!$C$6</f>
        <v>10.98</v>
      </c>
      <c r="J449" s="255">
        <f>(J338+J349)*'Data - P&amp;L'!$C$6</f>
        <v>5.49</v>
      </c>
      <c r="K449" s="255">
        <f>(K338+K349)*'Data - P&amp;L'!$C$6</f>
        <v>5.49</v>
      </c>
      <c r="L449" s="255">
        <f>(L338+L349)*'Data - P&amp;L'!$C$6</f>
        <v>0</v>
      </c>
      <c r="M449" s="255">
        <f>(M338+M349)*'Data - P&amp;L'!$C$6</f>
        <v>5.49</v>
      </c>
      <c r="N449" s="255">
        <f>(N338+N349)*'Data - P&amp;L'!$C$6</f>
        <v>0</v>
      </c>
      <c r="O449" s="255">
        <f>(O338+O349)*'Data - P&amp;L'!$C$6</f>
        <v>0</v>
      </c>
      <c r="P449" s="255">
        <f>(P338+P349)*'Data - P&amp;L'!$C$6</f>
        <v>5.49</v>
      </c>
      <c r="Q449" s="255">
        <f>(Q338+Q349)*'Data - P&amp;L'!$C$6</f>
        <v>0</v>
      </c>
      <c r="R449" s="255">
        <f>(R338+R349)*'Data - P&amp;L'!$C$6</f>
        <v>0</v>
      </c>
      <c r="S449" s="255">
        <f>(S338+S349)*'Data - P&amp;L'!$C$6</f>
        <v>0</v>
      </c>
      <c r="T449" s="255">
        <f>(T338+T349)*'Data - P&amp;L'!$C$6</f>
        <v>0</v>
      </c>
      <c r="U449" s="255">
        <f>(U338+U349)*'Data - P&amp;L'!$C$6</f>
        <v>0</v>
      </c>
      <c r="V449" s="255">
        <f>(V338+V349)*'Data - P&amp;L'!$C$6</f>
        <v>0</v>
      </c>
      <c r="W449" s="255">
        <f>(W338+W349)*'Data - P&amp;L'!$C$6</f>
        <v>16.47</v>
      </c>
      <c r="X449" s="255">
        <f>(X338+X349)*'Data - P&amp;L'!$C$6</f>
        <v>0</v>
      </c>
      <c r="Y449" s="255">
        <f>(Y338+Y349)*'Data - P&amp;L'!$C$6</f>
        <v>5.49</v>
      </c>
      <c r="Z449" s="255">
        <f>(Z338+Z349)*'Data - P&amp;L'!$C$6</f>
        <v>0</v>
      </c>
      <c r="AA449" s="255">
        <f>(AA338+AA349)*'Data - P&amp;L'!$C$6</f>
        <v>0</v>
      </c>
      <c r="AB449" s="255">
        <f>(AB338+AB349)*'Data - P&amp;L'!$C$6</f>
        <v>0</v>
      </c>
      <c r="AC449" s="255">
        <f>(AC338+AC349)*'Data - P&amp;L'!$C$6</f>
        <v>0</v>
      </c>
      <c r="AD449" s="255">
        <f>(AD338+AD349)*'Data - P&amp;L'!$C$6</f>
        <v>5.49</v>
      </c>
      <c r="AE449" s="255">
        <f>(AE338+AE349)*'Data - P&amp;L'!$C$6</f>
        <v>5.49</v>
      </c>
      <c r="AF449" s="255">
        <f>(AF338+AF349)*'Data - P&amp;L'!$C$6</f>
        <v>5.49</v>
      </c>
      <c r="AG449" s="126">
        <f t="shared" si="132"/>
        <v>71.37</v>
      </c>
    </row>
    <row r="450" outlineLevel="1">
      <c r="A450" s="157" t="s">
        <v>381</v>
      </c>
      <c r="B450" s="255">
        <f>(B339+B350)*'Data - P&amp;L'!$C$8</f>
        <v>0</v>
      </c>
      <c r="C450" s="255">
        <f>(C339+C350)*'Data - P&amp;L'!$C$8</f>
        <v>2.38</v>
      </c>
      <c r="D450" s="255">
        <f>(D339+D350)*'Data - P&amp;L'!$C$8</f>
        <v>0</v>
      </c>
      <c r="E450" s="255">
        <f>(E339+E350)*'Data - P&amp;L'!$C$8</f>
        <v>2.38</v>
      </c>
      <c r="F450" s="255">
        <f>(F339+F350)*'Data - P&amp;L'!$C$8</f>
        <v>0</v>
      </c>
      <c r="G450" s="255">
        <f>(G339+G350)*'Data - P&amp;L'!$C$8</f>
        <v>0</v>
      </c>
      <c r="H450" s="255">
        <f>(H339+H350)*'Data - P&amp;L'!$C$8</f>
        <v>0</v>
      </c>
      <c r="I450" s="255">
        <f>(I339+I350)*'Data - P&amp;L'!$C$8</f>
        <v>0</v>
      </c>
      <c r="J450" s="255">
        <f>(J339+J350)*'Data - P&amp;L'!$C$8</f>
        <v>2.38</v>
      </c>
      <c r="K450" s="255">
        <f>(K339+K350)*'Data - P&amp;L'!$C$8</f>
        <v>3.57</v>
      </c>
      <c r="L450" s="255">
        <f>(L339+L350)*'Data - P&amp;L'!$C$8</f>
        <v>0</v>
      </c>
      <c r="M450" s="255">
        <f>(M339+M350)*'Data - P&amp;L'!$C$8</f>
        <v>1.19</v>
      </c>
      <c r="N450" s="255">
        <f>(N339+N350)*'Data - P&amp;L'!$C$8</f>
        <v>0</v>
      </c>
      <c r="O450" s="255">
        <f>(O339+O350)*'Data - P&amp;L'!$C$8</f>
        <v>0</v>
      </c>
      <c r="P450" s="255">
        <f>(P339+P350)*'Data - P&amp;L'!$C$8</f>
        <v>5.95</v>
      </c>
      <c r="Q450" s="255">
        <f>(Q339+Q350)*'Data - P&amp;L'!$C$8</f>
        <v>0</v>
      </c>
      <c r="R450" s="255">
        <f>(R339+R350)*'Data - P&amp;L'!$C$8</f>
        <v>1.19</v>
      </c>
      <c r="S450" s="255">
        <f>(S339+S350)*'Data - P&amp;L'!$C$8</f>
        <v>0</v>
      </c>
      <c r="T450" s="255">
        <f>(T339+T350)*'Data - P&amp;L'!$C$8</f>
        <v>3.57</v>
      </c>
      <c r="U450" s="255">
        <f>(U339+U350)*'Data - P&amp;L'!$C$8</f>
        <v>0</v>
      </c>
      <c r="V450" s="255">
        <f>(V339+V350)*'Data - P&amp;L'!$C$8</f>
        <v>0</v>
      </c>
      <c r="W450" s="255">
        <f>(W339+W350)*'Data - P&amp;L'!$C$8</f>
        <v>3.57</v>
      </c>
      <c r="X450" s="255">
        <f>(X339+X350)*'Data - P&amp;L'!$C$8</f>
        <v>0</v>
      </c>
      <c r="Y450" s="255">
        <f>(Y339+Y350)*'Data - P&amp;L'!$C$8</f>
        <v>7.14</v>
      </c>
      <c r="Z450" s="255">
        <f>(Z339+Z350)*'Data - P&amp;L'!$C$8</f>
        <v>0</v>
      </c>
      <c r="AA450" s="255">
        <f>(AA339+AA350)*'Data - P&amp;L'!$C$8</f>
        <v>1.19</v>
      </c>
      <c r="AB450" s="255">
        <f>(AB339+AB350)*'Data - P&amp;L'!$C$8</f>
        <v>0</v>
      </c>
      <c r="AC450" s="255">
        <f>(AC339+AC350)*'Data - P&amp;L'!$C$8</f>
        <v>0</v>
      </c>
      <c r="AD450" s="255">
        <f>(AD339+AD350)*'Data - P&amp;L'!$C$8</f>
        <v>4.76</v>
      </c>
      <c r="AE450" s="255">
        <f>(AE339+AE350)*'Data - P&amp;L'!$C$8</f>
        <v>0</v>
      </c>
      <c r="AF450" s="255">
        <f>(AF339+AF350)*'Data - P&amp;L'!$C$8</f>
        <v>5.95</v>
      </c>
      <c r="AG450" s="126">
        <f t="shared" si="132"/>
        <v>45.22</v>
      </c>
    </row>
    <row r="451" outlineLevel="1">
      <c r="A451" s="157" t="s">
        <v>382</v>
      </c>
      <c r="B451" s="255">
        <f>(B340+B341+B351+B352)*'Data - P&amp;L'!$C$9</f>
        <v>0</v>
      </c>
      <c r="C451" s="255">
        <f>(C340+C341+C351+C352)*'Data - P&amp;L'!$C$9</f>
        <v>0</v>
      </c>
      <c r="D451" s="255">
        <f>(D340+D341+D351+D352)*'Data - P&amp;L'!$C$9</f>
        <v>13.32</v>
      </c>
      <c r="E451" s="255">
        <f>(E340+E341+E351+E352)*'Data - P&amp;L'!$C$9</f>
        <v>0</v>
      </c>
      <c r="F451" s="255">
        <f>(F340+F341+F351+F352)*'Data - P&amp;L'!$C$9</f>
        <v>0</v>
      </c>
      <c r="G451" s="255">
        <f>(G340+G341+G351+G352)*'Data - P&amp;L'!$C$9</f>
        <v>0</v>
      </c>
      <c r="H451" s="255">
        <f>(H340+H341+H351+H352)*'Data - P&amp;L'!$C$9</f>
        <v>0</v>
      </c>
      <c r="I451" s="255">
        <f>(I340+I341+I351+I352)*'Data - P&amp;L'!$C$9</f>
        <v>0</v>
      </c>
      <c r="J451" s="255">
        <f>(J340+J341+J351+J352)*'Data - P&amp;L'!$C$9</f>
        <v>6.66</v>
      </c>
      <c r="K451" s="255">
        <f>(K340+K341+K351+K352)*'Data - P&amp;L'!$C$9</f>
        <v>0</v>
      </c>
      <c r="L451" s="255">
        <f>(L340+L341+L351+L352)*'Data - P&amp;L'!$C$9</f>
        <v>6.66</v>
      </c>
      <c r="M451" s="255">
        <f>(M340+M341+M351+M352)*'Data - P&amp;L'!$C$9</f>
        <v>0</v>
      </c>
      <c r="N451" s="255">
        <f>(N340+N341+N351+N352)*'Data - P&amp;L'!$C$9</f>
        <v>0</v>
      </c>
      <c r="O451" s="255">
        <f>(O340+O341+O351+O352)*'Data - P&amp;L'!$C$9</f>
        <v>0</v>
      </c>
      <c r="P451" s="255">
        <f>(P340+P341+P351+P352)*'Data - P&amp;L'!$C$9</f>
        <v>19.98</v>
      </c>
      <c r="Q451" s="255">
        <f>(Q340+Q341+Q351+Q352)*'Data - P&amp;L'!$C$9</f>
        <v>6.66</v>
      </c>
      <c r="R451" s="255">
        <f>(R340+R341+R351+R352)*'Data - P&amp;L'!$C$9</f>
        <v>0</v>
      </c>
      <c r="S451" s="255">
        <f>(S340+S341+S351+S352)*'Data - P&amp;L'!$C$9</f>
        <v>0</v>
      </c>
      <c r="T451" s="255">
        <f>(T340+T341+T351+T352)*'Data - P&amp;L'!$C$9</f>
        <v>0</v>
      </c>
      <c r="U451" s="255">
        <f>(U340+U341+U351+U352)*'Data - P&amp;L'!$C$9</f>
        <v>0</v>
      </c>
      <c r="V451" s="255">
        <f>(V340+V341+V351+V352)*'Data - P&amp;L'!$C$9</f>
        <v>0</v>
      </c>
      <c r="W451" s="255">
        <f>(W340+W341+W351+W352)*'Data - P&amp;L'!$C$9</f>
        <v>19.98</v>
      </c>
      <c r="X451" s="255">
        <f>(X340+X341+X351+X352)*'Data - P&amp;L'!$C$9</f>
        <v>0</v>
      </c>
      <c r="Y451" s="255">
        <f>(Y340+Y341+Y351+Y352)*'Data - P&amp;L'!$C$9</f>
        <v>0</v>
      </c>
      <c r="Z451" s="255">
        <f>(Z340+Z341+Z351+Z352)*'Data - P&amp;L'!$C$9</f>
        <v>0</v>
      </c>
      <c r="AA451" s="255">
        <f>(AA340+AA341+AA351+AA352)*'Data - P&amp;L'!$C$9</f>
        <v>0</v>
      </c>
      <c r="AB451" s="255">
        <f>(AB340+AB341+AB351+AB352)*'Data - P&amp;L'!$C$9</f>
        <v>0</v>
      </c>
      <c r="AC451" s="255">
        <f>(AC340+AC341+AC351+AC352)*'Data - P&amp;L'!$C$9</f>
        <v>0</v>
      </c>
      <c r="AD451" s="255">
        <f>(AD340+AD341+AD351+AD352)*'Data - P&amp;L'!$C$9</f>
        <v>6.66</v>
      </c>
      <c r="AE451" s="255">
        <f>(AE340+AE341+AE351+AE352)*'Data - P&amp;L'!$C$9</f>
        <v>0</v>
      </c>
      <c r="AF451" s="255">
        <f>(AF340+AF341+AF351+AF352)*'Data - P&amp;L'!$C$9</f>
        <v>0</v>
      </c>
      <c r="AG451" s="126">
        <f t="shared" si="132"/>
        <v>79.92</v>
      </c>
    </row>
    <row r="452" outlineLevel="1">
      <c r="A452" s="157" t="s">
        <v>383</v>
      </c>
      <c r="B452" s="255">
        <f>(B342+B343+B353+B354)*'Data - P&amp;L'!$C$5</f>
        <v>0</v>
      </c>
      <c r="C452" s="255">
        <f>(C342+C343+C353+C354)*'Data - P&amp;L'!$C$5</f>
        <v>13.44</v>
      </c>
      <c r="D452" s="255">
        <f>(D342+D343+D353+D354)*'Data - P&amp;L'!$C$5</f>
        <v>13.44</v>
      </c>
      <c r="E452" s="255">
        <f>(E342+E343+E353+E354)*'Data - P&amp;L'!$C$5</f>
        <v>40.32</v>
      </c>
      <c r="F452" s="255">
        <f>(F342+F343+F353+F354)*'Data - P&amp;L'!$C$5</f>
        <v>0</v>
      </c>
      <c r="G452" s="255">
        <f>(G342+G343+G353+G354)*'Data - P&amp;L'!$C$5</f>
        <v>0</v>
      </c>
      <c r="H452" s="255">
        <f>(H342+H343+H353+H354)*'Data - P&amp;L'!$C$5</f>
        <v>0</v>
      </c>
      <c r="I452" s="255">
        <f>(I342+I343+I353+I354)*'Data - P&amp;L'!$C$5</f>
        <v>13.44</v>
      </c>
      <c r="J452" s="255">
        <f>(J342+J343+J353+J354)*'Data - P&amp;L'!$C$5</f>
        <v>53.76</v>
      </c>
      <c r="K452" s="255">
        <f>(K342+K343+K353+K354)*'Data - P&amp;L'!$C$5</f>
        <v>13.44</v>
      </c>
      <c r="L452" s="255">
        <f>(L342+L343+L353+L354)*'Data - P&amp;L'!$C$5</f>
        <v>26.88</v>
      </c>
      <c r="M452" s="255">
        <f>(M342+M343+M353+M354)*'Data - P&amp;L'!$C$5</f>
        <v>13.44</v>
      </c>
      <c r="N452" s="255">
        <f>(N342+N343+N353+N354)*'Data - P&amp;L'!$C$5</f>
        <v>0</v>
      </c>
      <c r="O452" s="255">
        <f>(O342+O343+O353+O354)*'Data - P&amp;L'!$C$5</f>
        <v>0</v>
      </c>
      <c r="P452" s="255">
        <f>(P342+P343+P353+P354)*'Data - P&amp;L'!$C$5</f>
        <v>53.76</v>
      </c>
      <c r="Q452" s="255">
        <f>(Q342+Q343+Q353+Q354)*'Data - P&amp;L'!$C$5</f>
        <v>13.44</v>
      </c>
      <c r="R452" s="255">
        <f>(R342+R343+R353+R354)*'Data - P&amp;L'!$C$5</f>
        <v>13.44</v>
      </c>
      <c r="S452" s="255">
        <f>(S342+S343+S353+S354)*'Data - P&amp;L'!$C$5</f>
        <v>0</v>
      </c>
      <c r="T452" s="255">
        <f>(T342+T343+T353+T354)*'Data - P&amp;L'!$C$5</f>
        <v>0</v>
      </c>
      <c r="U452" s="255">
        <f>(U342+U343+U353+U354)*'Data - P&amp;L'!$C$5</f>
        <v>0</v>
      </c>
      <c r="V452" s="255">
        <f>(V342+V343+V353+V354)*'Data - P&amp;L'!$C$5</f>
        <v>0</v>
      </c>
      <c r="W452" s="255">
        <f>(W342+W343+W353+W354)*'Data - P&amp;L'!$C$5</f>
        <v>53.76</v>
      </c>
      <c r="X452" s="255">
        <f>(X342+X343+X353+X354)*'Data - P&amp;L'!$C$5</f>
        <v>0</v>
      </c>
      <c r="Y452" s="255">
        <f>(Y342+Y343+Y353+Y354)*'Data - P&amp;L'!$C$5</f>
        <v>53.76</v>
      </c>
      <c r="Z452" s="255">
        <f>(Z342+Z343+Z353+Z354)*'Data - P&amp;L'!$C$5</f>
        <v>0</v>
      </c>
      <c r="AA452" s="255">
        <f>(AA342+AA343+AA353+AA354)*'Data - P&amp;L'!$C$5</f>
        <v>13.44</v>
      </c>
      <c r="AB452" s="255">
        <f>(AB342+AB343+AB353+AB354)*'Data - P&amp;L'!$C$5</f>
        <v>0</v>
      </c>
      <c r="AC452" s="255">
        <f>(AC342+AC343+AC353+AC354)*'Data - P&amp;L'!$C$5</f>
        <v>0</v>
      </c>
      <c r="AD452" s="255">
        <f>(AD342+AD343+AD353+AD354)*'Data - P&amp;L'!$C$5</f>
        <v>40.32</v>
      </c>
      <c r="AE452" s="255">
        <f>(AE342+AE343+AE353+AE354)*'Data - P&amp;L'!$C$5</f>
        <v>26.88</v>
      </c>
      <c r="AF452" s="255">
        <f>(AF342+AF343+AF353+AF354)*'Data - P&amp;L'!$C$5</f>
        <v>13.44</v>
      </c>
      <c r="AG452" s="126">
        <f t="shared" si="132"/>
        <v>470.4</v>
      </c>
    </row>
    <row r="453" outlineLevel="1">
      <c r="A453" s="157" t="s">
        <v>384</v>
      </c>
      <c r="B453" s="255">
        <f>(B344+B345+B355+B356)*'Data - P&amp;L'!$C$10</f>
        <v>0</v>
      </c>
      <c r="C453" s="255">
        <f>(C344+C345+C355+C356)*'Data - P&amp;L'!$C$10</f>
        <v>0</v>
      </c>
      <c r="D453" s="255">
        <f>(D344+D345+D355+D356)*'Data - P&amp;L'!$C$10</f>
        <v>0</v>
      </c>
      <c r="E453" s="255">
        <f>(E344+E345+E355+E356)*'Data - P&amp;L'!$C$10</f>
        <v>0</v>
      </c>
      <c r="F453" s="255">
        <f>(F344+F345+F355+F356)*'Data - P&amp;L'!$C$10</f>
        <v>0</v>
      </c>
      <c r="G453" s="255">
        <f>(G344+G345+G355+G356)*'Data - P&amp;L'!$C$10</f>
        <v>0</v>
      </c>
      <c r="H453" s="255">
        <f>(H344+H345+H355+H356)*'Data - P&amp;L'!$C$10</f>
        <v>0</v>
      </c>
      <c r="I453" s="255">
        <f>(I344+I345+I355+I356)*'Data - P&amp;L'!$C$10</f>
        <v>12</v>
      </c>
      <c r="J453" s="255">
        <f>(J344+J345+J355+J356)*'Data - P&amp;L'!$C$10</f>
        <v>12</v>
      </c>
      <c r="K453" s="255">
        <f>(K344+K345+K355+K356)*'Data - P&amp;L'!$C$10</f>
        <v>6</v>
      </c>
      <c r="L453" s="255">
        <f>(L344+L345+L355+L356)*'Data - P&amp;L'!$C$10</f>
        <v>0</v>
      </c>
      <c r="M453" s="255">
        <f>(M344+M345+M355+M356)*'Data - P&amp;L'!$C$10</f>
        <v>0</v>
      </c>
      <c r="N453" s="255">
        <f>(N344+N345+N355+N356)*'Data - P&amp;L'!$C$10</f>
        <v>0</v>
      </c>
      <c r="O453" s="255">
        <f>(O344+O345+O355+O356)*'Data - P&amp;L'!$C$10</f>
        <v>0</v>
      </c>
      <c r="P453" s="255">
        <f>(P344+P345+P355+P356)*'Data - P&amp;L'!$C$10</f>
        <v>12</v>
      </c>
      <c r="Q453" s="255">
        <f>(Q344+Q345+Q355+Q356)*'Data - P&amp;L'!$C$10</f>
        <v>0</v>
      </c>
      <c r="R453" s="255">
        <f>(R344+R345+R355+R356)*'Data - P&amp;L'!$C$10</f>
        <v>6</v>
      </c>
      <c r="S453" s="255">
        <f>(S344+S345+S355+S356)*'Data - P&amp;L'!$C$10</f>
        <v>0</v>
      </c>
      <c r="T453" s="255">
        <f>(T344+T345+T355+T356)*'Data - P&amp;L'!$C$10</f>
        <v>6</v>
      </c>
      <c r="U453" s="255">
        <f>(U344+U345+U355+U356)*'Data - P&amp;L'!$C$10</f>
        <v>0</v>
      </c>
      <c r="V453" s="255">
        <f>(V344+V345+V355+V356)*'Data - P&amp;L'!$C$10</f>
        <v>0</v>
      </c>
      <c r="W453" s="255">
        <f>(W344+W345+W355+W356)*'Data - P&amp;L'!$C$10</f>
        <v>24</v>
      </c>
      <c r="X453" s="255">
        <f>(X344+X345+X355+X356)*'Data - P&amp;L'!$C$10</f>
        <v>0</v>
      </c>
      <c r="Y453" s="255">
        <f>(Y344+Y345+Y355+Y356)*'Data - P&amp;L'!$C$10</f>
        <v>6</v>
      </c>
      <c r="Z453" s="255">
        <f>(Z344+Z345+Z355+Z356)*'Data - P&amp;L'!$C$10</f>
        <v>0</v>
      </c>
      <c r="AA453" s="255">
        <f>(AA344+AA345+AA355+AA356)*'Data - P&amp;L'!$C$10</f>
        <v>0</v>
      </c>
      <c r="AB453" s="255">
        <f>(AB344+AB345+AB355+AB356)*'Data - P&amp;L'!$C$10</f>
        <v>0</v>
      </c>
      <c r="AC453" s="255">
        <f>(AC344+AC345+AC355+AC356)*'Data - P&amp;L'!$C$10</f>
        <v>0</v>
      </c>
      <c r="AD453" s="255">
        <f>(AD344+AD345+AD355+AD356)*'Data - P&amp;L'!$C$10</f>
        <v>6</v>
      </c>
      <c r="AE453" s="255">
        <f>(AE344+AE345+AE355+AE356)*'Data - P&amp;L'!$C$10</f>
        <v>0</v>
      </c>
      <c r="AF453" s="255">
        <f>(AF344+AF345+AF355+AF356)*'Data - P&amp;L'!$C$10</f>
        <v>12</v>
      </c>
      <c r="AG453" s="126">
        <f t="shared" si="132"/>
        <v>102</v>
      </c>
    </row>
    <row r="454" outlineLevel="1">
      <c r="A454" s="157" t="s">
        <v>385</v>
      </c>
      <c r="B454" s="255">
        <v>0.0</v>
      </c>
      <c r="C454" s="255">
        <f>(C322+C323+C331+C332)*'Data - P&amp;L'!$C$13</f>
        <v>0</v>
      </c>
      <c r="D454" s="255">
        <f>(D322+D323+D331+D332)*'Data - P&amp;L'!$C$13</f>
        <v>0</v>
      </c>
      <c r="E454" s="255">
        <f>(E322+E323+E331+E332)*'Data - P&amp;L'!$C$13</f>
        <v>0</v>
      </c>
      <c r="F454" s="255">
        <f>(F322+F323+F331+F332)*'Data - P&amp;L'!$C$13</f>
        <v>0</v>
      </c>
      <c r="G454" s="255">
        <f>(G322+G323+G331+G332)*'Data - P&amp;L'!$C$13</f>
        <v>0</v>
      </c>
      <c r="H454" s="255">
        <f>(H322+H323+H331+H332)*'Data - P&amp;L'!$C$13</f>
        <v>0</v>
      </c>
      <c r="I454" s="255">
        <f>(I322+I323+I331+I332)*'Data - P&amp;L'!$C$13</f>
        <v>0</v>
      </c>
      <c r="J454" s="255">
        <f>(J322+J323+J331+J332)*'Data - P&amp;L'!$C$13</f>
        <v>0</v>
      </c>
      <c r="K454" s="255">
        <f>(K322+K323+K331+K332)*'Data - P&amp;L'!$C$13</f>
        <v>0</v>
      </c>
      <c r="L454" s="255">
        <f>(L322+L323+L331+L332)*'Data - P&amp;L'!$C$13</f>
        <v>0</v>
      </c>
      <c r="M454" s="255">
        <f>(M322+M323+M331+M332)*'Data - P&amp;L'!$C$13</f>
        <v>0</v>
      </c>
      <c r="N454" s="255">
        <f>(N322+N323+N331+N332)*'Data - P&amp;L'!$C$13</f>
        <v>0</v>
      </c>
      <c r="O454" s="255">
        <f>(O322+O323+O331+O332)*'Data - P&amp;L'!$C$13</f>
        <v>0</v>
      </c>
      <c r="P454" s="255">
        <f>(P322+P323+P331+P332)*'Data - P&amp;L'!$C$13</f>
        <v>0</v>
      </c>
      <c r="Q454" s="255">
        <f>(Q322+Q323+Q331+Q332)*'Data - P&amp;L'!$C$13</f>
        <v>0</v>
      </c>
      <c r="R454" s="255">
        <f>(R322+R323+R331+R332)*'Data - P&amp;L'!$C$13</f>
        <v>0</v>
      </c>
      <c r="S454" s="255">
        <f>(S322+S323+S331+S332)*'Data - P&amp;L'!$C$13</f>
        <v>0</v>
      </c>
      <c r="T454" s="255">
        <f>(T322+T323+T331+T332)*'Data - P&amp;L'!$C$13</f>
        <v>0</v>
      </c>
      <c r="U454" s="255">
        <f>(U322+U323+U331+U332)*'Data - P&amp;L'!$C$13</f>
        <v>0</v>
      </c>
      <c r="V454" s="255">
        <f>(V322+V323+V331+V332)*'Data - P&amp;L'!$C$13</f>
        <v>0</v>
      </c>
      <c r="W454" s="255">
        <f>(W322+W323+W331+W332)*'Data - P&amp;L'!$C$13</f>
        <v>0</v>
      </c>
      <c r="X454" s="255">
        <f>(X322+X323+X331+X332)*'Data - P&amp;L'!$C$13</f>
        <v>0</v>
      </c>
      <c r="Y454" s="255">
        <f>(Y322+Y323+Y331+Y332)*'Data - P&amp;L'!$C$13</f>
        <v>0</v>
      </c>
      <c r="Z454" s="255">
        <f>(Z322+Z323+Z331+Z332)*'Data - P&amp;L'!$C$13</f>
        <v>0</v>
      </c>
      <c r="AA454" s="255">
        <f>(AA322+AA323+AA331+AA332)*'Data - P&amp;L'!$C$13</f>
        <v>0</v>
      </c>
      <c r="AB454" s="255">
        <f>(AB322+AB323+AB331+AB332)*'Data - P&amp;L'!$C$13</f>
        <v>0</v>
      </c>
      <c r="AC454" s="255">
        <f>(AC322+AC323+AC331+AC332)*'Data - P&amp;L'!$C$13</f>
        <v>0</v>
      </c>
      <c r="AD454" s="255">
        <f>(AD322+AD323+AD331+AD332)*'Data - P&amp;L'!$C$13</f>
        <v>0</v>
      </c>
      <c r="AE454" s="255">
        <f>(AE322+AE323+AE331+AE332)*'Data - P&amp;L'!$C$13</f>
        <v>0</v>
      </c>
      <c r="AF454" s="255">
        <f>(AF322+AF323+AF331+AF332)*'Data - P&amp;L'!$C$13</f>
        <v>0</v>
      </c>
      <c r="AG454" s="126">
        <f t="shared" si="132"/>
        <v>0</v>
      </c>
    </row>
    <row r="455" outlineLevel="1">
      <c r="A455" s="157" t="s">
        <v>386</v>
      </c>
      <c r="B455" s="255">
        <f>(B324+B333)*'Data - P&amp;L'!$C$14</f>
        <v>0</v>
      </c>
      <c r="C455" s="255">
        <f>(C324+C333)*'Data - P&amp;L'!$C$14</f>
        <v>0</v>
      </c>
      <c r="D455" s="255">
        <f>(D324+D333)*'Data - P&amp;L'!$C$14</f>
        <v>0</v>
      </c>
      <c r="E455" s="255">
        <f>(E324+E333)*'Data - P&amp;L'!$C$14</f>
        <v>0</v>
      </c>
      <c r="F455" s="255">
        <f>(F324+F333)*'Data - P&amp;L'!$C$14</f>
        <v>0</v>
      </c>
      <c r="G455" s="255">
        <f>(G324+G333)*'Data - P&amp;L'!$C$14</f>
        <v>0</v>
      </c>
      <c r="H455" s="255">
        <f>(H324+H333)*'Data - P&amp;L'!$C$14</f>
        <v>0</v>
      </c>
      <c r="I455" s="255">
        <f>(I324+I333)*'Data - P&amp;L'!$C$14</f>
        <v>0</v>
      </c>
      <c r="J455" s="255">
        <f>(J324+J333)*'Data - P&amp;L'!$C$14</f>
        <v>0</v>
      </c>
      <c r="K455" s="255">
        <f>(K324+K333)*'Data - P&amp;L'!$C$14</f>
        <v>0</v>
      </c>
      <c r="L455" s="255">
        <f>(L324+L333)*'Data - P&amp;L'!$C$14</f>
        <v>0</v>
      </c>
      <c r="M455" s="255">
        <f>(M324+M333)*'Data - P&amp;L'!$C$14</f>
        <v>0</v>
      </c>
      <c r="N455" s="255">
        <f>(N324+N333)*'Data - P&amp;L'!$C$14</f>
        <v>0</v>
      </c>
      <c r="O455" s="255">
        <f>(O324+O333)*'Data - P&amp;L'!$C$14</f>
        <v>0</v>
      </c>
      <c r="P455" s="255">
        <f>(P324+P333)*'Data - P&amp;L'!$C$14</f>
        <v>0</v>
      </c>
      <c r="Q455" s="255">
        <f>(Q324+Q333)*'Data - P&amp;L'!$C$14</f>
        <v>0</v>
      </c>
      <c r="R455" s="255">
        <f>(R324+R333)*'Data - P&amp;L'!$C$14</f>
        <v>0</v>
      </c>
      <c r="S455" s="255">
        <f>(S324+S333)*'Data - P&amp;L'!$C$14</f>
        <v>0</v>
      </c>
      <c r="T455" s="255">
        <f>(T324+T333)*'Data - P&amp;L'!$C$14</f>
        <v>0</v>
      </c>
      <c r="U455" s="255">
        <f>(U324+U333)*'Data - P&amp;L'!$C$14</f>
        <v>0</v>
      </c>
      <c r="V455" s="255">
        <f>(V324+V333)*'Data - P&amp;L'!$C$14</f>
        <v>0</v>
      </c>
      <c r="W455" s="255">
        <f>(W324+W333)*'Data - P&amp;L'!$C$14</f>
        <v>0</v>
      </c>
      <c r="X455" s="255">
        <f>(X324+X333)*'Data - P&amp;L'!$C$14</f>
        <v>0</v>
      </c>
      <c r="Y455" s="255">
        <f>(Y324+Y333)*'Data - P&amp;L'!$C$14</f>
        <v>0</v>
      </c>
      <c r="Z455" s="255">
        <f>(Z324+Z333)*'Data - P&amp;L'!$C$14</f>
        <v>0</v>
      </c>
      <c r="AA455" s="255">
        <f>(AA324+AA333)*'Data - P&amp;L'!$C$14</f>
        <v>0</v>
      </c>
      <c r="AB455" s="255">
        <f>(AB324+AB333)*'Data - P&amp;L'!$C$14</f>
        <v>0</v>
      </c>
      <c r="AC455" s="255">
        <f>(AC324+AC333)*'Data - P&amp;L'!$C$14</f>
        <v>0</v>
      </c>
      <c r="AD455" s="255">
        <f>(AD324+AD333)*'Data - P&amp;L'!$C$14</f>
        <v>0</v>
      </c>
      <c r="AE455" s="255">
        <f>(AE324+AE333)*'Data - P&amp;L'!$C$14</f>
        <v>0</v>
      </c>
      <c r="AF455" s="255">
        <f>(AF324+AF333)*'Data - P&amp;L'!$C$14</f>
        <v>0</v>
      </c>
      <c r="AG455" s="126">
        <f t="shared" si="132"/>
        <v>0</v>
      </c>
    </row>
    <row r="456" outlineLevel="1">
      <c r="A456" s="157" t="s">
        <v>387</v>
      </c>
      <c r="B456" s="255">
        <f>((B334*'Data - P&amp;L'!$C$38)+(B335*'Data - P&amp;L'!$C$39))*'Data - P&amp;L'!$C$55</f>
        <v>0</v>
      </c>
      <c r="C456" s="255">
        <f>((C334*'Data - P&amp;L'!$C$38)+(C335*'Data - P&amp;L'!$C$39))*'Data - P&amp;L'!$C$55</f>
        <v>0</v>
      </c>
      <c r="D456" s="255">
        <f>((D334*'Data - P&amp;L'!$C$38)+(D335*'Data - P&amp;L'!$C$39))*'Data - P&amp;L'!$C$55</f>
        <v>0</v>
      </c>
      <c r="E456" s="255">
        <f>((E334*'Data - P&amp;L'!$C$38)+(E335*'Data - P&amp;L'!$C$39))*'Data - P&amp;L'!$C$55</f>
        <v>0</v>
      </c>
      <c r="F456" s="255">
        <f>((F334*'Data - P&amp;L'!$C$38)+(F335*'Data - P&amp;L'!$C$39))*'Data - P&amp;L'!$C$55</f>
        <v>1.194</v>
      </c>
      <c r="G456" s="255">
        <f>((G334*'Data - P&amp;L'!$C$38)+(G335*'Data - P&amp;L'!$C$39))*'Data - P&amp;L'!$C$55</f>
        <v>0</v>
      </c>
      <c r="H456" s="255">
        <f>((H334*'Data - P&amp;L'!$C$38)+(H335*'Data - P&amp;L'!$C$39))*'Data - P&amp;L'!$C$55</f>
        <v>0</v>
      </c>
      <c r="I456" s="255">
        <f>((I334*'Data - P&amp;L'!$C$38)+(I335*'Data - P&amp;L'!$C$39))*'Data - P&amp;L'!$C$55</f>
        <v>13.134</v>
      </c>
      <c r="J456" s="255">
        <f>((J334*'Data - P&amp;L'!$C$38)+(J335*'Data - P&amp;L'!$C$39))*'Data - P&amp;L'!$C$55</f>
        <v>7.164</v>
      </c>
      <c r="K456" s="255">
        <f>((K334*'Data - P&amp;L'!$C$38)+(K335*'Data - P&amp;L'!$C$39))*'Data - P&amp;L'!$C$55</f>
        <v>7.164</v>
      </c>
      <c r="L456" s="255">
        <f>((L334*'Data - P&amp;L'!$C$38)+(L335*'Data - P&amp;L'!$C$39))*'Data - P&amp;L'!$C$55</f>
        <v>0</v>
      </c>
      <c r="M456" s="255">
        <f>((M334*'Data - P&amp;L'!$C$38)+(M335*'Data - P&amp;L'!$C$39))*'Data - P&amp;L'!$C$55</f>
        <v>1.194</v>
      </c>
      <c r="N456" s="255">
        <f>((N334*'Data - P&amp;L'!$C$38)+(N335*'Data - P&amp;L'!$C$39))*'Data - P&amp;L'!$C$55</f>
        <v>0</v>
      </c>
      <c r="O456" s="255">
        <f>((O334*'Data - P&amp;L'!$C$38)+(O335*'Data - P&amp;L'!$C$39))*'Data - P&amp;L'!$C$55</f>
        <v>0</v>
      </c>
      <c r="P456" s="255">
        <f>((P334*'Data - P&amp;L'!$C$38)+(P335*'Data - P&amp;L'!$C$39))*'Data - P&amp;L'!$C$55</f>
        <v>13.134</v>
      </c>
      <c r="Q456" s="255">
        <f>((Q334*'Data - P&amp;L'!$C$38)+(Q335*'Data - P&amp;L'!$C$39))*'Data - P&amp;L'!$C$55</f>
        <v>0</v>
      </c>
      <c r="R456" s="255">
        <f>((R334*'Data - P&amp;L'!$C$38)+(R335*'Data - P&amp;L'!$C$39))*'Data - P&amp;L'!$C$55</f>
        <v>1.194</v>
      </c>
      <c r="S456" s="255">
        <f>((S334*'Data - P&amp;L'!$C$38)+(S335*'Data - P&amp;L'!$C$39))*'Data - P&amp;L'!$C$55</f>
        <v>0</v>
      </c>
      <c r="T456" s="255">
        <f>((T334*'Data - P&amp;L'!$C$38)+(T335*'Data - P&amp;L'!$C$39))*'Data - P&amp;L'!$C$55</f>
        <v>0</v>
      </c>
      <c r="U456" s="255">
        <f>((U334*'Data - P&amp;L'!$C$38)+(U335*'Data - P&amp;L'!$C$39))*'Data - P&amp;L'!$C$55</f>
        <v>0</v>
      </c>
      <c r="V456" s="255">
        <f>((V334*'Data - P&amp;L'!$C$38)+(V335*'Data - P&amp;L'!$C$39))*'Data - P&amp;L'!$C$55</f>
        <v>0</v>
      </c>
      <c r="W456" s="255">
        <f>((W334*'Data - P&amp;L'!$C$38)+(W335*'Data - P&amp;L'!$C$39))*'Data - P&amp;L'!$C$55</f>
        <v>4.776</v>
      </c>
      <c r="X456" s="255">
        <f>((X334*'Data - P&amp;L'!$C$38)+(X335*'Data - P&amp;L'!$C$39))*'Data - P&amp;L'!$C$55</f>
        <v>0</v>
      </c>
      <c r="Y456" s="255">
        <f>((Y334*'Data - P&amp;L'!$C$38)+(Y335*'Data - P&amp;L'!$C$39))*'Data - P&amp;L'!$C$55</f>
        <v>5.97</v>
      </c>
      <c r="Z456" s="255">
        <f>((Z334*'Data - P&amp;L'!$C$38)+(Z335*'Data - P&amp;L'!$C$39))*'Data - P&amp;L'!$C$55</f>
        <v>0</v>
      </c>
      <c r="AA456" s="255">
        <f>((AA334*'Data - P&amp;L'!$C$38)+(AA335*'Data - P&amp;L'!$C$39))*'Data - P&amp;L'!$C$55</f>
        <v>0</v>
      </c>
      <c r="AB456" s="255">
        <f>((AB334*'Data - P&amp;L'!$C$38)+(AB335*'Data - P&amp;L'!$C$39))*'Data - P&amp;L'!$C$55</f>
        <v>0</v>
      </c>
      <c r="AC456" s="255">
        <f>((AC334*'Data - P&amp;L'!$C$38)+(AC335*'Data - P&amp;L'!$C$39))*'Data - P&amp;L'!$C$55</f>
        <v>0</v>
      </c>
      <c r="AD456" s="255">
        <f>((AD334*'Data - P&amp;L'!$C$38)+(AD335*'Data - P&amp;L'!$C$39))*'Data - P&amp;L'!$C$55</f>
        <v>5.97</v>
      </c>
      <c r="AE456" s="255">
        <f>((AE334*'Data - P&amp;L'!$C$38)+(AE335*'Data - P&amp;L'!$C$39))*'Data - P&amp;L'!$C$55</f>
        <v>5.97</v>
      </c>
      <c r="AF456" s="255">
        <f>((AF334*'Data - P&amp;L'!$C$38)+(AF335*'Data - P&amp;L'!$C$39))*'Data - P&amp;L'!$C$55</f>
        <v>3.582</v>
      </c>
      <c r="AG456" s="126">
        <f t="shared" si="132"/>
        <v>70.446</v>
      </c>
    </row>
    <row r="457" outlineLevel="1">
      <c r="A457" s="157" t="s">
        <v>388</v>
      </c>
      <c r="B457" s="255">
        <f>((B317+B318+B319+B320)*'Data - P&amp;L'!$C$34)+((B326+B327+B328+B329)*'Data - P&amp;L'!$C$35)</f>
        <v>0</v>
      </c>
      <c r="C457" s="255">
        <f>((C317+C318+C319+C320)*'Data - P&amp;L'!$C$34)+((C326+C327+C328+C329)*'Data - P&amp;L'!$C$35)</f>
        <v>0</v>
      </c>
      <c r="D457" s="255">
        <f>((D317+D318+D319+D320)*'Data - P&amp;L'!$C$34)+((D326+D327+D328+D329)*'Data - P&amp;L'!$C$35)</f>
        <v>0</v>
      </c>
      <c r="E457" s="255">
        <f>((E317+E318+E319+E320)*'Data - P&amp;L'!$C$34)+((E326+E327+E328+E329)*'Data - P&amp;L'!$C$35)</f>
        <v>0</v>
      </c>
      <c r="F457" s="255">
        <f>((F317+F318+F319+F320)*'Data - P&amp;L'!$C$34)+((F326+F327+F328+F329)*'Data - P&amp;L'!$C$35)</f>
        <v>15.06</v>
      </c>
      <c r="G457" s="255">
        <f>((G317+G318+G319+G320)*'Data - P&amp;L'!$C$34)+((G326+G327+G328+G329)*'Data - P&amp;L'!$C$35)</f>
        <v>0</v>
      </c>
      <c r="H457" s="255">
        <f>((H317+H318+H319+H320)*'Data - P&amp;L'!$C$34)+((H326+H327+H328+H329)*'Data - P&amp;L'!$C$35)</f>
        <v>0</v>
      </c>
      <c r="I457" s="255">
        <f>((I317+I318+I319+I320)*'Data - P&amp;L'!$C$34)+((I326+I327+I328+I329)*'Data - P&amp;L'!$C$35)</f>
        <v>422.34</v>
      </c>
      <c r="J457" s="255">
        <f>((J317+J318+J319+J320)*'Data - P&amp;L'!$C$34)+((J326+J327+J328+J329)*'Data - P&amp;L'!$C$35)</f>
        <v>232.96</v>
      </c>
      <c r="K457" s="255">
        <f>((K317+K318+K319+K320)*'Data - P&amp;L'!$C$34)+((K326+K327+K328+K329)*'Data - P&amp;L'!$C$35)</f>
        <v>261.48</v>
      </c>
      <c r="L457" s="255">
        <f>((L317+L318+L319+L320)*'Data - P&amp;L'!$C$34)+((L326+L327+L328+L329)*'Data - P&amp;L'!$C$35)</f>
        <v>0</v>
      </c>
      <c r="M457" s="255">
        <f>((M317+M318+M319+M320)*'Data - P&amp;L'!$C$34)+((M326+M327+M328+M329)*'Data - P&amp;L'!$C$35)</f>
        <v>43.58</v>
      </c>
      <c r="N457" s="255">
        <f>((N317+N318+N319+N320)*'Data - P&amp;L'!$C$34)+((N326+N327+N328+N329)*'Data - P&amp;L'!$C$35)</f>
        <v>0</v>
      </c>
      <c r="O457" s="255">
        <f>((O317+O318+O319+O320)*'Data - P&amp;L'!$C$34)+((O326+O327+O328+O329)*'Data - P&amp;L'!$C$35)</f>
        <v>0</v>
      </c>
      <c r="P457" s="255">
        <f>((P317+P318+P319+P320)*'Data - P&amp;L'!$C$34)+((P326+P327+P328+P329)*'Data - P&amp;L'!$C$35)</f>
        <v>479.38</v>
      </c>
      <c r="Q457" s="255">
        <f>((Q317+Q318+Q319+Q320)*'Data - P&amp;L'!$C$34)+((Q326+Q327+Q328+Q329)*'Data - P&amp;L'!$C$35)</f>
        <v>0</v>
      </c>
      <c r="R457" s="255">
        <f>((R317+R318+R319+R320)*'Data - P&amp;L'!$C$34)+((R326+R327+R328+R329)*'Data - P&amp;L'!$C$35)</f>
        <v>43.58</v>
      </c>
      <c r="S457" s="255">
        <f>((S317+S318+S319+S320)*'Data - P&amp;L'!$C$34)+((S326+S327+S328+S329)*'Data - P&amp;L'!$C$35)</f>
        <v>0</v>
      </c>
      <c r="T457" s="255">
        <f>((T317+T318+T319+T320)*'Data - P&amp;L'!$C$34)+((T326+T327+T328+T329)*'Data - P&amp;L'!$C$35)</f>
        <v>0</v>
      </c>
      <c r="U457" s="255">
        <f>((U317+U318+U319+U320)*'Data - P&amp;L'!$C$34)+((U326+U327+U328+U329)*'Data - P&amp;L'!$C$35)</f>
        <v>0</v>
      </c>
      <c r="V457" s="255">
        <f>((V317+V318+V319+V320)*'Data - P&amp;L'!$C$34)+((V326+V327+V328+V329)*'Data - P&amp;L'!$C$35)</f>
        <v>0</v>
      </c>
      <c r="W457" s="255">
        <f>((W317+W318+W319+W320)*'Data - P&amp;L'!$C$34)+((W326+W327+W328+W329)*'Data - P&amp;L'!$C$35)</f>
        <v>88.76</v>
      </c>
      <c r="X457" s="255">
        <f>((X317+X318+X319+X320)*'Data - P&amp;L'!$C$34)+((X326+X327+X328+X329)*'Data - P&amp;L'!$C$35)</f>
        <v>0</v>
      </c>
      <c r="Y457" s="255">
        <f>((Y317+Y318+Y319+Y320)*'Data - P&amp;L'!$C$34)+((Y326+Y327+Y328+Y329)*'Data - P&amp;L'!$C$35)</f>
        <v>217.9</v>
      </c>
      <c r="Z457" s="255">
        <f>((Z317+Z318+Z319+Z320)*'Data - P&amp;L'!$C$34)+((Z326+Z327+Z328+Z329)*'Data - P&amp;L'!$C$35)</f>
        <v>0</v>
      </c>
      <c r="AA457" s="255">
        <f>((AA317+AA318+AA319+AA320)*'Data - P&amp;L'!$C$34)+((AA326+AA327+AA328+AA329)*'Data - P&amp;L'!$C$35)</f>
        <v>0</v>
      </c>
      <c r="AB457" s="255">
        <f>((AB317+AB318+AB319+AB320)*'Data - P&amp;L'!$C$34)+((AB326+AB327+AB328+AB329)*'Data - P&amp;L'!$C$35)</f>
        <v>0</v>
      </c>
      <c r="AC457" s="255">
        <f>((AC317+AC318+AC319+AC320)*'Data - P&amp;L'!$C$34)+((AC326+AC327+AC328+AC329)*'Data - P&amp;L'!$C$35)</f>
        <v>0</v>
      </c>
      <c r="AD457" s="255">
        <f>((AD317+AD318+AD319+AD320)*'Data - P&amp;L'!$C$34)+((AD326+AD327+AD328+AD329)*'Data - P&amp;L'!$C$35)</f>
        <v>217.9</v>
      </c>
      <c r="AE457" s="255">
        <f>((AE317+AE318+AE319+AE320)*'Data - P&amp;L'!$C$34)+((AE326+AE327+AE328+AE329)*'Data - P&amp;L'!$C$35)</f>
        <v>132.34</v>
      </c>
      <c r="AF457" s="255">
        <f>((AF317+AF318+AF319+AF320)*'Data - P&amp;L'!$C$34)+((AF326+AF327+AF328+AF329)*'Data - P&amp;L'!$C$35)</f>
        <v>130.74</v>
      </c>
      <c r="AG457" s="126">
        <f t="shared" si="132"/>
        <v>2286.02</v>
      </c>
    </row>
    <row r="458" outlineLevel="1">
      <c r="A458" s="157" t="s">
        <v>389</v>
      </c>
      <c r="B458" s="255">
        <f>((B346*'Data - P&amp;L'!$D$38)+(B357*'Data - P&amp;L'!$D$39))*'Data - P&amp;L'!$C$55</f>
        <v>0</v>
      </c>
      <c r="C458" s="255">
        <f>((C346*'Data - P&amp;L'!$D$38)+(C357*'Data - P&amp;L'!$D$39))*'Data - P&amp;L'!$C$55</f>
        <v>0.4305</v>
      </c>
      <c r="D458" s="255">
        <f>((D346*'Data - P&amp;L'!$D$38)+(D357*'Data - P&amp;L'!$D$39))*'Data - P&amp;L'!$C$55</f>
        <v>0.4305</v>
      </c>
      <c r="E458" s="255">
        <f>((E346*'Data - P&amp;L'!$D$38)+(E357*'Data - P&amp;L'!$D$39))*'Data - P&amp;L'!$C$55</f>
        <v>0.7175</v>
      </c>
      <c r="F458" s="255">
        <f>((F346*'Data - P&amp;L'!$D$38)+(F357*'Data - P&amp;L'!$D$39))*'Data - P&amp;L'!$C$55</f>
        <v>0</v>
      </c>
      <c r="G458" s="255">
        <f>((G346*'Data - P&amp;L'!$D$38)+(G357*'Data - P&amp;L'!$D$39))*'Data - P&amp;L'!$C$55</f>
        <v>0</v>
      </c>
      <c r="H458" s="255">
        <f>((H346*'Data - P&amp;L'!$D$38)+(H357*'Data - P&amp;L'!$D$39))*'Data - P&amp;L'!$C$55</f>
        <v>0</v>
      </c>
      <c r="I458" s="255">
        <f>((I346*'Data - P&amp;L'!$D$38)+(I357*'Data - P&amp;L'!$D$39))*'Data - P&amp;L'!$C$55</f>
        <v>0.718</v>
      </c>
      <c r="J458" s="255">
        <f>((J346*'Data - P&amp;L'!$D$38)+(J357*'Data - P&amp;L'!$D$39))*'Data - P&amp;L'!$C$55</f>
        <v>1.435</v>
      </c>
      <c r="K458" s="255">
        <f>((K346*'Data - P&amp;L'!$D$38)+(K357*'Data - P&amp;L'!$D$39))*'Data - P&amp;L'!$C$55</f>
        <v>0.861</v>
      </c>
      <c r="L458" s="255">
        <f>((L346*'Data - P&amp;L'!$D$38)+(L357*'Data - P&amp;L'!$D$39))*'Data - P&amp;L'!$C$55</f>
        <v>0.4305</v>
      </c>
      <c r="M458" s="255">
        <f>((M346*'Data - P&amp;L'!$D$38)+(M357*'Data - P&amp;L'!$D$39))*'Data - P&amp;L'!$C$55</f>
        <v>0.4305</v>
      </c>
      <c r="N458" s="255">
        <f>((N346*'Data - P&amp;L'!$D$38)+(N357*'Data - P&amp;L'!$D$39))*'Data - P&amp;L'!$C$55</f>
        <v>0</v>
      </c>
      <c r="O458" s="255">
        <f>((O346*'Data - P&amp;L'!$D$38)+(O357*'Data - P&amp;L'!$D$39))*'Data - P&amp;L'!$C$55</f>
        <v>0</v>
      </c>
      <c r="P458" s="255">
        <f>((P346*'Data - P&amp;L'!$D$38)+(P357*'Data - P&amp;L'!$D$39))*'Data - P&amp;L'!$C$55</f>
        <v>2.1535</v>
      </c>
      <c r="Q458" s="255">
        <f>((Q346*'Data - P&amp;L'!$D$38)+(Q357*'Data - P&amp;L'!$D$39))*'Data - P&amp;L'!$C$55</f>
        <v>0.2875</v>
      </c>
      <c r="R458" s="255">
        <f>((R346*'Data - P&amp;L'!$D$38)+(R357*'Data - P&amp;L'!$D$39))*'Data - P&amp;L'!$C$55</f>
        <v>0.4305</v>
      </c>
      <c r="S458" s="255">
        <f>((S346*'Data - P&amp;L'!$D$38)+(S357*'Data - P&amp;L'!$D$39))*'Data - P&amp;L'!$C$55</f>
        <v>0</v>
      </c>
      <c r="T458" s="255">
        <f>((T346*'Data - P&amp;L'!$D$38)+(T357*'Data - P&amp;L'!$D$39))*'Data - P&amp;L'!$C$55</f>
        <v>0.574</v>
      </c>
      <c r="U458" s="255">
        <f>((U346*'Data - P&amp;L'!$D$38)+(U357*'Data - P&amp;L'!$D$39))*'Data - P&amp;L'!$C$55</f>
        <v>0</v>
      </c>
      <c r="V458" s="255">
        <f>((V346*'Data - P&amp;L'!$D$38)+(V357*'Data - P&amp;L'!$D$39))*'Data - P&amp;L'!$C$55</f>
        <v>0</v>
      </c>
      <c r="W458" s="255">
        <f>((W346*'Data - P&amp;L'!$D$38)+(W357*'Data - P&amp;L'!$D$39))*'Data - P&amp;L'!$C$55</f>
        <v>2.447</v>
      </c>
      <c r="X458" s="255">
        <f>((X346*'Data - P&amp;L'!$D$38)+(X357*'Data - P&amp;L'!$D$39))*'Data - P&amp;L'!$C$55</f>
        <v>0</v>
      </c>
      <c r="Y458" s="255">
        <f>((Y346*'Data - P&amp;L'!$D$38)+(Y357*'Data - P&amp;L'!$D$39))*'Data - P&amp;L'!$C$55</f>
        <v>1.722</v>
      </c>
      <c r="Z458" s="255">
        <f>((Z346*'Data - P&amp;L'!$D$38)+(Z357*'Data - P&amp;L'!$D$39))*'Data - P&amp;L'!$C$55</f>
        <v>0</v>
      </c>
      <c r="AA458" s="255">
        <f>((AA346*'Data - P&amp;L'!$D$38)+(AA357*'Data - P&amp;L'!$D$39))*'Data - P&amp;L'!$C$55</f>
        <v>0.287</v>
      </c>
      <c r="AB458" s="255">
        <f>((AB346*'Data - P&amp;L'!$D$38)+(AB357*'Data - P&amp;L'!$D$39))*'Data - P&amp;L'!$C$55</f>
        <v>0</v>
      </c>
      <c r="AC458" s="255">
        <f>((AC346*'Data - P&amp;L'!$D$38)+(AC357*'Data - P&amp;L'!$D$39))*'Data - P&amp;L'!$C$55</f>
        <v>0</v>
      </c>
      <c r="AD458" s="255">
        <f>((AD346*'Data - P&amp;L'!$D$38)+(AD357*'Data - P&amp;L'!$D$39))*'Data - P&amp;L'!$C$55</f>
        <v>1.4355</v>
      </c>
      <c r="AE458" s="255">
        <f>((AE346*'Data - P&amp;L'!$D$38)+(AE357*'Data - P&amp;L'!$D$39))*'Data - P&amp;L'!$C$55</f>
        <v>0.431</v>
      </c>
      <c r="AF458" s="255">
        <f>((AF346*'Data - P&amp;L'!$D$38)+(AF357*'Data - P&amp;L'!$D$39))*'Data - P&amp;L'!$C$55</f>
        <v>1.2915</v>
      </c>
      <c r="AG458" s="126">
        <f t="shared" si="132"/>
        <v>16.513</v>
      </c>
    </row>
    <row r="459" outlineLevel="1">
      <c r="A459" s="157" t="s">
        <v>390</v>
      </c>
      <c r="B459" s="255">
        <f>(B346*'Data - P&amp;L'!$D$34)+('Data - P&amp;L'!$D$35*B357)</f>
        <v>0</v>
      </c>
      <c r="C459" s="255">
        <f>(C346*'Data - P&amp;L'!$D$34)+('Data - P&amp;L'!$D$35*C357)</f>
        <v>29.04</v>
      </c>
      <c r="D459" s="255">
        <f>(D346*'Data - P&amp;L'!$D$34)+('Data - P&amp;L'!$D$35*D357)</f>
        <v>29.04</v>
      </c>
      <c r="E459" s="255">
        <f>(E346*'Data - P&amp;L'!$D$34)+('Data - P&amp;L'!$D$35*E357)</f>
        <v>48.4</v>
      </c>
      <c r="F459" s="255">
        <f>(F346*'Data - P&amp;L'!$D$34)+('Data - P&amp;L'!$D$35*F357)</f>
        <v>0</v>
      </c>
      <c r="G459" s="255">
        <f>(G346*'Data - P&amp;L'!$D$34)+('Data - P&amp;L'!$D$35*G357)</f>
        <v>0</v>
      </c>
      <c r="H459" s="255">
        <f>(H346*'Data - P&amp;L'!$D$34)+('Data - P&amp;L'!$D$35*H357)</f>
        <v>0</v>
      </c>
      <c r="I459" s="255">
        <f>(I346*'Data - P&amp;L'!$D$34)+('Data - P&amp;L'!$D$35*I357)</f>
        <v>44.88</v>
      </c>
      <c r="J459" s="255">
        <f>(J346*'Data - P&amp;L'!$D$34)+('Data - P&amp;L'!$D$35*J357)</f>
        <v>96.8</v>
      </c>
      <c r="K459" s="255">
        <f>(K346*'Data - P&amp;L'!$D$34)+('Data - P&amp;L'!$D$35*K357)</f>
        <v>58.08</v>
      </c>
      <c r="L459" s="255">
        <f>(L346*'Data - P&amp;L'!$D$34)+('Data - P&amp;L'!$D$35*L357)</f>
        <v>29.04</v>
      </c>
      <c r="M459" s="255">
        <f>(M346*'Data - P&amp;L'!$D$34)+('Data - P&amp;L'!$D$35*M357)</f>
        <v>29.04</v>
      </c>
      <c r="N459" s="255">
        <f>(N346*'Data - P&amp;L'!$D$34)+('Data - P&amp;L'!$D$35*N357)</f>
        <v>0</v>
      </c>
      <c r="O459" s="255">
        <f>(O346*'Data - P&amp;L'!$D$34)+('Data - P&amp;L'!$D$35*O357)</f>
        <v>0</v>
      </c>
      <c r="P459" s="255">
        <f>(P346*'Data - P&amp;L'!$D$34)+('Data - P&amp;L'!$D$35*P357)</f>
        <v>138.16</v>
      </c>
      <c r="Q459" s="255">
        <f>(Q346*'Data - P&amp;L'!$D$34)+('Data - P&amp;L'!$D$35*Q357)</f>
        <v>15.84</v>
      </c>
      <c r="R459" s="255">
        <f>(R346*'Data - P&amp;L'!$D$34)+('Data - P&amp;L'!$D$35*R357)</f>
        <v>29.04</v>
      </c>
      <c r="S459" s="255">
        <f>(S346*'Data - P&amp;L'!$D$34)+('Data - P&amp;L'!$D$35*S357)</f>
        <v>0</v>
      </c>
      <c r="T459" s="255">
        <f>(T346*'Data - P&amp;L'!$D$34)+('Data - P&amp;L'!$D$35*T357)</f>
        <v>38.72</v>
      </c>
      <c r="U459" s="255">
        <f>(U346*'Data - P&amp;L'!$D$34)+('Data - P&amp;L'!$D$35*U357)</f>
        <v>0</v>
      </c>
      <c r="V459" s="255">
        <f>(V346*'Data - P&amp;L'!$D$34)+('Data - P&amp;L'!$D$35*V357)</f>
        <v>0</v>
      </c>
      <c r="W459" s="255">
        <f>(W346*'Data - P&amp;L'!$D$34)+('Data - P&amp;L'!$D$35*W357)</f>
        <v>111.76</v>
      </c>
      <c r="X459" s="255">
        <f>(X346*'Data - P&amp;L'!$D$34)+('Data - P&amp;L'!$D$35*X357)</f>
        <v>0</v>
      </c>
      <c r="Y459" s="255">
        <f>(Y346*'Data - P&amp;L'!$D$34)+('Data - P&amp;L'!$D$35*Y357)</f>
        <v>116.16</v>
      </c>
      <c r="Z459" s="255">
        <f>(Z346*'Data - P&amp;L'!$D$34)+('Data - P&amp;L'!$D$35*Z357)</f>
        <v>0</v>
      </c>
      <c r="AA459" s="255">
        <f>(AA346*'Data - P&amp;L'!$D$34)+('Data - P&amp;L'!$D$35*AA357)</f>
        <v>19.36</v>
      </c>
      <c r="AB459" s="255">
        <f>(AB346*'Data - P&amp;L'!$D$34)+('Data - P&amp;L'!$D$35*AB357)</f>
        <v>0</v>
      </c>
      <c r="AC459" s="255">
        <f>(AC346*'Data - P&amp;L'!$D$34)+('Data - P&amp;L'!$D$35*AC357)</f>
        <v>0</v>
      </c>
      <c r="AD459" s="255">
        <f>(AD346*'Data - P&amp;L'!$D$34)+('Data - P&amp;L'!$D$35*AD357)</f>
        <v>93.28</v>
      </c>
      <c r="AE459" s="255">
        <f>(AE346*'Data - P&amp;L'!$D$34)+('Data - P&amp;L'!$D$35*AE357)</f>
        <v>25.52</v>
      </c>
      <c r="AF459" s="255">
        <f>(AF346*'Data - P&amp;L'!$D$34)+('Data - P&amp;L'!$D$35*AF357)</f>
        <v>87.12</v>
      </c>
      <c r="AG459" s="126">
        <f t="shared" si="132"/>
        <v>1039.28</v>
      </c>
    </row>
    <row r="460" outlineLevel="1">
      <c r="A460" s="157" t="s">
        <v>391</v>
      </c>
      <c r="B460" s="274"/>
      <c r="C460" s="274"/>
      <c r="D460" s="274"/>
      <c r="E460" s="274"/>
      <c r="F460" s="274"/>
      <c r="G460" s="274"/>
      <c r="H460" s="274"/>
      <c r="I460" s="274"/>
      <c r="J460" s="274"/>
      <c r="K460" s="274"/>
      <c r="L460" s="274"/>
      <c r="M460" s="274"/>
      <c r="N460" s="274"/>
      <c r="O460" s="274"/>
      <c r="P460" s="274"/>
      <c r="Q460" s="274"/>
      <c r="R460" s="274"/>
      <c r="S460" s="274"/>
      <c r="T460" s="274"/>
      <c r="U460" s="274"/>
      <c r="V460" s="274"/>
      <c r="W460" s="274"/>
      <c r="X460" s="274"/>
      <c r="Y460" s="274"/>
      <c r="Z460" s="274"/>
      <c r="AA460" s="274"/>
      <c r="AB460" s="274"/>
      <c r="AC460" s="274"/>
      <c r="AD460" s="274"/>
      <c r="AE460" s="274"/>
      <c r="AF460" s="274"/>
      <c r="AG460" s="126"/>
    </row>
    <row r="461" outlineLevel="1">
      <c r="A461" s="157" t="s">
        <v>392</v>
      </c>
      <c r="B461" s="274"/>
      <c r="C461" s="274"/>
      <c r="D461" s="274"/>
      <c r="E461" s="274"/>
      <c r="F461" s="274"/>
      <c r="G461" s="274"/>
      <c r="H461" s="274"/>
      <c r="I461" s="274"/>
      <c r="J461" s="274"/>
      <c r="K461" s="274"/>
      <c r="L461" s="274"/>
      <c r="M461" s="274"/>
      <c r="N461" s="274"/>
      <c r="O461" s="274"/>
      <c r="P461" s="274"/>
      <c r="Q461" s="274"/>
      <c r="R461" s="274"/>
      <c r="S461" s="274"/>
      <c r="T461" s="274"/>
      <c r="U461" s="274"/>
      <c r="V461" s="274"/>
      <c r="W461" s="274"/>
      <c r="X461" s="274"/>
      <c r="Y461" s="274"/>
      <c r="Z461" s="274"/>
      <c r="AA461" s="274"/>
      <c r="AB461" s="274"/>
      <c r="AC461" s="274"/>
      <c r="AD461" s="274"/>
      <c r="AE461" s="274"/>
      <c r="AF461" s="274"/>
      <c r="AG461" s="126"/>
    </row>
    <row r="462" outlineLevel="1">
      <c r="A462" s="157" t="s">
        <v>393</v>
      </c>
      <c r="B462" s="274"/>
      <c r="C462" s="274"/>
      <c r="D462" s="274"/>
      <c r="E462" s="274"/>
      <c r="F462" s="274"/>
      <c r="G462" s="274"/>
      <c r="H462" s="274"/>
      <c r="I462" s="274"/>
      <c r="J462" s="274"/>
      <c r="K462" s="274"/>
      <c r="L462" s="274"/>
      <c r="M462" s="274"/>
      <c r="N462" s="274"/>
      <c r="O462" s="274"/>
      <c r="P462" s="274"/>
      <c r="Q462" s="274"/>
      <c r="R462" s="274"/>
      <c r="S462" s="274"/>
      <c r="T462" s="274"/>
      <c r="U462" s="274"/>
      <c r="V462" s="274"/>
      <c r="W462" s="274"/>
      <c r="X462" s="274"/>
      <c r="Y462" s="274"/>
      <c r="Z462" s="274"/>
      <c r="AA462" s="274"/>
      <c r="AB462" s="274"/>
      <c r="AC462" s="274"/>
      <c r="AD462" s="274"/>
      <c r="AE462" s="274"/>
      <c r="AF462" s="274"/>
      <c r="AG462" s="126"/>
    </row>
    <row r="463" outlineLevel="1">
      <c r="A463" s="157" t="s">
        <v>394</v>
      </c>
      <c r="B463" s="274"/>
      <c r="C463" s="274"/>
      <c r="D463" s="274"/>
      <c r="E463" s="274"/>
      <c r="F463" s="274"/>
      <c r="G463" s="274"/>
      <c r="H463" s="274"/>
      <c r="I463" s="274"/>
      <c r="J463" s="274"/>
      <c r="K463" s="274"/>
      <c r="L463" s="274"/>
      <c r="M463" s="274"/>
      <c r="N463" s="274"/>
      <c r="O463" s="274"/>
      <c r="P463" s="274"/>
      <c r="Q463" s="274"/>
      <c r="R463" s="274"/>
      <c r="S463" s="274"/>
      <c r="T463" s="274"/>
      <c r="U463" s="274"/>
      <c r="V463" s="274"/>
      <c r="W463" s="274"/>
      <c r="X463" s="274"/>
      <c r="Y463" s="274"/>
      <c r="Z463" s="274"/>
      <c r="AA463" s="274"/>
      <c r="AB463" s="274"/>
      <c r="AC463" s="274"/>
      <c r="AD463" s="274"/>
      <c r="AE463" s="274"/>
      <c r="AF463" s="274"/>
      <c r="AG463" s="126"/>
    </row>
    <row r="464">
      <c r="A464" s="240" t="s">
        <v>318</v>
      </c>
      <c r="B464" s="275"/>
      <c r="C464" s="275"/>
      <c r="D464" s="275"/>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c r="AA464" s="275"/>
      <c r="AB464" s="275"/>
      <c r="AC464" s="275"/>
      <c r="AD464" s="275"/>
      <c r="AE464" s="275"/>
      <c r="AF464" s="275"/>
      <c r="AG464" s="242"/>
    </row>
    <row r="465">
      <c r="A465" s="243" t="s">
        <v>395</v>
      </c>
      <c r="B465" s="255">
        <f>(B363*'Data - P&amp;L'!$C$34)+('Data - P&amp;L'!$C$35*B364)</f>
        <v>0</v>
      </c>
      <c r="C465" s="255">
        <f>(C363*'Data - P&amp;L'!$C$34)+('Data - P&amp;L'!$C$35*C364)</f>
        <v>0</v>
      </c>
      <c r="D465" s="255">
        <f>(D363*'Data - P&amp;L'!$C$34)+('Data - P&amp;L'!$C$35*D364)</f>
        <v>0</v>
      </c>
      <c r="E465" s="255">
        <f>(E363*'Data - P&amp;L'!$C$34)+('Data - P&amp;L'!$C$35*E364)</f>
        <v>0</v>
      </c>
      <c r="F465" s="255">
        <f>(F363*'Data - P&amp;L'!$C$34)+('Data - P&amp;L'!$C$35*F364)</f>
        <v>437.4</v>
      </c>
      <c r="G465" s="255">
        <f>(G363*'Data - P&amp;L'!$C$34)+('Data - P&amp;L'!$C$35*G364)</f>
        <v>0</v>
      </c>
      <c r="H465" s="255">
        <f>(H363*'Data - P&amp;L'!$C$34)+('Data - P&amp;L'!$C$35*H364)</f>
        <v>0</v>
      </c>
      <c r="I465" s="255">
        <f>(I363*'Data - P&amp;L'!$C$34)+('Data - P&amp;L'!$C$35*I364)</f>
        <v>407.28</v>
      </c>
      <c r="J465" s="255">
        <f>(J363*'Data - P&amp;L'!$C$34)+('Data - P&amp;L'!$C$35*J364)</f>
        <v>43.58</v>
      </c>
      <c r="K465" s="255">
        <f>(K363*'Data - P&amp;L'!$C$34)+('Data - P&amp;L'!$C$35*K364)</f>
        <v>0</v>
      </c>
      <c r="L465" s="255">
        <f>(L363*'Data - P&amp;L'!$C$34)+('Data - P&amp;L'!$C$35*L364)</f>
        <v>87.16</v>
      </c>
      <c r="M465" s="255">
        <f>(M363*'Data - P&amp;L'!$C$34)+('Data - P&amp;L'!$C$35*M364)</f>
        <v>0</v>
      </c>
      <c r="N465" s="255">
        <f>(N363*'Data - P&amp;L'!$C$34)+('Data - P&amp;L'!$C$35*N364)</f>
        <v>0</v>
      </c>
      <c r="O465" s="255">
        <f>(O363*'Data - P&amp;L'!$C$34)+('Data - P&amp;L'!$C$35*O364)</f>
        <v>0</v>
      </c>
      <c r="P465" s="255">
        <f>(P363*'Data - P&amp;L'!$C$34)+('Data - P&amp;L'!$C$35*P364)</f>
        <v>30.12</v>
      </c>
      <c r="Q465" s="255">
        <f>(Q363*'Data - P&amp;L'!$C$34)+('Data - P&amp;L'!$C$35*Q364)</f>
        <v>0</v>
      </c>
      <c r="R465" s="255">
        <f>(R363*'Data - P&amp;L'!$C$34)+('Data - P&amp;L'!$C$35*R364)</f>
        <v>0</v>
      </c>
      <c r="S465" s="255">
        <f>(S363*'Data - P&amp;L'!$C$34)+('Data - P&amp;L'!$C$35*S364)</f>
        <v>0</v>
      </c>
      <c r="T465" s="255">
        <f>(T363*'Data - P&amp;L'!$C$34)+('Data - P&amp;L'!$C$35*T364)</f>
        <v>0</v>
      </c>
      <c r="U465" s="255">
        <f>(U363*'Data - P&amp;L'!$C$34)+('Data - P&amp;L'!$C$35*U364)</f>
        <v>0</v>
      </c>
      <c r="V465" s="255">
        <f>(V363*'Data - P&amp;L'!$C$34)+('Data - P&amp;L'!$C$35*V364)</f>
        <v>0</v>
      </c>
      <c r="W465" s="255">
        <f>(W363*'Data - P&amp;L'!$C$34)+('Data - P&amp;L'!$C$35*W364)</f>
        <v>102.22</v>
      </c>
      <c r="X465" s="255">
        <f>(X363*'Data - P&amp;L'!$C$34)+('Data - P&amp;L'!$C$35*X364)</f>
        <v>102.22</v>
      </c>
      <c r="Y465" s="255">
        <f>(Y363*'Data - P&amp;L'!$C$34)+('Data - P&amp;L'!$C$35*Y364)</f>
        <v>0</v>
      </c>
      <c r="Z465" s="255">
        <f>(Z363*'Data - P&amp;L'!$C$34)+('Data - P&amp;L'!$C$35*Z364)</f>
        <v>0</v>
      </c>
      <c r="AA465" s="255">
        <f>(AA363*'Data - P&amp;L'!$C$34)+('Data - P&amp;L'!$C$35*AA364)</f>
        <v>15.06</v>
      </c>
      <c r="AB465" s="255">
        <f>(AB363*'Data - P&amp;L'!$C$34)+('Data - P&amp;L'!$C$35*AB364)</f>
        <v>0</v>
      </c>
      <c r="AC465" s="255">
        <f>(AC363*'Data - P&amp;L'!$C$34)+('Data - P&amp;L'!$C$35*AC364)</f>
        <v>0</v>
      </c>
      <c r="AD465" s="255">
        <f>(AD363*'Data - P&amp;L'!$C$34)+('Data - P&amp;L'!$C$35*AD364)</f>
        <v>102.22</v>
      </c>
      <c r="AE465" s="255">
        <f>(AE363*'Data - P&amp;L'!$C$34)+('Data - P&amp;L'!$C$35*AE364)</f>
        <v>43.58</v>
      </c>
      <c r="AF465" s="255">
        <f>(AF363*'Data - P&amp;L'!$C$34)+('Data - P&amp;L'!$C$35*AF364)</f>
        <v>0</v>
      </c>
      <c r="AG465" s="126">
        <f t="shared" ref="AG465:AG468" si="133">SUM(B465:AF465)</f>
        <v>1370.84</v>
      </c>
    </row>
    <row r="466">
      <c r="A466" s="243" t="s">
        <v>321</v>
      </c>
      <c r="B466" s="276">
        <v>0.0</v>
      </c>
      <c r="C466" s="276">
        <v>0.0</v>
      </c>
      <c r="D466" s="276">
        <v>0.0</v>
      </c>
      <c r="E466" s="276">
        <v>0.0</v>
      </c>
      <c r="F466" s="276">
        <v>0.0</v>
      </c>
      <c r="G466" s="276">
        <v>0.0</v>
      </c>
      <c r="H466" s="276">
        <v>0.0</v>
      </c>
      <c r="I466" s="276">
        <v>0.0</v>
      </c>
      <c r="J466" s="276">
        <v>0.0</v>
      </c>
      <c r="K466" s="276">
        <v>0.0</v>
      </c>
      <c r="L466" s="276">
        <v>0.0</v>
      </c>
      <c r="M466" s="276">
        <v>0.0</v>
      </c>
      <c r="N466" s="276">
        <v>0.0</v>
      </c>
      <c r="O466" s="276">
        <v>0.0</v>
      </c>
      <c r="P466" s="276">
        <v>0.0</v>
      </c>
      <c r="Q466" s="276">
        <v>0.0</v>
      </c>
      <c r="R466" s="276">
        <v>0.0</v>
      </c>
      <c r="S466" s="276">
        <v>0.0</v>
      </c>
      <c r="T466" s="276">
        <v>0.0</v>
      </c>
      <c r="U466" s="276">
        <v>0.0</v>
      </c>
      <c r="V466" s="276">
        <v>0.0</v>
      </c>
      <c r="W466" s="276">
        <v>0.0</v>
      </c>
      <c r="X466" s="276">
        <v>0.0</v>
      </c>
      <c r="Y466" s="276">
        <v>0.0</v>
      </c>
      <c r="Z466" s="276">
        <v>0.0</v>
      </c>
      <c r="AA466" s="276">
        <v>0.0</v>
      </c>
      <c r="AB466" s="276">
        <v>0.0</v>
      </c>
      <c r="AC466" s="276">
        <v>0.0</v>
      </c>
      <c r="AD466" s="276">
        <v>0.0</v>
      </c>
      <c r="AE466" s="276">
        <v>0.0</v>
      </c>
      <c r="AF466" s="276">
        <v>0.0</v>
      </c>
      <c r="AG466" s="277">
        <f t="shared" si="133"/>
        <v>0</v>
      </c>
    </row>
    <row r="467">
      <c r="A467" s="243" t="s">
        <v>396</v>
      </c>
      <c r="B467" s="255">
        <f t="shared" ref="B467:AF467" si="134">B367*15</f>
        <v>0</v>
      </c>
      <c r="C467" s="255">
        <f t="shared" si="134"/>
        <v>0</v>
      </c>
      <c r="D467" s="255">
        <f t="shared" si="134"/>
        <v>0</v>
      </c>
      <c r="E467" s="255">
        <f t="shared" si="134"/>
        <v>0</v>
      </c>
      <c r="F467" s="255">
        <f t="shared" si="134"/>
        <v>0</v>
      </c>
      <c r="G467" s="255">
        <f t="shared" si="134"/>
        <v>0</v>
      </c>
      <c r="H467" s="255">
        <f t="shared" si="134"/>
        <v>0</v>
      </c>
      <c r="I467" s="255">
        <f t="shared" si="134"/>
        <v>0</v>
      </c>
      <c r="J467" s="255">
        <f t="shared" si="134"/>
        <v>0</v>
      </c>
      <c r="K467" s="255">
        <f t="shared" si="134"/>
        <v>0</v>
      </c>
      <c r="L467" s="255">
        <f t="shared" si="134"/>
        <v>0</v>
      </c>
      <c r="M467" s="255">
        <f t="shared" si="134"/>
        <v>0</v>
      </c>
      <c r="N467" s="255">
        <f t="shared" si="134"/>
        <v>0</v>
      </c>
      <c r="O467" s="255">
        <f t="shared" si="134"/>
        <v>0</v>
      </c>
      <c r="P467" s="255">
        <f t="shared" si="134"/>
        <v>0</v>
      </c>
      <c r="Q467" s="255">
        <f t="shared" si="134"/>
        <v>0</v>
      </c>
      <c r="R467" s="255">
        <f t="shared" si="134"/>
        <v>0</v>
      </c>
      <c r="S467" s="255">
        <f t="shared" si="134"/>
        <v>0</v>
      </c>
      <c r="T467" s="255">
        <f t="shared" si="134"/>
        <v>0</v>
      </c>
      <c r="U467" s="255">
        <f t="shared" si="134"/>
        <v>0</v>
      </c>
      <c r="V467" s="255">
        <f t="shared" si="134"/>
        <v>0</v>
      </c>
      <c r="W467" s="255">
        <f t="shared" si="134"/>
        <v>0</v>
      </c>
      <c r="X467" s="255">
        <f t="shared" si="134"/>
        <v>0</v>
      </c>
      <c r="Y467" s="255">
        <f t="shared" si="134"/>
        <v>0</v>
      </c>
      <c r="Z467" s="255">
        <f t="shared" si="134"/>
        <v>0</v>
      </c>
      <c r="AA467" s="255">
        <f t="shared" si="134"/>
        <v>0</v>
      </c>
      <c r="AB467" s="255">
        <f t="shared" si="134"/>
        <v>0</v>
      </c>
      <c r="AC467" s="255">
        <f t="shared" si="134"/>
        <v>0</v>
      </c>
      <c r="AD467" s="255">
        <f t="shared" si="134"/>
        <v>0</v>
      </c>
      <c r="AE467" s="255">
        <f t="shared" si="134"/>
        <v>0</v>
      </c>
      <c r="AF467" s="255">
        <f t="shared" si="134"/>
        <v>0</v>
      </c>
      <c r="AG467" s="126">
        <f t="shared" si="133"/>
        <v>0</v>
      </c>
    </row>
    <row r="468">
      <c r="A468" s="249" t="s">
        <v>397</v>
      </c>
      <c r="B468" s="278">
        <v>0.0</v>
      </c>
      <c r="C468" s="278">
        <v>0.0</v>
      </c>
      <c r="D468" s="278">
        <v>65.0</v>
      </c>
      <c r="E468" s="278">
        <v>36.0</v>
      </c>
      <c r="F468" s="278">
        <v>86.38</v>
      </c>
      <c r="G468" s="278">
        <v>0.0</v>
      </c>
      <c r="H468" s="278">
        <v>0.0</v>
      </c>
      <c r="I468" s="278">
        <v>0.0</v>
      </c>
      <c r="J468" s="278">
        <v>35.0</v>
      </c>
      <c r="K468" s="278">
        <v>37.55</v>
      </c>
      <c r="L468" s="278">
        <v>93.15</v>
      </c>
      <c r="M468" s="278">
        <v>0.0</v>
      </c>
      <c r="N468" s="278">
        <v>74.4</v>
      </c>
      <c r="O468" s="278">
        <v>119.6</v>
      </c>
      <c r="P468" s="278">
        <v>0.0</v>
      </c>
      <c r="Q468" s="278">
        <v>0.0</v>
      </c>
      <c r="R468" s="278">
        <v>139.7</v>
      </c>
      <c r="S468" s="278">
        <v>0.0</v>
      </c>
      <c r="T468" s="278">
        <v>0.0</v>
      </c>
      <c r="U468" s="278">
        <v>0.0</v>
      </c>
      <c r="V468" s="278">
        <v>51.96</v>
      </c>
      <c r="W468" s="278">
        <v>0.0</v>
      </c>
      <c r="X468" s="278">
        <v>0.0</v>
      </c>
      <c r="Y468" s="278">
        <v>0.0</v>
      </c>
      <c r="Z468" s="278">
        <v>0.0</v>
      </c>
      <c r="AA468" s="278">
        <v>0.0</v>
      </c>
      <c r="AB468" s="278">
        <v>0.0</v>
      </c>
      <c r="AC468" s="278">
        <v>0.0</v>
      </c>
      <c r="AD468" s="278">
        <v>0.0</v>
      </c>
      <c r="AE468" s="278">
        <v>150.56</v>
      </c>
      <c r="AF468" s="278">
        <v>0.0</v>
      </c>
      <c r="AG468" s="279">
        <f t="shared" si="133"/>
        <v>889.3</v>
      </c>
    </row>
    <row r="469">
      <c r="A469" s="177"/>
      <c r="AG469" s="259"/>
    </row>
    <row r="470">
      <c r="A470" s="280" t="s">
        <v>398</v>
      </c>
      <c r="B470" s="281">
        <f t="shared" ref="B470:AF470" si="135">B418+B430+B466+B467+B468</f>
        <v>758.32</v>
      </c>
      <c r="C470" s="281">
        <f t="shared" si="135"/>
        <v>2847.1</v>
      </c>
      <c r="D470" s="281">
        <f t="shared" si="135"/>
        <v>11660.78</v>
      </c>
      <c r="E470" s="281">
        <f t="shared" si="135"/>
        <v>4400.3</v>
      </c>
      <c r="F470" s="281">
        <f t="shared" si="135"/>
        <v>14108.98</v>
      </c>
      <c r="G470" s="281">
        <f t="shared" si="135"/>
        <v>616.78</v>
      </c>
      <c r="H470" s="281">
        <f t="shared" si="135"/>
        <v>43.84</v>
      </c>
      <c r="I470" s="281">
        <f t="shared" si="135"/>
        <v>14622.04</v>
      </c>
      <c r="J470" s="281">
        <f t="shared" si="135"/>
        <v>3312.98</v>
      </c>
      <c r="K470" s="281">
        <f t="shared" si="135"/>
        <v>4586.47</v>
      </c>
      <c r="L470" s="281">
        <f t="shared" si="135"/>
        <v>13950.86</v>
      </c>
      <c r="M470" s="281">
        <f t="shared" si="135"/>
        <v>3954.16</v>
      </c>
      <c r="N470" s="281">
        <f t="shared" si="135"/>
        <v>434.73</v>
      </c>
      <c r="O470" s="281">
        <f t="shared" si="135"/>
        <v>1026.86</v>
      </c>
      <c r="P470" s="281">
        <f t="shared" si="135"/>
        <v>14487.76</v>
      </c>
      <c r="Q470" s="281">
        <f t="shared" si="135"/>
        <v>5348.95</v>
      </c>
      <c r="R470" s="281">
        <f t="shared" si="135"/>
        <v>5106.13</v>
      </c>
      <c r="S470" s="281">
        <f t="shared" si="135"/>
        <v>1967.89</v>
      </c>
      <c r="T470" s="281">
        <f t="shared" si="135"/>
        <v>2259.68</v>
      </c>
      <c r="U470" s="281">
        <f t="shared" si="135"/>
        <v>1403.57</v>
      </c>
      <c r="V470" s="281">
        <f t="shared" si="135"/>
        <v>4702.47</v>
      </c>
      <c r="W470" s="281">
        <f t="shared" si="135"/>
        <v>4994.45</v>
      </c>
      <c r="X470" s="281">
        <f t="shared" si="135"/>
        <v>7927.61</v>
      </c>
      <c r="Y470" s="281">
        <f t="shared" si="135"/>
        <v>2074.59</v>
      </c>
      <c r="Z470" s="281">
        <f t="shared" si="135"/>
        <v>762.66</v>
      </c>
      <c r="AA470" s="281">
        <f t="shared" si="135"/>
        <v>0</v>
      </c>
      <c r="AB470" s="281">
        <f t="shared" si="135"/>
        <v>4060.28</v>
      </c>
      <c r="AC470" s="281">
        <f t="shared" si="135"/>
        <v>10493.07</v>
      </c>
      <c r="AD470" s="281">
        <f t="shared" si="135"/>
        <v>7494.27</v>
      </c>
      <c r="AE470" s="281">
        <f t="shared" si="135"/>
        <v>6669.42</v>
      </c>
      <c r="AF470" s="281">
        <f t="shared" si="135"/>
        <v>6093.21</v>
      </c>
      <c r="AG470" s="126">
        <f>SUM(B470:AF470)</f>
        <v>162170.21</v>
      </c>
    </row>
    <row r="471">
      <c r="A471" s="177"/>
      <c r="AG471" s="259"/>
    </row>
    <row r="472">
      <c r="A472" s="218" t="s">
        <v>345</v>
      </c>
      <c r="B472" s="282">
        <f t="shared" ref="B472:AF472" si="136">B406+B419+B431-B446-B465-B466-B467-B468</f>
        <v>-718.38625</v>
      </c>
      <c r="C472" s="282">
        <f t="shared" si="136"/>
        <v>-2190.718</v>
      </c>
      <c r="D472" s="282">
        <f t="shared" si="136"/>
        <v>-12163.35275</v>
      </c>
      <c r="E472" s="282">
        <f t="shared" si="136"/>
        <v>-4550.73375</v>
      </c>
      <c r="F472" s="282">
        <f t="shared" si="136"/>
        <v>-14079.0665</v>
      </c>
      <c r="G472" s="282">
        <f t="shared" si="136"/>
        <v>-609.02625</v>
      </c>
      <c r="H472" s="282">
        <f t="shared" si="136"/>
        <v>-55.3775</v>
      </c>
      <c r="I472" s="282">
        <f t="shared" si="136"/>
        <v>-15404.95225</v>
      </c>
      <c r="J472" s="282">
        <f t="shared" si="136"/>
        <v>-5279.03575</v>
      </c>
      <c r="K472" s="282">
        <f t="shared" si="136"/>
        <v>-5164.02475</v>
      </c>
      <c r="L472" s="282">
        <f t="shared" si="136"/>
        <v>-13317.85725</v>
      </c>
      <c r="M472" s="282">
        <f t="shared" si="136"/>
        <v>-4148.5395</v>
      </c>
      <c r="N472" s="282">
        <f t="shared" si="136"/>
        <v>-433.88</v>
      </c>
      <c r="O472" s="282">
        <f t="shared" si="136"/>
        <v>-991.71875</v>
      </c>
      <c r="P472" s="282">
        <f t="shared" si="136"/>
        <v>-15518.53175</v>
      </c>
      <c r="Q472" s="282">
        <f t="shared" si="136"/>
        <v>-5625.78625</v>
      </c>
      <c r="R472" s="282">
        <f t="shared" si="136"/>
        <v>-5282.55475</v>
      </c>
      <c r="S472" s="282">
        <f t="shared" si="136"/>
        <v>-2008.735</v>
      </c>
      <c r="T472" s="282">
        <f t="shared" si="136"/>
        <v>-2635.34175</v>
      </c>
      <c r="U472" s="282">
        <f t="shared" si="136"/>
        <v>-1218.59125</v>
      </c>
      <c r="V472" s="282">
        <f t="shared" si="136"/>
        <v>-4356.7275</v>
      </c>
      <c r="W472" s="282">
        <f t="shared" si="136"/>
        <v>-6379.6175</v>
      </c>
      <c r="X472" s="282">
        <f t="shared" si="136"/>
        <v>-7680.475</v>
      </c>
      <c r="Y472" s="282">
        <f t="shared" si="136"/>
        <v>-3669.56175</v>
      </c>
      <c r="Z472" s="282">
        <f t="shared" si="136"/>
        <v>-905.4025</v>
      </c>
      <c r="AA472" s="282">
        <f t="shared" si="136"/>
        <v>-467.587</v>
      </c>
      <c r="AB472" s="282">
        <f t="shared" si="136"/>
        <v>-3873.64125</v>
      </c>
      <c r="AC472" s="282">
        <f t="shared" si="136"/>
        <v>-10009.62625</v>
      </c>
      <c r="AD472" s="282">
        <f t="shared" si="136"/>
        <v>-8533.48075</v>
      </c>
      <c r="AE472" s="282">
        <f t="shared" si="136"/>
        <v>-7779.91975</v>
      </c>
      <c r="AF472" s="282">
        <f t="shared" si="136"/>
        <v>-6644.4625</v>
      </c>
      <c r="AG472" s="126">
        <f>SUM(B472:AF472)</f>
        <v>-171696.7118</v>
      </c>
    </row>
    <row r="473">
      <c r="A473" s="177"/>
      <c r="AG473" s="259"/>
    </row>
    <row r="474">
      <c r="A474" s="177"/>
      <c r="AG474" s="259"/>
    </row>
    <row r="475">
      <c r="A475" s="98"/>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c r="AC475" s="82"/>
      <c r="AD475" s="82"/>
      <c r="AE475" s="82"/>
      <c r="AF475" s="82"/>
      <c r="AG475" s="126">
        <f>SUM(B475:AF475)</f>
        <v>0</v>
      </c>
    </row>
    <row r="476">
      <c r="A476" s="260" t="s">
        <v>346</v>
      </c>
      <c r="B476" s="283"/>
      <c r="C476" s="284"/>
      <c r="D476" s="284"/>
      <c r="E476" s="284"/>
      <c r="F476" s="284"/>
      <c r="G476" s="284"/>
      <c r="H476" s="284"/>
      <c r="I476" s="284"/>
      <c r="J476" s="284"/>
      <c r="K476" s="284"/>
      <c r="L476" s="284"/>
      <c r="M476" s="284"/>
      <c r="N476" s="284"/>
      <c r="O476" s="284"/>
      <c r="P476" s="284"/>
      <c r="Q476" s="284"/>
      <c r="R476" s="284"/>
      <c r="S476" s="284"/>
      <c r="T476" s="284"/>
      <c r="U476" s="285"/>
      <c r="V476" s="285"/>
      <c r="W476" s="285"/>
      <c r="X476" s="285"/>
      <c r="Y476" s="285"/>
      <c r="Z476" s="285"/>
      <c r="AA476" s="285"/>
      <c r="AB476" s="285"/>
      <c r="AC476" s="285"/>
      <c r="AD476" s="285"/>
      <c r="AE476" s="285"/>
      <c r="AF476" s="285"/>
      <c r="AG476" s="286"/>
    </row>
    <row r="477">
      <c r="A477" s="263">
        <f>A397</f>
        <v>835052.26</v>
      </c>
      <c r="B477" s="287"/>
      <c r="C477" s="287"/>
      <c r="D477" s="287"/>
      <c r="E477" s="287"/>
      <c r="F477" s="287"/>
      <c r="G477" s="287"/>
      <c r="H477" s="287"/>
      <c r="I477" s="287"/>
      <c r="J477" s="287"/>
      <c r="K477" s="287"/>
      <c r="L477" s="287"/>
      <c r="M477" s="287"/>
      <c r="N477" s="287"/>
      <c r="O477" s="287"/>
      <c r="P477" s="287"/>
      <c r="Q477" s="287"/>
      <c r="R477" s="287"/>
      <c r="S477" s="287"/>
      <c r="T477" s="287"/>
      <c r="U477" s="288"/>
      <c r="V477" s="288"/>
      <c r="W477" s="288"/>
      <c r="X477" s="288"/>
      <c r="Y477" s="288"/>
      <c r="Z477" s="288"/>
      <c r="AA477" s="288"/>
      <c r="AB477" s="288"/>
      <c r="AC477" s="288"/>
      <c r="AD477" s="288"/>
      <c r="AE477" s="288"/>
      <c r="AF477" s="288"/>
      <c r="AG477" s="78"/>
    </row>
    <row r="478">
      <c r="A478" s="289" t="s">
        <v>399</v>
      </c>
      <c r="B478" s="255">
        <f t="shared" ref="B478:AF478" si="137">B398+B472</f>
        <v>5079.711904</v>
      </c>
      <c r="C478" s="255">
        <f t="shared" si="137"/>
        <v>3182.524383</v>
      </c>
      <c r="D478" s="255">
        <f t="shared" si="137"/>
        <v>-3838.049893</v>
      </c>
      <c r="E478" s="255">
        <f t="shared" si="137"/>
        <v>2070.563345</v>
      </c>
      <c r="F478" s="255">
        <f t="shared" si="137"/>
        <v>-6368.085077</v>
      </c>
      <c r="G478" s="255">
        <f t="shared" si="137"/>
        <v>8473.489219</v>
      </c>
      <c r="H478" s="255">
        <f t="shared" si="137"/>
        <v>9242.330785</v>
      </c>
      <c r="I478" s="255">
        <f t="shared" si="137"/>
        <v>-9086.008536</v>
      </c>
      <c r="J478" s="255">
        <f t="shared" si="137"/>
        <v>-970.5139676</v>
      </c>
      <c r="K478" s="255">
        <f t="shared" si="137"/>
        <v>-931.6000637</v>
      </c>
      <c r="L478" s="255">
        <f t="shared" si="137"/>
        <v>-6928.561981</v>
      </c>
      <c r="M478" s="255">
        <f t="shared" si="137"/>
        <v>1300.167274</v>
      </c>
      <c r="N478" s="255">
        <f t="shared" si="137"/>
        <v>3282.6928</v>
      </c>
      <c r="O478" s="255">
        <f t="shared" si="137"/>
        <v>3287.740002</v>
      </c>
      <c r="P478" s="255">
        <f t="shared" si="137"/>
        <v>-9297.183009</v>
      </c>
      <c r="Q478" s="255">
        <f t="shared" si="137"/>
        <v>454.8357471</v>
      </c>
      <c r="R478" s="255">
        <f t="shared" si="137"/>
        <v>3782.684091</v>
      </c>
      <c r="S478" s="255">
        <f t="shared" si="137"/>
        <v>4525.53102</v>
      </c>
      <c r="T478" s="255">
        <f t="shared" si="137"/>
        <v>3307.353324</v>
      </c>
      <c r="U478" s="255">
        <f t="shared" si="137"/>
        <v>5901.779913</v>
      </c>
      <c r="V478" s="255">
        <f t="shared" si="137"/>
        <v>-4111.329823</v>
      </c>
      <c r="W478" s="255">
        <f t="shared" si="137"/>
        <v>-3759.413513</v>
      </c>
      <c r="X478" s="255">
        <f t="shared" si="137"/>
        <v>-4016.755962</v>
      </c>
      <c r="Y478" s="255">
        <f t="shared" si="137"/>
        <v>-1494.211545</v>
      </c>
      <c r="Z478" s="255">
        <f t="shared" si="137"/>
        <v>1085.574338</v>
      </c>
      <c r="AA478" s="255">
        <f t="shared" si="137"/>
        <v>1401.673097</v>
      </c>
      <c r="AB478" s="255">
        <f t="shared" si="137"/>
        <v>-1127.381484</v>
      </c>
      <c r="AC478" s="255">
        <f t="shared" si="137"/>
        <v>-7071.968169</v>
      </c>
      <c r="AD478" s="255">
        <f t="shared" si="137"/>
        <v>-5994.161529</v>
      </c>
      <c r="AE478" s="255">
        <f t="shared" si="137"/>
        <v>-7117.348465</v>
      </c>
      <c r="AF478" s="255">
        <f t="shared" si="137"/>
        <v>-3814.501591</v>
      </c>
      <c r="AG478" s="126">
        <f t="shared" ref="AG478:AG479" si="138">SUM(B478:AF478)</f>
        <v>-19548.42337</v>
      </c>
    </row>
    <row r="479">
      <c r="A479" s="290">
        <f>SUM(B478:AF478)</f>
        <v>-19548.42337</v>
      </c>
      <c r="B479" s="252"/>
      <c r="C479" s="252"/>
      <c r="D479" s="252"/>
      <c r="E479" s="252"/>
      <c r="F479" s="252"/>
      <c r="G479" s="252"/>
      <c r="H479" s="252"/>
      <c r="I479" s="252"/>
      <c r="J479" s="252"/>
      <c r="K479" s="252"/>
      <c r="L479" s="252"/>
      <c r="M479" s="252"/>
      <c r="N479" s="252"/>
      <c r="O479" s="252"/>
      <c r="P479" s="252"/>
      <c r="Q479" s="252"/>
      <c r="R479" s="252"/>
      <c r="S479" s="252"/>
      <c r="T479" s="252"/>
      <c r="U479" s="252"/>
      <c r="V479" s="252"/>
      <c r="W479" s="252"/>
      <c r="X479" s="252"/>
      <c r="Y479" s="252"/>
      <c r="Z479" s="252"/>
      <c r="AA479" s="252"/>
      <c r="AB479" s="252"/>
      <c r="AC479" s="252"/>
      <c r="AD479" s="252"/>
      <c r="AE479" s="252"/>
      <c r="AF479" s="252"/>
      <c r="AG479" s="126">
        <f t="shared" si="138"/>
        <v>0</v>
      </c>
    </row>
    <row r="480">
      <c r="A480" s="280" t="s">
        <v>400</v>
      </c>
      <c r="B480" s="266">
        <f t="shared" ref="B480:AF480" si="139">B478/B51</f>
        <v>0.1531556498</v>
      </c>
      <c r="C480" s="266">
        <f t="shared" si="139"/>
        <v>0.09882173666</v>
      </c>
      <c r="D480" s="266">
        <f t="shared" si="139"/>
        <v>-0.1016443741</v>
      </c>
      <c r="E480" s="266">
        <f t="shared" si="139"/>
        <v>0.06073130352</v>
      </c>
      <c r="F480" s="266">
        <f t="shared" si="139"/>
        <v>-0.1824472786</v>
      </c>
      <c r="G480" s="266">
        <f t="shared" si="139"/>
        <v>0.2253485672</v>
      </c>
      <c r="H480" s="266">
        <f t="shared" si="139"/>
        <v>0.2412196473</v>
      </c>
      <c r="I480" s="266">
        <f t="shared" si="139"/>
        <v>-0.2918156025</v>
      </c>
      <c r="J480" s="266">
        <f t="shared" si="139"/>
        <v>-0.03606828859</v>
      </c>
      <c r="K480" s="266">
        <f t="shared" si="139"/>
        <v>-0.03872027198</v>
      </c>
      <c r="L480" s="266">
        <f t="shared" si="139"/>
        <v>-0.2407404943</v>
      </c>
      <c r="M480" s="266">
        <f t="shared" si="139"/>
        <v>0.0401323603</v>
      </c>
      <c r="N480" s="266">
        <f t="shared" si="139"/>
        <v>0.110786319</v>
      </c>
      <c r="O480" s="266">
        <f t="shared" si="139"/>
        <v>0.1193216998</v>
      </c>
      <c r="P480" s="266">
        <f t="shared" si="139"/>
        <v>-0.3335995646</v>
      </c>
      <c r="Q480" s="266">
        <f t="shared" si="139"/>
        <v>0.01763181428</v>
      </c>
      <c r="R480" s="266">
        <f t="shared" si="139"/>
        <v>0.1167357097</v>
      </c>
      <c r="S480" s="266">
        <f t="shared" si="139"/>
        <v>0.1681419695</v>
      </c>
      <c r="T480" s="266">
        <f t="shared" si="139"/>
        <v>0.121852989</v>
      </c>
      <c r="U480" s="266">
        <f t="shared" si="139"/>
        <v>0.1695180164</v>
      </c>
      <c r="V480" s="266">
        <f t="shared" si="139"/>
        <v>-0.2177432373</v>
      </c>
      <c r="W480" s="266">
        <f t="shared" si="139"/>
        <v>-0.1851716214</v>
      </c>
      <c r="X480" s="266">
        <f t="shared" si="139"/>
        <v>-0.1785333579</v>
      </c>
      <c r="Y480" s="266">
        <f t="shared" si="139"/>
        <v>-0.08182703346</v>
      </c>
      <c r="Z480" s="266">
        <f t="shared" si="139"/>
        <v>0.0596864265</v>
      </c>
      <c r="AA480" s="266">
        <f t="shared" si="139"/>
        <v>0.07348698405</v>
      </c>
      <c r="AB480" s="266">
        <f t="shared" si="139"/>
        <v>-0.05630947061</v>
      </c>
      <c r="AC480" s="266">
        <f t="shared" si="139"/>
        <v>-0.329710242</v>
      </c>
      <c r="AD480" s="266">
        <f t="shared" si="139"/>
        <v>-0.2981840577</v>
      </c>
      <c r="AE480" s="266">
        <f t="shared" si="139"/>
        <v>-0.4753588537</v>
      </c>
      <c r="AF480" s="266">
        <f t="shared" si="139"/>
        <v>-0.2136960118</v>
      </c>
      <c r="AG480" s="126"/>
    </row>
    <row r="481">
      <c r="A481" s="291">
        <f>A479/A397</f>
        <v>-0.02340982032</v>
      </c>
      <c r="B481" s="252"/>
      <c r="C481" s="252"/>
      <c r="D481" s="252"/>
      <c r="E481" s="252"/>
      <c r="F481" s="252"/>
      <c r="G481" s="252"/>
      <c r="H481" s="252"/>
      <c r="I481" s="252"/>
      <c r="J481" s="252"/>
      <c r="K481" s="252"/>
      <c r="L481" s="252"/>
      <c r="M481" s="252"/>
      <c r="N481" s="252"/>
      <c r="O481" s="252"/>
      <c r="P481" s="252"/>
      <c r="Q481" s="252"/>
      <c r="R481" s="252"/>
      <c r="S481" s="252"/>
      <c r="T481" s="252"/>
      <c r="U481" s="252"/>
      <c r="V481" s="252"/>
      <c r="W481" s="252"/>
      <c r="X481" s="252"/>
      <c r="Y481" s="252"/>
      <c r="Z481" s="252"/>
      <c r="AA481" s="252"/>
      <c r="AB481" s="252"/>
      <c r="AC481" s="252"/>
      <c r="AD481" s="252"/>
      <c r="AE481" s="252"/>
      <c r="AF481" s="252"/>
      <c r="AG481" s="126"/>
    </row>
    <row r="482">
      <c r="A482" s="268" t="s">
        <v>349</v>
      </c>
      <c r="B482" s="269">
        <f>Summary!B93</f>
        <v>4.073959286</v>
      </c>
      <c r="C482" s="269">
        <f>Summary!C93</f>
        <v>3.98694576</v>
      </c>
      <c r="D482" s="269">
        <f>Summary!D93</f>
        <v>4.959272436</v>
      </c>
      <c r="E482" s="269">
        <f>Summary!E93</f>
        <v>4.586572294</v>
      </c>
      <c r="F482" s="269">
        <f>Summary!F93</f>
        <v>4.815094166</v>
      </c>
      <c r="G482" s="269">
        <f>Summary!G93</f>
        <v>5.313901894</v>
      </c>
      <c r="H482" s="269">
        <f>Summary!H93</f>
        <v>5.118363208</v>
      </c>
      <c r="I482" s="269">
        <f>Summary!I93</f>
        <v>4.319649206</v>
      </c>
      <c r="J482" s="269">
        <f>Summary!J93</f>
        <v>3.844552992</v>
      </c>
      <c r="K482" s="269">
        <f>Summary!K93</f>
        <v>4.034992621</v>
      </c>
      <c r="L482" s="269">
        <f>Summary!L93</f>
        <v>4.85877229</v>
      </c>
      <c r="M482" s="269">
        <f>Summary!M93</f>
        <v>3.955817618</v>
      </c>
      <c r="N482" s="269">
        <f>Summary!N93</f>
        <v>3.089473839</v>
      </c>
      <c r="O482" s="269">
        <f>Summary!O93</f>
        <v>3.411321104</v>
      </c>
      <c r="P482" s="269">
        <f>Summary!P93</f>
        <v>4.462995466</v>
      </c>
      <c r="Q482" s="269">
        <f>Summary!Q93</f>
        <v>4.737573131</v>
      </c>
      <c r="R482" s="269">
        <f>Summary!R93</f>
        <v>6.09745377</v>
      </c>
      <c r="S482" s="269">
        <f>Summary!S93</f>
        <v>4.946850297</v>
      </c>
      <c r="T482" s="269">
        <f>Summary!T93</f>
        <v>4.598224525</v>
      </c>
      <c r="U482" s="269">
        <f>Summary!U93</f>
        <v>4.303607677</v>
      </c>
      <c r="V482" s="269">
        <f>Summary!V93</f>
        <v>2.259000811</v>
      </c>
      <c r="W482" s="269">
        <f>Summary!W93</f>
        <v>3.079241108</v>
      </c>
      <c r="X482" s="269">
        <f>Summary!X93</f>
        <v>3.877666697</v>
      </c>
      <c r="Y482" s="269">
        <f>Summary!Y93</f>
        <v>3.254817771</v>
      </c>
      <c r="Z482" s="269">
        <f>Summary!Z93</f>
        <v>3.328517989</v>
      </c>
      <c r="AA482" s="269">
        <f>Summary!AA93</f>
        <v>3.316792473</v>
      </c>
      <c r="AB482" s="269">
        <f>Summary!AB93</f>
        <v>3.56545441</v>
      </c>
      <c r="AC482" s="269">
        <f>Summary!AC93</f>
        <v>3.647557775</v>
      </c>
      <c r="AD482" s="269">
        <f>Summary!AD93</f>
        <v>3.714382115</v>
      </c>
      <c r="AE482" s="269">
        <f>Summary!AE93</f>
        <v>2.959634624</v>
      </c>
      <c r="AF482" s="269">
        <f>Summary!AF93</f>
        <v>3.711756541</v>
      </c>
      <c r="AG482" s="270"/>
    </row>
    <row r="483">
      <c r="A483" s="98"/>
      <c r="B483" s="252"/>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c r="AA483" s="252"/>
      <c r="AB483" s="252"/>
      <c r="AC483" s="252"/>
      <c r="AD483" s="252"/>
      <c r="AE483" s="252"/>
      <c r="AF483" s="252"/>
      <c r="AG483" s="292"/>
    </row>
    <row r="484">
      <c r="A484" s="98"/>
      <c r="B484" s="293"/>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c r="AC484" s="82"/>
      <c r="AD484" s="82"/>
      <c r="AE484" s="82"/>
      <c r="AF484" s="82"/>
      <c r="AG484" s="78"/>
    </row>
    <row r="485">
      <c r="A485" s="177"/>
      <c r="AG485" s="259"/>
    </row>
    <row r="486">
      <c r="A486" s="85" t="s">
        <v>401</v>
      </c>
      <c r="B486" s="206">
        <f t="shared" ref="B486:AG486" si="140">B398/B41</f>
        <v>30.35653484</v>
      </c>
      <c r="C486" s="206">
        <f t="shared" si="140"/>
        <v>34.00786318</v>
      </c>
      <c r="D486" s="206">
        <f t="shared" si="140"/>
        <v>46.51007183</v>
      </c>
      <c r="E486" s="206">
        <f t="shared" si="140"/>
        <v>42.44421215</v>
      </c>
      <c r="F486" s="206">
        <f t="shared" si="140"/>
        <v>43.32012036</v>
      </c>
      <c r="G486" s="206">
        <f t="shared" si="140"/>
        <v>48.56960144</v>
      </c>
      <c r="H486" s="206">
        <f t="shared" si="140"/>
        <v>47.68055531</v>
      </c>
      <c r="I486" s="206">
        <f t="shared" si="140"/>
        <v>43.88155357</v>
      </c>
      <c r="J486" s="206">
        <f t="shared" si="140"/>
        <v>38.12851135</v>
      </c>
      <c r="K486" s="206">
        <f t="shared" si="140"/>
        <v>40.69639121</v>
      </c>
      <c r="L486" s="206">
        <f t="shared" si="140"/>
        <v>48.77324632</v>
      </c>
      <c r="M486" s="206">
        <f t="shared" si="140"/>
        <v>39.48338242</v>
      </c>
      <c r="N486" s="206">
        <f t="shared" si="140"/>
        <v>26.54694857</v>
      </c>
      <c r="O486" s="206">
        <f t="shared" si="140"/>
        <v>29.1119643</v>
      </c>
      <c r="P486" s="206">
        <f t="shared" si="140"/>
        <v>48.60428704</v>
      </c>
      <c r="Q486" s="206">
        <f t="shared" si="140"/>
        <v>51.97112818</v>
      </c>
      <c r="R486" s="206">
        <f t="shared" si="140"/>
        <v>67.65103612</v>
      </c>
      <c r="S486" s="206">
        <f t="shared" si="140"/>
        <v>61.06790673</v>
      </c>
      <c r="T486" s="206">
        <f t="shared" si="140"/>
        <v>49.93861407</v>
      </c>
      <c r="U486" s="206">
        <f t="shared" si="140"/>
        <v>47.46914109</v>
      </c>
      <c r="V486" s="206">
        <f t="shared" si="140"/>
        <v>2.133892846</v>
      </c>
      <c r="W486" s="206">
        <f t="shared" si="140"/>
        <v>27.29379153</v>
      </c>
      <c r="X486" s="206">
        <f t="shared" si="140"/>
        <v>40.26064877</v>
      </c>
      <c r="Y486" s="206">
        <f t="shared" si="140"/>
        <v>25.29476982</v>
      </c>
      <c r="Z486" s="206">
        <f t="shared" si="140"/>
        <v>21.87886635</v>
      </c>
      <c r="AA486" s="206">
        <f t="shared" si="140"/>
        <v>19.47145934</v>
      </c>
      <c r="AB486" s="206">
        <f t="shared" si="140"/>
        <v>26.15485492</v>
      </c>
      <c r="AC486" s="206">
        <f t="shared" si="140"/>
        <v>28.24671232</v>
      </c>
      <c r="AD486" s="206">
        <f t="shared" si="140"/>
        <v>24.41653097</v>
      </c>
      <c r="AE486" s="206">
        <f t="shared" si="140"/>
        <v>9.076318971</v>
      </c>
      <c r="AF486" s="206">
        <f t="shared" si="140"/>
        <v>41.01392622</v>
      </c>
      <c r="AG486" s="294">
        <f t="shared" si="140"/>
        <v>38.55759969</v>
      </c>
    </row>
    <row r="487">
      <c r="A487" s="98"/>
      <c r="B487" s="252"/>
      <c r="C487" s="252"/>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c r="AA487" s="252"/>
      <c r="AB487" s="252"/>
      <c r="AC487" s="252"/>
      <c r="AD487" s="252"/>
      <c r="AE487" s="252"/>
      <c r="AF487" s="252"/>
      <c r="AG487" s="126"/>
    </row>
    <row r="488">
      <c r="A488" s="85" t="s">
        <v>402</v>
      </c>
      <c r="B488" s="206">
        <f t="shared" ref="B488:AG488" si="141">B478/B42</f>
        <v>26.59535029</v>
      </c>
      <c r="C488" s="206">
        <f t="shared" si="141"/>
        <v>20.14255938</v>
      </c>
      <c r="D488" s="206">
        <f t="shared" si="141"/>
        <v>-21.44161951</v>
      </c>
      <c r="E488" s="206">
        <f t="shared" si="141"/>
        <v>13.27284196</v>
      </c>
      <c r="F488" s="206">
        <f t="shared" si="141"/>
        <v>-35.77575886</v>
      </c>
      <c r="G488" s="206">
        <f t="shared" si="141"/>
        <v>45.31277657</v>
      </c>
      <c r="H488" s="206">
        <f t="shared" si="141"/>
        <v>47.39656813</v>
      </c>
      <c r="I488" s="206">
        <f t="shared" si="141"/>
        <v>-63.0972815</v>
      </c>
      <c r="J488" s="206">
        <f t="shared" si="141"/>
        <v>-8.588619182</v>
      </c>
      <c r="K488" s="206">
        <f t="shared" si="141"/>
        <v>-8.957692921</v>
      </c>
      <c r="L488" s="206">
        <f t="shared" si="141"/>
        <v>-52.88978612</v>
      </c>
      <c r="M488" s="206">
        <f t="shared" si="141"/>
        <v>9.421501985</v>
      </c>
      <c r="N488" s="206">
        <f t="shared" si="141"/>
        <v>23.44780571</v>
      </c>
      <c r="O488" s="206">
        <f t="shared" si="141"/>
        <v>22.36557824</v>
      </c>
      <c r="P488" s="206">
        <f t="shared" si="141"/>
        <v>-72.63424226</v>
      </c>
      <c r="Q488" s="206">
        <f t="shared" si="141"/>
        <v>3.887485018</v>
      </c>
      <c r="R488" s="206">
        <f t="shared" si="141"/>
        <v>28.22898575</v>
      </c>
      <c r="S488" s="206">
        <f t="shared" si="141"/>
        <v>42.29468243</v>
      </c>
      <c r="T488" s="206">
        <f t="shared" si="141"/>
        <v>27.79288507</v>
      </c>
      <c r="U488" s="206">
        <f t="shared" si="141"/>
        <v>39.34519942</v>
      </c>
      <c r="V488" s="206">
        <f t="shared" si="141"/>
        <v>-35.75069411</v>
      </c>
      <c r="W488" s="206">
        <f t="shared" si="141"/>
        <v>-39.16055743</v>
      </c>
      <c r="X488" s="206">
        <f t="shared" si="141"/>
        <v>-44.14017541</v>
      </c>
      <c r="Y488" s="206">
        <f t="shared" si="141"/>
        <v>-17.37455285</v>
      </c>
      <c r="Z488" s="206">
        <f t="shared" si="141"/>
        <v>11.92938833</v>
      </c>
      <c r="AA488" s="206">
        <f t="shared" si="141"/>
        <v>14.60076143</v>
      </c>
      <c r="AB488" s="206">
        <f t="shared" si="141"/>
        <v>-10.73696651</v>
      </c>
      <c r="AC488" s="206">
        <f t="shared" si="141"/>
        <v>-67.99969393</v>
      </c>
      <c r="AD488" s="206">
        <f t="shared" si="141"/>
        <v>-57.63616855</v>
      </c>
      <c r="AE488" s="206">
        <f t="shared" si="141"/>
        <v>-97.49792418</v>
      </c>
      <c r="AF488" s="206">
        <f t="shared" si="141"/>
        <v>-55.28263175</v>
      </c>
      <c r="AG488" s="294">
        <f t="shared" si="141"/>
        <v>-4.953984634</v>
      </c>
    </row>
    <row r="489">
      <c r="A489" s="177"/>
      <c r="AG489" s="259"/>
    </row>
    <row r="490">
      <c r="A490" s="177"/>
      <c r="AG490" s="259"/>
    </row>
    <row r="491">
      <c r="A491" s="177"/>
      <c r="AG491" s="259"/>
    </row>
    <row r="492">
      <c r="A492" s="177"/>
      <c r="AG492" s="259"/>
    </row>
    <row r="493">
      <c r="A493" s="295"/>
      <c r="B493" s="287"/>
      <c r="C493" s="287"/>
      <c r="D493" s="287"/>
      <c r="E493" s="287"/>
      <c r="F493" s="287"/>
      <c r="G493" s="287"/>
      <c r="H493" s="287"/>
      <c r="I493" s="287"/>
      <c r="J493" s="287"/>
      <c r="K493" s="287"/>
      <c r="L493" s="287"/>
      <c r="M493" s="287"/>
      <c r="N493" s="287"/>
      <c r="O493" s="287"/>
      <c r="P493" s="287"/>
      <c r="Q493" s="287"/>
      <c r="R493" s="287"/>
      <c r="S493" s="287"/>
      <c r="T493" s="287"/>
      <c r="U493" s="288"/>
      <c r="V493" s="288"/>
      <c r="W493" s="288"/>
      <c r="X493" s="288"/>
      <c r="Y493" s="288"/>
      <c r="Z493" s="288"/>
      <c r="AA493" s="288"/>
      <c r="AB493" s="288"/>
      <c r="AC493" s="288"/>
      <c r="AD493" s="288"/>
      <c r="AE493" s="288"/>
      <c r="AF493" s="288"/>
      <c r="AG493" s="78"/>
    </row>
    <row r="494">
      <c r="A494" s="177"/>
      <c r="AG494" s="259"/>
    </row>
    <row r="495">
      <c r="A495" s="177"/>
      <c r="AG495" s="259"/>
    </row>
    <row r="496">
      <c r="A496" s="177"/>
      <c r="AG496" s="259"/>
    </row>
    <row r="497">
      <c r="A497" s="177"/>
      <c r="AG497" s="259"/>
    </row>
    <row r="498">
      <c r="A498" s="177"/>
      <c r="AG498" s="259"/>
    </row>
    <row r="499">
      <c r="A499" s="177"/>
      <c r="AG499" s="259"/>
    </row>
    <row r="500">
      <c r="A500" s="177"/>
      <c r="AG500" s="259"/>
    </row>
    <row r="501">
      <c r="A501" s="177"/>
      <c r="AG501" s="259"/>
    </row>
    <row r="502">
      <c r="A502" s="177"/>
      <c r="AG502" s="259"/>
    </row>
    <row r="503">
      <c r="A503" s="177"/>
      <c r="AG503" s="259"/>
    </row>
    <row r="504">
      <c r="A504" s="177"/>
      <c r="AG504" s="259"/>
    </row>
    <row r="505">
      <c r="A505" s="177"/>
      <c r="AG505" s="259"/>
    </row>
    <row r="506">
      <c r="A506" s="177"/>
      <c r="AG506" s="259"/>
    </row>
    <row r="507">
      <c r="A507" s="177"/>
      <c r="AG507" s="259"/>
    </row>
    <row r="508">
      <c r="A508" s="177"/>
      <c r="AG508" s="259"/>
    </row>
    <row r="509">
      <c r="A509" s="177"/>
      <c r="AG509" s="259"/>
    </row>
    <row r="510">
      <c r="A510" s="177"/>
      <c r="AG510" s="259"/>
    </row>
    <row r="511">
      <c r="A511" s="177"/>
      <c r="AG511" s="259"/>
    </row>
    <row r="512">
      <c r="A512" s="177"/>
      <c r="AG512" s="259"/>
    </row>
    <row r="513">
      <c r="A513" s="177"/>
      <c r="AG513" s="259"/>
    </row>
    <row r="514">
      <c r="A514" s="177"/>
      <c r="AG514" s="259"/>
    </row>
    <row r="515">
      <c r="A515" s="177"/>
      <c r="AG515" s="259"/>
    </row>
    <row r="516">
      <c r="A516" s="177"/>
      <c r="AG516" s="259"/>
    </row>
    <row r="517">
      <c r="A517" s="177"/>
      <c r="AG517" s="259"/>
    </row>
    <row r="518">
      <c r="A518" s="177"/>
      <c r="AG518" s="259"/>
    </row>
    <row r="519">
      <c r="A519" s="177"/>
      <c r="AG519" s="259"/>
    </row>
    <row r="520">
      <c r="A520" s="177"/>
      <c r="AG520" s="259"/>
    </row>
    <row r="521">
      <c r="A521" s="177"/>
      <c r="AG521" s="259"/>
    </row>
    <row r="522">
      <c r="A522" s="177"/>
      <c r="AG522" s="259"/>
    </row>
    <row r="523">
      <c r="A523" s="177"/>
      <c r="AG523" s="259"/>
    </row>
    <row r="524">
      <c r="A524" s="177"/>
      <c r="AG524" s="259"/>
    </row>
    <row r="525">
      <c r="A525" s="177"/>
      <c r="AG525" s="259"/>
    </row>
    <row r="526">
      <c r="A526" s="177"/>
      <c r="AG526" s="259"/>
    </row>
    <row r="527">
      <c r="A527" s="177"/>
      <c r="AG527" s="259"/>
    </row>
    <row r="528">
      <c r="A528" s="177"/>
      <c r="AG528" s="259"/>
    </row>
    <row r="529">
      <c r="A529" s="177"/>
      <c r="AG529" s="259"/>
    </row>
    <row r="530">
      <c r="A530" s="177"/>
      <c r="AG530" s="259"/>
    </row>
    <row r="531">
      <c r="A531" s="177"/>
      <c r="AG531" s="259"/>
    </row>
    <row r="532">
      <c r="A532" s="177"/>
      <c r="AG532" s="259"/>
    </row>
    <row r="533">
      <c r="A533" s="177"/>
      <c r="AG533" s="259"/>
    </row>
    <row r="534">
      <c r="A534" s="177"/>
      <c r="AG534" s="259"/>
    </row>
    <row r="535">
      <c r="A535" s="177"/>
      <c r="AG535" s="259"/>
    </row>
    <row r="536">
      <c r="A536" s="177"/>
      <c r="AG536" s="259"/>
    </row>
    <row r="537">
      <c r="A537" s="177"/>
      <c r="AG537" s="259"/>
    </row>
    <row r="538">
      <c r="A538" s="177"/>
      <c r="AG538" s="259"/>
    </row>
    <row r="539">
      <c r="A539" s="177"/>
      <c r="AG539" s="259"/>
    </row>
    <row r="540">
      <c r="A540" s="177"/>
      <c r="AG540" s="259"/>
    </row>
    <row r="541">
      <c r="A541" s="177"/>
      <c r="AG541" s="259"/>
    </row>
    <row r="542">
      <c r="A542" s="177"/>
      <c r="AG542" s="259"/>
    </row>
    <row r="543">
      <c r="A543" s="177"/>
      <c r="AG543" s="259"/>
    </row>
    <row r="544">
      <c r="A544" s="177"/>
      <c r="AG544" s="259"/>
    </row>
    <row r="545">
      <c r="A545" s="177"/>
      <c r="AG545" s="259"/>
    </row>
    <row r="546">
      <c r="A546" s="177"/>
      <c r="AG546" s="259"/>
    </row>
    <row r="547">
      <c r="A547" s="177"/>
      <c r="AG547" s="259"/>
    </row>
    <row r="548">
      <c r="A548" s="177"/>
      <c r="AG548" s="259"/>
    </row>
    <row r="549">
      <c r="A549" s="177"/>
      <c r="AG549" s="259"/>
    </row>
    <row r="550">
      <c r="A550" s="177"/>
      <c r="AG550" s="259"/>
    </row>
    <row r="551">
      <c r="A551" s="177"/>
      <c r="AG551" s="259"/>
    </row>
    <row r="552">
      <c r="A552" s="177"/>
      <c r="AG552" s="259"/>
    </row>
    <row r="553">
      <c r="A553" s="177"/>
      <c r="AG553" s="259"/>
    </row>
    <row r="554">
      <c r="A554" s="177"/>
      <c r="AG554" s="259"/>
    </row>
    <row r="555">
      <c r="A555" s="177"/>
      <c r="AG555" s="259"/>
    </row>
    <row r="556">
      <c r="A556" s="177"/>
      <c r="AG556" s="259"/>
    </row>
    <row r="557">
      <c r="A557" s="177"/>
      <c r="AG557" s="259"/>
    </row>
    <row r="558">
      <c r="A558" s="177"/>
      <c r="AG558" s="259"/>
    </row>
    <row r="559">
      <c r="A559" s="177"/>
      <c r="AG559" s="259"/>
    </row>
    <row r="560">
      <c r="A560" s="177"/>
      <c r="AG560" s="259"/>
    </row>
    <row r="561">
      <c r="A561" s="177"/>
      <c r="AG561" s="259"/>
    </row>
    <row r="562">
      <c r="A562" s="177"/>
      <c r="AG562" s="259"/>
    </row>
    <row r="563">
      <c r="A563" s="177"/>
      <c r="AG563" s="259"/>
    </row>
    <row r="564">
      <c r="A564" s="177"/>
      <c r="AG564" s="259"/>
    </row>
    <row r="565">
      <c r="A565" s="177"/>
      <c r="AG565" s="259"/>
    </row>
    <row r="566">
      <c r="A566" s="177"/>
      <c r="AG566" s="259"/>
    </row>
    <row r="567">
      <c r="A567" s="177"/>
      <c r="AG567" s="259"/>
    </row>
    <row r="568">
      <c r="A568" s="177"/>
      <c r="AG568" s="259"/>
    </row>
    <row r="569">
      <c r="A569" s="177"/>
      <c r="AG569" s="259"/>
    </row>
    <row r="570">
      <c r="A570" s="177"/>
      <c r="AG570" s="259"/>
    </row>
    <row r="571">
      <c r="A571" s="177"/>
      <c r="AG571" s="259"/>
    </row>
    <row r="572">
      <c r="A572" s="177"/>
      <c r="AG572" s="259"/>
    </row>
    <row r="573">
      <c r="A573" s="177"/>
      <c r="AG573" s="259"/>
    </row>
    <row r="574">
      <c r="A574" s="177"/>
      <c r="AG574" s="259"/>
    </row>
    <row r="575">
      <c r="A575" s="177"/>
      <c r="AG575" s="259"/>
    </row>
    <row r="576">
      <c r="A576" s="177"/>
      <c r="AG576" s="259"/>
    </row>
    <row r="577">
      <c r="A577" s="177"/>
      <c r="AG577" s="259"/>
    </row>
    <row r="578">
      <c r="A578" s="177"/>
      <c r="AG578" s="259"/>
    </row>
    <row r="579">
      <c r="A579" s="177"/>
      <c r="AG579" s="259"/>
    </row>
    <row r="580">
      <c r="A580" s="177"/>
      <c r="AG580" s="259"/>
    </row>
    <row r="581">
      <c r="A581" s="177"/>
      <c r="AG581" s="259"/>
    </row>
    <row r="582">
      <c r="A582" s="177"/>
      <c r="AG582" s="259"/>
    </row>
    <row r="583">
      <c r="A583" s="177"/>
      <c r="AG583" s="259"/>
    </row>
    <row r="584">
      <c r="A584" s="177"/>
      <c r="AG584" s="259"/>
    </row>
    <row r="585">
      <c r="A585" s="177"/>
      <c r="AG585" s="259"/>
    </row>
    <row r="586">
      <c r="A586" s="177"/>
      <c r="AG586" s="259"/>
    </row>
    <row r="587">
      <c r="A587" s="177"/>
      <c r="AG587" s="259"/>
    </row>
    <row r="588">
      <c r="A588" s="177"/>
      <c r="AG588" s="259"/>
    </row>
    <row r="589">
      <c r="A589" s="177"/>
      <c r="AG589" s="259"/>
    </row>
    <row r="590">
      <c r="A590" s="177"/>
      <c r="AG590" s="259"/>
    </row>
    <row r="591">
      <c r="A591" s="177"/>
      <c r="AG591" s="259"/>
    </row>
    <row r="592">
      <c r="A592" s="177"/>
      <c r="AG592" s="259"/>
    </row>
    <row r="593">
      <c r="A593" s="177"/>
      <c r="AG593" s="259"/>
    </row>
    <row r="594">
      <c r="A594" s="177"/>
      <c r="AG594" s="259"/>
    </row>
    <row r="595">
      <c r="A595" s="177"/>
      <c r="AG595" s="259"/>
    </row>
    <row r="596">
      <c r="A596" s="177"/>
      <c r="AG596" s="259"/>
    </row>
    <row r="597">
      <c r="A597" s="177"/>
      <c r="AG597" s="259"/>
    </row>
    <row r="598">
      <c r="A598" s="177"/>
      <c r="AG598" s="259"/>
    </row>
    <row r="599">
      <c r="A599" s="177"/>
      <c r="AG599" s="259"/>
    </row>
    <row r="600">
      <c r="A600" s="177"/>
      <c r="AG600" s="259"/>
    </row>
    <row r="601">
      <c r="A601" s="177"/>
      <c r="AG601" s="259"/>
    </row>
    <row r="602">
      <c r="A602" s="177"/>
      <c r="AG602" s="259"/>
    </row>
    <row r="603">
      <c r="A603" s="177"/>
      <c r="AG603" s="259"/>
    </row>
    <row r="604">
      <c r="A604" s="177"/>
      <c r="AG604" s="259"/>
    </row>
    <row r="605">
      <c r="A605" s="177"/>
      <c r="AG605" s="259"/>
    </row>
    <row r="606">
      <c r="A606" s="177"/>
      <c r="AG606" s="259"/>
    </row>
    <row r="607">
      <c r="A607" s="177"/>
      <c r="AG607" s="259"/>
    </row>
    <row r="608">
      <c r="A608" s="177"/>
      <c r="AG608" s="259"/>
    </row>
    <row r="609">
      <c r="A609" s="177"/>
      <c r="AG609" s="259"/>
    </row>
    <row r="610">
      <c r="A610" s="177"/>
      <c r="AG610" s="259"/>
    </row>
    <row r="611">
      <c r="A611" s="177"/>
      <c r="AG611" s="259"/>
    </row>
    <row r="612">
      <c r="A612" s="177"/>
      <c r="AG612" s="259"/>
    </row>
    <row r="613">
      <c r="A613" s="177"/>
      <c r="AG613" s="259"/>
    </row>
    <row r="614">
      <c r="A614" s="177"/>
      <c r="AG614" s="259"/>
    </row>
    <row r="615">
      <c r="A615" s="177"/>
      <c r="AG615" s="259"/>
    </row>
    <row r="616">
      <c r="A616" s="177"/>
      <c r="AG616" s="259"/>
    </row>
    <row r="617">
      <c r="A617" s="177"/>
      <c r="AG617" s="259"/>
    </row>
    <row r="618">
      <c r="A618" s="177"/>
      <c r="AG618" s="259"/>
    </row>
    <row r="619">
      <c r="A619" s="177"/>
      <c r="AG619" s="259"/>
    </row>
    <row r="620">
      <c r="A620" s="177"/>
      <c r="AG620" s="259"/>
    </row>
    <row r="621">
      <c r="A621" s="177"/>
      <c r="AG621" s="259"/>
    </row>
    <row r="622">
      <c r="A622" s="177"/>
      <c r="AG622" s="259"/>
    </row>
    <row r="623">
      <c r="A623" s="177"/>
      <c r="AG623" s="259"/>
    </row>
    <row r="624">
      <c r="A624" s="177"/>
      <c r="AG624" s="259"/>
    </row>
    <row r="625">
      <c r="A625" s="177"/>
      <c r="AG625" s="259"/>
    </row>
    <row r="626">
      <c r="A626" s="177"/>
      <c r="AG626" s="259"/>
    </row>
    <row r="627">
      <c r="A627" s="177"/>
      <c r="AG627" s="259"/>
    </row>
    <row r="628">
      <c r="A628" s="177"/>
      <c r="AG628" s="259"/>
    </row>
    <row r="629">
      <c r="A629" s="177"/>
      <c r="AG629" s="259"/>
    </row>
    <row r="630">
      <c r="A630" s="177"/>
      <c r="AG630" s="259"/>
    </row>
    <row r="631">
      <c r="A631" s="177"/>
      <c r="AG631" s="259"/>
    </row>
    <row r="632">
      <c r="A632" s="177"/>
      <c r="AG632" s="259"/>
    </row>
    <row r="633">
      <c r="A633" s="177"/>
      <c r="AG633" s="259"/>
    </row>
    <row r="634">
      <c r="A634" s="177"/>
      <c r="AG634" s="259"/>
    </row>
    <row r="635">
      <c r="A635" s="177"/>
      <c r="AG635" s="259"/>
    </row>
    <row r="636">
      <c r="A636" s="177"/>
      <c r="AG636" s="259"/>
    </row>
    <row r="637">
      <c r="A637" s="177"/>
      <c r="AG637" s="259"/>
    </row>
    <row r="638">
      <c r="A638" s="177"/>
      <c r="AG638" s="259"/>
    </row>
    <row r="639">
      <c r="A639" s="177"/>
      <c r="AG639" s="259"/>
    </row>
    <row r="640">
      <c r="A640" s="177"/>
      <c r="AG640" s="259"/>
    </row>
    <row r="641">
      <c r="A641" s="177"/>
      <c r="AG641" s="259"/>
    </row>
    <row r="642">
      <c r="A642" s="177"/>
      <c r="AG642" s="259"/>
    </row>
    <row r="643">
      <c r="A643" s="177"/>
      <c r="AG643" s="259"/>
    </row>
    <row r="644">
      <c r="A644" s="177"/>
      <c r="AG644" s="259"/>
    </row>
    <row r="645">
      <c r="A645" s="177"/>
      <c r="AG645" s="259"/>
    </row>
    <row r="646">
      <c r="A646" s="177"/>
      <c r="AG646" s="259"/>
    </row>
    <row r="647">
      <c r="A647" s="177"/>
      <c r="AG647" s="259"/>
    </row>
    <row r="648">
      <c r="A648" s="177"/>
      <c r="AG648" s="259"/>
    </row>
    <row r="649">
      <c r="A649" s="177"/>
      <c r="AG649" s="259"/>
    </row>
    <row r="650">
      <c r="A650" s="177"/>
      <c r="AG650" s="259"/>
    </row>
    <row r="651">
      <c r="A651" s="177"/>
      <c r="AG651" s="259"/>
    </row>
    <row r="652">
      <c r="A652" s="177"/>
      <c r="AG652" s="259"/>
    </row>
    <row r="653">
      <c r="A653" s="177"/>
      <c r="AG653" s="259"/>
    </row>
    <row r="654">
      <c r="A654" s="177"/>
      <c r="AG654" s="259"/>
    </row>
    <row r="655">
      <c r="A655" s="177"/>
      <c r="AG655" s="259"/>
    </row>
    <row r="656">
      <c r="A656" s="177"/>
      <c r="AG656" s="259"/>
    </row>
    <row r="657">
      <c r="A657" s="177"/>
      <c r="AG657" s="259"/>
    </row>
    <row r="658">
      <c r="A658" s="177"/>
      <c r="AG658" s="259"/>
    </row>
    <row r="659">
      <c r="A659" s="177"/>
      <c r="AG659" s="259"/>
    </row>
    <row r="660">
      <c r="A660" s="177"/>
      <c r="AG660" s="259"/>
    </row>
    <row r="661">
      <c r="A661" s="177"/>
      <c r="AG661" s="259"/>
    </row>
    <row r="662">
      <c r="A662" s="177"/>
      <c r="AG662" s="259"/>
    </row>
    <row r="663">
      <c r="A663" s="177"/>
      <c r="AG663" s="259"/>
    </row>
    <row r="664">
      <c r="A664" s="177"/>
      <c r="AG664" s="259"/>
    </row>
    <row r="665">
      <c r="A665" s="177"/>
      <c r="AG665" s="259"/>
    </row>
    <row r="666">
      <c r="A666" s="177"/>
      <c r="AG666" s="259"/>
    </row>
    <row r="667">
      <c r="A667" s="177"/>
      <c r="AG667" s="259"/>
    </row>
    <row r="668">
      <c r="A668" s="177"/>
      <c r="AG668" s="259"/>
    </row>
    <row r="669">
      <c r="A669" s="177"/>
      <c r="AG669" s="259"/>
    </row>
    <row r="670">
      <c r="A670" s="177"/>
      <c r="AG670" s="259"/>
    </row>
    <row r="671">
      <c r="A671" s="177"/>
      <c r="AG671" s="259"/>
    </row>
    <row r="672">
      <c r="A672" s="177"/>
      <c r="AG672" s="259"/>
    </row>
    <row r="673">
      <c r="A673" s="177"/>
      <c r="AG673" s="259"/>
    </row>
    <row r="674">
      <c r="A674" s="177"/>
      <c r="AG674" s="259"/>
    </row>
    <row r="675">
      <c r="A675" s="177"/>
      <c r="AG675" s="259"/>
    </row>
    <row r="676">
      <c r="A676" s="177"/>
      <c r="AG676" s="259"/>
    </row>
    <row r="677">
      <c r="A677" s="177"/>
      <c r="AG677" s="259"/>
    </row>
    <row r="678">
      <c r="A678" s="177"/>
      <c r="AG678" s="259"/>
    </row>
    <row r="679">
      <c r="A679" s="177"/>
      <c r="AG679" s="259"/>
    </row>
    <row r="680">
      <c r="A680" s="177"/>
      <c r="AG680" s="259"/>
    </row>
    <row r="681">
      <c r="A681" s="177"/>
      <c r="AG681" s="259"/>
    </row>
    <row r="682">
      <c r="A682" s="177"/>
      <c r="AG682" s="259"/>
    </row>
    <row r="683">
      <c r="A683" s="177"/>
      <c r="AG683" s="259"/>
    </row>
    <row r="684">
      <c r="A684" s="177"/>
      <c r="AG684" s="259"/>
    </row>
    <row r="685">
      <c r="A685" s="177"/>
      <c r="AG685" s="259"/>
    </row>
    <row r="686">
      <c r="A686" s="177"/>
      <c r="AG686" s="259"/>
    </row>
    <row r="687">
      <c r="A687" s="177"/>
      <c r="AG687" s="259"/>
    </row>
    <row r="688">
      <c r="A688" s="177"/>
      <c r="AG688" s="259"/>
    </row>
    <row r="689">
      <c r="A689" s="177"/>
      <c r="AG689" s="259"/>
    </row>
    <row r="690">
      <c r="A690" s="177"/>
      <c r="AG690" s="259"/>
    </row>
    <row r="691">
      <c r="A691" s="177"/>
      <c r="AG691" s="259"/>
    </row>
    <row r="692">
      <c r="A692" s="177"/>
      <c r="AG692" s="259"/>
    </row>
    <row r="693">
      <c r="A693" s="177"/>
      <c r="AG693" s="259"/>
    </row>
    <row r="694">
      <c r="A694" s="177"/>
      <c r="AG694" s="259"/>
    </row>
    <row r="695">
      <c r="A695" s="177"/>
      <c r="AG695" s="259"/>
    </row>
    <row r="696">
      <c r="A696" s="177"/>
      <c r="AG696" s="259"/>
    </row>
    <row r="697">
      <c r="A697" s="177"/>
      <c r="AG697" s="259"/>
    </row>
    <row r="698">
      <c r="A698" s="177"/>
      <c r="AG698" s="259"/>
    </row>
    <row r="699">
      <c r="A699" s="177"/>
      <c r="AG699" s="259"/>
    </row>
    <row r="700">
      <c r="A700" s="177"/>
      <c r="AG700" s="259"/>
    </row>
    <row r="701">
      <c r="A701" s="177"/>
      <c r="AG701" s="259"/>
    </row>
    <row r="702">
      <c r="A702" s="177"/>
      <c r="AG702" s="259"/>
    </row>
    <row r="703">
      <c r="A703" s="177"/>
      <c r="AG703" s="259"/>
    </row>
    <row r="704">
      <c r="A704" s="177"/>
      <c r="AG704" s="259"/>
    </row>
    <row r="705">
      <c r="A705" s="177"/>
      <c r="AG705" s="259"/>
    </row>
    <row r="706">
      <c r="A706" s="177"/>
      <c r="AG706" s="259"/>
    </row>
    <row r="707">
      <c r="A707" s="177"/>
      <c r="AG707" s="259"/>
    </row>
    <row r="708">
      <c r="A708" s="177"/>
      <c r="AG708" s="259"/>
    </row>
    <row r="709">
      <c r="A709" s="177"/>
      <c r="AG709" s="259"/>
    </row>
    <row r="710">
      <c r="A710" s="177"/>
      <c r="AG710" s="259"/>
    </row>
    <row r="711">
      <c r="A711" s="177"/>
      <c r="AG711" s="259"/>
    </row>
    <row r="712">
      <c r="A712" s="177"/>
      <c r="AG712" s="259"/>
    </row>
    <row r="713">
      <c r="A713" s="177"/>
      <c r="AG713" s="259"/>
    </row>
    <row r="714">
      <c r="A714" s="177"/>
      <c r="AG714" s="259"/>
    </row>
    <row r="715">
      <c r="A715" s="177"/>
      <c r="AG715" s="259"/>
    </row>
    <row r="716">
      <c r="A716" s="177"/>
      <c r="AG716" s="259"/>
    </row>
    <row r="717">
      <c r="A717" s="177"/>
      <c r="AG717" s="259"/>
    </row>
    <row r="718">
      <c r="A718" s="177"/>
      <c r="AG718" s="259"/>
    </row>
    <row r="719">
      <c r="A719" s="177"/>
      <c r="AG719" s="259"/>
    </row>
    <row r="720">
      <c r="A720" s="177"/>
      <c r="AG720" s="259"/>
    </row>
    <row r="721">
      <c r="A721" s="177"/>
      <c r="AG721" s="259"/>
    </row>
    <row r="722">
      <c r="A722" s="177"/>
      <c r="AG722" s="259"/>
    </row>
    <row r="723">
      <c r="A723" s="177"/>
      <c r="AG723" s="259"/>
    </row>
    <row r="724">
      <c r="A724" s="177"/>
      <c r="AG724" s="259"/>
    </row>
    <row r="725">
      <c r="A725" s="177"/>
      <c r="AG725" s="259"/>
    </row>
    <row r="726">
      <c r="A726" s="177"/>
      <c r="AG726" s="259"/>
    </row>
    <row r="727">
      <c r="A727" s="177"/>
      <c r="AG727" s="259"/>
    </row>
    <row r="728">
      <c r="A728" s="177"/>
      <c r="AG728" s="259"/>
    </row>
    <row r="729">
      <c r="A729" s="177"/>
      <c r="AG729" s="259"/>
    </row>
    <row r="730">
      <c r="A730" s="177"/>
      <c r="AG730" s="259"/>
    </row>
    <row r="731">
      <c r="A731" s="177"/>
      <c r="AG731" s="259"/>
    </row>
    <row r="732">
      <c r="A732" s="177"/>
      <c r="AG732" s="259"/>
    </row>
    <row r="733">
      <c r="A733" s="177"/>
      <c r="AG733" s="259"/>
    </row>
    <row r="734">
      <c r="A734" s="177"/>
      <c r="AG734" s="259"/>
    </row>
    <row r="735">
      <c r="A735" s="177"/>
      <c r="AG735" s="259"/>
    </row>
    <row r="736">
      <c r="A736" s="177"/>
      <c r="AG736" s="259"/>
    </row>
    <row r="737">
      <c r="A737" s="177"/>
      <c r="AG737" s="259"/>
    </row>
    <row r="738">
      <c r="A738" s="177"/>
      <c r="AG738" s="259"/>
    </row>
    <row r="739">
      <c r="A739" s="177"/>
      <c r="AG739" s="259"/>
    </row>
    <row r="740">
      <c r="A740" s="177"/>
      <c r="AG740" s="259"/>
    </row>
    <row r="741">
      <c r="A741" s="177"/>
      <c r="AG741" s="259"/>
    </row>
    <row r="742">
      <c r="A742" s="177"/>
      <c r="AG742" s="259"/>
    </row>
    <row r="743">
      <c r="A743" s="177"/>
      <c r="AG743" s="259"/>
    </row>
    <row r="744">
      <c r="A744" s="177"/>
      <c r="AG744" s="259"/>
    </row>
    <row r="745">
      <c r="A745" s="177"/>
      <c r="AG745" s="259"/>
    </row>
    <row r="746">
      <c r="A746" s="177"/>
      <c r="AG746" s="259"/>
    </row>
    <row r="747">
      <c r="A747" s="177"/>
      <c r="AG747" s="259"/>
    </row>
    <row r="748">
      <c r="A748" s="177"/>
      <c r="AG748" s="259"/>
    </row>
    <row r="749">
      <c r="A749" s="177"/>
      <c r="AG749" s="259"/>
    </row>
    <row r="750">
      <c r="A750" s="177"/>
      <c r="AG750" s="259"/>
    </row>
    <row r="751">
      <c r="A751" s="177"/>
      <c r="AG751" s="259"/>
    </row>
    <row r="752">
      <c r="A752" s="177"/>
      <c r="AG752" s="259"/>
    </row>
    <row r="753">
      <c r="A753" s="177"/>
      <c r="AG753" s="259"/>
    </row>
    <row r="754">
      <c r="A754" s="177"/>
      <c r="AG754" s="259"/>
    </row>
    <row r="755">
      <c r="A755" s="177"/>
      <c r="AG755" s="259"/>
    </row>
    <row r="756">
      <c r="A756" s="177"/>
      <c r="AG756" s="259"/>
    </row>
    <row r="757">
      <c r="A757" s="177"/>
      <c r="AG757" s="259"/>
    </row>
    <row r="758">
      <c r="A758" s="177"/>
      <c r="AG758" s="259"/>
    </row>
    <row r="759">
      <c r="A759" s="177"/>
      <c r="AG759" s="259"/>
    </row>
    <row r="760">
      <c r="A760" s="177"/>
      <c r="AG760" s="259"/>
    </row>
    <row r="761">
      <c r="A761" s="177"/>
      <c r="AG761" s="259"/>
    </row>
    <row r="762">
      <c r="A762" s="177"/>
      <c r="AG762" s="259"/>
    </row>
    <row r="763">
      <c r="A763" s="177"/>
      <c r="AG763" s="259"/>
    </row>
    <row r="764">
      <c r="A764" s="177"/>
      <c r="AG764" s="259"/>
    </row>
    <row r="765">
      <c r="A765" s="177"/>
      <c r="AG765" s="259"/>
    </row>
    <row r="766">
      <c r="A766" s="177"/>
      <c r="AG766" s="259"/>
    </row>
    <row r="767">
      <c r="A767" s="177"/>
      <c r="AG767" s="259"/>
    </row>
    <row r="768">
      <c r="A768" s="177"/>
      <c r="AG768" s="259"/>
    </row>
    <row r="769">
      <c r="A769" s="177"/>
      <c r="AG769" s="259"/>
    </row>
    <row r="770">
      <c r="A770" s="177"/>
      <c r="AG770" s="259"/>
    </row>
    <row r="771">
      <c r="A771" s="177"/>
      <c r="AG771" s="259"/>
    </row>
    <row r="772">
      <c r="A772" s="177"/>
      <c r="AG772" s="259"/>
    </row>
    <row r="773">
      <c r="A773" s="177"/>
      <c r="AG773" s="259"/>
    </row>
    <row r="774">
      <c r="A774" s="177"/>
      <c r="AG774" s="259"/>
    </row>
    <row r="775">
      <c r="A775" s="177"/>
      <c r="AG775" s="259"/>
    </row>
    <row r="776">
      <c r="A776" s="177"/>
      <c r="AG776" s="259"/>
    </row>
    <row r="777">
      <c r="A777" s="177"/>
      <c r="AG777" s="259"/>
    </row>
    <row r="778">
      <c r="A778" s="177"/>
      <c r="AG778" s="259"/>
    </row>
    <row r="779">
      <c r="A779" s="177"/>
      <c r="AG779" s="259"/>
    </row>
    <row r="780">
      <c r="A780" s="177"/>
      <c r="AG780" s="259"/>
    </row>
    <row r="781">
      <c r="A781" s="177"/>
      <c r="AG781" s="259"/>
    </row>
    <row r="782">
      <c r="A782" s="177"/>
      <c r="AG782" s="259"/>
    </row>
    <row r="783">
      <c r="A783" s="177"/>
      <c r="AG783" s="259"/>
    </row>
    <row r="784">
      <c r="A784" s="177"/>
      <c r="AG784" s="259"/>
    </row>
    <row r="785">
      <c r="A785" s="177"/>
      <c r="AG785" s="259"/>
    </row>
    <row r="786">
      <c r="A786" s="177"/>
      <c r="AG786" s="259"/>
    </row>
    <row r="787">
      <c r="A787" s="177"/>
      <c r="AG787" s="259"/>
    </row>
    <row r="788">
      <c r="A788" s="177"/>
      <c r="AG788" s="259"/>
    </row>
    <row r="789">
      <c r="A789" s="177"/>
      <c r="AG789" s="259"/>
    </row>
    <row r="790">
      <c r="A790" s="177"/>
      <c r="AG790" s="259"/>
    </row>
    <row r="791">
      <c r="A791" s="177"/>
      <c r="AG791" s="259"/>
    </row>
    <row r="792">
      <c r="A792" s="177"/>
      <c r="AG792" s="259"/>
    </row>
    <row r="793">
      <c r="A793" s="177"/>
      <c r="AG793" s="259"/>
    </row>
    <row r="794">
      <c r="A794" s="177"/>
      <c r="AG794" s="259"/>
    </row>
    <row r="795">
      <c r="A795" s="177"/>
      <c r="AG795" s="259"/>
    </row>
    <row r="796">
      <c r="A796" s="177"/>
      <c r="AG796" s="259"/>
    </row>
    <row r="797">
      <c r="A797" s="177"/>
      <c r="AG797" s="259"/>
    </row>
    <row r="798">
      <c r="A798" s="177"/>
      <c r="AG798" s="259"/>
    </row>
    <row r="799">
      <c r="A799" s="177"/>
      <c r="AG799" s="259"/>
    </row>
    <row r="800">
      <c r="A800" s="177"/>
      <c r="AG800" s="259"/>
    </row>
    <row r="801">
      <c r="A801" s="177"/>
      <c r="AG801" s="259"/>
    </row>
    <row r="802">
      <c r="A802" s="177"/>
      <c r="AG802" s="259"/>
    </row>
    <row r="803">
      <c r="A803" s="177"/>
      <c r="AG803" s="259"/>
    </row>
    <row r="804">
      <c r="A804" s="177"/>
      <c r="AG804" s="259"/>
    </row>
    <row r="805">
      <c r="A805" s="177"/>
      <c r="AG805" s="259"/>
    </row>
    <row r="806">
      <c r="A806" s="177"/>
      <c r="AG806" s="259"/>
    </row>
    <row r="807">
      <c r="A807" s="177"/>
      <c r="AG807" s="259"/>
    </row>
    <row r="808">
      <c r="A808" s="177"/>
      <c r="AG808" s="259"/>
    </row>
    <row r="809">
      <c r="A809" s="177"/>
      <c r="AG809" s="259"/>
    </row>
    <row r="810">
      <c r="A810" s="177"/>
      <c r="AG810" s="259"/>
    </row>
    <row r="811">
      <c r="A811" s="177"/>
      <c r="AG811" s="259"/>
    </row>
    <row r="812">
      <c r="A812" s="177"/>
      <c r="AG812" s="259"/>
    </row>
    <row r="813">
      <c r="A813" s="177"/>
      <c r="AG813" s="259"/>
    </row>
    <row r="814">
      <c r="A814" s="177"/>
      <c r="AG814" s="259"/>
    </row>
    <row r="815">
      <c r="A815" s="177"/>
      <c r="AG815" s="259"/>
    </row>
    <row r="816">
      <c r="A816" s="177"/>
      <c r="AG816" s="259"/>
    </row>
    <row r="817">
      <c r="A817" s="177"/>
      <c r="AG817" s="259"/>
    </row>
    <row r="818">
      <c r="A818" s="177"/>
      <c r="AG818" s="259"/>
    </row>
    <row r="819">
      <c r="A819" s="177"/>
      <c r="AG819" s="259"/>
    </row>
    <row r="820">
      <c r="A820" s="177"/>
      <c r="AG820" s="259"/>
    </row>
    <row r="821">
      <c r="A821" s="177"/>
      <c r="AG821" s="259"/>
    </row>
    <row r="822">
      <c r="A822" s="177"/>
      <c r="AG822" s="259"/>
    </row>
    <row r="823">
      <c r="A823" s="177"/>
      <c r="AG823" s="259"/>
    </row>
    <row r="824">
      <c r="A824" s="177"/>
      <c r="AG824" s="259"/>
    </row>
    <row r="825">
      <c r="A825" s="177"/>
      <c r="AG825" s="259"/>
    </row>
    <row r="826">
      <c r="A826" s="177"/>
      <c r="AG826" s="259"/>
    </row>
    <row r="827">
      <c r="A827" s="177"/>
      <c r="AG827" s="259"/>
    </row>
    <row r="828">
      <c r="A828" s="177"/>
      <c r="AG828" s="259"/>
    </row>
    <row r="829">
      <c r="A829" s="177"/>
      <c r="AG829" s="259"/>
    </row>
    <row r="830">
      <c r="A830" s="177"/>
      <c r="AG830" s="259"/>
    </row>
    <row r="831">
      <c r="A831" s="177"/>
      <c r="AG831" s="259"/>
    </row>
    <row r="832">
      <c r="A832" s="177"/>
      <c r="AG832" s="259"/>
    </row>
    <row r="833">
      <c r="A833" s="177"/>
      <c r="AG833" s="259"/>
    </row>
    <row r="834">
      <c r="A834" s="177"/>
      <c r="AG834" s="259"/>
    </row>
    <row r="835">
      <c r="A835" s="177"/>
      <c r="AG835" s="259"/>
    </row>
    <row r="836">
      <c r="A836" s="177"/>
      <c r="AG836" s="259"/>
    </row>
    <row r="837">
      <c r="A837" s="177"/>
      <c r="AG837" s="259"/>
    </row>
    <row r="838">
      <c r="A838" s="177"/>
      <c r="AG838" s="259"/>
    </row>
    <row r="839">
      <c r="A839" s="177"/>
      <c r="AG839" s="259"/>
    </row>
    <row r="840">
      <c r="A840" s="177"/>
      <c r="AG840" s="259"/>
    </row>
    <row r="841">
      <c r="A841" s="177"/>
      <c r="AG841" s="259"/>
    </row>
    <row r="842">
      <c r="A842" s="177"/>
      <c r="AG842" s="259"/>
    </row>
    <row r="843">
      <c r="A843" s="177"/>
      <c r="AG843" s="259"/>
    </row>
    <row r="844">
      <c r="A844" s="177"/>
      <c r="AG844" s="259"/>
    </row>
    <row r="845">
      <c r="A845" s="177"/>
      <c r="AG845" s="259"/>
    </row>
    <row r="846">
      <c r="A846" s="177"/>
      <c r="AG846" s="259"/>
    </row>
    <row r="847">
      <c r="A847" s="177"/>
      <c r="AG847" s="259"/>
    </row>
    <row r="848">
      <c r="A848" s="177"/>
      <c r="AG848" s="259"/>
    </row>
    <row r="849">
      <c r="A849" s="177"/>
      <c r="AG849" s="259"/>
    </row>
    <row r="850">
      <c r="A850" s="177"/>
      <c r="AG850" s="259"/>
    </row>
    <row r="851">
      <c r="A851" s="177"/>
      <c r="AG851" s="259"/>
    </row>
    <row r="852">
      <c r="A852" s="177"/>
      <c r="AG852" s="259"/>
    </row>
    <row r="853">
      <c r="A853" s="177"/>
      <c r="AG853" s="259"/>
    </row>
    <row r="854">
      <c r="A854" s="177"/>
      <c r="AG854" s="259"/>
    </row>
    <row r="855">
      <c r="A855" s="177"/>
      <c r="AG855" s="259"/>
    </row>
    <row r="856">
      <c r="A856" s="177"/>
      <c r="AG856" s="259"/>
    </row>
    <row r="857">
      <c r="A857" s="177"/>
      <c r="AG857" s="259"/>
    </row>
    <row r="858">
      <c r="A858" s="177"/>
      <c r="AG858" s="259"/>
    </row>
    <row r="859">
      <c r="A859" s="177"/>
      <c r="AG859" s="259"/>
    </row>
    <row r="860">
      <c r="A860" s="177"/>
      <c r="AG860" s="259"/>
    </row>
    <row r="861">
      <c r="A861" s="177"/>
      <c r="AG861" s="259"/>
    </row>
    <row r="862">
      <c r="A862" s="177"/>
      <c r="AG862" s="259"/>
    </row>
    <row r="863">
      <c r="A863" s="177"/>
      <c r="AG863" s="259"/>
    </row>
    <row r="864">
      <c r="A864" s="177"/>
      <c r="AG864" s="259"/>
    </row>
    <row r="865">
      <c r="A865" s="177"/>
      <c r="AG865" s="259"/>
    </row>
    <row r="866">
      <c r="A866" s="177"/>
      <c r="AG866" s="259"/>
    </row>
    <row r="867">
      <c r="A867" s="177"/>
      <c r="AG867" s="259"/>
    </row>
    <row r="868">
      <c r="A868" s="177"/>
      <c r="AG868" s="259"/>
    </row>
    <row r="869">
      <c r="A869" s="177"/>
      <c r="AG869" s="259"/>
    </row>
    <row r="870">
      <c r="A870" s="177"/>
      <c r="AG870" s="259"/>
    </row>
    <row r="871">
      <c r="A871" s="177"/>
      <c r="AG871" s="259"/>
    </row>
    <row r="872">
      <c r="A872" s="177"/>
      <c r="AG872" s="259"/>
    </row>
    <row r="873">
      <c r="A873" s="177"/>
      <c r="AG873" s="259"/>
    </row>
    <row r="874">
      <c r="A874" s="177"/>
      <c r="AG874" s="259"/>
    </row>
    <row r="875">
      <c r="A875" s="177"/>
      <c r="AG875" s="259"/>
    </row>
    <row r="876">
      <c r="A876" s="177"/>
      <c r="AG876" s="259"/>
    </row>
    <row r="877">
      <c r="A877" s="177"/>
      <c r="AG877" s="259"/>
    </row>
    <row r="878">
      <c r="A878" s="177"/>
      <c r="AG878" s="259"/>
    </row>
    <row r="879">
      <c r="A879" s="177"/>
      <c r="AG879" s="259"/>
    </row>
    <row r="880">
      <c r="A880" s="177"/>
      <c r="AG880" s="259"/>
    </row>
    <row r="881">
      <c r="A881" s="177"/>
      <c r="AG881" s="259"/>
    </row>
    <row r="882">
      <c r="A882" s="177"/>
      <c r="AG882" s="259"/>
    </row>
    <row r="883">
      <c r="A883" s="177"/>
      <c r="AG883" s="259"/>
    </row>
    <row r="884">
      <c r="A884" s="177"/>
      <c r="AG884" s="259"/>
    </row>
    <row r="885">
      <c r="A885" s="177"/>
      <c r="AG885" s="259"/>
    </row>
    <row r="886">
      <c r="A886" s="177"/>
      <c r="AG886" s="259"/>
    </row>
    <row r="887">
      <c r="A887" s="177"/>
      <c r="AG887" s="259"/>
    </row>
    <row r="888">
      <c r="A888" s="177"/>
      <c r="AG888" s="259"/>
    </row>
    <row r="889">
      <c r="A889" s="177"/>
      <c r="AG889" s="259"/>
    </row>
    <row r="890">
      <c r="A890" s="177"/>
      <c r="AG890" s="259"/>
    </row>
    <row r="891">
      <c r="A891" s="177"/>
      <c r="AG891" s="259"/>
    </row>
    <row r="892">
      <c r="A892" s="177"/>
      <c r="AG892" s="259"/>
    </row>
    <row r="893">
      <c r="A893" s="177"/>
      <c r="AG893" s="259"/>
    </row>
    <row r="894">
      <c r="A894" s="177"/>
      <c r="AG894" s="259"/>
    </row>
    <row r="895">
      <c r="A895" s="177"/>
      <c r="AG895" s="259"/>
    </row>
    <row r="896">
      <c r="A896" s="177"/>
      <c r="AG896" s="259"/>
    </row>
    <row r="897">
      <c r="A897" s="177"/>
      <c r="AG897" s="259"/>
    </row>
    <row r="898">
      <c r="A898" s="177"/>
      <c r="AG898" s="259"/>
    </row>
    <row r="899">
      <c r="A899" s="177"/>
      <c r="AG899" s="259"/>
    </row>
    <row r="900">
      <c r="A900" s="177"/>
      <c r="AG900" s="259"/>
    </row>
    <row r="901">
      <c r="A901" s="177"/>
      <c r="AG901" s="259"/>
    </row>
    <row r="902">
      <c r="A902" s="177"/>
      <c r="AG902" s="259"/>
    </row>
    <row r="903">
      <c r="A903" s="177"/>
      <c r="AG903" s="259"/>
    </row>
    <row r="904">
      <c r="A904" s="177"/>
      <c r="AG904" s="259"/>
    </row>
    <row r="905">
      <c r="A905" s="177"/>
      <c r="AG905" s="259"/>
    </row>
    <row r="906">
      <c r="A906" s="177"/>
      <c r="AG906" s="259"/>
    </row>
    <row r="907">
      <c r="A907" s="177"/>
      <c r="AG907" s="259"/>
    </row>
    <row r="908">
      <c r="A908" s="177"/>
      <c r="AG908" s="259"/>
    </row>
    <row r="909">
      <c r="A909" s="177"/>
      <c r="AG909" s="259"/>
    </row>
    <row r="910">
      <c r="A910" s="177"/>
      <c r="AG910" s="259"/>
    </row>
    <row r="911">
      <c r="A911" s="177"/>
      <c r="AG911" s="259"/>
    </row>
    <row r="912">
      <c r="A912" s="177"/>
      <c r="AG912" s="259"/>
    </row>
    <row r="913">
      <c r="A913" s="177"/>
      <c r="AG913" s="259"/>
    </row>
    <row r="914">
      <c r="A914" s="177"/>
      <c r="AG914" s="259"/>
    </row>
    <row r="915">
      <c r="A915" s="177"/>
      <c r="AG915" s="259"/>
    </row>
    <row r="916">
      <c r="A916" s="177"/>
      <c r="AG916" s="259"/>
    </row>
    <row r="917">
      <c r="A917" s="177"/>
      <c r="AG917" s="259"/>
    </row>
    <row r="918">
      <c r="A918" s="177"/>
      <c r="AG918" s="259"/>
    </row>
    <row r="919">
      <c r="A919" s="177"/>
      <c r="AG919" s="259"/>
    </row>
    <row r="920">
      <c r="A920" s="177"/>
      <c r="AG920" s="259"/>
    </row>
    <row r="921">
      <c r="A921" s="177"/>
      <c r="AG921" s="259"/>
    </row>
    <row r="922">
      <c r="A922" s="177"/>
      <c r="AG922" s="259"/>
    </row>
    <row r="923">
      <c r="A923" s="177"/>
      <c r="AG923" s="259"/>
    </row>
    <row r="924">
      <c r="A924" s="177"/>
      <c r="AG924" s="259"/>
    </row>
    <row r="925">
      <c r="A925" s="177"/>
      <c r="AG925" s="259"/>
    </row>
    <row r="926">
      <c r="A926" s="177"/>
      <c r="AG926" s="259"/>
    </row>
    <row r="927">
      <c r="A927" s="177"/>
      <c r="AG927" s="259"/>
    </row>
    <row r="928">
      <c r="A928" s="177"/>
      <c r="AG928" s="259"/>
    </row>
    <row r="929">
      <c r="A929" s="177"/>
      <c r="AG929" s="259"/>
    </row>
    <row r="930">
      <c r="A930" s="177"/>
      <c r="AG930" s="259"/>
    </row>
    <row r="931">
      <c r="A931" s="177"/>
      <c r="AG931" s="259"/>
    </row>
    <row r="932">
      <c r="A932" s="177"/>
      <c r="AG932" s="259"/>
    </row>
    <row r="933">
      <c r="A933" s="177"/>
      <c r="AG933" s="259"/>
    </row>
    <row r="934">
      <c r="A934" s="177"/>
      <c r="AG934" s="259"/>
    </row>
    <row r="935">
      <c r="A935" s="177"/>
      <c r="AG935" s="259"/>
    </row>
    <row r="936">
      <c r="A936" s="177"/>
      <c r="AG936" s="259"/>
    </row>
    <row r="937">
      <c r="A937" s="177"/>
      <c r="AG937" s="259"/>
    </row>
    <row r="938">
      <c r="A938" s="177"/>
      <c r="AG938" s="259"/>
    </row>
    <row r="939">
      <c r="A939" s="177"/>
      <c r="AG939" s="259"/>
    </row>
    <row r="940">
      <c r="A940" s="177"/>
      <c r="AG940" s="259"/>
    </row>
    <row r="941">
      <c r="A941" s="177"/>
      <c r="AG941" s="259"/>
    </row>
    <row r="942">
      <c r="A942" s="177"/>
      <c r="AG942" s="259"/>
    </row>
    <row r="943">
      <c r="A943" s="177"/>
      <c r="AG943" s="259"/>
    </row>
    <row r="944">
      <c r="A944" s="177"/>
      <c r="AG944" s="259"/>
    </row>
    <row r="945">
      <c r="A945" s="177"/>
      <c r="AG945" s="259"/>
    </row>
    <row r="946">
      <c r="A946" s="177"/>
      <c r="AG946" s="259"/>
    </row>
    <row r="947">
      <c r="A947" s="177"/>
      <c r="AG947" s="259"/>
    </row>
    <row r="948">
      <c r="A948" s="177"/>
      <c r="AG948" s="259"/>
    </row>
    <row r="949">
      <c r="A949" s="177"/>
      <c r="AG949" s="259"/>
    </row>
    <row r="950">
      <c r="A950" s="177"/>
      <c r="AG950" s="259"/>
    </row>
    <row r="951">
      <c r="A951" s="177"/>
      <c r="AG951" s="259"/>
    </row>
    <row r="952">
      <c r="A952" s="177"/>
      <c r="AG952" s="259"/>
    </row>
    <row r="953">
      <c r="A953" s="177"/>
      <c r="AG953" s="259"/>
    </row>
    <row r="954">
      <c r="A954" s="177"/>
      <c r="AG954" s="259"/>
    </row>
    <row r="955">
      <c r="A955" s="177"/>
      <c r="AG955" s="259"/>
    </row>
    <row r="956">
      <c r="A956" s="177"/>
      <c r="AG956" s="259"/>
    </row>
    <row r="957">
      <c r="A957" s="177"/>
      <c r="AG957" s="259"/>
    </row>
    <row r="958">
      <c r="A958" s="177"/>
      <c r="AG958" s="259"/>
    </row>
    <row r="959">
      <c r="A959" s="177"/>
      <c r="AG959" s="259"/>
    </row>
    <row r="960">
      <c r="A960" s="177"/>
      <c r="AG960" s="259"/>
    </row>
    <row r="961">
      <c r="A961" s="177"/>
      <c r="AG961" s="259"/>
    </row>
    <row r="962">
      <c r="A962" s="177"/>
      <c r="AG962" s="259"/>
    </row>
    <row r="963">
      <c r="A963" s="177"/>
      <c r="AG963" s="259"/>
    </row>
    <row r="964">
      <c r="A964" s="177"/>
      <c r="AG964" s="259"/>
    </row>
    <row r="965">
      <c r="A965" s="177"/>
      <c r="AG965" s="259"/>
    </row>
    <row r="966">
      <c r="A966" s="177"/>
      <c r="AG966" s="259"/>
    </row>
    <row r="967">
      <c r="A967" s="177"/>
      <c r="AG967" s="259"/>
    </row>
    <row r="968">
      <c r="A968" s="177"/>
      <c r="AG968" s="259"/>
    </row>
    <row r="969">
      <c r="A969" s="177"/>
      <c r="AG969" s="259"/>
    </row>
    <row r="970">
      <c r="A970" s="177"/>
      <c r="AG970" s="259"/>
    </row>
    <row r="971">
      <c r="A971" s="177"/>
      <c r="AG971" s="259"/>
    </row>
    <row r="972">
      <c r="A972" s="177"/>
      <c r="AG972" s="259"/>
    </row>
    <row r="973">
      <c r="A973" s="177"/>
      <c r="AG973" s="259"/>
    </row>
    <row r="974">
      <c r="A974" s="177"/>
      <c r="AG974" s="259"/>
    </row>
    <row r="975">
      <c r="A975" s="177"/>
      <c r="AG975" s="259"/>
    </row>
    <row r="976">
      <c r="A976" s="177"/>
      <c r="AG976" s="259"/>
    </row>
    <row r="977">
      <c r="A977" s="177"/>
      <c r="AG977" s="259"/>
    </row>
    <row r="978">
      <c r="A978" s="177"/>
      <c r="AG978" s="259"/>
    </row>
    <row r="979">
      <c r="A979" s="177"/>
      <c r="AG979" s="259"/>
    </row>
    <row r="980">
      <c r="A980" s="177"/>
      <c r="AG980" s="259"/>
    </row>
    <row r="981">
      <c r="A981" s="177"/>
      <c r="AG981" s="259"/>
    </row>
    <row r="982">
      <c r="A982" s="177"/>
      <c r="AG982" s="259"/>
    </row>
    <row r="983">
      <c r="A983" s="177"/>
      <c r="AG983" s="259"/>
    </row>
    <row r="984">
      <c r="A984" s="177"/>
      <c r="AG984" s="259"/>
    </row>
    <row r="985">
      <c r="A985" s="177"/>
      <c r="AG985" s="259"/>
    </row>
    <row r="986">
      <c r="A986" s="177"/>
      <c r="AG986" s="259"/>
    </row>
    <row r="987">
      <c r="A987" s="177"/>
      <c r="AG987" s="259"/>
    </row>
    <row r="988">
      <c r="A988" s="177"/>
      <c r="AG988" s="259"/>
    </row>
    <row r="989">
      <c r="A989" s="177"/>
      <c r="AG989" s="259"/>
    </row>
    <row r="990">
      <c r="A990" s="177"/>
      <c r="AG990" s="259"/>
    </row>
    <row r="991">
      <c r="A991" s="177"/>
      <c r="AG991" s="259"/>
    </row>
    <row r="992">
      <c r="A992" s="177"/>
      <c r="AG992" s="259"/>
    </row>
    <row r="993">
      <c r="A993" s="177"/>
      <c r="AG993" s="259"/>
    </row>
    <row r="994">
      <c r="A994" s="177"/>
      <c r="AG994" s="259"/>
    </row>
    <row r="995">
      <c r="A995" s="177"/>
      <c r="AG995" s="259"/>
    </row>
    <row r="996">
      <c r="A996" s="177"/>
      <c r="AG996" s="259"/>
    </row>
    <row r="997">
      <c r="A997" s="177"/>
      <c r="AG997" s="259"/>
    </row>
    <row r="998">
      <c r="A998" s="177"/>
      <c r="AG998" s="259"/>
    </row>
    <row r="999">
      <c r="A999" s="177"/>
      <c r="AG999" s="259"/>
    </row>
    <row r="1000">
      <c r="A1000" s="177"/>
      <c r="AG1000" s="259"/>
    </row>
    <row r="1001">
      <c r="A1001" s="177"/>
      <c r="AG1001" s="259"/>
    </row>
    <row r="1002">
      <c r="A1002" s="177"/>
      <c r="AG1002" s="259"/>
    </row>
    <row r="1003">
      <c r="A1003" s="177"/>
      <c r="AG1003" s="259"/>
    </row>
    <row r="1004">
      <c r="A1004" s="177"/>
      <c r="AG1004" s="259"/>
    </row>
    <row r="1005">
      <c r="A1005" s="177"/>
      <c r="AG1005" s="259"/>
    </row>
    <row r="1006">
      <c r="A1006" s="177"/>
      <c r="AG1006" s="259"/>
    </row>
    <row r="1007">
      <c r="A1007" s="177"/>
      <c r="AG1007" s="259"/>
    </row>
    <row r="1008">
      <c r="A1008" s="177"/>
      <c r="AG1008" s="259"/>
    </row>
    <row r="1009">
      <c r="A1009" s="177"/>
      <c r="AG1009" s="259"/>
    </row>
    <row r="1010">
      <c r="A1010" s="177"/>
      <c r="AG1010" s="259"/>
    </row>
    <row r="1011">
      <c r="A1011" s="177"/>
      <c r="AG1011" s="259"/>
    </row>
    <row r="1012">
      <c r="A1012" s="177"/>
      <c r="AG1012" s="259"/>
    </row>
    <row r="1013">
      <c r="A1013" s="177"/>
      <c r="AG1013" s="259"/>
    </row>
    <row r="1014">
      <c r="A1014" s="177"/>
      <c r="AG1014" s="259"/>
    </row>
    <row r="1015">
      <c r="A1015" s="177"/>
      <c r="AG1015" s="259"/>
    </row>
    <row r="1016">
      <c r="A1016" s="177"/>
      <c r="AG1016" s="259"/>
    </row>
    <row r="1017">
      <c r="A1017" s="177"/>
      <c r="AG1017" s="259"/>
    </row>
    <row r="1018">
      <c r="A1018" s="177"/>
      <c r="AG1018" s="259"/>
    </row>
    <row r="1019">
      <c r="A1019" s="177"/>
      <c r="AG1019" s="259"/>
    </row>
    <row r="1020">
      <c r="A1020" s="177"/>
      <c r="AG1020" s="259"/>
    </row>
    <row r="1021">
      <c r="A1021" s="177"/>
      <c r="AG1021" s="259"/>
    </row>
    <row r="1022">
      <c r="A1022" s="177"/>
      <c r="AG1022" s="259"/>
    </row>
    <row r="1023">
      <c r="A1023" s="177"/>
      <c r="AG1023" s="259"/>
    </row>
    <row r="1024">
      <c r="A1024" s="177"/>
      <c r="AG1024" s="259"/>
    </row>
    <row r="1025">
      <c r="A1025" s="177"/>
      <c r="AG1025" s="259"/>
    </row>
    <row r="1026">
      <c r="A1026" s="177"/>
      <c r="AG1026" s="259"/>
    </row>
    <row r="1027">
      <c r="A1027" s="177"/>
      <c r="AG1027" s="259"/>
    </row>
    <row r="1028">
      <c r="A1028" s="177"/>
      <c r="AG1028" s="259"/>
    </row>
    <row r="1029">
      <c r="A1029" s="177"/>
      <c r="AG1029" s="259"/>
    </row>
    <row r="1030">
      <c r="A1030" s="177"/>
      <c r="AG1030" s="259"/>
    </row>
    <row r="1031">
      <c r="A1031" s="177"/>
      <c r="AG1031" s="259"/>
    </row>
    <row r="1032">
      <c r="A1032" s="177"/>
      <c r="AG1032" s="259"/>
    </row>
    <row r="1033">
      <c r="A1033" s="177"/>
      <c r="AG1033" s="259"/>
    </row>
    <row r="1034">
      <c r="A1034" s="177"/>
      <c r="AG1034" s="259"/>
    </row>
    <row r="1035">
      <c r="A1035" s="177"/>
      <c r="AG1035" s="259"/>
    </row>
    <row r="1036">
      <c r="A1036" s="177"/>
      <c r="AG1036" s="259"/>
    </row>
    <row r="1037">
      <c r="A1037" s="177"/>
      <c r="AG1037" s="259"/>
    </row>
    <row r="1038">
      <c r="A1038" s="177"/>
      <c r="AG1038" s="259"/>
    </row>
    <row r="1039">
      <c r="A1039" s="177"/>
      <c r="AG1039" s="259"/>
    </row>
    <row r="1040">
      <c r="A1040" s="177"/>
      <c r="AG1040" s="259"/>
    </row>
  </sheetData>
  <conditionalFormatting sqref="B370:AF370">
    <cfRule type="colorScale" priority="1">
      <colorScale>
        <cfvo type="min"/>
        <cfvo type="max"/>
        <color rgb="FFFFFFFF"/>
        <color rgb="FFE67C73"/>
      </colorScale>
    </cfRule>
  </conditionalFormatting>
  <conditionalFormatting sqref="B402:AF402 B482:AF482">
    <cfRule type="colorScale" priority="2">
      <colorScale>
        <cfvo type="min"/>
        <cfvo type="max"/>
        <color rgb="FFFFFFFF"/>
        <color rgb="FF57BB8A"/>
      </colorScale>
    </cfRule>
  </conditionalFormatting>
  <conditionalFormatting sqref="B480:AF480">
    <cfRule type="cellIs" dxfId="0" priority="3" operator="greaterThan">
      <formula>0</formula>
    </cfRule>
  </conditionalFormatting>
  <conditionalFormatting sqref="B480:AF480">
    <cfRule type="cellIs" dxfId="1" priority="4" operator="lessThan">
      <formula>0</formula>
    </cfRule>
  </conditionalFormatting>
  <conditionalFormatting sqref="B478:AF478">
    <cfRule type="cellIs" dxfId="0" priority="5" operator="greaterThan">
      <formula>0</formula>
    </cfRule>
  </conditionalFormatting>
  <conditionalFormatting sqref="B478:AF478">
    <cfRule type="cellIs" dxfId="1" priority="6" operator="lessThan">
      <formula>0</formula>
    </cfRule>
  </conditionalFormatting>
  <conditionalFormatting sqref="B398:AF398">
    <cfRule type="cellIs" dxfId="0" priority="7" operator="greaterThan">
      <formula>0</formula>
    </cfRule>
  </conditionalFormatting>
  <conditionalFormatting sqref="B398:AF398">
    <cfRule type="cellIs" dxfId="1" priority="8" operator="lessThan">
      <formula>0</formula>
    </cfRule>
  </conditionalFormatting>
  <conditionalFormatting sqref="B400:AF400">
    <cfRule type="cellIs" dxfId="0" priority="9" operator="greaterThan">
      <formula>0</formula>
    </cfRule>
  </conditionalFormatting>
  <conditionalFormatting sqref="B400:AF400">
    <cfRule type="cellIs" dxfId="1" priority="10" operator="lessThan">
      <formula>0</formula>
    </cfRule>
  </conditionalFormatting>
  <conditionalFormatting sqref="B470:AF470">
    <cfRule type="colorScale" priority="11">
      <colorScale>
        <cfvo type="min"/>
        <cfvo type="max"/>
        <color rgb="FFFFFFFF"/>
        <color rgb="FFE67C73"/>
      </colorScale>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296" t="s">
        <v>99</v>
      </c>
      <c r="B1" s="77">
        <v>45292.0</v>
      </c>
      <c r="C1" s="77">
        <v>45293.0</v>
      </c>
      <c r="D1" s="77">
        <v>45294.0</v>
      </c>
      <c r="E1" s="77">
        <v>45295.0</v>
      </c>
      <c r="F1" s="77">
        <v>45296.0</v>
      </c>
      <c r="G1" s="77">
        <v>45297.0</v>
      </c>
      <c r="H1" s="77">
        <v>45298.0</v>
      </c>
      <c r="I1" s="77">
        <v>45299.0</v>
      </c>
      <c r="J1" s="77">
        <v>45300.0</v>
      </c>
      <c r="K1" s="77">
        <v>45301.0</v>
      </c>
      <c r="L1" s="77">
        <v>45302.0</v>
      </c>
      <c r="M1" s="77">
        <v>45303.0</v>
      </c>
      <c r="N1" s="77">
        <v>45304.0</v>
      </c>
      <c r="O1" s="77">
        <v>45305.0</v>
      </c>
      <c r="P1" s="77">
        <v>45306.0</v>
      </c>
      <c r="Q1" s="77">
        <v>45307.0</v>
      </c>
      <c r="R1" s="77">
        <v>45308.0</v>
      </c>
      <c r="S1" s="77">
        <v>45309.0</v>
      </c>
      <c r="T1" s="77">
        <v>45310.0</v>
      </c>
      <c r="U1" s="77">
        <v>45311.0</v>
      </c>
      <c r="V1" s="77">
        <v>45312.0</v>
      </c>
      <c r="W1" s="77">
        <v>45313.0</v>
      </c>
      <c r="X1" s="77">
        <v>45314.0</v>
      </c>
      <c r="Y1" s="77">
        <v>45315.0</v>
      </c>
      <c r="Z1" s="77">
        <v>45316.0</v>
      </c>
      <c r="AA1" s="77">
        <v>45317.0</v>
      </c>
      <c r="AB1" s="77">
        <v>45318.0</v>
      </c>
      <c r="AC1" s="77">
        <v>45319.0</v>
      </c>
      <c r="AD1" s="77">
        <v>45320.0</v>
      </c>
      <c r="AE1" s="77">
        <v>45321.0</v>
      </c>
      <c r="AF1" s="77">
        <v>45322.0</v>
      </c>
      <c r="AG1" s="78"/>
    </row>
    <row r="2">
      <c r="A2" s="79" t="s">
        <v>100</v>
      </c>
      <c r="B2" s="80" t="s">
        <v>0</v>
      </c>
      <c r="C2" s="80" t="s">
        <v>7</v>
      </c>
      <c r="D2" s="80" t="s">
        <v>2</v>
      </c>
      <c r="E2" s="80" t="s">
        <v>3</v>
      </c>
      <c r="F2" s="80" t="s">
        <v>4</v>
      </c>
      <c r="G2" s="80" t="s">
        <v>5</v>
      </c>
      <c r="H2" s="80" t="s">
        <v>6</v>
      </c>
      <c r="I2" s="80" t="s">
        <v>0</v>
      </c>
      <c r="J2" s="80" t="s">
        <v>7</v>
      </c>
      <c r="K2" s="80" t="s">
        <v>2</v>
      </c>
      <c r="L2" s="80" t="s">
        <v>3</v>
      </c>
      <c r="M2" s="80" t="s">
        <v>4</v>
      </c>
      <c r="N2" s="80" t="s">
        <v>5</v>
      </c>
      <c r="O2" s="80" t="s">
        <v>6</v>
      </c>
      <c r="P2" s="80" t="s">
        <v>0</v>
      </c>
      <c r="Q2" s="80" t="s">
        <v>7</v>
      </c>
      <c r="R2" s="80" t="s">
        <v>2</v>
      </c>
      <c r="S2" s="80" t="s">
        <v>3</v>
      </c>
      <c r="T2" s="80" t="s">
        <v>4</v>
      </c>
      <c r="U2" s="80" t="s">
        <v>5</v>
      </c>
      <c r="V2" s="80" t="s">
        <v>6</v>
      </c>
      <c r="W2" s="80" t="s">
        <v>0</v>
      </c>
      <c r="X2" s="80" t="s">
        <v>7</v>
      </c>
      <c r="Y2" s="80" t="s">
        <v>2</v>
      </c>
      <c r="Z2" s="80" t="s">
        <v>3</v>
      </c>
      <c r="AA2" s="80" t="s">
        <v>4</v>
      </c>
      <c r="AB2" s="80" t="s">
        <v>5</v>
      </c>
      <c r="AC2" s="80" t="s">
        <v>6</v>
      </c>
      <c r="AD2" s="80" t="s">
        <v>0</v>
      </c>
      <c r="AE2" s="80" t="s">
        <v>7</v>
      </c>
      <c r="AF2" s="80" t="s">
        <v>2</v>
      </c>
      <c r="AG2" s="78"/>
    </row>
    <row r="3">
      <c r="A3" s="297"/>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143"/>
    </row>
    <row r="4">
      <c r="A4" s="147" t="s">
        <v>346</v>
      </c>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143"/>
    </row>
    <row r="5">
      <c r="A5" s="163" t="s">
        <v>403</v>
      </c>
      <c r="B5" s="298">
        <v>14169.89234</v>
      </c>
      <c r="C5" s="298">
        <v>8386.931053</v>
      </c>
      <c r="D5" s="298">
        <v>6507.53043</v>
      </c>
      <c r="E5" s="298">
        <v>6326.816681</v>
      </c>
      <c r="F5" s="298">
        <v>7443.698162</v>
      </c>
      <c r="G5" s="298">
        <v>9494.495834</v>
      </c>
      <c r="H5" s="298">
        <v>8678.991838</v>
      </c>
      <c r="I5" s="298">
        <v>5904.765157</v>
      </c>
      <c r="J5" s="298">
        <v>4328.5</v>
      </c>
      <c r="K5" s="298">
        <v>3684.609416</v>
      </c>
      <c r="L5" s="298">
        <v>2691.181732</v>
      </c>
      <c r="M5" s="298">
        <v>3367.477189</v>
      </c>
      <c r="N5" s="298">
        <v>4641.669869</v>
      </c>
      <c r="O5" s="298">
        <v>5328.944141</v>
      </c>
      <c r="P5" s="298">
        <v>2693.87</v>
      </c>
      <c r="Q5" s="298">
        <v>1989.34</v>
      </c>
      <c r="R5" s="298">
        <v>1725.83</v>
      </c>
      <c r="S5" s="298">
        <v>2615.57</v>
      </c>
      <c r="T5" s="298">
        <v>1771.29</v>
      </c>
      <c r="U5" s="298">
        <v>4311.62</v>
      </c>
      <c r="V5" s="298">
        <v>4567.71</v>
      </c>
      <c r="W5" s="298">
        <v>3387.45</v>
      </c>
      <c r="X5" s="298">
        <v>1868.3</v>
      </c>
      <c r="Y5" s="298">
        <v>2416.36</v>
      </c>
      <c r="Z5" s="298">
        <v>2542.11</v>
      </c>
      <c r="AA5" s="298">
        <v>2283.37</v>
      </c>
      <c r="AB5" s="298">
        <v>4605.16</v>
      </c>
      <c r="AC5" s="298">
        <v>4916.1</v>
      </c>
      <c r="AD5" s="298">
        <v>2194.36</v>
      </c>
      <c r="AE5" s="298">
        <v>1762.36</v>
      </c>
      <c r="AF5" s="298">
        <v>1424.43</v>
      </c>
      <c r="AG5" s="299">
        <f t="shared" ref="AG5:AG11" si="1">sum(B5:AF5)</f>
        <v>138030.7338</v>
      </c>
    </row>
    <row r="6" outlineLevel="1">
      <c r="A6" s="163" t="s">
        <v>404</v>
      </c>
      <c r="B6" s="300">
        <v>13858.12897</v>
      </c>
      <c r="C6" s="300">
        <v>8199.091543</v>
      </c>
      <c r="D6" s="300">
        <v>6218.965979</v>
      </c>
      <c r="E6" s="300">
        <v>6121.070068</v>
      </c>
      <c r="F6" s="300">
        <v>7276.341498</v>
      </c>
      <c r="G6" s="300">
        <v>9295.208228</v>
      </c>
      <c r="H6" s="300">
        <v>8403.99</v>
      </c>
      <c r="I6" s="300">
        <v>5748.170562</v>
      </c>
      <c r="J6" s="300">
        <v>4143.872561</v>
      </c>
      <c r="K6" s="300">
        <v>3551.503372</v>
      </c>
      <c r="L6" s="300">
        <v>2531.659652</v>
      </c>
      <c r="M6" s="300">
        <v>3220.233225</v>
      </c>
      <c r="N6" s="300">
        <v>4490.246913</v>
      </c>
      <c r="O6" s="300">
        <v>5069.804037</v>
      </c>
      <c r="P6" s="300">
        <v>2543.6309</v>
      </c>
      <c r="Q6" s="300">
        <v>1823.970542</v>
      </c>
      <c r="R6" s="300">
        <v>1564.27</v>
      </c>
      <c r="S6" s="301">
        <v>2511.82</v>
      </c>
      <c r="T6" s="300">
        <v>1628.07</v>
      </c>
      <c r="U6" s="300">
        <v>4191.4</v>
      </c>
      <c r="V6" s="300">
        <v>4385.96</v>
      </c>
      <c r="W6" s="300">
        <v>3212.51</v>
      </c>
      <c r="X6" s="300">
        <v>1709.6100000000001</v>
      </c>
      <c r="Y6" s="300">
        <v>2225.24</v>
      </c>
      <c r="Z6" s="300">
        <v>1991.0</v>
      </c>
      <c r="AA6" s="300">
        <v>1807.73945</v>
      </c>
      <c r="AB6" s="300">
        <v>4243.59842</v>
      </c>
      <c r="AC6" s="300">
        <v>4454.61024</v>
      </c>
      <c r="AD6" s="300">
        <v>1862.42</v>
      </c>
      <c r="AE6" s="300">
        <v>1442.4715999999999</v>
      </c>
      <c r="AF6" s="300">
        <f>365.758815+779.25</f>
        <v>1145.008815</v>
      </c>
      <c r="AG6" s="299">
        <f t="shared" si="1"/>
        <v>130871.6166</v>
      </c>
    </row>
    <row r="7" outlineLevel="1">
      <c r="A7" s="163" t="s">
        <v>405</v>
      </c>
      <c r="B7" s="300">
        <v>311.763365</v>
      </c>
      <c r="C7" s="300">
        <v>187.83951</v>
      </c>
      <c r="D7" s="300">
        <v>288.564451</v>
      </c>
      <c r="E7" s="300">
        <v>205.746613</v>
      </c>
      <c r="F7" s="300">
        <v>167.356664</v>
      </c>
      <c r="G7" s="300">
        <v>199.287606</v>
      </c>
      <c r="H7" s="300">
        <v>275.001838</v>
      </c>
      <c r="I7" s="300">
        <v>156.594595</v>
      </c>
      <c r="J7" s="300">
        <v>184.630794</v>
      </c>
      <c r="K7" s="300">
        <v>133.106044</v>
      </c>
      <c r="L7" s="300">
        <v>159.52208</v>
      </c>
      <c r="M7" s="300">
        <v>147.243964</v>
      </c>
      <c r="N7" s="300">
        <v>151.422956</v>
      </c>
      <c r="O7" s="300">
        <v>259.14</v>
      </c>
      <c r="P7" s="300">
        <v>150.24</v>
      </c>
      <c r="Q7" s="300">
        <v>165.367804</v>
      </c>
      <c r="R7" s="300">
        <v>161.56</v>
      </c>
      <c r="S7" s="300">
        <v>103.752613</v>
      </c>
      <c r="T7" s="300">
        <v>143.22</v>
      </c>
      <c r="U7" s="300">
        <v>120.22</v>
      </c>
      <c r="V7" s="300">
        <v>181.754594</v>
      </c>
      <c r="W7" s="300">
        <v>174.94</v>
      </c>
      <c r="X7" s="300">
        <v>158.687261</v>
      </c>
      <c r="Y7" s="300">
        <v>191.120336</v>
      </c>
      <c r="Z7" s="300">
        <v>551.11</v>
      </c>
      <c r="AA7" s="300">
        <v>475.631206</v>
      </c>
      <c r="AB7" s="300">
        <v>361.558575</v>
      </c>
      <c r="AC7" s="300">
        <v>461.485246</v>
      </c>
      <c r="AD7" s="300">
        <v>331.94</v>
      </c>
      <c r="AE7" s="300">
        <v>319.885795</v>
      </c>
      <c r="AF7" s="300">
        <v>279.424611</v>
      </c>
      <c r="AG7" s="299">
        <f t="shared" si="1"/>
        <v>7159.118521</v>
      </c>
    </row>
    <row r="8">
      <c r="A8" s="163" t="s">
        <v>406</v>
      </c>
      <c r="B8" s="300">
        <v>3272.61</v>
      </c>
      <c r="C8" s="300">
        <v>1739.68</v>
      </c>
      <c r="D8" s="300">
        <v>1214.51</v>
      </c>
      <c r="E8" s="300">
        <v>1099.5</v>
      </c>
      <c r="F8" s="300">
        <v>1374.17</v>
      </c>
      <c r="G8" s="300">
        <v>1566.03</v>
      </c>
      <c r="H8" s="300">
        <v>1726.07</v>
      </c>
      <c r="I8" s="300">
        <v>1581.78</v>
      </c>
      <c r="J8" s="300">
        <v>652.72</v>
      </c>
      <c r="K8" s="300">
        <v>763.68</v>
      </c>
      <c r="L8" s="300">
        <v>853.43</v>
      </c>
      <c r="M8" s="300">
        <v>346.97</v>
      </c>
      <c r="N8" s="300">
        <v>745.82</v>
      </c>
      <c r="O8" s="300">
        <v>1131.99</v>
      </c>
      <c r="P8" s="300">
        <v>641.58</v>
      </c>
      <c r="Q8" s="300">
        <v>239.88</v>
      </c>
      <c r="R8" s="300">
        <v>409.43</v>
      </c>
      <c r="S8" s="300">
        <v>488.17</v>
      </c>
      <c r="T8" s="300">
        <v>448.32</v>
      </c>
      <c r="U8" s="300">
        <v>852.95</v>
      </c>
      <c r="V8" s="300">
        <v>721.04</v>
      </c>
      <c r="W8" s="300">
        <v>727.48</v>
      </c>
      <c r="X8" s="300">
        <v>485.25</v>
      </c>
      <c r="Y8" s="300">
        <v>520.18</v>
      </c>
      <c r="Z8" s="300">
        <v>227.34</v>
      </c>
      <c r="AA8" s="300">
        <v>589.11</v>
      </c>
      <c r="AB8" s="300">
        <v>781.83</v>
      </c>
      <c r="AC8" s="300">
        <v>598.87</v>
      </c>
      <c r="AD8" s="300">
        <v>295.96</v>
      </c>
      <c r="AE8" s="300">
        <v>479.07</v>
      </c>
      <c r="AF8" s="300">
        <v>214.24</v>
      </c>
      <c r="AG8" s="299">
        <f t="shared" si="1"/>
        <v>26789.66</v>
      </c>
    </row>
    <row r="9" outlineLevel="1">
      <c r="A9" s="163" t="s">
        <v>404</v>
      </c>
      <c r="B9" s="302">
        <v>3231.08</v>
      </c>
      <c r="C9" s="302">
        <v>1682.68</v>
      </c>
      <c r="D9" s="302">
        <v>1178.79</v>
      </c>
      <c r="E9" s="302">
        <v>1050.29</v>
      </c>
      <c r="F9" s="302">
        <v>1336.04</v>
      </c>
      <c r="G9" s="302">
        <v>1525.22</v>
      </c>
      <c r="H9" s="302">
        <v>47.24</v>
      </c>
      <c r="I9" s="302">
        <v>1538.38</v>
      </c>
      <c r="J9" s="302">
        <v>587.23</v>
      </c>
      <c r="K9" s="302">
        <v>725.92</v>
      </c>
      <c r="L9" s="302">
        <v>824.84</v>
      </c>
      <c r="M9" s="302">
        <v>326.96</v>
      </c>
      <c r="N9" s="302">
        <v>726.3</v>
      </c>
      <c r="O9" s="302">
        <v>1097.3</v>
      </c>
      <c r="P9" s="302">
        <v>608.63</v>
      </c>
      <c r="Q9" s="302">
        <v>220.73000000000002</v>
      </c>
      <c r="R9" s="302">
        <v>400.0</v>
      </c>
      <c r="S9" s="302">
        <v>433.79</v>
      </c>
      <c r="T9" s="302">
        <v>407.04</v>
      </c>
      <c r="U9" s="302">
        <v>782.62</v>
      </c>
      <c r="V9" s="302">
        <v>685.83</v>
      </c>
      <c r="W9" s="302">
        <v>696.15</v>
      </c>
      <c r="X9" s="302">
        <v>454.24</v>
      </c>
      <c r="Y9" s="302">
        <v>501.36</v>
      </c>
      <c r="Z9" s="302">
        <v>124.58</v>
      </c>
      <c r="AA9" s="302">
        <v>539.44</v>
      </c>
      <c r="AB9" s="302">
        <v>696.48</v>
      </c>
      <c r="AC9" s="302">
        <v>503.25</v>
      </c>
      <c r="AD9" s="302">
        <v>219.75</v>
      </c>
      <c r="AE9" s="302">
        <v>416.18</v>
      </c>
      <c r="AF9" s="302">
        <v>189.41</v>
      </c>
      <c r="AG9" s="299">
        <f t="shared" si="1"/>
        <v>23757.75</v>
      </c>
    </row>
    <row r="10" outlineLevel="1">
      <c r="A10" s="163" t="s">
        <v>405</v>
      </c>
      <c r="B10" s="302">
        <v>41.53</v>
      </c>
      <c r="C10" s="302">
        <v>57.0</v>
      </c>
      <c r="D10" s="302">
        <v>35.72</v>
      </c>
      <c r="E10" s="302">
        <v>49.21</v>
      </c>
      <c r="F10" s="302">
        <v>38.13</v>
      </c>
      <c r="G10" s="302">
        <v>40.81</v>
      </c>
      <c r="H10" s="302">
        <v>1678.83</v>
      </c>
      <c r="I10" s="302">
        <v>43.4</v>
      </c>
      <c r="J10" s="302">
        <v>65.49</v>
      </c>
      <c r="K10" s="302">
        <v>37.76</v>
      </c>
      <c r="L10" s="302">
        <v>28.59</v>
      </c>
      <c r="M10" s="302">
        <v>20.01</v>
      </c>
      <c r="N10" s="302">
        <v>19.52</v>
      </c>
      <c r="O10" s="302">
        <v>34.69</v>
      </c>
      <c r="P10" s="302">
        <v>32.95</v>
      </c>
      <c r="Q10" s="302">
        <v>19.15</v>
      </c>
      <c r="R10" s="302">
        <v>9.43</v>
      </c>
      <c r="S10" s="302">
        <v>54.38</v>
      </c>
      <c r="T10" s="302">
        <v>41.28</v>
      </c>
      <c r="U10" s="302">
        <v>70.33</v>
      </c>
      <c r="V10" s="302">
        <v>35.21</v>
      </c>
      <c r="W10" s="302">
        <v>31.33</v>
      </c>
      <c r="X10" s="302">
        <v>31.01</v>
      </c>
      <c r="Y10" s="302">
        <v>18.82</v>
      </c>
      <c r="Z10" s="302">
        <v>102.76</v>
      </c>
      <c r="AA10" s="302">
        <v>49.67</v>
      </c>
      <c r="AB10" s="302">
        <v>85.35</v>
      </c>
      <c r="AC10" s="302">
        <v>95.62</v>
      </c>
      <c r="AD10" s="302">
        <v>75.51</v>
      </c>
      <c r="AE10" s="302">
        <v>62.89</v>
      </c>
      <c r="AF10" s="302">
        <v>24.83</v>
      </c>
      <c r="AG10" s="299">
        <f t="shared" si="1"/>
        <v>3031.21</v>
      </c>
    </row>
    <row r="11">
      <c r="A11" s="169" t="s">
        <v>113</v>
      </c>
      <c r="B11" s="303">
        <f t="shared" ref="B11:AF11" si="2">sum(B5+B8)</f>
        <v>17442.50234</v>
      </c>
      <c r="C11" s="303">
        <f t="shared" si="2"/>
        <v>10126.61105</v>
      </c>
      <c r="D11" s="303">
        <f t="shared" si="2"/>
        <v>7722.04043</v>
      </c>
      <c r="E11" s="303">
        <f t="shared" si="2"/>
        <v>7426.316681</v>
      </c>
      <c r="F11" s="303">
        <f t="shared" si="2"/>
        <v>8817.868162</v>
      </c>
      <c r="G11" s="303">
        <f t="shared" si="2"/>
        <v>11060.52583</v>
      </c>
      <c r="H11" s="303">
        <f t="shared" si="2"/>
        <v>10405.06184</v>
      </c>
      <c r="I11" s="303">
        <f t="shared" si="2"/>
        <v>7486.545157</v>
      </c>
      <c r="J11" s="303">
        <f t="shared" si="2"/>
        <v>4981.22</v>
      </c>
      <c r="K11" s="303">
        <f t="shared" si="2"/>
        <v>4448.289416</v>
      </c>
      <c r="L11" s="303">
        <f t="shared" si="2"/>
        <v>3544.611732</v>
      </c>
      <c r="M11" s="303">
        <f t="shared" si="2"/>
        <v>3714.447189</v>
      </c>
      <c r="N11" s="303">
        <f t="shared" si="2"/>
        <v>5387.489869</v>
      </c>
      <c r="O11" s="303">
        <f t="shared" si="2"/>
        <v>6460.934141</v>
      </c>
      <c r="P11" s="303">
        <f t="shared" si="2"/>
        <v>3335.45</v>
      </c>
      <c r="Q11" s="303">
        <f t="shared" si="2"/>
        <v>2229.22</v>
      </c>
      <c r="R11" s="303">
        <f t="shared" si="2"/>
        <v>2135.26</v>
      </c>
      <c r="S11" s="303">
        <f t="shared" si="2"/>
        <v>3103.74</v>
      </c>
      <c r="T11" s="303">
        <f t="shared" si="2"/>
        <v>2219.61</v>
      </c>
      <c r="U11" s="303">
        <f t="shared" si="2"/>
        <v>5164.57</v>
      </c>
      <c r="V11" s="303">
        <f t="shared" si="2"/>
        <v>5288.75</v>
      </c>
      <c r="W11" s="303">
        <f t="shared" si="2"/>
        <v>4114.93</v>
      </c>
      <c r="X11" s="303">
        <f t="shared" si="2"/>
        <v>2353.55</v>
      </c>
      <c r="Y11" s="303">
        <f t="shared" si="2"/>
        <v>2936.54</v>
      </c>
      <c r="Z11" s="303">
        <f t="shared" si="2"/>
        <v>2769.45</v>
      </c>
      <c r="AA11" s="303">
        <f t="shared" si="2"/>
        <v>2872.48</v>
      </c>
      <c r="AB11" s="303">
        <f t="shared" si="2"/>
        <v>5386.99</v>
      </c>
      <c r="AC11" s="303">
        <f t="shared" si="2"/>
        <v>5514.97</v>
      </c>
      <c r="AD11" s="303">
        <f t="shared" si="2"/>
        <v>2490.32</v>
      </c>
      <c r="AE11" s="303">
        <f t="shared" si="2"/>
        <v>2241.43</v>
      </c>
      <c r="AF11" s="303">
        <f t="shared" si="2"/>
        <v>1638.67</v>
      </c>
      <c r="AG11" s="299">
        <f t="shared" si="1"/>
        <v>164820.3938</v>
      </c>
    </row>
    <row r="12">
      <c r="A12" s="98"/>
      <c r="B12" s="82"/>
      <c r="C12" s="82"/>
      <c r="D12" s="82"/>
      <c r="E12" s="82"/>
      <c r="F12" s="82"/>
      <c r="G12" s="82"/>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146"/>
    </row>
    <row r="13">
      <c r="A13" s="147" t="s">
        <v>407</v>
      </c>
      <c r="B13" s="82"/>
      <c r="C13" s="82"/>
      <c r="D13" s="82"/>
      <c r="E13" s="82"/>
      <c r="F13" s="82"/>
      <c r="G13" s="82"/>
      <c r="H13" s="82"/>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146"/>
    </row>
    <row r="14">
      <c r="A14" s="163" t="s">
        <v>408</v>
      </c>
      <c r="B14" s="166">
        <f t="shared" ref="B14:AF14" si="3">sum(B15:B16)</f>
        <v>417</v>
      </c>
      <c r="C14" s="166">
        <f t="shared" si="3"/>
        <v>243</v>
      </c>
      <c r="D14" s="166">
        <f t="shared" si="3"/>
        <v>211</v>
      </c>
      <c r="E14" s="166">
        <f t="shared" si="3"/>
        <v>186</v>
      </c>
      <c r="F14" s="166">
        <f t="shared" si="3"/>
        <v>210</v>
      </c>
      <c r="G14" s="166">
        <f t="shared" si="3"/>
        <v>267</v>
      </c>
      <c r="H14" s="166">
        <f t="shared" si="3"/>
        <v>261</v>
      </c>
      <c r="I14" s="166">
        <f t="shared" si="3"/>
        <v>163</v>
      </c>
      <c r="J14" s="166">
        <f t="shared" si="3"/>
        <v>133</v>
      </c>
      <c r="K14" s="166">
        <f t="shared" si="3"/>
        <v>110</v>
      </c>
      <c r="L14" s="166">
        <f t="shared" si="3"/>
        <v>91</v>
      </c>
      <c r="M14" s="166">
        <f t="shared" si="3"/>
        <v>98</v>
      </c>
      <c r="N14" s="166">
        <f t="shared" si="3"/>
        <v>129</v>
      </c>
      <c r="O14" s="166">
        <f t="shared" si="3"/>
        <v>160</v>
      </c>
      <c r="P14" s="166">
        <f t="shared" si="3"/>
        <v>89</v>
      </c>
      <c r="Q14" s="166">
        <f t="shared" si="3"/>
        <v>82</v>
      </c>
      <c r="R14" s="166">
        <f t="shared" si="3"/>
        <v>71</v>
      </c>
      <c r="S14" s="166">
        <f t="shared" si="3"/>
        <v>81</v>
      </c>
      <c r="T14" s="166">
        <f t="shared" si="3"/>
        <v>72</v>
      </c>
      <c r="U14" s="166">
        <f t="shared" si="3"/>
        <v>123</v>
      </c>
      <c r="V14" s="166">
        <f t="shared" si="3"/>
        <v>143</v>
      </c>
      <c r="W14" s="166">
        <f t="shared" si="3"/>
        <v>111</v>
      </c>
      <c r="X14" s="166">
        <f t="shared" si="3"/>
        <v>72</v>
      </c>
      <c r="Y14" s="166">
        <f t="shared" si="3"/>
        <v>92</v>
      </c>
      <c r="Z14" s="166">
        <f t="shared" si="3"/>
        <v>147</v>
      </c>
      <c r="AA14" s="166">
        <f t="shared" si="3"/>
        <v>136</v>
      </c>
      <c r="AB14" s="166">
        <f t="shared" si="3"/>
        <v>169</v>
      </c>
      <c r="AC14" s="166">
        <f t="shared" si="3"/>
        <v>188</v>
      </c>
      <c r="AD14" s="166">
        <f t="shared" si="3"/>
        <v>110</v>
      </c>
      <c r="AE14" s="166">
        <f t="shared" si="3"/>
        <v>99</v>
      </c>
      <c r="AF14" s="166">
        <f t="shared" si="3"/>
        <v>77</v>
      </c>
      <c r="AG14" s="143">
        <f t="shared" ref="AG14:AG22" si="4">sum(B14:AF14)</f>
        <v>4541</v>
      </c>
    </row>
    <row r="15" outlineLevel="1">
      <c r="A15" s="163" t="s">
        <v>404</v>
      </c>
      <c r="B15" s="304">
        <v>356.0</v>
      </c>
      <c r="C15" s="304">
        <v>203.0</v>
      </c>
      <c r="D15" s="304">
        <v>149.0</v>
      </c>
      <c r="E15" s="304">
        <v>143.0</v>
      </c>
      <c r="F15" s="304">
        <v>170.0</v>
      </c>
      <c r="G15" s="304">
        <v>223.0</v>
      </c>
      <c r="H15" s="166">
        <v>204.0</v>
      </c>
      <c r="I15" s="166">
        <v>127.0</v>
      </c>
      <c r="J15" s="166">
        <v>90.0</v>
      </c>
      <c r="K15" s="166">
        <v>77.0</v>
      </c>
      <c r="L15" s="166">
        <v>57.0</v>
      </c>
      <c r="M15" s="166">
        <v>64.0</v>
      </c>
      <c r="N15" s="166">
        <v>96.0</v>
      </c>
      <c r="O15" s="166">
        <v>106.0</v>
      </c>
      <c r="P15" s="166">
        <v>56.0</v>
      </c>
      <c r="Q15" s="166">
        <v>41.0</v>
      </c>
      <c r="R15" s="166">
        <v>34.0</v>
      </c>
      <c r="S15" s="166">
        <v>56.0</v>
      </c>
      <c r="T15" s="166">
        <v>41.0</v>
      </c>
      <c r="U15" s="166">
        <v>97.0</v>
      </c>
      <c r="V15" s="166">
        <v>105.0</v>
      </c>
      <c r="W15" s="166">
        <v>76.0</v>
      </c>
      <c r="X15" s="166">
        <v>40.0</v>
      </c>
      <c r="Y15" s="166">
        <v>52.0</v>
      </c>
      <c r="Z15" s="166">
        <v>44.0</v>
      </c>
      <c r="AA15" s="166">
        <v>44.0</v>
      </c>
      <c r="AB15" s="166">
        <v>101.0</v>
      </c>
      <c r="AC15" s="166">
        <v>103.0</v>
      </c>
      <c r="AD15" s="166">
        <v>46.0</v>
      </c>
      <c r="AE15" s="166">
        <v>36.0</v>
      </c>
      <c r="AF15" s="166">
        <v>28.0</v>
      </c>
      <c r="AG15" s="143">
        <f t="shared" si="4"/>
        <v>3065</v>
      </c>
    </row>
    <row r="16" outlineLevel="1">
      <c r="A16" s="163" t="s">
        <v>405</v>
      </c>
      <c r="B16" s="304">
        <v>61.0</v>
      </c>
      <c r="C16" s="304">
        <v>40.0</v>
      </c>
      <c r="D16" s="304">
        <v>62.0</v>
      </c>
      <c r="E16" s="304">
        <v>43.0</v>
      </c>
      <c r="F16" s="304">
        <v>40.0</v>
      </c>
      <c r="G16" s="304">
        <v>44.0</v>
      </c>
      <c r="H16" s="166">
        <v>57.0</v>
      </c>
      <c r="I16" s="166">
        <v>36.0</v>
      </c>
      <c r="J16" s="166">
        <v>43.0</v>
      </c>
      <c r="K16" s="166">
        <v>33.0</v>
      </c>
      <c r="L16" s="166">
        <v>34.0</v>
      </c>
      <c r="M16" s="166">
        <v>34.0</v>
      </c>
      <c r="N16" s="166">
        <v>33.0</v>
      </c>
      <c r="O16" s="166">
        <v>54.0</v>
      </c>
      <c r="P16" s="166">
        <v>33.0</v>
      </c>
      <c r="Q16" s="166">
        <v>41.0</v>
      </c>
      <c r="R16" s="166">
        <v>37.0</v>
      </c>
      <c r="S16" s="166">
        <v>25.0</v>
      </c>
      <c r="T16" s="166">
        <v>31.0</v>
      </c>
      <c r="U16" s="166">
        <v>26.0</v>
      </c>
      <c r="V16" s="166">
        <v>38.0</v>
      </c>
      <c r="W16" s="166">
        <v>35.0</v>
      </c>
      <c r="X16" s="166">
        <v>32.0</v>
      </c>
      <c r="Y16" s="166">
        <v>40.0</v>
      </c>
      <c r="Z16" s="166">
        <v>103.0</v>
      </c>
      <c r="AA16" s="166">
        <v>92.0</v>
      </c>
      <c r="AB16" s="166">
        <v>68.0</v>
      </c>
      <c r="AC16" s="166">
        <v>85.0</v>
      </c>
      <c r="AD16" s="166">
        <v>64.0</v>
      </c>
      <c r="AE16" s="166">
        <v>63.0</v>
      </c>
      <c r="AF16" s="166">
        <v>49.0</v>
      </c>
      <c r="AG16" s="143">
        <f t="shared" si="4"/>
        <v>1476</v>
      </c>
    </row>
    <row r="17">
      <c r="A17" s="163" t="s">
        <v>409</v>
      </c>
      <c r="B17" s="304">
        <f t="shared" ref="B17:AF17" si="5">sum(B18:B19)</f>
        <v>80</v>
      </c>
      <c r="C17" s="304">
        <f t="shared" si="5"/>
        <v>51</v>
      </c>
      <c r="D17" s="304">
        <f t="shared" si="5"/>
        <v>36</v>
      </c>
      <c r="E17" s="304">
        <f t="shared" si="5"/>
        <v>34</v>
      </c>
      <c r="F17" s="304">
        <f t="shared" si="5"/>
        <v>35</v>
      </c>
      <c r="G17" s="304">
        <f t="shared" si="5"/>
        <v>41</v>
      </c>
      <c r="H17" s="304">
        <f t="shared" si="5"/>
        <v>49</v>
      </c>
      <c r="I17" s="304">
        <f t="shared" si="5"/>
        <v>34</v>
      </c>
      <c r="J17" s="304">
        <f t="shared" si="5"/>
        <v>26</v>
      </c>
      <c r="K17" s="304">
        <f t="shared" si="5"/>
        <v>25</v>
      </c>
      <c r="L17" s="304">
        <f t="shared" si="5"/>
        <v>20</v>
      </c>
      <c r="M17" s="304">
        <f t="shared" si="5"/>
        <v>13</v>
      </c>
      <c r="N17" s="304">
        <f t="shared" si="5"/>
        <v>19</v>
      </c>
      <c r="O17" s="304">
        <f t="shared" si="5"/>
        <v>29</v>
      </c>
      <c r="P17" s="304">
        <f t="shared" si="5"/>
        <v>22</v>
      </c>
      <c r="Q17" s="304">
        <f t="shared" si="5"/>
        <v>10</v>
      </c>
      <c r="R17" s="304">
        <f t="shared" si="5"/>
        <v>11</v>
      </c>
      <c r="S17" s="304">
        <f t="shared" si="5"/>
        <v>20</v>
      </c>
      <c r="T17" s="304">
        <f t="shared" si="5"/>
        <v>19</v>
      </c>
      <c r="U17" s="304">
        <f t="shared" si="5"/>
        <v>34</v>
      </c>
      <c r="V17" s="304">
        <f t="shared" si="5"/>
        <v>27</v>
      </c>
      <c r="W17" s="304">
        <f t="shared" si="5"/>
        <v>21</v>
      </c>
      <c r="X17" s="304">
        <f t="shared" si="5"/>
        <v>16</v>
      </c>
      <c r="Y17" s="304">
        <f t="shared" si="5"/>
        <v>15</v>
      </c>
      <c r="Z17" s="304">
        <f t="shared" si="5"/>
        <v>21</v>
      </c>
      <c r="AA17" s="304">
        <f t="shared" si="5"/>
        <v>24</v>
      </c>
      <c r="AB17" s="304">
        <f t="shared" si="5"/>
        <v>31</v>
      </c>
      <c r="AC17" s="304">
        <f t="shared" si="5"/>
        <v>28</v>
      </c>
      <c r="AD17" s="304">
        <f t="shared" si="5"/>
        <v>19</v>
      </c>
      <c r="AE17" s="304">
        <f t="shared" si="5"/>
        <v>21</v>
      </c>
      <c r="AF17" s="304">
        <f t="shared" si="5"/>
        <v>7</v>
      </c>
      <c r="AG17" s="143">
        <f t="shared" si="4"/>
        <v>838</v>
      </c>
    </row>
    <row r="18" outlineLevel="1">
      <c r="A18" s="163" t="s">
        <v>404</v>
      </c>
      <c r="B18" s="166">
        <v>73.0</v>
      </c>
      <c r="C18" s="166">
        <v>40.0</v>
      </c>
      <c r="D18" s="166">
        <v>27.0</v>
      </c>
      <c r="E18" s="166">
        <v>23.0</v>
      </c>
      <c r="F18" s="166">
        <v>27.0</v>
      </c>
      <c r="G18" s="166">
        <v>32.0</v>
      </c>
      <c r="H18" s="166">
        <v>39.0</v>
      </c>
      <c r="I18" s="166">
        <v>25.0</v>
      </c>
      <c r="J18" s="166">
        <v>13.0</v>
      </c>
      <c r="K18" s="166">
        <v>16.0</v>
      </c>
      <c r="L18" s="166">
        <v>15.0</v>
      </c>
      <c r="M18" s="166">
        <v>8.0</v>
      </c>
      <c r="N18" s="166">
        <v>14.0</v>
      </c>
      <c r="O18" s="166">
        <v>22.0</v>
      </c>
      <c r="P18" s="166">
        <v>13.0</v>
      </c>
      <c r="Q18" s="166">
        <v>6.0</v>
      </c>
      <c r="R18" s="166">
        <v>8.0</v>
      </c>
      <c r="S18" s="166">
        <v>8.0</v>
      </c>
      <c r="T18" s="166">
        <v>9.0</v>
      </c>
      <c r="U18" s="166">
        <v>19.0</v>
      </c>
      <c r="V18" s="166">
        <v>19.0</v>
      </c>
      <c r="W18" s="166">
        <v>14.0</v>
      </c>
      <c r="X18" s="166">
        <v>9.0</v>
      </c>
      <c r="Y18" s="166">
        <v>11.0</v>
      </c>
      <c r="Z18" s="166">
        <v>3.0</v>
      </c>
      <c r="AA18" s="166">
        <v>13.0</v>
      </c>
      <c r="AB18" s="166">
        <v>16.0</v>
      </c>
      <c r="AC18" s="166">
        <v>10.0</v>
      </c>
      <c r="AD18" s="166">
        <v>4.0</v>
      </c>
      <c r="AE18" s="166">
        <v>9.0</v>
      </c>
      <c r="AF18" s="166">
        <v>3.0</v>
      </c>
      <c r="AG18" s="143">
        <f t="shared" si="4"/>
        <v>548</v>
      </c>
    </row>
    <row r="19" outlineLevel="1">
      <c r="A19" s="163" t="s">
        <v>405</v>
      </c>
      <c r="B19" s="166">
        <v>7.0</v>
      </c>
      <c r="C19" s="166">
        <v>11.0</v>
      </c>
      <c r="D19" s="166">
        <v>9.0</v>
      </c>
      <c r="E19" s="166">
        <v>11.0</v>
      </c>
      <c r="F19" s="166">
        <v>8.0</v>
      </c>
      <c r="G19" s="166">
        <v>9.0</v>
      </c>
      <c r="H19" s="166">
        <v>10.0</v>
      </c>
      <c r="I19" s="166">
        <v>9.0</v>
      </c>
      <c r="J19" s="166">
        <v>13.0</v>
      </c>
      <c r="K19" s="166">
        <v>9.0</v>
      </c>
      <c r="L19" s="166">
        <v>5.0</v>
      </c>
      <c r="M19" s="166">
        <v>5.0</v>
      </c>
      <c r="N19" s="166">
        <v>5.0</v>
      </c>
      <c r="O19" s="166">
        <v>7.0</v>
      </c>
      <c r="P19" s="166">
        <v>9.0</v>
      </c>
      <c r="Q19" s="166">
        <v>4.0</v>
      </c>
      <c r="R19" s="166">
        <v>3.0</v>
      </c>
      <c r="S19" s="166">
        <v>12.0</v>
      </c>
      <c r="T19" s="166">
        <v>10.0</v>
      </c>
      <c r="U19" s="166">
        <v>15.0</v>
      </c>
      <c r="V19" s="166">
        <v>8.0</v>
      </c>
      <c r="W19" s="166">
        <v>7.0</v>
      </c>
      <c r="X19" s="166">
        <v>7.0</v>
      </c>
      <c r="Y19" s="166">
        <v>4.0</v>
      </c>
      <c r="Z19" s="166">
        <v>18.0</v>
      </c>
      <c r="AA19" s="166">
        <v>11.0</v>
      </c>
      <c r="AB19" s="166">
        <v>15.0</v>
      </c>
      <c r="AC19" s="166">
        <v>18.0</v>
      </c>
      <c r="AD19" s="166">
        <v>15.0</v>
      </c>
      <c r="AE19" s="166">
        <v>12.0</v>
      </c>
      <c r="AF19" s="166">
        <v>4.0</v>
      </c>
      <c r="AG19" s="143">
        <f t="shared" si="4"/>
        <v>290</v>
      </c>
    </row>
    <row r="20">
      <c r="A20" s="305" t="s">
        <v>113</v>
      </c>
      <c r="B20" s="305">
        <f t="shared" ref="B20:AF20" si="6">sum(B14+B17)</f>
        <v>497</v>
      </c>
      <c r="C20" s="305">
        <f t="shared" si="6"/>
        <v>294</v>
      </c>
      <c r="D20" s="305">
        <f t="shared" si="6"/>
        <v>247</v>
      </c>
      <c r="E20" s="305">
        <f t="shared" si="6"/>
        <v>220</v>
      </c>
      <c r="F20" s="305">
        <f t="shared" si="6"/>
        <v>245</v>
      </c>
      <c r="G20" s="305">
        <f t="shared" si="6"/>
        <v>308</v>
      </c>
      <c r="H20" s="305">
        <f t="shared" si="6"/>
        <v>310</v>
      </c>
      <c r="I20" s="305">
        <f t="shared" si="6"/>
        <v>197</v>
      </c>
      <c r="J20" s="305">
        <f t="shared" si="6"/>
        <v>159</v>
      </c>
      <c r="K20" s="305">
        <f t="shared" si="6"/>
        <v>135</v>
      </c>
      <c r="L20" s="305">
        <f t="shared" si="6"/>
        <v>111</v>
      </c>
      <c r="M20" s="305">
        <f t="shared" si="6"/>
        <v>111</v>
      </c>
      <c r="N20" s="305">
        <f t="shared" si="6"/>
        <v>148</v>
      </c>
      <c r="O20" s="305">
        <f t="shared" si="6"/>
        <v>189</v>
      </c>
      <c r="P20" s="305">
        <f t="shared" si="6"/>
        <v>111</v>
      </c>
      <c r="Q20" s="305">
        <f t="shared" si="6"/>
        <v>92</v>
      </c>
      <c r="R20" s="305">
        <f t="shared" si="6"/>
        <v>82</v>
      </c>
      <c r="S20" s="305">
        <f t="shared" si="6"/>
        <v>101</v>
      </c>
      <c r="T20" s="305">
        <f t="shared" si="6"/>
        <v>91</v>
      </c>
      <c r="U20" s="305">
        <f t="shared" si="6"/>
        <v>157</v>
      </c>
      <c r="V20" s="305">
        <f t="shared" si="6"/>
        <v>170</v>
      </c>
      <c r="W20" s="305">
        <f t="shared" si="6"/>
        <v>132</v>
      </c>
      <c r="X20" s="305">
        <f t="shared" si="6"/>
        <v>88</v>
      </c>
      <c r="Y20" s="305">
        <f t="shared" si="6"/>
        <v>107</v>
      </c>
      <c r="Z20" s="305">
        <f t="shared" si="6"/>
        <v>168</v>
      </c>
      <c r="AA20" s="305">
        <f t="shared" si="6"/>
        <v>160</v>
      </c>
      <c r="AB20" s="305">
        <f t="shared" si="6"/>
        <v>200</v>
      </c>
      <c r="AC20" s="305">
        <f t="shared" si="6"/>
        <v>216</v>
      </c>
      <c r="AD20" s="305">
        <f t="shared" si="6"/>
        <v>129</v>
      </c>
      <c r="AE20" s="305">
        <f t="shared" si="6"/>
        <v>120</v>
      </c>
      <c r="AF20" s="305">
        <f t="shared" si="6"/>
        <v>84</v>
      </c>
      <c r="AG20" s="306">
        <f t="shared" si="4"/>
        <v>5379</v>
      </c>
    </row>
    <row r="21" outlineLevel="1">
      <c r="A21" s="307" t="s">
        <v>404</v>
      </c>
      <c r="B21" s="82">
        <f t="shared" ref="B21:AF21" si="7">B15+B18</f>
        <v>429</v>
      </c>
      <c r="C21" s="82">
        <f t="shared" si="7"/>
        <v>243</v>
      </c>
      <c r="D21" s="82">
        <f t="shared" si="7"/>
        <v>176</v>
      </c>
      <c r="E21" s="82">
        <f t="shared" si="7"/>
        <v>166</v>
      </c>
      <c r="F21" s="82">
        <f t="shared" si="7"/>
        <v>197</v>
      </c>
      <c r="G21" s="82">
        <f t="shared" si="7"/>
        <v>255</v>
      </c>
      <c r="H21" s="82">
        <f t="shared" si="7"/>
        <v>243</v>
      </c>
      <c r="I21" s="82">
        <f t="shared" si="7"/>
        <v>152</v>
      </c>
      <c r="J21" s="82">
        <f t="shared" si="7"/>
        <v>103</v>
      </c>
      <c r="K21" s="82">
        <f t="shared" si="7"/>
        <v>93</v>
      </c>
      <c r="L21" s="82">
        <f t="shared" si="7"/>
        <v>72</v>
      </c>
      <c r="M21" s="82">
        <f t="shared" si="7"/>
        <v>72</v>
      </c>
      <c r="N21" s="82">
        <f t="shared" si="7"/>
        <v>110</v>
      </c>
      <c r="O21" s="82">
        <f t="shared" si="7"/>
        <v>128</v>
      </c>
      <c r="P21" s="82">
        <f t="shared" si="7"/>
        <v>69</v>
      </c>
      <c r="Q21" s="82">
        <f t="shared" si="7"/>
        <v>47</v>
      </c>
      <c r="R21" s="82">
        <f t="shared" si="7"/>
        <v>42</v>
      </c>
      <c r="S21" s="82">
        <f t="shared" si="7"/>
        <v>64</v>
      </c>
      <c r="T21" s="82">
        <f t="shared" si="7"/>
        <v>50</v>
      </c>
      <c r="U21" s="82">
        <f t="shared" si="7"/>
        <v>116</v>
      </c>
      <c r="V21" s="82">
        <f t="shared" si="7"/>
        <v>124</v>
      </c>
      <c r="W21" s="82">
        <f t="shared" si="7"/>
        <v>90</v>
      </c>
      <c r="X21" s="82">
        <f t="shared" si="7"/>
        <v>49</v>
      </c>
      <c r="Y21" s="82">
        <f t="shared" si="7"/>
        <v>63</v>
      </c>
      <c r="Z21" s="82">
        <f t="shared" si="7"/>
        <v>47</v>
      </c>
      <c r="AA21" s="82">
        <f t="shared" si="7"/>
        <v>57</v>
      </c>
      <c r="AB21" s="82">
        <f t="shared" si="7"/>
        <v>117</v>
      </c>
      <c r="AC21" s="82">
        <f t="shared" si="7"/>
        <v>113</v>
      </c>
      <c r="AD21" s="82">
        <f t="shared" si="7"/>
        <v>50</v>
      </c>
      <c r="AE21" s="82">
        <f t="shared" si="7"/>
        <v>45</v>
      </c>
      <c r="AF21" s="82">
        <f t="shared" si="7"/>
        <v>31</v>
      </c>
      <c r="AG21" s="143">
        <f t="shared" si="4"/>
        <v>3613</v>
      </c>
    </row>
    <row r="22" outlineLevel="1">
      <c r="A22" s="307" t="s">
        <v>405</v>
      </c>
      <c r="B22" s="82">
        <f t="shared" ref="B22:AF22" si="8">B16+B19</f>
        <v>68</v>
      </c>
      <c r="C22" s="82">
        <f t="shared" si="8"/>
        <v>51</v>
      </c>
      <c r="D22" s="82">
        <f t="shared" si="8"/>
        <v>71</v>
      </c>
      <c r="E22" s="82">
        <f t="shared" si="8"/>
        <v>54</v>
      </c>
      <c r="F22" s="82">
        <f t="shared" si="8"/>
        <v>48</v>
      </c>
      <c r="G22" s="82">
        <f t="shared" si="8"/>
        <v>53</v>
      </c>
      <c r="H22" s="82">
        <f t="shared" si="8"/>
        <v>67</v>
      </c>
      <c r="I22" s="82">
        <f t="shared" si="8"/>
        <v>45</v>
      </c>
      <c r="J22" s="82">
        <f t="shared" si="8"/>
        <v>56</v>
      </c>
      <c r="K22" s="82">
        <f t="shared" si="8"/>
        <v>42</v>
      </c>
      <c r="L22" s="82">
        <f t="shared" si="8"/>
        <v>39</v>
      </c>
      <c r="M22" s="82">
        <f t="shared" si="8"/>
        <v>39</v>
      </c>
      <c r="N22" s="82">
        <f t="shared" si="8"/>
        <v>38</v>
      </c>
      <c r="O22" s="82">
        <f t="shared" si="8"/>
        <v>61</v>
      </c>
      <c r="P22" s="82">
        <f t="shared" si="8"/>
        <v>42</v>
      </c>
      <c r="Q22" s="82">
        <f t="shared" si="8"/>
        <v>45</v>
      </c>
      <c r="R22" s="82">
        <f t="shared" si="8"/>
        <v>40</v>
      </c>
      <c r="S22" s="82">
        <f t="shared" si="8"/>
        <v>37</v>
      </c>
      <c r="T22" s="82">
        <f t="shared" si="8"/>
        <v>41</v>
      </c>
      <c r="U22" s="82">
        <f t="shared" si="8"/>
        <v>41</v>
      </c>
      <c r="V22" s="82">
        <f t="shared" si="8"/>
        <v>46</v>
      </c>
      <c r="W22" s="82">
        <f t="shared" si="8"/>
        <v>42</v>
      </c>
      <c r="X22" s="82">
        <f t="shared" si="8"/>
        <v>39</v>
      </c>
      <c r="Y22" s="82">
        <f t="shared" si="8"/>
        <v>44</v>
      </c>
      <c r="Z22" s="82">
        <f t="shared" si="8"/>
        <v>121</v>
      </c>
      <c r="AA22" s="82">
        <f t="shared" si="8"/>
        <v>103</v>
      </c>
      <c r="AB22" s="82">
        <f t="shared" si="8"/>
        <v>83</v>
      </c>
      <c r="AC22" s="82">
        <f t="shared" si="8"/>
        <v>103</v>
      </c>
      <c r="AD22" s="82">
        <f t="shared" si="8"/>
        <v>79</v>
      </c>
      <c r="AE22" s="82">
        <f t="shared" si="8"/>
        <v>75</v>
      </c>
      <c r="AF22" s="82">
        <f t="shared" si="8"/>
        <v>53</v>
      </c>
      <c r="AG22" s="143">
        <f t="shared" si="4"/>
        <v>1766</v>
      </c>
    </row>
    <row r="23">
      <c r="A23" s="98"/>
      <c r="B23" s="82"/>
      <c r="C23" s="82"/>
      <c r="D23" s="82"/>
      <c r="E23" s="82"/>
      <c r="F23" s="82"/>
      <c r="G23" s="82"/>
      <c r="H23" s="82"/>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143"/>
    </row>
    <row r="24">
      <c r="A24" s="147" t="s">
        <v>410</v>
      </c>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143"/>
    </row>
    <row r="25">
      <c r="A25" s="216" t="s">
        <v>403</v>
      </c>
      <c r="B25" s="308">
        <f t="shared" ref="B25:AF25" si="9">sum(B26:B27)</f>
        <v>59.73</v>
      </c>
      <c r="C25" s="308">
        <f t="shared" si="9"/>
        <v>59.99</v>
      </c>
      <c r="D25" s="308">
        <f t="shared" si="9"/>
        <v>209.9</v>
      </c>
      <c r="E25" s="308">
        <f t="shared" si="9"/>
        <v>59.98</v>
      </c>
      <c r="F25" s="308">
        <f t="shared" si="9"/>
        <v>89.98</v>
      </c>
      <c r="G25" s="308">
        <f t="shared" si="9"/>
        <v>100.64</v>
      </c>
      <c r="H25" s="308">
        <f t="shared" si="9"/>
        <v>109.65</v>
      </c>
      <c r="I25" s="308">
        <f t="shared" si="9"/>
        <v>0</v>
      </c>
      <c r="J25" s="308">
        <f t="shared" si="9"/>
        <v>153.24</v>
      </c>
      <c r="K25" s="308">
        <f t="shared" si="9"/>
        <v>89.97</v>
      </c>
      <c r="L25" s="308">
        <f t="shared" si="9"/>
        <v>59.98</v>
      </c>
      <c r="M25" s="308">
        <f t="shared" si="9"/>
        <v>35.52</v>
      </c>
      <c r="N25" s="308">
        <f t="shared" si="9"/>
        <v>64.62</v>
      </c>
      <c r="O25" s="308">
        <f t="shared" si="9"/>
        <v>121</v>
      </c>
      <c r="P25" s="308">
        <f t="shared" si="9"/>
        <v>89.32</v>
      </c>
      <c r="Q25" s="308">
        <f t="shared" si="9"/>
        <v>190.079</v>
      </c>
      <c r="R25" s="308">
        <f t="shared" si="9"/>
        <v>29.99</v>
      </c>
      <c r="S25" s="308">
        <f t="shared" si="9"/>
        <v>61.54</v>
      </c>
      <c r="T25" s="308">
        <f t="shared" si="9"/>
        <v>4.64</v>
      </c>
      <c r="U25" s="308">
        <f t="shared" si="9"/>
        <v>0.97</v>
      </c>
      <c r="V25" s="308">
        <f t="shared" si="9"/>
        <v>29.99</v>
      </c>
      <c r="W25" s="308">
        <f t="shared" si="9"/>
        <v>0</v>
      </c>
      <c r="X25" s="308">
        <f t="shared" si="9"/>
        <v>35.98</v>
      </c>
      <c r="Y25" s="308">
        <f t="shared" si="9"/>
        <v>0</v>
      </c>
      <c r="Z25" s="308">
        <f t="shared" si="9"/>
        <v>0</v>
      </c>
      <c r="AA25" s="308">
        <f t="shared" si="9"/>
        <v>119.98</v>
      </c>
      <c r="AB25" s="308">
        <f t="shared" si="9"/>
        <v>58.45</v>
      </c>
      <c r="AC25" s="308">
        <f t="shared" si="9"/>
        <v>10.08</v>
      </c>
      <c r="AD25" s="308">
        <f t="shared" si="9"/>
        <v>5.99</v>
      </c>
      <c r="AE25" s="308">
        <f t="shared" si="9"/>
        <v>3.28</v>
      </c>
      <c r="AF25" s="308">
        <f t="shared" si="9"/>
        <v>0</v>
      </c>
      <c r="AG25" s="114">
        <f t="shared" ref="AG25:AG31" si="10">sum(B25:AF25)</f>
        <v>1854.489</v>
      </c>
    </row>
    <row r="26" outlineLevel="1">
      <c r="A26" s="216" t="s">
        <v>404</v>
      </c>
      <c r="B26" s="308">
        <v>59.73</v>
      </c>
      <c r="C26" s="308">
        <v>59.99</v>
      </c>
      <c r="D26" s="308">
        <v>209.9</v>
      </c>
      <c r="E26" s="308">
        <v>59.98</v>
      </c>
      <c r="F26" s="308">
        <v>89.98</v>
      </c>
      <c r="G26" s="308">
        <v>89.24</v>
      </c>
      <c r="H26" s="308">
        <v>100.96</v>
      </c>
      <c r="I26" s="308">
        <v>0.0</v>
      </c>
      <c r="J26" s="308">
        <v>149.96</v>
      </c>
      <c r="K26" s="308">
        <v>89.97</v>
      </c>
      <c r="L26" s="308">
        <v>59.98</v>
      </c>
      <c r="M26" s="308">
        <v>29.53</v>
      </c>
      <c r="N26" s="308">
        <v>59.98</v>
      </c>
      <c r="O26" s="308">
        <v>118.01</v>
      </c>
      <c r="P26" s="308">
        <v>89.32</v>
      </c>
      <c r="Q26" s="308">
        <v>184.089</v>
      </c>
      <c r="R26" s="308">
        <v>29.99</v>
      </c>
      <c r="S26" s="308">
        <v>59.99</v>
      </c>
      <c r="T26" s="308">
        <v>0.0</v>
      </c>
      <c r="U26" s="308">
        <v>0.0</v>
      </c>
      <c r="V26" s="200">
        <v>29.99</v>
      </c>
      <c r="W26" s="200">
        <v>0.0</v>
      </c>
      <c r="X26" s="200">
        <v>29.99</v>
      </c>
      <c r="Y26" s="200">
        <v>0.0</v>
      </c>
      <c r="Z26" s="200">
        <v>0.0</v>
      </c>
      <c r="AA26" s="200">
        <v>119.98</v>
      </c>
      <c r="AB26" s="200">
        <v>57.49</v>
      </c>
      <c r="AC26" s="200">
        <v>10.08</v>
      </c>
      <c r="AD26" s="200">
        <v>0.0</v>
      </c>
      <c r="AE26" s="200">
        <v>0.0</v>
      </c>
      <c r="AF26" s="200">
        <v>0.0</v>
      </c>
      <c r="AG26" s="114">
        <f t="shared" si="10"/>
        <v>1788.129</v>
      </c>
    </row>
    <row r="27" outlineLevel="1">
      <c r="A27" s="216" t="s">
        <v>405</v>
      </c>
      <c r="B27" s="308">
        <v>0.0</v>
      </c>
      <c r="C27" s="308">
        <v>0.0</v>
      </c>
      <c r="D27" s="308">
        <v>0.0</v>
      </c>
      <c r="E27" s="308">
        <v>0.0</v>
      </c>
      <c r="F27" s="308">
        <v>0.0</v>
      </c>
      <c r="G27" s="200">
        <v>11.4</v>
      </c>
      <c r="H27" s="200">
        <v>8.69</v>
      </c>
      <c r="I27" s="200">
        <v>0.0</v>
      </c>
      <c r="J27" s="200">
        <v>3.28</v>
      </c>
      <c r="K27" s="308">
        <v>0.0</v>
      </c>
      <c r="L27" s="308">
        <v>0.0</v>
      </c>
      <c r="M27" s="308">
        <v>5.99</v>
      </c>
      <c r="N27" s="308">
        <v>4.64</v>
      </c>
      <c r="O27" s="308">
        <v>2.99</v>
      </c>
      <c r="P27" s="308">
        <v>0.0</v>
      </c>
      <c r="Q27" s="308">
        <v>5.99</v>
      </c>
      <c r="R27" s="308">
        <v>0.0</v>
      </c>
      <c r="S27" s="308">
        <v>1.55</v>
      </c>
      <c r="T27" s="308">
        <v>4.64</v>
      </c>
      <c r="U27" s="308">
        <v>0.97</v>
      </c>
      <c r="V27" s="200">
        <v>0.0</v>
      </c>
      <c r="W27" s="200">
        <v>0.0</v>
      </c>
      <c r="X27" s="200">
        <v>5.99</v>
      </c>
      <c r="Y27" s="200">
        <v>0.0</v>
      </c>
      <c r="Z27" s="200">
        <v>0.0</v>
      </c>
      <c r="AA27" s="200">
        <v>0.0</v>
      </c>
      <c r="AB27" s="200">
        <v>0.96</v>
      </c>
      <c r="AC27" s="200">
        <v>0.0</v>
      </c>
      <c r="AD27" s="200">
        <v>5.99</v>
      </c>
      <c r="AE27" s="200">
        <v>3.28</v>
      </c>
      <c r="AF27" s="200">
        <v>0.0</v>
      </c>
      <c r="AG27" s="114">
        <f t="shared" si="10"/>
        <v>66.36</v>
      </c>
    </row>
    <row r="28">
      <c r="A28" s="216" t="s">
        <v>406</v>
      </c>
      <c r="B28" s="200">
        <f t="shared" ref="B28:AF28" si="11">sum(B29:B30)</f>
        <v>0</v>
      </c>
      <c r="C28" s="200">
        <f t="shared" si="11"/>
        <v>0</v>
      </c>
      <c r="D28" s="200">
        <f t="shared" si="11"/>
        <v>0</v>
      </c>
      <c r="E28" s="200">
        <f t="shared" si="11"/>
        <v>29.99</v>
      </c>
      <c r="F28" s="200">
        <f t="shared" si="11"/>
        <v>0</v>
      </c>
      <c r="G28" s="200">
        <f t="shared" si="11"/>
        <v>0</v>
      </c>
      <c r="H28" s="200">
        <f t="shared" si="11"/>
        <v>0</v>
      </c>
      <c r="I28" s="200">
        <f t="shared" si="11"/>
        <v>0</v>
      </c>
      <c r="J28" s="200">
        <f t="shared" si="11"/>
        <v>0</v>
      </c>
      <c r="K28" s="200">
        <f t="shared" si="11"/>
        <v>0</v>
      </c>
      <c r="L28" s="200">
        <f t="shared" si="11"/>
        <v>0</v>
      </c>
      <c r="M28" s="200">
        <f t="shared" si="11"/>
        <v>42.7</v>
      </c>
      <c r="N28" s="200">
        <f t="shared" si="11"/>
        <v>0</v>
      </c>
      <c r="O28" s="200">
        <f t="shared" si="11"/>
        <v>35.52</v>
      </c>
      <c r="P28" s="200">
        <f t="shared" si="11"/>
        <v>0</v>
      </c>
      <c r="Q28" s="200">
        <f t="shared" si="11"/>
        <v>64.79</v>
      </c>
      <c r="R28" s="200">
        <f t="shared" si="11"/>
        <v>0</v>
      </c>
      <c r="S28" s="200">
        <f t="shared" si="11"/>
        <v>0</v>
      </c>
      <c r="T28" s="200">
        <f t="shared" si="11"/>
        <v>0</v>
      </c>
      <c r="U28" s="200">
        <f t="shared" si="11"/>
        <v>0</v>
      </c>
      <c r="V28" s="200">
        <f t="shared" si="11"/>
        <v>0</v>
      </c>
      <c r="W28" s="200">
        <f t="shared" si="11"/>
        <v>0</v>
      </c>
      <c r="X28" s="200">
        <f t="shared" si="11"/>
        <v>0</v>
      </c>
      <c r="Y28" s="200">
        <f t="shared" si="11"/>
        <v>0</v>
      </c>
      <c r="Z28" s="200">
        <f t="shared" si="11"/>
        <v>0</v>
      </c>
      <c r="AA28" s="200">
        <f t="shared" si="11"/>
        <v>0</v>
      </c>
      <c r="AB28" s="200">
        <f t="shared" si="11"/>
        <v>0</v>
      </c>
      <c r="AC28" s="200">
        <f t="shared" si="11"/>
        <v>0</v>
      </c>
      <c r="AD28" s="200">
        <f t="shared" si="11"/>
        <v>0</v>
      </c>
      <c r="AE28" s="200">
        <f t="shared" si="11"/>
        <v>0</v>
      </c>
      <c r="AF28" s="200">
        <f t="shared" si="11"/>
        <v>0</v>
      </c>
      <c r="AG28" s="114">
        <f t="shared" si="10"/>
        <v>173</v>
      </c>
    </row>
    <row r="29" outlineLevel="1">
      <c r="A29" s="216" t="s">
        <v>404</v>
      </c>
      <c r="B29" s="200">
        <v>0.0</v>
      </c>
      <c r="C29" s="200">
        <v>0.0</v>
      </c>
      <c r="D29" s="200">
        <v>0.0</v>
      </c>
      <c r="E29" s="200">
        <v>29.99</v>
      </c>
      <c r="F29" s="200">
        <v>0.0</v>
      </c>
      <c r="G29" s="200">
        <v>0.0</v>
      </c>
      <c r="H29" s="200">
        <v>0.0</v>
      </c>
      <c r="I29" s="200">
        <v>0.0</v>
      </c>
      <c r="J29" s="200">
        <v>0.0</v>
      </c>
      <c r="K29" s="200">
        <v>0.0</v>
      </c>
      <c r="L29" s="200">
        <v>0.0</v>
      </c>
      <c r="M29" s="200">
        <v>42.7</v>
      </c>
      <c r="N29" s="200">
        <v>0.0</v>
      </c>
      <c r="O29" s="200">
        <v>35.52</v>
      </c>
      <c r="P29" s="200">
        <v>0.0</v>
      </c>
      <c r="Q29" s="200">
        <v>64.79</v>
      </c>
      <c r="R29" s="200">
        <v>0.0</v>
      </c>
      <c r="S29" s="200">
        <v>0.0</v>
      </c>
      <c r="T29" s="200">
        <v>0.0</v>
      </c>
      <c r="U29" s="200">
        <v>0.0</v>
      </c>
      <c r="V29" s="200">
        <v>0.0</v>
      </c>
      <c r="W29" s="200">
        <v>0.0</v>
      </c>
      <c r="X29" s="200">
        <v>0.0</v>
      </c>
      <c r="Y29" s="200">
        <v>0.0</v>
      </c>
      <c r="Z29" s="200">
        <v>0.0</v>
      </c>
      <c r="AA29" s="200">
        <v>0.0</v>
      </c>
      <c r="AB29" s="200">
        <v>0.0</v>
      </c>
      <c r="AC29" s="200">
        <v>0.0</v>
      </c>
      <c r="AD29" s="200">
        <v>0.0</v>
      </c>
      <c r="AE29" s="200">
        <v>0.0</v>
      </c>
      <c r="AF29" s="200">
        <v>0.0</v>
      </c>
      <c r="AG29" s="114">
        <f t="shared" si="10"/>
        <v>173</v>
      </c>
    </row>
    <row r="30" outlineLevel="1">
      <c r="A30" s="216" t="s">
        <v>405</v>
      </c>
      <c r="B30" s="200">
        <v>0.0</v>
      </c>
      <c r="C30" s="200">
        <v>0.0</v>
      </c>
      <c r="D30" s="200">
        <v>0.0</v>
      </c>
      <c r="E30" s="200">
        <v>0.0</v>
      </c>
      <c r="F30" s="200">
        <v>0.0</v>
      </c>
      <c r="G30" s="200">
        <v>0.0</v>
      </c>
      <c r="H30" s="200">
        <v>0.0</v>
      </c>
      <c r="I30" s="200">
        <v>0.0</v>
      </c>
      <c r="J30" s="200">
        <v>0.0</v>
      </c>
      <c r="K30" s="200">
        <v>0.0</v>
      </c>
      <c r="L30" s="200">
        <v>0.0</v>
      </c>
      <c r="M30" s="200">
        <v>0.0</v>
      </c>
      <c r="N30" s="200">
        <v>0.0</v>
      </c>
      <c r="O30" s="200">
        <v>0.0</v>
      </c>
      <c r="P30" s="200">
        <v>0.0</v>
      </c>
      <c r="Q30" s="200">
        <v>0.0</v>
      </c>
      <c r="R30" s="200">
        <v>0.0</v>
      </c>
      <c r="S30" s="200">
        <v>0.0</v>
      </c>
      <c r="T30" s="200">
        <v>0.0</v>
      </c>
      <c r="U30" s="200">
        <v>0.0</v>
      </c>
      <c r="V30" s="200">
        <v>0.0</v>
      </c>
      <c r="W30" s="200">
        <v>0.0</v>
      </c>
      <c r="X30" s="200">
        <v>0.0</v>
      </c>
      <c r="Y30" s="200">
        <v>0.0</v>
      </c>
      <c r="Z30" s="200">
        <v>0.0</v>
      </c>
      <c r="AA30" s="200">
        <v>0.0</v>
      </c>
      <c r="AB30" s="200">
        <v>0.0</v>
      </c>
      <c r="AC30" s="200">
        <v>0.0</v>
      </c>
      <c r="AD30" s="200">
        <v>0.0</v>
      </c>
      <c r="AE30" s="200">
        <v>0.0</v>
      </c>
      <c r="AF30" s="200">
        <v>0.0</v>
      </c>
      <c r="AG30" s="114">
        <f t="shared" si="10"/>
        <v>0</v>
      </c>
    </row>
    <row r="31">
      <c r="A31" s="222" t="s">
        <v>113</v>
      </c>
      <c r="B31" s="309">
        <f t="shared" ref="B31:AF31" si="12">B25+B28</f>
        <v>59.73</v>
      </c>
      <c r="C31" s="309">
        <f t="shared" si="12"/>
        <v>59.99</v>
      </c>
      <c r="D31" s="309">
        <f t="shared" si="12"/>
        <v>209.9</v>
      </c>
      <c r="E31" s="309">
        <f t="shared" si="12"/>
        <v>89.97</v>
      </c>
      <c r="F31" s="309">
        <f t="shared" si="12"/>
        <v>89.98</v>
      </c>
      <c r="G31" s="309">
        <f t="shared" si="12"/>
        <v>100.64</v>
      </c>
      <c r="H31" s="309">
        <f t="shared" si="12"/>
        <v>109.65</v>
      </c>
      <c r="I31" s="309">
        <f t="shared" si="12"/>
        <v>0</v>
      </c>
      <c r="J31" s="309">
        <f t="shared" si="12"/>
        <v>153.24</v>
      </c>
      <c r="K31" s="309">
        <f t="shared" si="12"/>
        <v>89.97</v>
      </c>
      <c r="L31" s="309">
        <f t="shared" si="12"/>
        <v>59.98</v>
      </c>
      <c r="M31" s="309">
        <f t="shared" si="12"/>
        <v>78.22</v>
      </c>
      <c r="N31" s="309">
        <f t="shared" si="12"/>
        <v>64.62</v>
      </c>
      <c r="O31" s="309">
        <f t="shared" si="12"/>
        <v>156.52</v>
      </c>
      <c r="P31" s="309">
        <f t="shared" si="12"/>
        <v>89.32</v>
      </c>
      <c r="Q31" s="309">
        <f t="shared" si="12"/>
        <v>254.869</v>
      </c>
      <c r="R31" s="309">
        <f t="shared" si="12"/>
        <v>29.99</v>
      </c>
      <c r="S31" s="309">
        <f t="shared" si="12"/>
        <v>61.54</v>
      </c>
      <c r="T31" s="309">
        <f t="shared" si="12"/>
        <v>4.64</v>
      </c>
      <c r="U31" s="309">
        <f t="shared" si="12"/>
        <v>0.97</v>
      </c>
      <c r="V31" s="309">
        <f t="shared" si="12"/>
        <v>29.99</v>
      </c>
      <c r="W31" s="309">
        <f t="shared" si="12"/>
        <v>0</v>
      </c>
      <c r="X31" s="309">
        <f t="shared" si="12"/>
        <v>35.98</v>
      </c>
      <c r="Y31" s="309">
        <f t="shared" si="12"/>
        <v>0</v>
      </c>
      <c r="Z31" s="309">
        <f t="shared" si="12"/>
        <v>0</v>
      </c>
      <c r="AA31" s="309">
        <f t="shared" si="12"/>
        <v>119.98</v>
      </c>
      <c r="AB31" s="309">
        <f t="shared" si="12"/>
        <v>58.45</v>
      </c>
      <c r="AC31" s="309">
        <f t="shared" si="12"/>
        <v>10.08</v>
      </c>
      <c r="AD31" s="309">
        <f t="shared" si="12"/>
        <v>5.99</v>
      </c>
      <c r="AE31" s="309">
        <f t="shared" si="12"/>
        <v>3.28</v>
      </c>
      <c r="AF31" s="309">
        <f t="shared" si="12"/>
        <v>0</v>
      </c>
      <c r="AG31" s="114">
        <f t="shared" si="10"/>
        <v>2027.489</v>
      </c>
    </row>
    <row r="32">
      <c r="A32" s="98"/>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143"/>
    </row>
    <row r="33">
      <c r="A33" s="147" t="s">
        <v>411</v>
      </c>
      <c r="B33" s="82"/>
      <c r="C33" s="82"/>
      <c r="D33" s="82"/>
      <c r="E33" s="82"/>
      <c r="F33" s="82"/>
      <c r="G33" s="82"/>
      <c r="H33" s="82"/>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143"/>
    </row>
    <row r="34">
      <c r="A34" s="216" t="s">
        <v>412</v>
      </c>
      <c r="B34" s="234">
        <f t="shared" ref="B34:AF34" si="13">sum(B35:B36)</f>
        <v>1</v>
      </c>
      <c r="C34" s="234">
        <f t="shared" si="13"/>
        <v>1</v>
      </c>
      <c r="D34" s="234">
        <f t="shared" si="13"/>
        <v>5</v>
      </c>
      <c r="E34" s="234">
        <f t="shared" si="13"/>
        <v>2</v>
      </c>
      <c r="F34" s="234">
        <f t="shared" si="13"/>
        <v>2</v>
      </c>
      <c r="G34" s="234">
        <f t="shared" si="13"/>
        <v>2</v>
      </c>
      <c r="H34" s="234">
        <f t="shared" si="13"/>
        <v>2</v>
      </c>
      <c r="I34" s="234">
        <f t="shared" si="13"/>
        <v>0</v>
      </c>
      <c r="J34" s="234">
        <f t="shared" si="13"/>
        <v>5</v>
      </c>
      <c r="K34" s="234">
        <f t="shared" si="13"/>
        <v>3</v>
      </c>
      <c r="L34" s="234">
        <f t="shared" si="13"/>
        <v>1</v>
      </c>
      <c r="M34" s="234">
        <f t="shared" si="13"/>
        <v>1</v>
      </c>
      <c r="N34" s="234">
        <f t="shared" si="13"/>
        <v>3</v>
      </c>
      <c r="O34" s="234">
        <f t="shared" si="13"/>
        <v>2</v>
      </c>
      <c r="P34" s="234">
        <f t="shared" si="13"/>
        <v>1</v>
      </c>
      <c r="Q34" s="234">
        <f t="shared" si="13"/>
        <v>3</v>
      </c>
      <c r="R34" s="234">
        <f t="shared" si="13"/>
        <v>1</v>
      </c>
      <c r="S34" s="234">
        <f t="shared" si="13"/>
        <v>1</v>
      </c>
      <c r="T34" s="234">
        <f t="shared" si="13"/>
        <v>0</v>
      </c>
      <c r="U34" s="234">
        <f t="shared" si="13"/>
        <v>0</v>
      </c>
      <c r="V34" s="234">
        <f t="shared" si="13"/>
        <v>1</v>
      </c>
      <c r="W34" s="234">
        <f t="shared" si="13"/>
        <v>0</v>
      </c>
      <c r="X34" s="234">
        <f t="shared" si="13"/>
        <v>2</v>
      </c>
      <c r="Y34" s="234">
        <f t="shared" si="13"/>
        <v>0</v>
      </c>
      <c r="Z34" s="234">
        <f t="shared" si="13"/>
        <v>0</v>
      </c>
      <c r="AA34" s="234">
        <f t="shared" si="13"/>
        <v>2</v>
      </c>
      <c r="AB34" s="234">
        <f t="shared" si="13"/>
        <v>1</v>
      </c>
      <c r="AC34" s="234">
        <f t="shared" si="13"/>
        <v>0</v>
      </c>
      <c r="AD34" s="234">
        <f t="shared" si="13"/>
        <v>1</v>
      </c>
      <c r="AE34" s="234">
        <f t="shared" si="13"/>
        <v>1</v>
      </c>
      <c r="AF34" s="234">
        <f t="shared" si="13"/>
        <v>0</v>
      </c>
      <c r="AG34" s="143">
        <f>sum(B34:AF34)</f>
        <v>44</v>
      </c>
    </row>
    <row r="35" outlineLevel="1">
      <c r="A35" s="216" t="s">
        <v>404</v>
      </c>
      <c r="B35" s="83">
        <v>1.0</v>
      </c>
      <c r="C35" s="83">
        <v>1.0</v>
      </c>
      <c r="D35" s="83">
        <v>5.0</v>
      </c>
      <c r="E35" s="234">
        <v>2.0</v>
      </c>
      <c r="F35" s="234">
        <v>2.0</v>
      </c>
      <c r="G35" s="234">
        <v>1.0</v>
      </c>
      <c r="H35" s="83">
        <v>1.0</v>
      </c>
      <c r="I35" s="83">
        <v>0.0</v>
      </c>
      <c r="J35" s="83">
        <v>4.0</v>
      </c>
      <c r="K35" s="83">
        <v>3.0</v>
      </c>
      <c r="L35" s="83">
        <v>1.0</v>
      </c>
      <c r="M35" s="83">
        <v>0.0</v>
      </c>
      <c r="N35" s="83">
        <v>2.0</v>
      </c>
      <c r="O35" s="83">
        <v>1.0</v>
      </c>
      <c r="P35" s="83">
        <v>1.0</v>
      </c>
      <c r="Q35" s="83">
        <v>2.0</v>
      </c>
      <c r="R35" s="83">
        <v>1.0</v>
      </c>
      <c r="S35" s="83">
        <v>1.0</v>
      </c>
      <c r="T35" s="83">
        <v>0.0</v>
      </c>
      <c r="U35" s="83">
        <v>0.0</v>
      </c>
      <c r="V35" s="83">
        <v>1.0</v>
      </c>
      <c r="W35" s="83">
        <v>0.0</v>
      </c>
      <c r="X35" s="83">
        <v>1.0</v>
      </c>
      <c r="Y35" s="83">
        <v>0.0</v>
      </c>
      <c r="Z35" s="83">
        <v>0.0</v>
      </c>
      <c r="AA35" s="83">
        <v>2.0</v>
      </c>
      <c r="AB35" s="83">
        <v>1.0</v>
      </c>
      <c r="AC35" s="83">
        <v>0.0</v>
      </c>
      <c r="AD35" s="83">
        <v>0.0</v>
      </c>
      <c r="AE35" s="83">
        <v>0.0</v>
      </c>
      <c r="AF35" s="83">
        <v>0.0</v>
      </c>
      <c r="AG35" s="143"/>
    </row>
    <row r="36" outlineLevel="1">
      <c r="A36" s="216" t="s">
        <v>405</v>
      </c>
      <c r="B36" s="83">
        <v>0.0</v>
      </c>
      <c r="C36" s="83">
        <v>0.0</v>
      </c>
      <c r="D36" s="83">
        <v>0.0</v>
      </c>
      <c r="E36" s="83">
        <v>0.0</v>
      </c>
      <c r="F36" s="83">
        <v>0.0</v>
      </c>
      <c r="G36" s="83">
        <v>1.0</v>
      </c>
      <c r="H36" s="83">
        <v>1.0</v>
      </c>
      <c r="I36" s="83">
        <v>0.0</v>
      </c>
      <c r="J36" s="83">
        <v>1.0</v>
      </c>
      <c r="K36" s="83">
        <v>0.0</v>
      </c>
      <c r="L36" s="83">
        <v>0.0</v>
      </c>
      <c r="M36" s="83">
        <v>1.0</v>
      </c>
      <c r="N36" s="83">
        <v>1.0</v>
      </c>
      <c r="O36" s="83">
        <v>1.0</v>
      </c>
      <c r="P36" s="83">
        <v>0.0</v>
      </c>
      <c r="Q36" s="83">
        <v>1.0</v>
      </c>
      <c r="R36" s="83">
        <v>0.0</v>
      </c>
      <c r="S36" s="83">
        <v>0.0</v>
      </c>
      <c r="T36" s="83">
        <v>0.0</v>
      </c>
      <c r="U36" s="83">
        <v>0.0</v>
      </c>
      <c r="V36" s="83">
        <v>0.0</v>
      </c>
      <c r="W36" s="83">
        <v>0.0</v>
      </c>
      <c r="X36" s="83">
        <v>1.0</v>
      </c>
      <c r="Y36" s="83">
        <v>0.0</v>
      </c>
      <c r="Z36" s="83">
        <v>0.0</v>
      </c>
      <c r="AA36" s="83">
        <v>0.0</v>
      </c>
      <c r="AB36" s="83">
        <v>0.0</v>
      </c>
      <c r="AC36" s="83">
        <v>0.0</v>
      </c>
      <c r="AD36" s="83">
        <v>1.0</v>
      </c>
      <c r="AE36" s="83">
        <v>1.0</v>
      </c>
      <c r="AF36" s="83">
        <v>0.0</v>
      </c>
      <c r="AG36" s="143"/>
    </row>
    <row r="37">
      <c r="A37" s="216" t="s">
        <v>413</v>
      </c>
      <c r="B37" s="83">
        <f t="shared" ref="B37:AF37" si="14">sum(B38:B39)</f>
        <v>0</v>
      </c>
      <c r="C37" s="83">
        <f t="shared" si="14"/>
        <v>0</v>
      </c>
      <c r="D37" s="83">
        <f t="shared" si="14"/>
        <v>0</v>
      </c>
      <c r="E37" s="83">
        <f t="shared" si="14"/>
        <v>1</v>
      </c>
      <c r="F37" s="83">
        <f t="shared" si="14"/>
        <v>0</v>
      </c>
      <c r="G37" s="83">
        <f t="shared" si="14"/>
        <v>0</v>
      </c>
      <c r="H37" s="83">
        <f t="shared" si="14"/>
        <v>0</v>
      </c>
      <c r="I37" s="83">
        <f t="shared" si="14"/>
        <v>0</v>
      </c>
      <c r="J37" s="83">
        <f t="shared" si="14"/>
        <v>0</v>
      </c>
      <c r="K37" s="83">
        <f t="shared" si="14"/>
        <v>0</v>
      </c>
      <c r="L37" s="83">
        <f t="shared" si="14"/>
        <v>0</v>
      </c>
      <c r="M37" s="83">
        <f t="shared" si="14"/>
        <v>1</v>
      </c>
      <c r="N37" s="83">
        <f t="shared" si="14"/>
        <v>0</v>
      </c>
      <c r="O37" s="83">
        <f t="shared" si="14"/>
        <v>1</v>
      </c>
      <c r="P37" s="83">
        <f t="shared" si="14"/>
        <v>0</v>
      </c>
      <c r="Q37" s="83">
        <f t="shared" si="14"/>
        <v>1</v>
      </c>
      <c r="R37" s="83">
        <f t="shared" si="14"/>
        <v>0</v>
      </c>
      <c r="S37" s="83">
        <f t="shared" si="14"/>
        <v>0</v>
      </c>
      <c r="T37" s="83">
        <f t="shared" si="14"/>
        <v>0</v>
      </c>
      <c r="U37" s="83">
        <f t="shared" si="14"/>
        <v>0</v>
      </c>
      <c r="V37" s="83">
        <f t="shared" si="14"/>
        <v>0</v>
      </c>
      <c r="W37" s="83">
        <f t="shared" si="14"/>
        <v>0</v>
      </c>
      <c r="X37" s="83">
        <f t="shared" si="14"/>
        <v>0</v>
      </c>
      <c r="Y37" s="83">
        <f t="shared" si="14"/>
        <v>0</v>
      </c>
      <c r="Z37" s="83">
        <f t="shared" si="14"/>
        <v>0</v>
      </c>
      <c r="AA37" s="83">
        <f t="shared" si="14"/>
        <v>0</v>
      </c>
      <c r="AB37" s="83">
        <f t="shared" si="14"/>
        <v>0</v>
      </c>
      <c r="AC37" s="83">
        <f t="shared" si="14"/>
        <v>0</v>
      </c>
      <c r="AD37" s="83">
        <f t="shared" si="14"/>
        <v>0</v>
      </c>
      <c r="AE37" s="83">
        <f t="shared" si="14"/>
        <v>0</v>
      </c>
      <c r="AF37" s="83">
        <f t="shared" si="14"/>
        <v>0</v>
      </c>
      <c r="AG37" s="143">
        <f>sum(B37:AF37)</f>
        <v>4</v>
      </c>
    </row>
    <row r="38" outlineLevel="1">
      <c r="A38" s="216" t="s">
        <v>404</v>
      </c>
      <c r="B38" s="83">
        <v>0.0</v>
      </c>
      <c r="C38" s="83">
        <v>0.0</v>
      </c>
      <c r="D38" s="83">
        <v>0.0</v>
      </c>
      <c r="E38" s="83">
        <v>1.0</v>
      </c>
      <c r="F38" s="83">
        <v>0.0</v>
      </c>
      <c r="G38" s="83">
        <v>0.0</v>
      </c>
      <c r="H38" s="83">
        <v>0.0</v>
      </c>
      <c r="I38" s="83">
        <v>0.0</v>
      </c>
      <c r="J38" s="83">
        <v>0.0</v>
      </c>
      <c r="K38" s="83">
        <v>0.0</v>
      </c>
      <c r="L38" s="83">
        <v>0.0</v>
      </c>
      <c r="M38" s="83">
        <v>1.0</v>
      </c>
      <c r="N38" s="83">
        <v>0.0</v>
      </c>
      <c r="O38" s="83">
        <v>1.0</v>
      </c>
      <c r="P38" s="83">
        <v>0.0</v>
      </c>
      <c r="Q38" s="83">
        <v>1.0</v>
      </c>
      <c r="R38" s="83">
        <v>0.0</v>
      </c>
      <c r="S38" s="83">
        <v>0.0</v>
      </c>
      <c r="T38" s="83">
        <v>0.0</v>
      </c>
      <c r="U38" s="83">
        <v>0.0</v>
      </c>
      <c r="V38" s="83">
        <v>0.0</v>
      </c>
      <c r="W38" s="83">
        <v>0.0</v>
      </c>
      <c r="X38" s="83">
        <v>0.0</v>
      </c>
      <c r="Y38" s="83">
        <v>0.0</v>
      </c>
      <c r="Z38" s="83">
        <v>0.0</v>
      </c>
      <c r="AA38" s="83">
        <v>0.0</v>
      </c>
      <c r="AB38" s="83">
        <v>0.0</v>
      </c>
      <c r="AC38" s="83">
        <v>0.0</v>
      </c>
      <c r="AD38" s="83">
        <v>0.0</v>
      </c>
      <c r="AE38" s="83">
        <v>0.0</v>
      </c>
      <c r="AF38" s="83">
        <v>0.0</v>
      </c>
      <c r="AG38" s="143"/>
    </row>
    <row r="39" outlineLevel="1">
      <c r="A39" s="216" t="s">
        <v>405</v>
      </c>
      <c r="B39" s="83">
        <v>0.0</v>
      </c>
      <c r="C39" s="83">
        <v>0.0</v>
      </c>
      <c r="D39" s="83">
        <v>0.0</v>
      </c>
      <c r="E39" s="83">
        <v>0.0</v>
      </c>
      <c r="F39" s="83">
        <v>0.0</v>
      </c>
      <c r="G39" s="83">
        <v>0.0</v>
      </c>
      <c r="H39" s="83">
        <v>0.0</v>
      </c>
      <c r="I39" s="83">
        <v>0.0</v>
      </c>
      <c r="J39" s="83">
        <v>0.0</v>
      </c>
      <c r="K39" s="83">
        <v>0.0</v>
      </c>
      <c r="L39" s="83">
        <v>0.0</v>
      </c>
      <c r="M39" s="83">
        <v>0.0</v>
      </c>
      <c r="N39" s="83">
        <v>0.0</v>
      </c>
      <c r="O39" s="83">
        <v>0.0</v>
      </c>
      <c r="P39" s="83">
        <v>0.0</v>
      </c>
      <c r="Q39" s="83">
        <v>0.0</v>
      </c>
      <c r="R39" s="83">
        <v>0.0</v>
      </c>
      <c r="S39" s="83">
        <v>0.0</v>
      </c>
      <c r="T39" s="83">
        <v>0.0</v>
      </c>
      <c r="U39" s="83">
        <v>0.0</v>
      </c>
      <c r="V39" s="83">
        <v>0.0</v>
      </c>
      <c r="W39" s="83">
        <v>0.0</v>
      </c>
      <c r="X39" s="83">
        <v>0.0</v>
      </c>
      <c r="Y39" s="83">
        <v>0.0</v>
      </c>
      <c r="Z39" s="83">
        <v>0.0</v>
      </c>
      <c r="AA39" s="83">
        <v>0.0</v>
      </c>
      <c r="AB39" s="83">
        <v>0.0</v>
      </c>
      <c r="AC39" s="83">
        <v>0.0</v>
      </c>
      <c r="AD39" s="83">
        <v>0.0</v>
      </c>
      <c r="AE39" s="83">
        <v>0.0</v>
      </c>
      <c r="AF39" s="83">
        <v>0.0</v>
      </c>
      <c r="AG39" s="143"/>
    </row>
    <row r="40">
      <c r="A40" s="222" t="s">
        <v>113</v>
      </c>
      <c r="B40" s="310">
        <f t="shared" ref="B40:AF40" si="15">B34+B37</f>
        <v>1</v>
      </c>
      <c r="C40" s="310">
        <f t="shared" si="15"/>
        <v>1</v>
      </c>
      <c r="D40" s="310">
        <f t="shared" si="15"/>
        <v>5</v>
      </c>
      <c r="E40" s="310">
        <f t="shared" si="15"/>
        <v>3</v>
      </c>
      <c r="F40" s="310">
        <f t="shared" si="15"/>
        <v>2</v>
      </c>
      <c r="G40" s="310">
        <f t="shared" si="15"/>
        <v>2</v>
      </c>
      <c r="H40" s="310">
        <f t="shared" si="15"/>
        <v>2</v>
      </c>
      <c r="I40" s="310">
        <f t="shared" si="15"/>
        <v>0</v>
      </c>
      <c r="J40" s="310">
        <f t="shared" si="15"/>
        <v>5</v>
      </c>
      <c r="K40" s="310">
        <f t="shared" si="15"/>
        <v>3</v>
      </c>
      <c r="L40" s="310">
        <f t="shared" si="15"/>
        <v>1</v>
      </c>
      <c r="M40" s="310">
        <f t="shared" si="15"/>
        <v>2</v>
      </c>
      <c r="N40" s="310">
        <f t="shared" si="15"/>
        <v>3</v>
      </c>
      <c r="O40" s="310">
        <f t="shared" si="15"/>
        <v>3</v>
      </c>
      <c r="P40" s="310">
        <f t="shared" si="15"/>
        <v>1</v>
      </c>
      <c r="Q40" s="310">
        <f t="shared" si="15"/>
        <v>4</v>
      </c>
      <c r="R40" s="310">
        <f t="shared" si="15"/>
        <v>1</v>
      </c>
      <c r="S40" s="310">
        <f t="shared" si="15"/>
        <v>1</v>
      </c>
      <c r="T40" s="310">
        <f t="shared" si="15"/>
        <v>0</v>
      </c>
      <c r="U40" s="310">
        <f t="shared" si="15"/>
        <v>0</v>
      </c>
      <c r="V40" s="310">
        <f t="shared" si="15"/>
        <v>1</v>
      </c>
      <c r="W40" s="310">
        <f t="shared" si="15"/>
        <v>0</v>
      </c>
      <c r="X40" s="310">
        <f t="shared" si="15"/>
        <v>2</v>
      </c>
      <c r="Y40" s="310">
        <f t="shared" si="15"/>
        <v>0</v>
      </c>
      <c r="Z40" s="310">
        <f t="shared" si="15"/>
        <v>0</v>
      </c>
      <c r="AA40" s="310">
        <f t="shared" si="15"/>
        <v>2</v>
      </c>
      <c r="AB40" s="310">
        <f t="shared" si="15"/>
        <v>1</v>
      </c>
      <c r="AC40" s="310">
        <f t="shared" si="15"/>
        <v>0</v>
      </c>
      <c r="AD40" s="310">
        <f t="shared" si="15"/>
        <v>1</v>
      </c>
      <c r="AE40" s="310">
        <f t="shared" si="15"/>
        <v>1</v>
      </c>
      <c r="AF40" s="310">
        <f t="shared" si="15"/>
        <v>0</v>
      </c>
      <c r="AG40" s="143">
        <f>sum(B40:AF40)</f>
        <v>48</v>
      </c>
    </row>
    <row r="41">
      <c r="A41" s="98"/>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143"/>
    </row>
    <row r="42">
      <c r="A42" s="147" t="s">
        <v>414</v>
      </c>
      <c r="B42" s="165"/>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c r="AD42" s="82"/>
      <c r="AE42" s="82"/>
      <c r="AF42" s="82"/>
      <c r="AG42" s="143"/>
    </row>
    <row r="43">
      <c r="A43" s="311" t="s">
        <v>415</v>
      </c>
      <c r="B43" s="255">
        <f t="shared" ref="B43:AF43" si="16">B5-B25</f>
        <v>14110.16234</v>
      </c>
      <c r="C43" s="255">
        <f t="shared" si="16"/>
        <v>8326.941053</v>
      </c>
      <c r="D43" s="255">
        <f t="shared" si="16"/>
        <v>6297.63043</v>
      </c>
      <c r="E43" s="255">
        <f t="shared" si="16"/>
        <v>6266.836681</v>
      </c>
      <c r="F43" s="255">
        <f t="shared" si="16"/>
        <v>7353.718162</v>
      </c>
      <c r="G43" s="255">
        <f t="shared" si="16"/>
        <v>9393.855834</v>
      </c>
      <c r="H43" s="255">
        <f t="shared" si="16"/>
        <v>8569.341838</v>
      </c>
      <c r="I43" s="255">
        <f t="shared" si="16"/>
        <v>5904.765157</v>
      </c>
      <c r="J43" s="255">
        <f t="shared" si="16"/>
        <v>4175.26</v>
      </c>
      <c r="K43" s="255">
        <f t="shared" si="16"/>
        <v>3594.639416</v>
      </c>
      <c r="L43" s="255">
        <f t="shared" si="16"/>
        <v>2631.201732</v>
      </c>
      <c r="M43" s="255">
        <f t="shared" si="16"/>
        <v>3331.957189</v>
      </c>
      <c r="N43" s="255">
        <f t="shared" si="16"/>
        <v>4577.049869</v>
      </c>
      <c r="O43" s="255">
        <f t="shared" si="16"/>
        <v>5207.944141</v>
      </c>
      <c r="P43" s="255">
        <f t="shared" si="16"/>
        <v>2604.55</v>
      </c>
      <c r="Q43" s="255">
        <f t="shared" si="16"/>
        <v>1799.261</v>
      </c>
      <c r="R43" s="255">
        <f t="shared" si="16"/>
        <v>1695.84</v>
      </c>
      <c r="S43" s="255">
        <f t="shared" si="16"/>
        <v>2554.03</v>
      </c>
      <c r="T43" s="255">
        <f t="shared" si="16"/>
        <v>1766.65</v>
      </c>
      <c r="U43" s="255">
        <f t="shared" si="16"/>
        <v>4310.65</v>
      </c>
      <c r="V43" s="255">
        <f t="shared" si="16"/>
        <v>4537.72</v>
      </c>
      <c r="W43" s="255">
        <f t="shared" si="16"/>
        <v>3387.45</v>
      </c>
      <c r="X43" s="255">
        <f t="shared" si="16"/>
        <v>1832.32</v>
      </c>
      <c r="Y43" s="255">
        <f t="shared" si="16"/>
        <v>2416.36</v>
      </c>
      <c r="Z43" s="255">
        <f t="shared" si="16"/>
        <v>2542.11</v>
      </c>
      <c r="AA43" s="255">
        <f t="shared" si="16"/>
        <v>2163.39</v>
      </c>
      <c r="AB43" s="255">
        <f t="shared" si="16"/>
        <v>4546.71</v>
      </c>
      <c r="AC43" s="255">
        <f t="shared" si="16"/>
        <v>4906.02</v>
      </c>
      <c r="AD43" s="255">
        <f t="shared" si="16"/>
        <v>2188.37</v>
      </c>
      <c r="AE43" s="255">
        <f t="shared" si="16"/>
        <v>1759.08</v>
      </c>
      <c r="AF43" s="255">
        <f t="shared" si="16"/>
        <v>1424.43</v>
      </c>
      <c r="AG43" s="114">
        <f t="shared" ref="AG43:AG49" si="18">sum(B43:AF43)</f>
        <v>136176.2448</v>
      </c>
    </row>
    <row r="44" outlineLevel="1">
      <c r="A44" s="311" t="s">
        <v>404</v>
      </c>
      <c r="B44" s="300">
        <f t="shared" ref="B44:AF44" si="17">B6-B26</f>
        <v>13798.39897</v>
      </c>
      <c r="C44" s="300">
        <f t="shared" si="17"/>
        <v>8139.101543</v>
      </c>
      <c r="D44" s="300">
        <f t="shared" si="17"/>
        <v>6009.065979</v>
      </c>
      <c r="E44" s="300">
        <f t="shared" si="17"/>
        <v>6061.090068</v>
      </c>
      <c r="F44" s="300">
        <f t="shared" si="17"/>
        <v>7186.361498</v>
      </c>
      <c r="G44" s="300">
        <f t="shared" si="17"/>
        <v>9205.968228</v>
      </c>
      <c r="H44" s="300">
        <f t="shared" si="17"/>
        <v>8303.03</v>
      </c>
      <c r="I44" s="300">
        <f t="shared" si="17"/>
        <v>5748.170562</v>
      </c>
      <c r="J44" s="300">
        <f t="shared" si="17"/>
        <v>3993.912561</v>
      </c>
      <c r="K44" s="300">
        <f t="shared" si="17"/>
        <v>3461.533372</v>
      </c>
      <c r="L44" s="300">
        <f t="shared" si="17"/>
        <v>2471.679652</v>
      </c>
      <c r="M44" s="300">
        <f t="shared" si="17"/>
        <v>3190.703225</v>
      </c>
      <c r="N44" s="300">
        <f t="shared" si="17"/>
        <v>4430.266913</v>
      </c>
      <c r="O44" s="300">
        <f t="shared" si="17"/>
        <v>4951.794037</v>
      </c>
      <c r="P44" s="300">
        <f t="shared" si="17"/>
        <v>2454.3109</v>
      </c>
      <c r="Q44" s="300">
        <f t="shared" si="17"/>
        <v>1639.881542</v>
      </c>
      <c r="R44" s="300">
        <f t="shared" si="17"/>
        <v>1534.28</v>
      </c>
      <c r="S44" s="300">
        <f t="shared" si="17"/>
        <v>2451.83</v>
      </c>
      <c r="T44" s="300">
        <f t="shared" si="17"/>
        <v>1628.07</v>
      </c>
      <c r="U44" s="300">
        <f t="shared" si="17"/>
        <v>4191.4</v>
      </c>
      <c r="V44" s="300">
        <f t="shared" si="17"/>
        <v>4355.97</v>
      </c>
      <c r="W44" s="300">
        <f t="shared" si="17"/>
        <v>3212.51</v>
      </c>
      <c r="X44" s="300">
        <f t="shared" si="17"/>
        <v>1679.62</v>
      </c>
      <c r="Y44" s="300">
        <f t="shared" si="17"/>
        <v>2225.24</v>
      </c>
      <c r="Z44" s="300">
        <f t="shared" si="17"/>
        <v>1991</v>
      </c>
      <c r="AA44" s="300">
        <f t="shared" si="17"/>
        <v>1687.75945</v>
      </c>
      <c r="AB44" s="300">
        <f t="shared" si="17"/>
        <v>4186.10842</v>
      </c>
      <c r="AC44" s="300">
        <f t="shared" si="17"/>
        <v>4444.53024</v>
      </c>
      <c r="AD44" s="300">
        <f t="shared" si="17"/>
        <v>1862.42</v>
      </c>
      <c r="AE44" s="300">
        <f t="shared" si="17"/>
        <v>1442.4716</v>
      </c>
      <c r="AF44" s="300">
        <f t="shared" si="17"/>
        <v>1145.008815</v>
      </c>
      <c r="AG44" s="114">
        <f t="shared" si="18"/>
        <v>129083.4876</v>
      </c>
    </row>
    <row r="45" outlineLevel="1">
      <c r="A45" s="311" t="s">
        <v>405</v>
      </c>
      <c r="B45" s="300">
        <f t="shared" ref="B45:AF45" si="19">B7-B27</f>
        <v>311.763365</v>
      </c>
      <c r="C45" s="300">
        <f t="shared" si="19"/>
        <v>187.83951</v>
      </c>
      <c r="D45" s="300">
        <f t="shared" si="19"/>
        <v>288.564451</v>
      </c>
      <c r="E45" s="300">
        <f t="shared" si="19"/>
        <v>205.746613</v>
      </c>
      <c r="F45" s="300">
        <f t="shared" si="19"/>
        <v>167.356664</v>
      </c>
      <c r="G45" s="300">
        <f t="shared" si="19"/>
        <v>187.887606</v>
      </c>
      <c r="H45" s="300">
        <f t="shared" si="19"/>
        <v>266.311838</v>
      </c>
      <c r="I45" s="300">
        <f t="shared" si="19"/>
        <v>156.594595</v>
      </c>
      <c r="J45" s="300">
        <f t="shared" si="19"/>
        <v>181.350794</v>
      </c>
      <c r="K45" s="300">
        <f t="shared" si="19"/>
        <v>133.106044</v>
      </c>
      <c r="L45" s="300">
        <f t="shared" si="19"/>
        <v>159.52208</v>
      </c>
      <c r="M45" s="300">
        <f t="shared" si="19"/>
        <v>141.253964</v>
      </c>
      <c r="N45" s="300">
        <f t="shared" si="19"/>
        <v>146.782956</v>
      </c>
      <c r="O45" s="300">
        <f t="shared" si="19"/>
        <v>256.15</v>
      </c>
      <c r="P45" s="300">
        <f t="shared" si="19"/>
        <v>150.24</v>
      </c>
      <c r="Q45" s="300">
        <f t="shared" si="19"/>
        <v>159.377804</v>
      </c>
      <c r="R45" s="300">
        <f t="shared" si="19"/>
        <v>161.56</v>
      </c>
      <c r="S45" s="300">
        <f t="shared" si="19"/>
        <v>102.202613</v>
      </c>
      <c r="T45" s="300">
        <f t="shared" si="19"/>
        <v>138.58</v>
      </c>
      <c r="U45" s="300">
        <f t="shared" si="19"/>
        <v>119.25</v>
      </c>
      <c r="V45" s="300">
        <f t="shared" si="19"/>
        <v>181.754594</v>
      </c>
      <c r="W45" s="300">
        <f t="shared" si="19"/>
        <v>174.94</v>
      </c>
      <c r="X45" s="300">
        <f t="shared" si="19"/>
        <v>152.697261</v>
      </c>
      <c r="Y45" s="300">
        <f t="shared" si="19"/>
        <v>191.120336</v>
      </c>
      <c r="Z45" s="300">
        <f t="shared" si="19"/>
        <v>551.11</v>
      </c>
      <c r="AA45" s="300">
        <f t="shared" si="19"/>
        <v>475.631206</v>
      </c>
      <c r="AB45" s="300">
        <f t="shared" si="19"/>
        <v>360.598575</v>
      </c>
      <c r="AC45" s="300">
        <f t="shared" si="19"/>
        <v>461.485246</v>
      </c>
      <c r="AD45" s="300">
        <f t="shared" si="19"/>
        <v>325.95</v>
      </c>
      <c r="AE45" s="300">
        <f t="shared" si="19"/>
        <v>316.605795</v>
      </c>
      <c r="AF45" s="300">
        <f t="shared" si="19"/>
        <v>279.424611</v>
      </c>
      <c r="AG45" s="114">
        <f t="shared" si="18"/>
        <v>7092.758521</v>
      </c>
    </row>
    <row r="46">
      <c r="A46" s="311" t="s">
        <v>416</v>
      </c>
      <c r="B46" s="255">
        <f t="shared" ref="B46:AF46" si="20">B8-B28</f>
        <v>3272.61</v>
      </c>
      <c r="C46" s="255">
        <f t="shared" si="20"/>
        <v>1739.68</v>
      </c>
      <c r="D46" s="255">
        <f t="shared" si="20"/>
        <v>1214.51</v>
      </c>
      <c r="E46" s="255">
        <f t="shared" si="20"/>
        <v>1069.51</v>
      </c>
      <c r="F46" s="255">
        <f t="shared" si="20"/>
        <v>1374.17</v>
      </c>
      <c r="G46" s="255">
        <f t="shared" si="20"/>
        <v>1566.03</v>
      </c>
      <c r="H46" s="255">
        <f t="shared" si="20"/>
        <v>1726.07</v>
      </c>
      <c r="I46" s="255">
        <f t="shared" si="20"/>
        <v>1581.78</v>
      </c>
      <c r="J46" s="255">
        <f t="shared" si="20"/>
        <v>652.72</v>
      </c>
      <c r="K46" s="255">
        <f t="shared" si="20"/>
        <v>763.68</v>
      </c>
      <c r="L46" s="255">
        <f t="shared" si="20"/>
        <v>853.43</v>
      </c>
      <c r="M46" s="255">
        <f t="shared" si="20"/>
        <v>304.27</v>
      </c>
      <c r="N46" s="255">
        <f t="shared" si="20"/>
        <v>745.82</v>
      </c>
      <c r="O46" s="255">
        <f t="shared" si="20"/>
        <v>1096.47</v>
      </c>
      <c r="P46" s="255">
        <f t="shared" si="20"/>
        <v>641.58</v>
      </c>
      <c r="Q46" s="255">
        <f t="shared" si="20"/>
        <v>175.09</v>
      </c>
      <c r="R46" s="255">
        <f t="shared" si="20"/>
        <v>409.43</v>
      </c>
      <c r="S46" s="255">
        <f t="shared" si="20"/>
        <v>488.17</v>
      </c>
      <c r="T46" s="255">
        <f t="shared" si="20"/>
        <v>448.32</v>
      </c>
      <c r="U46" s="255">
        <f t="shared" si="20"/>
        <v>852.95</v>
      </c>
      <c r="V46" s="255">
        <f t="shared" si="20"/>
        <v>721.04</v>
      </c>
      <c r="W46" s="255">
        <f t="shared" si="20"/>
        <v>727.48</v>
      </c>
      <c r="X46" s="255">
        <f t="shared" si="20"/>
        <v>485.25</v>
      </c>
      <c r="Y46" s="255">
        <f t="shared" si="20"/>
        <v>520.18</v>
      </c>
      <c r="Z46" s="255">
        <f t="shared" si="20"/>
        <v>227.34</v>
      </c>
      <c r="AA46" s="255">
        <f t="shared" si="20"/>
        <v>589.11</v>
      </c>
      <c r="AB46" s="255">
        <f t="shared" si="20"/>
        <v>781.83</v>
      </c>
      <c r="AC46" s="255">
        <f t="shared" si="20"/>
        <v>598.87</v>
      </c>
      <c r="AD46" s="255">
        <f t="shared" si="20"/>
        <v>295.96</v>
      </c>
      <c r="AE46" s="255">
        <f t="shared" si="20"/>
        <v>479.07</v>
      </c>
      <c r="AF46" s="255">
        <f t="shared" si="20"/>
        <v>214.24</v>
      </c>
      <c r="AG46" s="114">
        <f t="shared" si="18"/>
        <v>26616.66</v>
      </c>
    </row>
    <row r="47" outlineLevel="1">
      <c r="A47" s="311" t="s">
        <v>404</v>
      </c>
      <c r="B47" s="300">
        <f t="shared" ref="B47:AF47" si="21">B9-B29</f>
        <v>3231.08</v>
      </c>
      <c r="C47" s="300">
        <f t="shared" si="21"/>
        <v>1682.68</v>
      </c>
      <c r="D47" s="300">
        <f t="shared" si="21"/>
        <v>1178.79</v>
      </c>
      <c r="E47" s="300">
        <f t="shared" si="21"/>
        <v>1020.3</v>
      </c>
      <c r="F47" s="300">
        <f t="shared" si="21"/>
        <v>1336.04</v>
      </c>
      <c r="G47" s="300">
        <f t="shared" si="21"/>
        <v>1525.22</v>
      </c>
      <c r="H47" s="300">
        <f t="shared" si="21"/>
        <v>47.24</v>
      </c>
      <c r="I47" s="300">
        <f t="shared" si="21"/>
        <v>1538.38</v>
      </c>
      <c r="J47" s="300">
        <f t="shared" si="21"/>
        <v>587.23</v>
      </c>
      <c r="K47" s="300">
        <f t="shared" si="21"/>
        <v>725.92</v>
      </c>
      <c r="L47" s="300">
        <f t="shared" si="21"/>
        <v>824.84</v>
      </c>
      <c r="M47" s="300">
        <f t="shared" si="21"/>
        <v>284.26</v>
      </c>
      <c r="N47" s="300">
        <f t="shared" si="21"/>
        <v>726.3</v>
      </c>
      <c r="O47" s="300">
        <f t="shared" si="21"/>
        <v>1061.78</v>
      </c>
      <c r="P47" s="300">
        <f t="shared" si="21"/>
        <v>608.63</v>
      </c>
      <c r="Q47" s="300">
        <f t="shared" si="21"/>
        <v>155.94</v>
      </c>
      <c r="R47" s="300">
        <f t="shared" si="21"/>
        <v>400</v>
      </c>
      <c r="S47" s="300">
        <f t="shared" si="21"/>
        <v>433.79</v>
      </c>
      <c r="T47" s="300">
        <f t="shared" si="21"/>
        <v>407.04</v>
      </c>
      <c r="U47" s="300">
        <f t="shared" si="21"/>
        <v>782.62</v>
      </c>
      <c r="V47" s="300">
        <f t="shared" si="21"/>
        <v>685.83</v>
      </c>
      <c r="W47" s="300">
        <f t="shared" si="21"/>
        <v>696.15</v>
      </c>
      <c r="X47" s="300">
        <f t="shared" si="21"/>
        <v>454.24</v>
      </c>
      <c r="Y47" s="300">
        <f t="shared" si="21"/>
        <v>501.36</v>
      </c>
      <c r="Z47" s="300">
        <f t="shared" si="21"/>
        <v>124.58</v>
      </c>
      <c r="AA47" s="300">
        <f t="shared" si="21"/>
        <v>539.44</v>
      </c>
      <c r="AB47" s="300">
        <f t="shared" si="21"/>
        <v>696.48</v>
      </c>
      <c r="AC47" s="300">
        <f t="shared" si="21"/>
        <v>503.25</v>
      </c>
      <c r="AD47" s="300">
        <f t="shared" si="21"/>
        <v>219.75</v>
      </c>
      <c r="AE47" s="300">
        <f t="shared" si="21"/>
        <v>416.18</v>
      </c>
      <c r="AF47" s="300">
        <f t="shared" si="21"/>
        <v>189.41</v>
      </c>
      <c r="AG47" s="114">
        <f t="shared" si="18"/>
        <v>23584.75</v>
      </c>
    </row>
    <row r="48" outlineLevel="1">
      <c r="A48" s="311" t="s">
        <v>405</v>
      </c>
      <c r="B48" s="300">
        <f t="shared" ref="B48:AF48" si="22">B10-B30</f>
        <v>41.53</v>
      </c>
      <c r="C48" s="300">
        <f t="shared" si="22"/>
        <v>57</v>
      </c>
      <c r="D48" s="300">
        <f t="shared" si="22"/>
        <v>35.72</v>
      </c>
      <c r="E48" s="300">
        <f t="shared" si="22"/>
        <v>49.21</v>
      </c>
      <c r="F48" s="300">
        <f t="shared" si="22"/>
        <v>38.13</v>
      </c>
      <c r="G48" s="300">
        <f t="shared" si="22"/>
        <v>40.81</v>
      </c>
      <c r="H48" s="300">
        <f t="shared" si="22"/>
        <v>1678.83</v>
      </c>
      <c r="I48" s="300">
        <f t="shared" si="22"/>
        <v>43.4</v>
      </c>
      <c r="J48" s="300">
        <f t="shared" si="22"/>
        <v>65.49</v>
      </c>
      <c r="K48" s="300">
        <f t="shared" si="22"/>
        <v>37.76</v>
      </c>
      <c r="L48" s="300">
        <f t="shared" si="22"/>
        <v>28.59</v>
      </c>
      <c r="M48" s="300">
        <f t="shared" si="22"/>
        <v>20.01</v>
      </c>
      <c r="N48" s="300">
        <f t="shared" si="22"/>
        <v>19.52</v>
      </c>
      <c r="O48" s="300">
        <f t="shared" si="22"/>
        <v>34.69</v>
      </c>
      <c r="P48" s="300">
        <f t="shared" si="22"/>
        <v>32.95</v>
      </c>
      <c r="Q48" s="300">
        <f t="shared" si="22"/>
        <v>19.15</v>
      </c>
      <c r="R48" s="300">
        <f t="shared" si="22"/>
        <v>9.43</v>
      </c>
      <c r="S48" s="300">
        <f t="shared" si="22"/>
        <v>54.38</v>
      </c>
      <c r="T48" s="300">
        <f t="shared" si="22"/>
        <v>41.28</v>
      </c>
      <c r="U48" s="300">
        <f t="shared" si="22"/>
        <v>70.33</v>
      </c>
      <c r="V48" s="300">
        <f t="shared" si="22"/>
        <v>35.21</v>
      </c>
      <c r="W48" s="300">
        <f t="shared" si="22"/>
        <v>31.33</v>
      </c>
      <c r="X48" s="300">
        <f t="shared" si="22"/>
        <v>31.01</v>
      </c>
      <c r="Y48" s="300">
        <f t="shared" si="22"/>
        <v>18.82</v>
      </c>
      <c r="Z48" s="300">
        <f t="shared" si="22"/>
        <v>102.76</v>
      </c>
      <c r="AA48" s="300">
        <f t="shared" si="22"/>
        <v>49.67</v>
      </c>
      <c r="AB48" s="300">
        <f t="shared" si="22"/>
        <v>85.35</v>
      </c>
      <c r="AC48" s="300">
        <f t="shared" si="22"/>
        <v>95.62</v>
      </c>
      <c r="AD48" s="300">
        <f t="shared" si="22"/>
        <v>75.51</v>
      </c>
      <c r="AE48" s="300">
        <f t="shared" si="22"/>
        <v>62.89</v>
      </c>
      <c r="AF48" s="300">
        <f t="shared" si="22"/>
        <v>24.83</v>
      </c>
      <c r="AG48" s="114">
        <f t="shared" si="18"/>
        <v>3031.21</v>
      </c>
    </row>
    <row r="49">
      <c r="A49" s="312" t="s">
        <v>113</v>
      </c>
      <c r="B49" s="313">
        <f t="shared" ref="B49:AF49" si="23">B43+B46</f>
        <v>17382.77234</v>
      </c>
      <c r="C49" s="313">
        <f t="shared" si="23"/>
        <v>10066.62105</v>
      </c>
      <c r="D49" s="313">
        <f t="shared" si="23"/>
        <v>7512.14043</v>
      </c>
      <c r="E49" s="313">
        <f t="shared" si="23"/>
        <v>7336.346681</v>
      </c>
      <c r="F49" s="313">
        <f t="shared" si="23"/>
        <v>8727.888162</v>
      </c>
      <c r="G49" s="313">
        <f t="shared" si="23"/>
        <v>10959.88583</v>
      </c>
      <c r="H49" s="313">
        <f t="shared" si="23"/>
        <v>10295.41184</v>
      </c>
      <c r="I49" s="313">
        <f t="shared" si="23"/>
        <v>7486.545157</v>
      </c>
      <c r="J49" s="313">
        <f t="shared" si="23"/>
        <v>4827.98</v>
      </c>
      <c r="K49" s="313">
        <f t="shared" si="23"/>
        <v>4358.319416</v>
      </c>
      <c r="L49" s="313">
        <f t="shared" si="23"/>
        <v>3484.631732</v>
      </c>
      <c r="M49" s="313">
        <f t="shared" si="23"/>
        <v>3636.227189</v>
      </c>
      <c r="N49" s="313">
        <f t="shared" si="23"/>
        <v>5322.869869</v>
      </c>
      <c r="O49" s="313">
        <f t="shared" si="23"/>
        <v>6304.414141</v>
      </c>
      <c r="P49" s="313">
        <f t="shared" si="23"/>
        <v>3246.13</v>
      </c>
      <c r="Q49" s="313">
        <f t="shared" si="23"/>
        <v>1974.351</v>
      </c>
      <c r="R49" s="313">
        <f t="shared" si="23"/>
        <v>2105.27</v>
      </c>
      <c r="S49" s="313">
        <f t="shared" si="23"/>
        <v>3042.2</v>
      </c>
      <c r="T49" s="313">
        <f t="shared" si="23"/>
        <v>2214.97</v>
      </c>
      <c r="U49" s="313">
        <f t="shared" si="23"/>
        <v>5163.6</v>
      </c>
      <c r="V49" s="313">
        <f t="shared" si="23"/>
        <v>5258.76</v>
      </c>
      <c r="W49" s="313">
        <f t="shared" si="23"/>
        <v>4114.93</v>
      </c>
      <c r="X49" s="313">
        <f t="shared" si="23"/>
        <v>2317.57</v>
      </c>
      <c r="Y49" s="313">
        <f t="shared" si="23"/>
        <v>2936.54</v>
      </c>
      <c r="Z49" s="313">
        <f t="shared" si="23"/>
        <v>2769.45</v>
      </c>
      <c r="AA49" s="313">
        <f t="shared" si="23"/>
        <v>2752.5</v>
      </c>
      <c r="AB49" s="313">
        <f t="shared" si="23"/>
        <v>5328.54</v>
      </c>
      <c r="AC49" s="313">
        <f t="shared" si="23"/>
        <v>5504.89</v>
      </c>
      <c r="AD49" s="313">
        <f t="shared" si="23"/>
        <v>2484.33</v>
      </c>
      <c r="AE49" s="313">
        <f t="shared" si="23"/>
        <v>2238.15</v>
      </c>
      <c r="AF49" s="313">
        <f t="shared" si="23"/>
        <v>1638.67</v>
      </c>
      <c r="AG49" s="114">
        <f t="shared" si="18"/>
        <v>162792.9048</v>
      </c>
    </row>
    <row r="50">
      <c r="A50" s="98"/>
      <c r="B50" s="82"/>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114"/>
    </row>
    <row r="51">
      <c r="A51" s="147" t="s">
        <v>417</v>
      </c>
      <c r="B51" s="82"/>
      <c r="C51" s="82"/>
      <c r="D51" s="82"/>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114"/>
    </row>
    <row r="52">
      <c r="A52" s="311" t="s">
        <v>415</v>
      </c>
      <c r="B52" s="82">
        <f t="shared" ref="B52:AF52" si="24">B14-B34</f>
        <v>416</v>
      </c>
      <c r="C52" s="82">
        <f t="shared" si="24"/>
        <v>242</v>
      </c>
      <c r="D52" s="82">
        <f t="shared" si="24"/>
        <v>206</v>
      </c>
      <c r="E52" s="82">
        <f t="shared" si="24"/>
        <v>184</v>
      </c>
      <c r="F52" s="82">
        <f t="shared" si="24"/>
        <v>208</v>
      </c>
      <c r="G52" s="82">
        <f t="shared" si="24"/>
        <v>265</v>
      </c>
      <c r="H52" s="82">
        <f t="shared" si="24"/>
        <v>259</v>
      </c>
      <c r="I52" s="82">
        <f t="shared" si="24"/>
        <v>163</v>
      </c>
      <c r="J52" s="82">
        <f t="shared" si="24"/>
        <v>128</v>
      </c>
      <c r="K52" s="82">
        <f t="shared" si="24"/>
        <v>107</v>
      </c>
      <c r="L52" s="82">
        <f t="shared" si="24"/>
        <v>90</v>
      </c>
      <c r="M52" s="82">
        <f t="shared" si="24"/>
        <v>97</v>
      </c>
      <c r="N52" s="82">
        <f t="shared" si="24"/>
        <v>126</v>
      </c>
      <c r="O52" s="82">
        <f t="shared" si="24"/>
        <v>158</v>
      </c>
      <c r="P52" s="82">
        <f t="shared" si="24"/>
        <v>88</v>
      </c>
      <c r="Q52" s="82">
        <f t="shared" si="24"/>
        <v>79</v>
      </c>
      <c r="R52" s="82">
        <f t="shared" si="24"/>
        <v>70</v>
      </c>
      <c r="S52" s="82">
        <f t="shared" si="24"/>
        <v>80</v>
      </c>
      <c r="T52" s="82">
        <f t="shared" si="24"/>
        <v>72</v>
      </c>
      <c r="U52" s="82">
        <f t="shared" si="24"/>
        <v>123</v>
      </c>
      <c r="V52" s="82">
        <f t="shared" si="24"/>
        <v>142</v>
      </c>
      <c r="W52" s="82">
        <f t="shared" si="24"/>
        <v>111</v>
      </c>
      <c r="X52" s="82">
        <f t="shared" si="24"/>
        <v>70</v>
      </c>
      <c r="Y52" s="82">
        <f t="shared" si="24"/>
        <v>92</v>
      </c>
      <c r="Z52" s="82">
        <f t="shared" si="24"/>
        <v>147</v>
      </c>
      <c r="AA52" s="82">
        <f t="shared" si="24"/>
        <v>134</v>
      </c>
      <c r="AB52" s="82">
        <f t="shared" si="24"/>
        <v>168</v>
      </c>
      <c r="AC52" s="82">
        <f t="shared" si="24"/>
        <v>188</v>
      </c>
      <c r="AD52" s="82">
        <f t="shared" si="24"/>
        <v>109</v>
      </c>
      <c r="AE52" s="82">
        <f t="shared" si="24"/>
        <v>98</v>
      </c>
      <c r="AF52" s="82">
        <f t="shared" si="24"/>
        <v>77</v>
      </c>
      <c r="AG52" s="143">
        <f t="shared" ref="AG52:AG58" si="26">sum(B52:AF52)</f>
        <v>4497</v>
      </c>
    </row>
    <row r="53" outlineLevel="1">
      <c r="A53" s="311" t="s">
        <v>404</v>
      </c>
      <c r="B53" s="82">
        <f t="shared" ref="B53:AF53" si="25">B15-B35</f>
        <v>355</v>
      </c>
      <c r="C53" s="82">
        <f t="shared" si="25"/>
        <v>202</v>
      </c>
      <c r="D53" s="82">
        <f t="shared" si="25"/>
        <v>144</v>
      </c>
      <c r="E53" s="82">
        <f t="shared" si="25"/>
        <v>141</v>
      </c>
      <c r="F53" s="82">
        <f t="shared" si="25"/>
        <v>168</v>
      </c>
      <c r="G53" s="82">
        <f t="shared" si="25"/>
        <v>222</v>
      </c>
      <c r="H53" s="82">
        <f t="shared" si="25"/>
        <v>203</v>
      </c>
      <c r="I53" s="82">
        <f t="shared" si="25"/>
        <v>127</v>
      </c>
      <c r="J53" s="82">
        <f t="shared" si="25"/>
        <v>86</v>
      </c>
      <c r="K53" s="82">
        <f t="shared" si="25"/>
        <v>74</v>
      </c>
      <c r="L53" s="82">
        <f t="shared" si="25"/>
        <v>56</v>
      </c>
      <c r="M53" s="82">
        <f t="shared" si="25"/>
        <v>64</v>
      </c>
      <c r="N53" s="82">
        <f t="shared" si="25"/>
        <v>94</v>
      </c>
      <c r="O53" s="82">
        <f t="shared" si="25"/>
        <v>105</v>
      </c>
      <c r="P53" s="82">
        <f t="shared" si="25"/>
        <v>55</v>
      </c>
      <c r="Q53" s="82">
        <f t="shared" si="25"/>
        <v>39</v>
      </c>
      <c r="R53" s="82">
        <f t="shared" si="25"/>
        <v>33</v>
      </c>
      <c r="S53" s="82">
        <f t="shared" si="25"/>
        <v>55</v>
      </c>
      <c r="T53" s="82">
        <f t="shared" si="25"/>
        <v>41</v>
      </c>
      <c r="U53" s="82">
        <f t="shared" si="25"/>
        <v>97</v>
      </c>
      <c r="V53" s="82">
        <f t="shared" si="25"/>
        <v>104</v>
      </c>
      <c r="W53" s="82">
        <f t="shared" si="25"/>
        <v>76</v>
      </c>
      <c r="X53" s="82">
        <f t="shared" si="25"/>
        <v>39</v>
      </c>
      <c r="Y53" s="82">
        <f t="shared" si="25"/>
        <v>52</v>
      </c>
      <c r="Z53" s="82">
        <f t="shared" si="25"/>
        <v>44</v>
      </c>
      <c r="AA53" s="82">
        <f t="shared" si="25"/>
        <v>42</v>
      </c>
      <c r="AB53" s="82">
        <f t="shared" si="25"/>
        <v>100</v>
      </c>
      <c r="AC53" s="82">
        <f t="shared" si="25"/>
        <v>103</v>
      </c>
      <c r="AD53" s="82">
        <f t="shared" si="25"/>
        <v>46</v>
      </c>
      <c r="AE53" s="82">
        <f t="shared" si="25"/>
        <v>36</v>
      </c>
      <c r="AF53" s="82">
        <f t="shared" si="25"/>
        <v>28</v>
      </c>
      <c r="AG53" s="143">
        <f t="shared" si="26"/>
        <v>3031</v>
      </c>
    </row>
    <row r="54" outlineLevel="1">
      <c r="A54" s="311" t="s">
        <v>405</v>
      </c>
      <c r="B54" s="82">
        <f t="shared" ref="B54:AF54" si="27">B16-B36</f>
        <v>61</v>
      </c>
      <c r="C54" s="82">
        <f t="shared" si="27"/>
        <v>40</v>
      </c>
      <c r="D54" s="82">
        <f t="shared" si="27"/>
        <v>62</v>
      </c>
      <c r="E54" s="82">
        <f t="shared" si="27"/>
        <v>43</v>
      </c>
      <c r="F54" s="82">
        <f t="shared" si="27"/>
        <v>40</v>
      </c>
      <c r="G54" s="82">
        <f t="shared" si="27"/>
        <v>43</v>
      </c>
      <c r="H54" s="82">
        <f t="shared" si="27"/>
        <v>56</v>
      </c>
      <c r="I54" s="82">
        <f t="shared" si="27"/>
        <v>36</v>
      </c>
      <c r="J54" s="82">
        <f t="shared" si="27"/>
        <v>42</v>
      </c>
      <c r="K54" s="82">
        <f t="shared" si="27"/>
        <v>33</v>
      </c>
      <c r="L54" s="82">
        <f t="shared" si="27"/>
        <v>34</v>
      </c>
      <c r="M54" s="82">
        <f t="shared" si="27"/>
        <v>33</v>
      </c>
      <c r="N54" s="82">
        <f t="shared" si="27"/>
        <v>32</v>
      </c>
      <c r="O54" s="82">
        <f t="shared" si="27"/>
        <v>53</v>
      </c>
      <c r="P54" s="82">
        <f t="shared" si="27"/>
        <v>33</v>
      </c>
      <c r="Q54" s="82">
        <f t="shared" si="27"/>
        <v>40</v>
      </c>
      <c r="R54" s="82">
        <f t="shared" si="27"/>
        <v>37</v>
      </c>
      <c r="S54" s="82">
        <f t="shared" si="27"/>
        <v>25</v>
      </c>
      <c r="T54" s="82">
        <f t="shared" si="27"/>
        <v>31</v>
      </c>
      <c r="U54" s="82">
        <f t="shared" si="27"/>
        <v>26</v>
      </c>
      <c r="V54" s="82">
        <f t="shared" si="27"/>
        <v>38</v>
      </c>
      <c r="W54" s="82">
        <f t="shared" si="27"/>
        <v>35</v>
      </c>
      <c r="X54" s="82">
        <f t="shared" si="27"/>
        <v>31</v>
      </c>
      <c r="Y54" s="82">
        <f t="shared" si="27"/>
        <v>40</v>
      </c>
      <c r="Z54" s="82">
        <f t="shared" si="27"/>
        <v>103</v>
      </c>
      <c r="AA54" s="82">
        <f t="shared" si="27"/>
        <v>92</v>
      </c>
      <c r="AB54" s="82">
        <f t="shared" si="27"/>
        <v>68</v>
      </c>
      <c r="AC54" s="82">
        <f t="shared" si="27"/>
        <v>85</v>
      </c>
      <c r="AD54" s="82">
        <f t="shared" si="27"/>
        <v>63</v>
      </c>
      <c r="AE54" s="82">
        <f t="shared" si="27"/>
        <v>62</v>
      </c>
      <c r="AF54" s="82">
        <f t="shared" si="27"/>
        <v>49</v>
      </c>
      <c r="AG54" s="143">
        <f t="shared" si="26"/>
        <v>1466</v>
      </c>
    </row>
    <row r="55">
      <c r="A55" s="311" t="s">
        <v>416</v>
      </c>
      <c r="B55" s="82">
        <f t="shared" ref="B55:AF55" si="28">B17-B37</f>
        <v>80</v>
      </c>
      <c r="C55" s="82">
        <f t="shared" si="28"/>
        <v>51</v>
      </c>
      <c r="D55" s="82">
        <f t="shared" si="28"/>
        <v>36</v>
      </c>
      <c r="E55" s="82">
        <f t="shared" si="28"/>
        <v>33</v>
      </c>
      <c r="F55" s="82">
        <f t="shared" si="28"/>
        <v>35</v>
      </c>
      <c r="G55" s="82">
        <f t="shared" si="28"/>
        <v>41</v>
      </c>
      <c r="H55" s="82">
        <f t="shared" si="28"/>
        <v>49</v>
      </c>
      <c r="I55" s="82">
        <f t="shared" si="28"/>
        <v>34</v>
      </c>
      <c r="J55" s="82">
        <f t="shared" si="28"/>
        <v>26</v>
      </c>
      <c r="K55" s="82">
        <f t="shared" si="28"/>
        <v>25</v>
      </c>
      <c r="L55" s="82">
        <f t="shared" si="28"/>
        <v>20</v>
      </c>
      <c r="M55" s="82">
        <f t="shared" si="28"/>
        <v>12</v>
      </c>
      <c r="N55" s="82">
        <f t="shared" si="28"/>
        <v>19</v>
      </c>
      <c r="O55" s="82">
        <f t="shared" si="28"/>
        <v>28</v>
      </c>
      <c r="P55" s="82">
        <f t="shared" si="28"/>
        <v>22</v>
      </c>
      <c r="Q55" s="82">
        <f t="shared" si="28"/>
        <v>9</v>
      </c>
      <c r="R55" s="82">
        <f t="shared" si="28"/>
        <v>11</v>
      </c>
      <c r="S55" s="82">
        <f t="shared" si="28"/>
        <v>20</v>
      </c>
      <c r="T55" s="82">
        <f t="shared" si="28"/>
        <v>19</v>
      </c>
      <c r="U55" s="82">
        <f t="shared" si="28"/>
        <v>34</v>
      </c>
      <c r="V55" s="82">
        <f t="shared" si="28"/>
        <v>27</v>
      </c>
      <c r="W55" s="82">
        <f t="shared" si="28"/>
        <v>21</v>
      </c>
      <c r="X55" s="82">
        <f t="shared" si="28"/>
        <v>16</v>
      </c>
      <c r="Y55" s="82">
        <f t="shared" si="28"/>
        <v>15</v>
      </c>
      <c r="Z55" s="82">
        <f t="shared" si="28"/>
        <v>21</v>
      </c>
      <c r="AA55" s="82">
        <f t="shared" si="28"/>
        <v>24</v>
      </c>
      <c r="AB55" s="82">
        <f t="shared" si="28"/>
        <v>31</v>
      </c>
      <c r="AC55" s="82">
        <f t="shared" si="28"/>
        <v>28</v>
      </c>
      <c r="AD55" s="82">
        <f t="shared" si="28"/>
        <v>19</v>
      </c>
      <c r="AE55" s="82">
        <f t="shared" si="28"/>
        <v>21</v>
      </c>
      <c r="AF55" s="82">
        <f t="shared" si="28"/>
        <v>7</v>
      </c>
      <c r="AG55" s="143">
        <f t="shared" si="26"/>
        <v>834</v>
      </c>
    </row>
    <row r="56" outlineLevel="1">
      <c r="A56" s="311" t="s">
        <v>404</v>
      </c>
      <c r="B56" s="82">
        <f t="shared" ref="B56:AF56" si="29">B18-B38</f>
        <v>73</v>
      </c>
      <c r="C56" s="82">
        <f t="shared" si="29"/>
        <v>40</v>
      </c>
      <c r="D56" s="82">
        <f t="shared" si="29"/>
        <v>27</v>
      </c>
      <c r="E56" s="82">
        <f t="shared" si="29"/>
        <v>22</v>
      </c>
      <c r="F56" s="82">
        <f t="shared" si="29"/>
        <v>27</v>
      </c>
      <c r="G56" s="82">
        <f t="shared" si="29"/>
        <v>32</v>
      </c>
      <c r="H56" s="82">
        <f t="shared" si="29"/>
        <v>39</v>
      </c>
      <c r="I56" s="82">
        <f t="shared" si="29"/>
        <v>25</v>
      </c>
      <c r="J56" s="82">
        <f t="shared" si="29"/>
        <v>13</v>
      </c>
      <c r="K56" s="82">
        <f t="shared" si="29"/>
        <v>16</v>
      </c>
      <c r="L56" s="82">
        <f t="shared" si="29"/>
        <v>15</v>
      </c>
      <c r="M56" s="82">
        <f t="shared" si="29"/>
        <v>7</v>
      </c>
      <c r="N56" s="82">
        <f t="shared" si="29"/>
        <v>14</v>
      </c>
      <c r="O56" s="82">
        <f t="shared" si="29"/>
        <v>21</v>
      </c>
      <c r="P56" s="82">
        <f t="shared" si="29"/>
        <v>13</v>
      </c>
      <c r="Q56" s="82">
        <f t="shared" si="29"/>
        <v>5</v>
      </c>
      <c r="R56" s="82">
        <f t="shared" si="29"/>
        <v>8</v>
      </c>
      <c r="S56" s="82">
        <f t="shared" si="29"/>
        <v>8</v>
      </c>
      <c r="T56" s="82">
        <f t="shared" si="29"/>
        <v>9</v>
      </c>
      <c r="U56" s="82">
        <f t="shared" si="29"/>
        <v>19</v>
      </c>
      <c r="V56" s="82">
        <f t="shared" si="29"/>
        <v>19</v>
      </c>
      <c r="W56" s="82">
        <f t="shared" si="29"/>
        <v>14</v>
      </c>
      <c r="X56" s="82">
        <f t="shared" si="29"/>
        <v>9</v>
      </c>
      <c r="Y56" s="82">
        <f t="shared" si="29"/>
        <v>11</v>
      </c>
      <c r="Z56" s="82">
        <f t="shared" si="29"/>
        <v>3</v>
      </c>
      <c r="AA56" s="82">
        <f t="shared" si="29"/>
        <v>13</v>
      </c>
      <c r="AB56" s="82">
        <f t="shared" si="29"/>
        <v>16</v>
      </c>
      <c r="AC56" s="82">
        <f t="shared" si="29"/>
        <v>10</v>
      </c>
      <c r="AD56" s="82">
        <f t="shared" si="29"/>
        <v>4</v>
      </c>
      <c r="AE56" s="82">
        <f t="shared" si="29"/>
        <v>9</v>
      </c>
      <c r="AF56" s="82">
        <f t="shared" si="29"/>
        <v>3</v>
      </c>
      <c r="AG56" s="143">
        <f t="shared" si="26"/>
        <v>544</v>
      </c>
    </row>
    <row r="57" outlineLevel="1">
      <c r="A57" s="311" t="s">
        <v>405</v>
      </c>
      <c r="B57" s="82">
        <f t="shared" ref="B57:AF57" si="30">B19-B39</f>
        <v>7</v>
      </c>
      <c r="C57" s="82">
        <f t="shared" si="30"/>
        <v>11</v>
      </c>
      <c r="D57" s="82">
        <f t="shared" si="30"/>
        <v>9</v>
      </c>
      <c r="E57" s="82">
        <f t="shared" si="30"/>
        <v>11</v>
      </c>
      <c r="F57" s="82">
        <f t="shared" si="30"/>
        <v>8</v>
      </c>
      <c r="G57" s="82">
        <f t="shared" si="30"/>
        <v>9</v>
      </c>
      <c r="H57" s="82">
        <f t="shared" si="30"/>
        <v>10</v>
      </c>
      <c r="I57" s="82">
        <f t="shared" si="30"/>
        <v>9</v>
      </c>
      <c r="J57" s="82">
        <f t="shared" si="30"/>
        <v>13</v>
      </c>
      <c r="K57" s="82">
        <f t="shared" si="30"/>
        <v>9</v>
      </c>
      <c r="L57" s="82">
        <f t="shared" si="30"/>
        <v>5</v>
      </c>
      <c r="M57" s="82">
        <f t="shared" si="30"/>
        <v>5</v>
      </c>
      <c r="N57" s="82">
        <f t="shared" si="30"/>
        <v>5</v>
      </c>
      <c r="O57" s="82">
        <f t="shared" si="30"/>
        <v>7</v>
      </c>
      <c r="P57" s="82">
        <f t="shared" si="30"/>
        <v>9</v>
      </c>
      <c r="Q57" s="82">
        <f t="shared" si="30"/>
        <v>4</v>
      </c>
      <c r="R57" s="82">
        <f t="shared" si="30"/>
        <v>3</v>
      </c>
      <c r="S57" s="82">
        <f t="shared" si="30"/>
        <v>12</v>
      </c>
      <c r="T57" s="82">
        <f t="shared" si="30"/>
        <v>10</v>
      </c>
      <c r="U57" s="82">
        <f t="shared" si="30"/>
        <v>15</v>
      </c>
      <c r="V57" s="82">
        <f t="shared" si="30"/>
        <v>8</v>
      </c>
      <c r="W57" s="82">
        <f t="shared" si="30"/>
        <v>7</v>
      </c>
      <c r="X57" s="82">
        <f t="shared" si="30"/>
        <v>7</v>
      </c>
      <c r="Y57" s="82">
        <f t="shared" si="30"/>
        <v>4</v>
      </c>
      <c r="Z57" s="82">
        <f t="shared" si="30"/>
        <v>18</v>
      </c>
      <c r="AA57" s="82">
        <f t="shared" si="30"/>
        <v>11</v>
      </c>
      <c r="AB57" s="82">
        <f t="shared" si="30"/>
        <v>15</v>
      </c>
      <c r="AC57" s="82">
        <f t="shared" si="30"/>
        <v>18</v>
      </c>
      <c r="AD57" s="82">
        <f t="shared" si="30"/>
        <v>15</v>
      </c>
      <c r="AE57" s="82">
        <f t="shared" si="30"/>
        <v>12</v>
      </c>
      <c r="AF57" s="82">
        <f t="shared" si="30"/>
        <v>4</v>
      </c>
      <c r="AG57" s="143">
        <f t="shared" si="26"/>
        <v>290</v>
      </c>
    </row>
    <row r="58">
      <c r="A58" s="312" t="s">
        <v>113</v>
      </c>
      <c r="B58" s="314">
        <f t="shared" ref="B58:AF58" si="31">B52+B55</f>
        <v>496</v>
      </c>
      <c r="C58" s="314">
        <f t="shared" si="31"/>
        <v>293</v>
      </c>
      <c r="D58" s="314">
        <f t="shared" si="31"/>
        <v>242</v>
      </c>
      <c r="E58" s="314">
        <f t="shared" si="31"/>
        <v>217</v>
      </c>
      <c r="F58" s="314">
        <f t="shared" si="31"/>
        <v>243</v>
      </c>
      <c r="G58" s="314">
        <f t="shared" si="31"/>
        <v>306</v>
      </c>
      <c r="H58" s="314">
        <f t="shared" si="31"/>
        <v>308</v>
      </c>
      <c r="I58" s="314">
        <f t="shared" si="31"/>
        <v>197</v>
      </c>
      <c r="J58" s="314">
        <f t="shared" si="31"/>
        <v>154</v>
      </c>
      <c r="K58" s="314">
        <f t="shared" si="31"/>
        <v>132</v>
      </c>
      <c r="L58" s="314">
        <f t="shared" si="31"/>
        <v>110</v>
      </c>
      <c r="M58" s="314">
        <f t="shared" si="31"/>
        <v>109</v>
      </c>
      <c r="N58" s="314">
        <f t="shared" si="31"/>
        <v>145</v>
      </c>
      <c r="O58" s="314">
        <f t="shared" si="31"/>
        <v>186</v>
      </c>
      <c r="P58" s="314">
        <f t="shared" si="31"/>
        <v>110</v>
      </c>
      <c r="Q58" s="314">
        <f t="shared" si="31"/>
        <v>88</v>
      </c>
      <c r="R58" s="314">
        <f t="shared" si="31"/>
        <v>81</v>
      </c>
      <c r="S58" s="314">
        <f t="shared" si="31"/>
        <v>100</v>
      </c>
      <c r="T58" s="314">
        <f t="shared" si="31"/>
        <v>91</v>
      </c>
      <c r="U58" s="314">
        <f t="shared" si="31"/>
        <v>157</v>
      </c>
      <c r="V58" s="314">
        <f t="shared" si="31"/>
        <v>169</v>
      </c>
      <c r="W58" s="314">
        <f t="shared" si="31"/>
        <v>132</v>
      </c>
      <c r="X58" s="314">
        <f t="shared" si="31"/>
        <v>86</v>
      </c>
      <c r="Y58" s="314">
        <f t="shared" si="31"/>
        <v>107</v>
      </c>
      <c r="Z58" s="314">
        <f t="shared" si="31"/>
        <v>168</v>
      </c>
      <c r="AA58" s="314">
        <f t="shared" si="31"/>
        <v>158</v>
      </c>
      <c r="AB58" s="314">
        <f t="shared" si="31"/>
        <v>199</v>
      </c>
      <c r="AC58" s="314">
        <f t="shared" si="31"/>
        <v>216</v>
      </c>
      <c r="AD58" s="314">
        <f t="shared" si="31"/>
        <v>128</v>
      </c>
      <c r="AE58" s="314">
        <f t="shared" si="31"/>
        <v>119</v>
      </c>
      <c r="AF58" s="314">
        <f t="shared" si="31"/>
        <v>84</v>
      </c>
      <c r="AG58" s="143">
        <f t="shared" si="26"/>
        <v>5331</v>
      </c>
    </row>
    <row r="59">
      <c r="AG59" s="259"/>
    </row>
    <row r="60">
      <c r="A60" s="315"/>
      <c r="B60" s="315"/>
      <c r="C60" s="315"/>
      <c r="D60" s="315"/>
      <c r="E60" s="315"/>
      <c r="F60" s="315"/>
      <c r="G60" s="315"/>
      <c r="H60" s="315"/>
      <c r="I60" s="315"/>
      <c r="J60" s="315"/>
      <c r="K60" s="315"/>
      <c r="L60" s="315"/>
      <c r="M60" s="315"/>
      <c r="N60" s="315"/>
      <c r="O60" s="315"/>
      <c r="P60" s="315"/>
      <c r="Q60" s="315"/>
      <c r="R60" s="315"/>
      <c r="S60" s="315"/>
      <c r="T60" s="315"/>
      <c r="U60" s="315"/>
      <c r="V60" s="315"/>
      <c r="W60" s="315"/>
      <c r="X60" s="315"/>
      <c r="Y60" s="315"/>
      <c r="Z60" s="315"/>
      <c r="AA60" s="315"/>
      <c r="AB60" s="315"/>
      <c r="AC60" s="315"/>
      <c r="AD60" s="315"/>
      <c r="AE60" s="315"/>
      <c r="AF60" s="315"/>
      <c r="AG60" s="259"/>
    </row>
    <row r="61">
      <c r="A61" s="98"/>
      <c r="B61" s="82"/>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143"/>
    </row>
    <row r="62">
      <c r="A62" s="147" t="s">
        <v>418</v>
      </c>
      <c r="B62" s="82"/>
      <c r="C62" s="82"/>
      <c r="D62" s="82"/>
      <c r="E62" s="82"/>
      <c r="F62" s="82"/>
      <c r="G62" s="82"/>
      <c r="H62" s="82"/>
      <c r="I62" s="82"/>
      <c r="J62" s="82"/>
      <c r="K62" s="82"/>
      <c r="L62" s="82"/>
      <c r="M62" s="82"/>
      <c r="N62" s="82"/>
      <c r="O62" s="82"/>
      <c r="P62" s="82"/>
      <c r="Q62" s="82"/>
      <c r="R62" s="82"/>
      <c r="S62" s="82"/>
      <c r="T62" s="82"/>
      <c r="U62" s="82"/>
      <c r="V62" s="82"/>
      <c r="W62" s="82"/>
      <c r="X62" s="82"/>
      <c r="Y62" s="82"/>
      <c r="Z62" s="82"/>
      <c r="AA62" s="82"/>
      <c r="AB62" s="82"/>
      <c r="AC62" s="82"/>
      <c r="AD62" s="82"/>
      <c r="AE62" s="82"/>
      <c r="AF62" s="82"/>
      <c r="AG62" s="146"/>
    </row>
    <row r="63">
      <c r="A63" s="216" t="s">
        <v>419</v>
      </c>
      <c r="B63" s="158">
        <f t="shared" ref="B63:AF63" si="32">B5*0.3</f>
        <v>4250.967702</v>
      </c>
      <c r="C63" s="158">
        <f t="shared" si="32"/>
        <v>2516.079316</v>
      </c>
      <c r="D63" s="158">
        <f t="shared" si="32"/>
        <v>1952.259129</v>
      </c>
      <c r="E63" s="158">
        <f t="shared" si="32"/>
        <v>1898.045004</v>
      </c>
      <c r="F63" s="158">
        <f t="shared" si="32"/>
        <v>2233.109449</v>
      </c>
      <c r="G63" s="158">
        <f t="shared" si="32"/>
        <v>2848.34875</v>
      </c>
      <c r="H63" s="158">
        <f t="shared" si="32"/>
        <v>2603.697551</v>
      </c>
      <c r="I63" s="158">
        <f t="shared" si="32"/>
        <v>1771.429547</v>
      </c>
      <c r="J63" s="158">
        <f t="shared" si="32"/>
        <v>1298.55</v>
      </c>
      <c r="K63" s="158">
        <f t="shared" si="32"/>
        <v>1105.382825</v>
      </c>
      <c r="L63" s="158">
        <f t="shared" si="32"/>
        <v>807.3545196</v>
      </c>
      <c r="M63" s="158">
        <f t="shared" si="32"/>
        <v>1010.243157</v>
      </c>
      <c r="N63" s="158">
        <f t="shared" si="32"/>
        <v>1392.500961</v>
      </c>
      <c r="O63" s="158">
        <f t="shared" si="32"/>
        <v>1598.683242</v>
      </c>
      <c r="P63" s="158">
        <f t="shared" si="32"/>
        <v>808.161</v>
      </c>
      <c r="Q63" s="158">
        <f t="shared" si="32"/>
        <v>596.802</v>
      </c>
      <c r="R63" s="158">
        <f t="shared" si="32"/>
        <v>517.749</v>
      </c>
      <c r="S63" s="158">
        <f t="shared" si="32"/>
        <v>784.671</v>
      </c>
      <c r="T63" s="158">
        <f t="shared" si="32"/>
        <v>531.387</v>
      </c>
      <c r="U63" s="158">
        <f t="shared" si="32"/>
        <v>1293.486</v>
      </c>
      <c r="V63" s="158">
        <f t="shared" si="32"/>
        <v>1370.313</v>
      </c>
      <c r="W63" s="158">
        <f t="shared" si="32"/>
        <v>1016.235</v>
      </c>
      <c r="X63" s="158">
        <f t="shared" si="32"/>
        <v>560.49</v>
      </c>
      <c r="Y63" s="158">
        <f t="shared" si="32"/>
        <v>724.908</v>
      </c>
      <c r="Z63" s="158">
        <f t="shared" si="32"/>
        <v>762.633</v>
      </c>
      <c r="AA63" s="158">
        <f t="shared" si="32"/>
        <v>685.011</v>
      </c>
      <c r="AB63" s="158">
        <f t="shared" si="32"/>
        <v>1381.548</v>
      </c>
      <c r="AC63" s="158">
        <f t="shared" si="32"/>
        <v>1474.83</v>
      </c>
      <c r="AD63" s="158">
        <f t="shared" si="32"/>
        <v>658.308</v>
      </c>
      <c r="AE63" s="158">
        <f t="shared" si="32"/>
        <v>528.708</v>
      </c>
      <c r="AF63" s="158">
        <f t="shared" si="32"/>
        <v>427.329</v>
      </c>
      <c r="AG63" s="126">
        <f t="shared" ref="AG63:AG68" si="33">SUM(B63:AF63)</f>
        <v>41409.22015</v>
      </c>
    </row>
    <row r="64">
      <c r="A64" s="216" t="s">
        <v>420</v>
      </c>
      <c r="B64" s="158">
        <v>42.48</v>
      </c>
      <c r="C64" s="158">
        <v>48.33</v>
      </c>
      <c r="D64" s="158">
        <v>35.78</v>
      </c>
      <c r="E64" s="158">
        <v>23.04</v>
      </c>
      <c r="F64" s="158">
        <v>24.1</v>
      </c>
      <c r="G64" s="158">
        <v>27.5</v>
      </c>
      <c r="H64" s="158">
        <v>45.86</v>
      </c>
      <c r="I64" s="158">
        <v>24.71</v>
      </c>
      <c r="J64" s="158">
        <v>24.45</v>
      </c>
      <c r="K64" s="158">
        <v>9.53</v>
      </c>
      <c r="L64" s="158">
        <v>8.67</v>
      </c>
      <c r="M64" s="158">
        <v>30.89</v>
      </c>
      <c r="N64" s="158">
        <v>26.94</v>
      </c>
      <c r="O64" s="158">
        <v>28.67</v>
      </c>
      <c r="P64" s="158">
        <v>15.09</v>
      </c>
      <c r="Q64" s="316">
        <v>25.93</v>
      </c>
      <c r="R64" s="158">
        <v>9.3</v>
      </c>
      <c r="S64" s="158">
        <v>14.91</v>
      </c>
      <c r="T64" s="158">
        <v>11.16</v>
      </c>
      <c r="U64" s="316">
        <v>37.89</v>
      </c>
      <c r="V64" s="158">
        <v>19.75</v>
      </c>
      <c r="W64" s="158">
        <v>24.07</v>
      </c>
      <c r="X64" s="158">
        <v>0.0</v>
      </c>
      <c r="Y64" s="158">
        <v>9.62</v>
      </c>
      <c r="Z64" s="158">
        <v>18.21</v>
      </c>
      <c r="AA64" s="158">
        <v>13.06</v>
      </c>
      <c r="AB64" s="158">
        <v>26.09</v>
      </c>
      <c r="AC64" s="158">
        <v>32.77</v>
      </c>
      <c r="AD64" s="158">
        <v>7.23</v>
      </c>
      <c r="AE64" s="158">
        <v>5.58</v>
      </c>
      <c r="AF64" s="158">
        <v>11.04</v>
      </c>
      <c r="AG64" s="126">
        <f t="shared" si="33"/>
        <v>682.65</v>
      </c>
    </row>
    <row r="65">
      <c r="A65" s="216" t="s">
        <v>421</v>
      </c>
      <c r="B65" s="158">
        <f t="shared" ref="B65:AF65" si="34">B8*0.15</f>
        <v>490.8915</v>
      </c>
      <c r="C65" s="158">
        <f t="shared" si="34"/>
        <v>260.952</v>
      </c>
      <c r="D65" s="158">
        <f t="shared" si="34"/>
        <v>182.1765</v>
      </c>
      <c r="E65" s="158">
        <f t="shared" si="34"/>
        <v>164.925</v>
      </c>
      <c r="F65" s="158">
        <f t="shared" si="34"/>
        <v>206.1255</v>
      </c>
      <c r="G65" s="158">
        <f t="shared" si="34"/>
        <v>234.9045</v>
      </c>
      <c r="H65" s="158">
        <f t="shared" si="34"/>
        <v>258.9105</v>
      </c>
      <c r="I65" s="158">
        <f t="shared" si="34"/>
        <v>237.267</v>
      </c>
      <c r="J65" s="158">
        <f t="shared" si="34"/>
        <v>97.908</v>
      </c>
      <c r="K65" s="158">
        <f t="shared" si="34"/>
        <v>114.552</v>
      </c>
      <c r="L65" s="158">
        <f t="shared" si="34"/>
        <v>128.0145</v>
      </c>
      <c r="M65" s="158">
        <f t="shared" si="34"/>
        <v>52.0455</v>
      </c>
      <c r="N65" s="158">
        <f t="shared" si="34"/>
        <v>111.873</v>
      </c>
      <c r="O65" s="158">
        <f t="shared" si="34"/>
        <v>169.7985</v>
      </c>
      <c r="P65" s="158">
        <f t="shared" si="34"/>
        <v>96.237</v>
      </c>
      <c r="Q65" s="158">
        <f t="shared" si="34"/>
        <v>35.982</v>
      </c>
      <c r="R65" s="158">
        <f t="shared" si="34"/>
        <v>61.4145</v>
      </c>
      <c r="S65" s="158">
        <f t="shared" si="34"/>
        <v>73.2255</v>
      </c>
      <c r="T65" s="158">
        <f t="shared" si="34"/>
        <v>67.248</v>
      </c>
      <c r="U65" s="158">
        <f t="shared" si="34"/>
        <v>127.9425</v>
      </c>
      <c r="V65" s="158">
        <f t="shared" si="34"/>
        <v>108.156</v>
      </c>
      <c r="W65" s="158">
        <f t="shared" si="34"/>
        <v>109.122</v>
      </c>
      <c r="X65" s="158">
        <f t="shared" si="34"/>
        <v>72.7875</v>
      </c>
      <c r="Y65" s="158">
        <f t="shared" si="34"/>
        <v>78.027</v>
      </c>
      <c r="Z65" s="158">
        <f t="shared" si="34"/>
        <v>34.101</v>
      </c>
      <c r="AA65" s="158">
        <f t="shared" si="34"/>
        <v>88.3665</v>
      </c>
      <c r="AB65" s="158">
        <f t="shared" si="34"/>
        <v>117.2745</v>
      </c>
      <c r="AC65" s="158">
        <f t="shared" si="34"/>
        <v>89.8305</v>
      </c>
      <c r="AD65" s="158">
        <f t="shared" si="34"/>
        <v>44.394</v>
      </c>
      <c r="AE65" s="158">
        <f t="shared" si="34"/>
        <v>71.8605</v>
      </c>
      <c r="AF65" s="158">
        <f t="shared" si="34"/>
        <v>32.136</v>
      </c>
      <c r="AG65" s="126">
        <f t="shared" si="33"/>
        <v>4018.449</v>
      </c>
    </row>
    <row r="66">
      <c r="A66" s="216" t="s">
        <v>422</v>
      </c>
      <c r="B66" s="158">
        <v>16.32</v>
      </c>
      <c r="C66" s="158">
        <v>2.42</v>
      </c>
      <c r="D66" s="158">
        <v>1.62</v>
      </c>
      <c r="E66" s="158">
        <v>11.71</v>
      </c>
      <c r="F66" s="158">
        <v>7.0</v>
      </c>
      <c r="G66" s="158">
        <v>27.61</v>
      </c>
      <c r="H66" s="158">
        <v>28.23</v>
      </c>
      <c r="I66" s="158">
        <v>27.02</v>
      </c>
      <c r="J66" s="158">
        <v>29.35</v>
      </c>
      <c r="K66" s="158">
        <v>7.45</v>
      </c>
      <c r="L66" s="158">
        <v>6.09</v>
      </c>
      <c r="M66" s="158">
        <v>1.33</v>
      </c>
      <c r="N66" s="158">
        <v>17.94</v>
      </c>
      <c r="O66" s="158">
        <v>0.0</v>
      </c>
      <c r="P66" s="158">
        <v>25.77</v>
      </c>
      <c r="Q66" s="158">
        <v>0.57</v>
      </c>
      <c r="R66" s="158">
        <v>6.18</v>
      </c>
      <c r="S66" s="158">
        <v>1.94</v>
      </c>
      <c r="T66" s="158">
        <v>1.22</v>
      </c>
      <c r="U66" s="158">
        <v>6.15</v>
      </c>
      <c r="V66" s="158">
        <v>0.52</v>
      </c>
      <c r="W66" s="158">
        <v>0.0</v>
      </c>
      <c r="X66" s="158">
        <v>31.45</v>
      </c>
      <c r="Y66" s="158">
        <v>16.38</v>
      </c>
      <c r="Z66" s="158">
        <v>1.09</v>
      </c>
      <c r="AA66" s="158">
        <v>0.53</v>
      </c>
      <c r="AB66" s="158">
        <v>5.66</v>
      </c>
      <c r="AC66" s="158">
        <v>12.81</v>
      </c>
      <c r="AD66" s="158">
        <v>2.16</v>
      </c>
      <c r="AE66" s="158">
        <v>0.0</v>
      </c>
      <c r="AF66" s="158">
        <v>11.73</v>
      </c>
      <c r="AG66" s="126">
        <f t="shared" si="33"/>
        <v>308.25</v>
      </c>
    </row>
    <row r="67">
      <c r="A67" s="218" t="s">
        <v>423</v>
      </c>
      <c r="B67" s="317">
        <f t="shared" ref="B67:AF67" si="35">B63+B65</f>
        <v>4741.859202</v>
      </c>
      <c r="C67" s="317">
        <f t="shared" si="35"/>
        <v>2777.031316</v>
      </c>
      <c r="D67" s="317">
        <f t="shared" si="35"/>
        <v>2134.435629</v>
      </c>
      <c r="E67" s="317">
        <f t="shared" si="35"/>
        <v>2062.970004</v>
      </c>
      <c r="F67" s="317">
        <f t="shared" si="35"/>
        <v>2439.234949</v>
      </c>
      <c r="G67" s="317">
        <f t="shared" si="35"/>
        <v>3083.25325</v>
      </c>
      <c r="H67" s="317">
        <f t="shared" si="35"/>
        <v>2862.608051</v>
      </c>
      <c r="I67" s="317">
        <f t="shared" si="35"/>
        <v>2008.696547</v>
      </c>
      <c r="J67" s="317">
        <f t="shared" si="35"/>
        <v>1396.458</v>
      </c>
      <c r="K67" s="317">
        <f t="shared" si="35"/>
        <v>1219.934825</v>
      </c>
      <c r="L67" s="317">
        <f t="shared" si="35"/>
        <v>935.3690196</v>
      </c>
      <c r="M67" s="317">
        <f t="shared" si="35"/>
        <v>1062.288657</v>
      </c>
      <c r="N67" s="317">
        <f t="shared" si="35"/>
        <v>1504.373961</v>
      </c>
      <c r="O67" s="317">
        <f t="shared" si="35"/>
        <v>1768.481742</v>
      </c>
      <c r="P67" s="317">
        <f t="shared" si="35"/>
        <v>904.398</v>
      </c>
      <c r="Q67" s="317">
        <f t="shared" si="35"/>
        <v>632.784</v>
      </c>
      <c r="R67" s="317">
        <f t="shared" si="35"/>
        <v>579.1635</v>
      </c>
      <c r="S67" s="317">
        <f t="shared" si="35"/>
        <v>857.8965</v>
      </c>
      <c r="T67" s="317">
        <f t="shared" si="35"/>
        <v>598.635</v>
      </c>
      <c r="U67" s="317">
        <f t="shared" si="35"/>
        <v>1421.4285</v>
      </c>
      <c r="V67" s="317">
        <f t="shared" si="35"/>
        <v>1478.469</v>
      </c>
      <c r="W67" s="317">
        <f t="shared" si="35"/>
        <v>1125.357</v>
      </c>
      <c r="X67" s="317">
        <f t="shared" si="35"/>
        <v>633.2775</v>
      </c>
      <c r="Y67" s="317">
        <f t="shared" si="35"/>
        <v>802.935</v>
      </c>
      <c r="Z67" s="317">
        <f t="shared" si="35"/>
        <v>796.734</v>
      </c>
      <c r="AA67" s="317">
        <f t="shared" si="35"/>
        <v>773.3775</v>
      </c>
      <c r="AB67" s="317">
        <f t="shared" si="35"/>
        <v>1498.8225</v>
      </c>
      <c r="AC67" s="317">
        <f t="shared" si="35"/>
        <v>1564.6605</v>
      </c>
      <c r="AD67" s="317">
        <f t="shared" si="35"/>
        <v>702.702</v>
      </c>
      <c r="AE67" s="317">
        <f t="shared" si="35"/>
        <v>600.5685</v>
      </c>
      <c r="AF67" s="317">
        <f t="shared" si="35"/>
        <v>459.465</v>
      </c>
      <c r="AG67" s="126">
        <f t="shared" si="33"/>
        <v>45427.66915</v>
      </c>
    </row>
    <row r="68">
      <c r="A68" s="218" t="s">
        <v>424</v>
      </c>
      <c r="B68" s="317">
        <f t="shared" ref="B68:AF68" si="36">B64+B66</f>
        <v>58.8</v>
      </c>
      <c r="C68" s="317">
        <f t="shared" si="36"/>
        <v>50.75</v>
      </c>
      <c r="D68" s="317">
        <f t="shared" si="36"/>
        <v>37.4</v>
      </c>
      <c r="E68" s="317">
        <f t="shared" si="36"/>
        <v>34.75</v>
      </c>
      <c r="F68" s="317">
        <f t="shared" si="36"/>
        <v>31.1</v>
      </c>
      <c r="G68" s="317">
        <f t="shared" si="36"/>
        <v>55.11</v>
      </c>
      <c r="H68" s="317">
        <f t="shared" si="36"/>
        <v>74.09</v>
      </c>
      <c r="I68" s="317">
        <f t="shared" si="36"/>
        <v>51.73</v>
      </c>
      <c r="J68" s="317">
        <f t="shared" si="36"/>
        <v>53.8</v>
      </c>
      <c r="K68" s="317">
        <f t="shared" si="36"/>
        <v>16.98</v>
      </c>
      <c r="L68" s="317">
        <f t="shared" si="36"/>
        <v>14.76</v>
      </c>
      <c r="M68" s="317">
        <f t="shared" si="36"/>
        <v>32.22</v>
      </c>
      <c r="N68" s="317">
        <f t="shared" si="36"/>
        <v>44.88</v>
      </c>
      <c r="O68" s="317">
        <f t="shared" si="36"/>
        <v>28.67</v>
      </c>
      <c r="P68" s="317">
        <f t="shared" si="36"/>
        <v>40.86</v>
      </c>
      <c r="Q68" s="317">
        <f t="shared" si="36"/>
        <v>26.5</v>
      </c>
      <c r="R68" s="317">
        <f t="shared" si="36"/>
        <v>15.48</v>
      </c>
      <c r="S68" s="317">
        <f t="shared" si="36"/>
        <v>16.85</v>
      </c>
      <c r="T68" s="317">
        <f t="shared" si="36"/>
        <v>12.38</v>
      </c>
      <c r="U68" s="317">
        <f t="shared" si="36"/>
        <v>44.04</v>
      </c>
      <c r="V68" s="317">
        <f t="shared" si="36"/>
        <v>20.27</v>
      </c>
      <c r="W68" s="317">
        <f t="shared" si="36"/>
        <v>24.07</v>
      </c>
      <c r="X68" s="317">
        <f t="shared" si="36"/>
        <v>31.45</v>
      </c>
      <c r="Y68" s="317">
        <f t="shared" si="36"/>
        <v>26</v>
      </c>
      <c r="Z68" s="317">
        <f t="shared" si="36"/>
        <v>19.3</v>
      </c>
      <c r="AA68" s="317">
        <f t="shared" si="36"/>
        <v>13.59</v>
      </c>
      <c r="AB68" s="317">
        <f t="shared" si="36"/>
        <v>31.75</v>
      </c>
      <c r="AC68" s="317">
        <f t="shared" si="36"/>
        <v>45.58</v>
      </c>
      <c r="AD68" s="317">
        <f t="shared" si="36"/>
        <v>9.39</v>
      </c>
      <c r="AE68" s="317">
        <f t="shared" si="36"/>
        <v>5.58</v>
      </c>
      <c r="AF68" s="317">
        <f t="shared" si="36"/>
        <v>22.77</v>
      </c>
      <c r="AG68" s="126">
        <f t="shared" si="33"/>
        <v>990.9</v>
      </c>
    </row>
    <row r="69">
      <c r="A69" s="98"/>
      <c r="B69" s="82"/>
      <c r="C69" s="82"/>
      <c r="D69" s="82"/>
      <c r="E69" s="82"/>
      <c r="F69" s="82"/>
      <c r="G69" s="82"/>
      <c r="H69" s="82"/>
      <c r="I69" s="82"/>
      <c r="J69" s="82"/>
      <c r="K69" s="82"/>
      <c r="L69" s="82"/>
      <c r="M69" s="82"/>
      <c r="N69" s="82"/>
      <c r="O69" s="82"/>
      <c r="P69" s="82"/>
      <c r="Q69" s="82"/>
      <c r="R69" s="82"/>
      <c r="S69" s="82"/>
      <c r="T69" s="82"/>
      <c r="U69" s="82"/>
      <c r="V69" s="82"/>
      <c r="W69" s="82"/>
      <c r="X69" s="82"/>
      <c r="Y69" s="82"/>
      <c r="Z69" s="82"/>
      <c r="AA69" s="82"/>
      <c r="AB69" s="82"/>
      <c r="AC69" s="82"/>
      <c r="AD69" s="82"/>
      <c r="AE69" s="82"/>
      <c r="AF69" s="82"/>
      <c r="AG69" s="146"/>
    </row>
    <row r="70">
      <c r="A70" s="147" t="s">
        <v>425</v>
      </c>
      <c r="AG70" s="259"/>
    </row>
    <row r="71">
      <c r="A71" s="216" t="s">
        <v>55</v>
      </c>
      <c r="B71" s="158">
        <f>Summary!B87</f>
        <v>0</v>
      </c>
      <c r="C71" s="158">
        <f>Summary!C87</f>
        <v>0</v>
      </c>
      <c r="D71" s="158">
        <f>Summary!D87</f>
        <v>0</v>
      </c>
      <c r="E71" s="158">
        <f>Summary!E87</f>
        <v>0</v>
      </c>
      <c r="F71" s="158">
        <f>Summary!F87</f>
        <v>0</v>
      </c>
      <c r="G71" s="158">
        <f>Summary!G87</f>
        <v>0</v>
      </c>
      <c r="H71" s="158">
        <f>Summary!H87</f>
        <v>0</v>
      </c>
      <c r="I71" s="158">
        <f>Summary!I87</f>
        <v>0</v>
      </c>
      <c r="J71" s="158">
        <f>Summary!J87</f>
        <v>0</v>
      </c>
      <c r="K71" s="158">
        <f>Summary!K87</f>
        <v>0</v>
      </c>
      <c r="L71" s="158">
        <f>Summary!L87</f>
        <v>0</v>
      </c>
      <c r="M71" s="158">
        <f>Summary!M87</f>
        <v>0</v>
      </c>
      <c r="N71" s="158">
        <f>Summary!N87</f>
        <v>0</v>
      </c>
      <c r="O71" s="158">
        <f>Summary!O87</f>
        <v>0</v>
      </c>
      <c r="P71" s="158">
        <f>Summary!P87</f>
        <v>0</v>
      </c>
      <c r="Q71" s="158">
        <f>Summary!Q87</f>
        <v>0</v>
      </c>
      <c r="R71" s="158">
        <f>Summary!R87</f>
        <v>0</v>
      </c>
      <c r="S71" s="158">
        <f>Summary!S87</f>
        <v>0</v>
      </c>
      <c r="T71" s="158">
        <f>Summary!T87</f>
        <v>0</v>
      </c>
      <c r="U71" s="158">
        <f>Summary!U87</f>
        <v>0</v>
      </c>
      <c r="V71" s="158">
        <f>Summary!V87</f>
        <v>0</v>
      </c>
      <c r="W71" s="158">
        <f>Summary!W87</f>
        <v>0</v>
      </c>
      <c r="X71" s="158">
        <f>Summary!X87</f>
        <v>0</v>
      </c>
      <c r="Y71" s="158">
        <f>Summary!Y87</f>
        <v>0</v>
      </c>
      <c r="Z71" s="158">
        <f>Summary!Z87</f>
        <v>0</v>
      </c>
      <c r="AA71" s="158">
        <f>Summary!AA87</f>
        <v>0</v>
      </c>
      <c r="AB71" s="158">
        <f>Summary!AB87</f>
        <v>0</v>
      </c>
      <c r="AC71" s="158">
        <f>Summary!AC87</f>
        <v>0</v>
      </c>
      <c r="AD71" s="158">
        <f>Summary!AD87</f>
        <v>0</v>
      </c>
      <c r="AE71" s="158">
        <f>Summary!AE87</f>
        <v>129.216031</v>
      </c>
      <c r="AF71" s="158">
        <f>Summary!AF87</f>
        <v>295.321611</v>
      </c>
      <c r="AG71" s="259"/>
    </row>
    <row r="72">
      <c r="A72" s="216" t="s">
        <v>68</v>
      </c>
      <c r="B72" s="158">
        <f>Summary!B88</f>
        <v>100.26</v>
      </c>
      <c r="C72" s="158">
        <f>Summary!C88</f>
        <v>99.48</v>
      </c>
      <c r="D72" s="158">
        <f>Summary!D88</f>
        <v>98.52</v>
      </c>
      <c r="E72" s="158">
        <f>Summary!E88</f>
        <v>95.87</v>
      </c>
      <c r="F72" s="158">
        <f>Summary!F88</f>
        <v>98.06</v>
      </c>
      <c r="G72" s="158">
        <f>Summary!G88</f>
        <v>98.72</v>
      </c>
      <c r="H72" s="158">
        <f>Summary!H88</f>
        <v>99.07</v>
      </c>
      <c r="I72" s="158">
        <f>Summary!I88</f>
        <v>84.79</v>
      </c>
      <c r="J72" s="158">
        <f>Summary!J88</f>
        <v>36.01</v>
      </c>
      <c r="K72" s="158">
        <f>Summary!K88</f>
        <v>19.22</v>
      </c>
      <c r="L72" s="158">
        <f>Summary!L88</f>
        <v>55.87</v>
      </c>
      <c r="M72" s="158">
        <f>Summary!M88</f>
        <v>28.3</v>
      </c>
      <c r="N72" s="158">
        <f>Summary!N88</f>
        <v>45.02</v>
      </c>
      <c r="O72" s="158">
        <f>Summary!O88</f>
        <v>55.87</v>
      </c>
      <c r="P72" s="158">
        <f>Summary!P88</f>
        <v>39.8</v>
      </c>
      <c r="Q72" s="158">
        <f>Summary!Q88</f>
        <v>38.97</v>
      </c>
      <c r="R72" s="158">
        <f>Summary!R88</f>
        <v>19.95</v>
      </c>
      <c r="S72" s="158">
        <f>Summary!S88</f>
        <v>18.16</v>
      </c>
      <c r="T72" s="158">
        <f>Summary!T88</f>
        <v>30.52</v>
      </c>
      <c r="U72" s="158">
        <f>Summary!U88</f>
        <v>42.99</v>
      </c>
      <c r="V72" s="158">
        <f>Summary!V88</f>
        <v>51.25</v>
      </c>
      <c r="W72" s="158">
        <f>Summary!W88</f>
        <v>44.38</v>
      </c>
      <c r="X72" s="158">
        <f>Summary!X88</f>
        <v>25.55</v>
      </c>
      <c r="Y72" s="158">
        <f>Summary!Y88</f>
        <v>20.45</v>
      </c>
      <c r="Z72" s="158">
        <f>Summary!Z88</f>
        <v>52.01</v>
      </c>
      <c r="AA72" s="158">
        <f>Summary!AA88</f>
        <v>47.22</v>
      </c>
      <c r="AB72" s="158">
        <f>Summary!AB88</f>
        <v>55.62</v>
      </c>
      <c r="AC72" s="158">
        <f>Summary!AC88</f>
        <v>42.55</v>
      </c>
      <c r="AD72" s="158">
        <f>Summary!AD88</f>
        <v>45.98</v>
      </c>
      <c r="AE72" s="158">
        <f>Summary!AE88</f>
        <v>36.18</v>
      </c>
      <c r="AF72" s="158">
        <f>Summary!AF88</f>
        <v>54.55</v>
      </c>
      <c r="AG72" s="259"/>
    </row>
    <row r="73">
      <c r="A73" s="216" t="s">
        <v>56</v>
      </c>
      <c r="B73" s="158">
        <f>Summary!B89</f>
        <v>0</v>
      </c>
      <c r="C73" s="158">
        <f>Summary!C89</f>
        <v>0</v>
      </c>
      <c r="D73" s="158">
        <f>Summary!D89</f>
        <v>0</v>
      </c>
      <c r="E73" s="158">
        <f>Summary!E89</f>
        <v>0</v>
      </c>
      <c r="F73" s="158">
        <f>Summary!F89</f>
        <v>0</v>
      </c>
      <c r="G73" s="158">
        <f>Summary!G89</f>
        <v>0</v>
      </c>
      <c r="H73" s="158">
        <f>Summary!H89</f>
        <v>0</v>
      </c>
      <c r="I73" s="158">
        <f>Summary!I89</f>
        <v>0</v>
      </c>
      <c r="J73" s="158">
        <f>Summary!J89</f>
        <v>0</v>
      </c>
      <c r="K73" s="158">
        <f>Summary!K89</f>
        <v>0</v>
      </c>
      <c r="L73" s="158">
        <f>Summary!L89</f>
        <v>0</v>
      </c>
      <c r="M73" s="158">
        <f>Summary!M89</f>
        <v>0</v>
      </c>
      <c r="N73" s="158">
        <f>Summary!N89</f>
        <v>0</v>
      </c>
      <c r="O73" s="158">
        <f>Summary!O89</f>
        <v>0</v>
      </c>
      <c r="P73" s="158">
        <f>Summary!P89</f>
        <v>0</v>
      </c>
      <c r="Q73" s="158">
        <f>Summary!Q89</f>
        <v>0</v>
      </c>
      <c r="R73" s="158">
        <f>Summary!R89</f>
        <v>0</v>
      </c>
      <c r="S73" s="158">
        <f>Summary!S89</f>
        <v>0</v>
      </c>
      <c r="T73" s="158">
        <f>Summary!T89</f>
        <v>0</v>
      </c>
      <c r="U73" s="158">
        <f>Summary!U89</f>
        <v>0</v>
      </c>
      <c r="V73" s="158">
        <f>Summary!V89</f>
        <v>0</v>
      </c>
      <c r="W73" s="158">
        <f>Summary!W89</f>
        <v>0</v>
      </c>
      <c r="X73" s="158">
        <f>Summary!X89</f>
        <v>0</v>
      </c>
      <c r="Y73" s="158">
        <f>Summary!Y89</f>
        <v>0</v>
      </c>
      <c r="Z73" s="158">
        <f>Summary!Z89</f>
        <v>0</v>
      </c>
      <c r="AA73" s="158">
        <f>Summary!AA89</f>
        <v>0</v>
      </c>
      <c r="AB73" s="158">
        <f>Summary!AB89</f>
        <v>0</v>
      </c>
      <c r="AC73" s="158">
        <f>Summary!AC89</f>
        <v>0</v>
      </c>
      <c r="AD73" s="158">
        <f>Summary!AD89</f>
        <v>0</v>
      </c>
      <c r="AE73" s="158">
        <f>Summary!AE89</f>
        <v>0</v>
      </c>
      <c r="AF73" s="158">
        <f>Summary!AF89</f>
        <v>0</v>
      </c>
      <c r="AG73" s="259"/>
    </row>
    <row r="74">
      <c r="A74" s="318" t="s">
        <v>113</v>
      </c>
      <c r="B74" s="319">
        <f t="shared" ref="B74:AF74" si="37">SUM(B71:B73)</f>
        <v>100.26</v>
      </c>
      <c r="C74" s="319">
        <f t="shared" si="37"/>
        <v>99.48</v>
      </c>
      <c r="D74" s="319">
        <f t="shared" si="37"/>
        <v>98.52</v>
      </c>
      <c r="E74" s="319">
        <f t="shared" si="37"/>
        <v>95.87</v>
      </c>
      <c r="F74" s="319">
        <f t="shared" si="37"/>
        <v>98.06</v>
      </c>
      <c r="G74" s="319">
        <f t="shared" si="37"/>
        <v>98.72</v>
      </c>
      <c r="H74" s="319">
        <f t="shared" si="37"/>
        <v>99.07</v>
      </c>
      <c r="I74" s="319">
        <f t="shared" si="37"/>
        <v>84.79</v>
      </c>
      <c r="J74" s="319">
        <f t="shared" si="37"/>
        <v>36.01</v>
      </c>
      <c r="K74" s="319">
        <f t="shared" si="37"/>
        <v>19.22</v>
      </c>
      <c r="L74" s="319">
        <f t="shared" si="37"/>
        <v>55.87</v>
      </c>
      <c r="M74" s="319">
        <f t="shared" si="37"/>
        <v>28.3</v>
      </c>
      <c r="N74" s="319">
        <f t="shared" si="37"/>
        <v>45.02</v>
      </c>
      <c r="O74" s="319">
        <f t="shared" si="37"/>
        <v>55.87</v>
      </c>
      <c r="P74" s="319">
        <f t="shared" si="37"/>
        <v>39.8</v>
      </c>
      <c r="Q74" s="319">
        <f t="shared" si="37"/>
        <v>38.97</v>
      </c>
      <c r="R74" s="319">
        <f t="shared" si="37"/>
        <v>19.95</v>
      </c>
      <c r="S74" s="319">
        <f t="shared" si="37"/>
        <v>18.16</v>
      </c>
      <c r="T74" s="319">
        <f t="shared" si="37"/>
        <v>30.52</v>
      </c>
      <c r="U74" s="319">
        <f t="shared" si="37"/>
        <v>42.99</v>
      </c>
      <c r="V74" s="319">
        <f t="shared" si="37"/>
        <v>51.25</v>
      </c>
      <c r="W74" s="319">
        <f t="shared" si="37"/>
        <v>44.38</v>
      </c>
      <c r="X74" s="319">
        <f t="shared" si="37"/>
        <v>25.55</v>
      </c>
      <c r="Y74" s="319">
        <f t="shared" si="37"/>
        <v>20.45</v>
      </c>
      <c r="Z74" s="319">
        <f t="shared" si="37"/>
        <v>52.01</v>
      </c>
      <c r="AA74" s="319">
        <f t="shared" si="37"/>
        <v>47.22</v>
      </c>
      <c r="AB74" s="319">
        <f t="shared" si="37"/>
        <v>55.62</v>
      </c>
      <c r="AC74" s="319">
        <f t="shared" si="37"/>
        <v>42.55</v>
      </c>
      <c r="AD74" s="319">
        <f t="shared" si="37"/>
        <v>45.98</v>
      </c>
      <c r="AE74" s="319">
        <f t="shared" si="37"/>
        <v>165.396031</v>
      </c>
      <c r="AF74" s="319">
        <f t="shared" si="37"/>
        <v>349.871611</v>
      </c>
      <c r="AG74" s="320"/>
    </row>
    <row r="75">
      <c r="AG75" s="259"/>
    </row>
    <row r="76">
      <c r="A76" s="147" t="s">
        <v>426</v>
      </c>
      <c r="B76" s="165"/>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143"/>
    </row>
    <row r="77">
      <c r="A77" s="311" t="s">
        <v>427</v>
      </c>
      <c r="B77" s="321">
        <f>B43-B63-B64-B72-(B71*'Data - P&amp;L'!$I$24)</f>
        <v>9716.454638</v>
      </c>
      <c r="C77" s="321">
        <f>C43-C63-C64-C72-(C71*'Data - P&amp;L'!$I$24)</f>
        <v>5663.051737</v>
      </c>
      <c r="D77" s="321">
        <f>D43-D63-D64-D72-(D71*'Data - P&amp;L'!$I$24)</f>
        <v>4211.071301</v>
      </c>
      <c r="E77" s="321">
        <f>E43-E63-E64-E72-(E71*'Data - P&amp;L'!$I$24)</f>
        <v>4249.881677</v>
      </c>
      <c r="F77" s="321">
        <f>F43-F63-F64-F72-(F71*'Data - P&amp;L'!$I$24)</f>
        <v>4998.448713</v>
      </c>
      <c r="G77" s="321">
        <f>G43-G63-G64-G72-(G71*'Data - P&amp;L'!$I$24)</f>
        <v>6419.287084</v>
      </c>
      <c r="H77" s="321">
        <f>H43-H63-H64-H72-(H71*'Data - P&amp;L'!$I$24)</f>
        <v>5820.714287</v>
      </c>
      <c r="I77" s="321">
        <f>I43-I63-I64-I72-(I71*'Data - P&amp;L'!$I$24)</f>
        <v>4023.83561</v>
      </c>
      <c r="J77" s="321">
        <f>J43-J63-J64-J72-(J71*'Data - P&amp;L'!$I$24)</f>
        <v>2816.25</v>
      </c>
      <c r="K77" s="321">
        <f>K43-K63-K64-K72-(K71*'Data - P&amp;L'!$I$24)</f>
        <v>2460.506591</v>
      </c>
      <c r="L77" s="321">
        <f>L43-L63-L64-L72-(L71*'Data - P&amp;L'!$I$24)</f>
        <v>1759.307212</v>
      </c>
      <c r="M77" s="321">
        <f>M43-M63-M64-M72-(M71*'Data - P&amp;L'!$I$24)</f>
        <v>2262.524032</v>
      </c>
      <c r="N77" s="321">
        <f>N43-N63-N64-N72-(N71*'Data - P&amp;L'!$I$24)</f>
        <v>3112.588908</v>
      </c>
      <c r="O77" s="321">
        <f>O43-O63-O64-O72-(O71*'Data - P&amp;L'!$I$24)</f>
        <v>3524.720899</v>
      </c>
      <c r="P77" s="321">
        <f>P43-P63-P64-P72-(P71*'Data - P&amp;L'!$I$24)</f>
        <v>1741.499</v>
      </c>
      <c r="Q77" s="321">
        <f>Q43-Q63-Q64-Q72-(Q71*'Data - P&amp;L'!$I$24)</f>
        <v>1137.559</v>
      </c>
      <c r="R77" s="321">
        <f>R43-R63-R64-R72-(R71*'Data - P&amp;L'!$I$24)</f>
        <v>1148.841</v>
      </c>
      <c r="S77" s="321">
        <f>S43-S63-S64-S72-(S71*'Data - P&amp;L'!$I$24)</f>
        <v>1736.289</v>
      </c>
      <c r="T77" s="321">
        <f>T43-T63-T64-T72-(T71*'Data - P&amp;L'!$I$24)</f>
        <v>1193.583</v>
      </c>
      <c r="U77" s="321">
        <f>U43-U63-U64-U72-(U71*'Data - P&amp;L'!$I$24)</f>
        <v>2936.284</v>
      </c>
      <c r="V77" s="321">
        <f>V43-V63-V64-V72-(V71*'Data - P&amp;L'!$I$24)</f>
        <v>3096.407</v>
      </c>
      <c r="W77" s="321">
        <f>W43-W63-W64-W72-(W71*'Data - P&amp;L'!$I$24)</f>
        <v>2302.765</v>
      </c>
      <c r="X77" s="321">
        <f>X43-X63-X64-X72-(X71*'Data - P&amp;L'!$I$24)</f>
        <v>1246.28</v>
      </c>
      <c r="Y77" s="321">
        <f>Y43-Y63-Y64-Y72-(Y71*'Data - P&amp;L'!$I$24)</f>
        <v>1661.382</v>
      </c>
      <c r="Z77" s="321">
        <f>Z43-Z63-Z64-Z72-(Z71*'Data - P&amp;L'!$I$24)</f>
        <v>1709.257</v>
      </c>
      <c r="AA77" s="321">
        <f>AA43-AA63-AA64-AA72-(AA71*'Data - P&amp;L'!$I$24)</f>
        <v>1418.099</v>
      </c>
      <c r="AB77" s="321">
        <f>AB43-AB63-AB64-AB72-(AB71*'Data - P&amp;L'!$I$24)</f>
        <v>3083.452</v>
      </c>
      <c r="AC77" s="321">
        <f>AC43-AC63-AC64-AC72-(AC71*'Data - P&amp;L'!$I$24)</f>
        <v>3355.87</v>
      </c>
      <c r="AD77" s="321">
        <f>AD43-AD63-AD64-AD72-(AD71*'Data - P&amp;L'!$I$24)</f>
        <v>1476.852</v>
      </c>
      <c r="AE77" s="321">
        <f>AE43-AE63-AE64-AE72-(AE71*'Data - P&amp;L'!$I$24)</f>
        <v>1085.239175</v>
      </c>
      <c r="AF77" s="321">
        <f>AF43-AF63-AF64-AF72-(AF71*'Data - P&amp;L'!$I$24)</f>
        <v>695.2537112</v>
      </c>
      <c r="AG77" s="114">
        <f t="shared" ref="AG77:AG79" si="38">sum(B77:AF77)</f>
        <v>92063.55458</v>
      </c>
    </row>
    <row r="78">
      <c r="A78" s="311" t="s">
        <v>428</v>
      </c>
      <c r="B78" s="321">
        <f>B46-B65-B66-B73-(B71*'Data - P&amp;L'!$I$25)</f>
        <v>2765.3985</v>
      </c>
      <c r="C78" s="321">
        <f>C46-C65-C66-C73-(C71*'Data - P&amp;L'!$I$25)</f>
        <v>1476.308</v>
      </c>
      <c r="D78" s="321">
        <f>D46-D65-D66-D73-(D71*'Data - P&amp;L'!$I$25)</f>
        <v>1030.7135</v>
      </c>
      <c r="E78" s="321">
        <f>E46-E65-E66-E73-(E71*'Data - P&amp;L'!$I$25)</f>
        <v>892.875</v>
      </c>
      <c r="F78" s="321">
        <f>F46-F65-F66-F73-(F71*'Data - P&amp;L'!$I$25)</f>
        <v>1161.0445</v>
      </c>
      <c r="G78" s="321">
        <f>G46-G65-G66-G73-(G71*'Data - P&amp;L'!$I$25)</f>
        <v>1303.5155</v>
      </c>
      <c r="H78" s="321">
        <f>H46-H65-H66-H73-(H71*'Data - P&amp;L'!$I$25)</f>
        <v>1438.9295</v>
      </c>
      <c r="I78" s="321">
        <f>I46-I65-I66-I73-(I71*'Data - P&amp;L'!$I$25)</f>
        <v>1317.493</v>
      </c>
      <c r="J78" s="321">
        <f>J46-J65-J66-J73-(J71*'Data - P&amp;L'!$I$25)</f>
        <v>525.462</v>
      </c>
      <c r="K78" s="321">
        <f>K46-K65-K66-K73-(K71*'Data - P&amp;L'!$I$25)</f>
        <v>641.678</v>
      </c>
      <c r="L78" s="321">
        <f>L46-L65-L66-L73-(L71*'Data - P&amp;L'!$I$25)</f>
        <v>719.3255</v>
      </c>
      <c r="M78" s="321">
        <f>M46-M65-M66-M73-(M71*'Data - P&amp;L'!$I$25)</f>
        <v>250.8945</v>
      </c>
      <c r="N78" s="321">
        <f>N46-N65-N66-N73-(N71*'Data - P&amp;L'!$I$25)</f>
        <v>616.007</v>
      </c>
      <c r="O78" s="321">
        <f>O46-O65-O66-O73-(O71*'Data - P&amp;L'!$I$25)</f>
        <v>926.6715</v>
      </c>
      <c r="P78" s="321">
        <f>P46-P65-P66-P73-(P71*'Data - P&amp;L'!$I$25)</f>
        <v>519.573</v>
      </c>
      <c r="Q78" s="321">
        <f>Q46-Q65-Q66-Q73-(Q71*'Data - P&amp;L'!$I$25)</f>
        <v>138.538</v>
      </c>
      <c r="R78" s="321">
        <f>R46-R65-R66-R73-(R71*'Data - P&amp;L'!$I$25)</f>
        <v>341.8355</v>
      </c>
      <c r="S78" s="321">
        <f>S46-S65-S66-S73-(S71*'Data - P&amp;L'!$I$25)</f>
        <v>413.0045</v>
      </c>
      <c r="T78" s="321">
        <f>T46-T65-T66-T73-(T71*'Data - P&amp;L'!$I$25)</f>
        <v>379.852</v>
      </c>
      <c r="U78" s="321">
        <f>U46-U65-U66-U73-(U71*'Data - P&amp;L'!$I$25)</f>
        <v>718.8575</v>
      </c>
      <c r="V78" s="321">
        <f>V46-V65-V66-V73-(V71*'Data - P&amp;L'!$I$25)</f>
        <v>612.364</v>
      </c>
      <c r="W78" s="321">
        <f>W46-W65-W66-W73-(W71*'Data - P&amp;L'!$I$25)</f>
        <v>618.358</v>
      </c>
      <c r="X78" s="321">
        <f>X46-X65-X66-X73-(X71*'Data - P&amp;L'!$I$25)</f>
        <v>381.0125</v>
      </c>
      <c r="Y78" s="321">
        <f>Y46-Y65-Y66-Y73-(Y71*'Data - P&amp;L'!$I$25)</f>
        <v>425.773</v>
      </c>
      <c r="Z78" s="321">
        <f>Z46-Z65-Z66-Z73-(Z71*'Data - P&amp;L'!$I$25)</f>
        <v>192.149</v>
      </c>
      <c r="AA78" s="321">
        <f>AA46-AA65-AA66-AA73-(AA71*'Data - P&amp;L'!$I$25)</f>
        <v>500.2135</v>
      </c>
      <c r="AB78" s="321">
        <f>AB46-AB65-AB66-AB73-(AB71*'Data - P&amp;L'!$I$25)</f>
        <v>658.8955</v>
      </c>
      <c r="AC78" s="321">
        <f>AC46-AC65-AC66-AC73-(AC71*'Data - P&amp;L'!$I$25)</f>
        <v>496.2295</v>
      </c>
      <c r="AD78" s="321">
        <f>AD46-AD65-AD66-AD73-(AD71*'Data - P&amp;L'!$I$25)</f>
        <v>249.406</v>
      </c>
      <c r="AE78" s="321">
        <f>AE46-AE65-AE66-AE73-(AE71*'Data - P&amp;L'!$I$25)</f>
        <v>381.3662938</v>
      </c>
      <c r="AF78" s="321">
        <f>AF46-AF65-AF66-AF73-(AF71*'Data - P&amp;L'!$I$25)</f>
        <v>111.3096778</v>
      </c>
      <c r="AG78" s="114">
        <f t="shared" si="38"/>
        <v>22205.05347</v>
      </c>
    </row>
    <row r="79">
      <c r="A79" s="322" t="s">
        <v>429</v>
      </c>
      <c r="B79" s="323">
        <f t="shared" ref="B79:AF79" si="39">sum(B77:B78)</f>
        <v>12481.85314</v>
      </c>
      <c r="C79" s="323">
        <f t="shared" si="39"/>
        <v>7139.359737</v>
      </c>
      <c r="D79" s="323">
        <f t="shared" si="39"/>
        <v>5241.784801</v>
      </c>
      <c r="E79" s="323">
        <f t="shared" si="39"/>
        <v>5142.756677</v>
      </c>
      <c r="F79" s="323">
        <f t="shared" si="39"/>
        <v>6159.493213</v>
      </c>
      <c r="G79" s="323">
        <f t="shared" si="39"/>
        <v>7722.802584</v>
      </c>
      <c r="H79" s="323">
        <f t="shared" si="39"/>
        <v>7259.643787</v>
      </c>
      <c r="I79" s="323">
        <f t="shared" si="39"/>
        <v>5341.32861</v>
      </c>
      <c r="J79" s="323">
        <f t="shared" si="39"/>
        <v>3341.712</v>
      </c>
      <c r="K79" s="323">
        <f t="shared" si="39"/>
        <v>3102.184591</v>
      </c>
      <c r="L79" s="323">
        <f t="shared" si="39"/>
        <v>2478.632712</v>
      </c>
      <c r="M79" s="323">
        <f t="shared" si="39"/>
        <v>2513.418532</v>
      </c>
      <c r="N79" s="323">
        <f t="shared" si="39"/>
        <v>3728.595908</v>
      </c>
      <c r="O79" s="323">
        <f t="shared" si="39"/>
        <v>4451.392399</v>
      </c>
      <c r="P79" s="323">
        <f t="shared" si="39"/>
        <v>2261.072</v>
      </c>
      <c r="Q79" s="323">
        <f t="shared" si="39"/>
        <v>1276.097</v>
      </c>
      <c r="R79" s="323">
        <f t="shared" si="39"/>
        <v>1490.6765</v>
      </c>
      <c r="S79" s="323">
        <f t="shared" si="39"/>
        <v>2149.2935</v>
      </c>
      <c r="T79" s="323">
        <f t="shared" si="39"/>
        <v>1573.435</v>
      </c>
      <c r="U79" s="323">
        <f t="shared" si="39"/>
        <v>3655.1415</v>
      </c>
      <c r="V79" s="323">
        <f t="shared" si="39"/>
        <v>3708.771</v>
      </c>
      <c r="W79" s="323">
        <f t="shared" si="39"/>
        <v>2921.123</v>
      </c>
      <c r="X79" s="323">
        <f t="shared" si="39"/>
        <v>1627.2925</v>
      </c>
      <c r="Y79" s="323">
        <f t="shared" si="39"/>
        <v>2087.155</v>
      </c>
      <c r="Z79" s="323">
        <f t="shared" si="39"/>
        <v>1901.406</v>
      </c>
      <c r="AA79" s="323">
        <f t="shared" si="39"/>
        <v>1918.3125</v>
      </c>
      <c r="AB79" s="323">
        <f t="shared" si="39"/>
        <v>3742.3475</v>
      </c>
      <c r="AC79" s="323">
        <f t="shared" si="39"/>
        <v>3852.0995</v>
      </c>
      <c r="AD79" s="323">
        <f t="shared" si="39"/>
        <v>1726.258</v>
      </c>
      <c r="AE79" s="323">
        <f t="shared" si="39"/>
        <v>1466.605469</v>
      </c>
      <c r="AF79" s="323">
        <f t="shared" si="39"/>
        <v>806.563389</v>
      </c>
      <c r="AG79" s="114">
        <f t="shared" si="38"/>
        <v>114268.608</v>
      </c>
    </row>
    <row r="80">
      <c r="A80" s="98"/>
      <c r="B80" s="171"/>
      <c r="C80" s="171"/>
      <c r="D80" s="171"/>
      <c r="E80" s="171"/>
      <c r="F80" s="171"/>
      <c r="G80" s="171"/>
      <c r="H80" s="171"/>
      <c r="I80" s="171"/>
      <c r="J80" s="82"/>
      <c r="K80" s="82"/>
      <c r="L80" s="82"/>
      <c r="M80" s="82"/>
      <c r="N80" s="82"/>
      <c r="O80" s="82"/>
      <c r="P80" s="82"/>
      <c r="Q80" s="82"/>
      <c r="R80" s="82"/>
      <c r="S80" s="82"/>
      <c r="T80" s="82"/>
      <c r="U80" s="82"/>
      <c r="V80" s="82"/>
      <c r="W80" s="82"/>
      <c r="X80" s="82"/>
      <c r="Y80" s="82"/>
      <c r="Z80" s="82"/>
      <c r="AA80" s="82"/>
      <c r="AB80" s="82"/>
      <c r="AC80" s="82"/>
      <c r="AD80" s="82"/>
      <c r="AE80" s="82"/>
      <c r="AF80" s="82"/>
      <c r="AG80" s="172"/>
    </row>
    <row r="81">
      <c r="AG81" s="259"/>
    </row>
    <row r="82">
      <c r="A82" s="280" t="s">
        <v>346</v>
      </c>
      <c r="AG82" s="259"/>
    </row>
    <row r="83">
      <c r="A83" s="265">
        <f>SUM(B11:AF11)</f>
        <v>164820.3938</v>
      </c>
      <c r="AG83" s="259"/>
    </row>
    <row r="84">
      <c r="A84" s="264" t="s">
        <v>347</v>
      </c>
      <c r="AG84" s="259"/>
    </row>
    <row r="85">
      <c r="A85" s="265">
        <f>SUM(B79:AF79)</f>
        <v>114268.608</v>
      </c>
      <c r="AG85" s="259"/>
    </row>
    <row r="86">
      <c r="A86" s="264" t="s">
        <v>348</v>
      </c>
      <c r="AG86" s="259"/>
    </row>
    <row r="87">
      <c r="A87" s="267">
        <f>A85/A83</f>
        <v>0.6932916818</v>
      </c>
      <c r="AG87" s="259"/>
    </row>
    <row r="88">
      <c r="AG88" s="259"/>
    </row>
    <row r="89">
      <c r="A89" s="324" t="s">
        <v>430</v>
      </c>
      <c r="B89" s="325"/>
      <c r="C89" s="325"/>
      <c r="D89" s="325"/>
      <c r="E89" s="325"/>
      <c r="F89" s="325"/>
      <c r="G89" s="325"/>
      <c r="H89" s="325"/>
      <c r="I89" s="325"/>
      <c r="J89" s="325"/>
      <c r="K89" s="325"/>
      <c r="L89" s="325"/>
      <c r="M89" s="325"/>
      <c r="N89" s="325"/>
      <c r="O89" s="325"/>
      <c r="P89" s="325"/>
      <c r="Q89" s="325"/>
      <c r="R89" s="325"/>
      <c r="S89" s="325"/>
      <c r="T89" s="325"/>
      <c r="U89" s="325"/>
      <c r="V89" s="325"/>
      <c r="W89" s="325"/>
      <c r="X89" s="325"/>
      <c r="Y89" s="325"/>
      <c r="Z89" s="325"/>
      <c r="AA89" s="325"/>
      <c r="AB89" s="325"/>
      <c r="AC89" s="325"/>
      <c r="AD89" s="325"/>
      <c r="AE89" s="325"/>
      <c r="AF89" s="325"/>
      <c r="AG89" s="326"/>
    </row>
    <row r="90">
      <c r="A90" s="325" t="s">
        <v>103</v>
      </c>
      <c r="B90" s="325">
        <f t="shared" ref="B90:AF90" si="40">B8-B65-B66</f>
        <v>2765.3985</v>
      </c>
      <c r="C90" s="325">
        <f t="shared" si="40"/>
        <v>1476.308</v>
      </c>
      <c r="D90" s="325">
        <f t="shared" si="40"/>
        <v>1030.7135</v>
      </c>
      <c r="E90" s="325">
        <f t="shared" si="40"/>
        <v>922.865</v>
      </c>
      <c r="F90" s="325">
        <f t="shared" si="40"/>
        <v>1161.0445</v>
      </c>
      <c r="G90" s="325">
        <f t="shared" si="40"/>
        <v>1303.5155</v>
      </c>
      <c r="H90" s="325">
        <f t="shared" si="40"/>
        <v>1438.9295</v>
      </c>
      <c r="I90" s="325">
        <f t="shared" si="40"/>
        <v>1317.493</v>
      </c>
      <c r="J90" s="325">
        <f t="shared" si="40"/>
        <v>525.462</v>
      </c>
      <c r="K90" s="325">
        <f t="shared" si="40"/>
        <v>641.678</v>
      </c>
      <c r="L90" s="325">
        <f t="shared" si="40"/>
        <v>719.3255</v>
      </c>
      <c r="M90" s="325">
        <f t="shared" si="40"/>
        <v>293.5945</v>
      </c>
      <c r="N90" s="325">
        <f t="shared" si="40"/>
        <v>616.007</v>
      </c>
      <c r="O90" s="325">
        <f t="shared" si="40"/>
        <v>962.1915</v>
      </c>
      <c r="P90" s="325">
        <f t="shared" si="40"/>
        <v>519.573</v>
      </c>
      <c r="Q90" s="325">
        <f t="shared" si="40"/>
        <v>203.328</v>
      </c>
      <c r="R90" s="325">
        <f t="shared" si="40"/>
        <v>341.8355</v>
      </c>
      <c r="S90" s="325">
        <f t="shared" si="40"/>
        <v>413.0045</v>
      </c>
      <c r="T90" s="325">
        <f t="shared" si="40"/>
        <v>379.852</v>
      </c>
      <c r="U90" s="325">
        <f t="shared" si="40"/>
        <v>718.8575</v>
      </c>
      <c r="V90" s="325">
        <f t="shared" si="40"/>
        <v>612.364</v>
      </c>
      <c r="W90" s="325">
        <f t="shared" si="40"/>
        <v>618.358</v>
      </c>
      <c r="X90" s="325">
        <f t="shared" si="40"/>
        <v>381.0125</v>
      </c>
      <c r="Y90" s="325">
        <f t="shared" si="40"/>
        <v>425.773</v>
      </c>
      <c r="Z90" s="325">
        <f t="shared" si="40"/>
        <v>192.149</v>
      </c>
      <c r="AA90" s="325">
        <f t="shared" si="40"/>
        <v>500.2135</v>
      </c>
      <c r="AB90" s="325">
        <f t="shared" si="40"/>
        <v>658.8955</v>
      </c>
      <c r="AC90" s="325">
        <f t="shared" si="40"/>
        <v>496.2295</v>
      </c>
      <c r="AD90" s="325">
        <f t="shared" si="40"/>
        <v>249.406</v>
      </c>
      <c r="AE90" s="325">
        <f t="shared" si="40"/>
        <v>407.2095</v>
      </c>
      <c r="AF90" s="325">
        <f t="shared" si="40"/>
        <v>170.374</v>
      </c>
      <c r="AG90" s="326"/>
    </row>
    <row r="91">
      <c r="A91" s="325" t="s">
        <v>431</v>
      </c>
      <c r="B91" s="325">
        <f t="shared" ref="B91:AF91" si="41">B5-B63-B64</f>
        <v>9876.444638</v>
      </c>
      <c r="C91" s="325">
        <f t="shared" si="41"/>
        <v>5822.521737</v>
      </c>
      <c r="D91" s="325">
        <f t="shared" si="41"/>
        <v>4519.491301</v>
      </c>
      <c r="E91" s="325">
        <f t="shared" si="41"/>
        <v>4405.731677</v>
      </c>
      <c r="F91" s="325">
        <f t="shared" si="41"/>
        <v>5186.488713</v>
      </c>
      <c r="G91" s="325">
        <f t="shared" si="41"/>
        <v>6618.647084</v>
      </c>
      <c r="H91" s="325">
        <f t="shared" si="41"/>
        <v>6029.434287</v>
      </c>
      <c r="I91" s="325">
        <f t="shared" si="41"/>
        <v>4108.62561</v>
      </c>
      <c r="J91" s="325">
        <f t="shared" si="41"/>
        <v>3005.5</v>
      </c>
      <c r="K91" s="325">
        <f t="shared" si="41"/>
        <v>2569.696591</v>
      </c>
      <c r="L91" s="325">
        <f t="shared" si="41"/>
        <v>1875.157212</v>
      </c>
      <c r="M91" s="325">
        <f t="shared" si="41"/>
        <v>2326.344032</v>
      </c>
      <c r="N91" s="325">
        <f t="shared" si="41"/>
        <v>3222.228908</v>
      </c>
      <c r="O91" s="325">
        <f t="shared" si="41"/>
        <v>3701.590899</v>
      </c>
      <c r="P91" s="325">
        <f t="shared" si="41"/>
        <v>1870.619</v>
      </c>
      <c r="Q91" s="325">
        <f t="shared" si="41"/>
        <v>1366.608</v>
      </c>
      <c r="R91" s="325">
        <f t="shared" si="41"/>
        <v>1198.781</v>
      </c>
      <c r="S91" s="325">
        <f t="shared" si="41"/>
        <v>1815.989</v>
      </c>
      <c r="T91" s="325">
        <f t="shared" si="41"/>
        <v>1228.743</v>
      </c>
      <c r="U91" s="325">
        <f t="shared" si="41"/>
        <v>2980.244</v>
      </c>
      <c r="V91" s="325">
        <f t="shared" si="41"/>
        <v>3177.647</v>
      </c>
      <c r="W91" s="325">
        <f t="shared" si="41"/>
        <v>2347.145</v>
      </c>
      <c r="X91" s="325">
        <f t="shared" si="41"/>
        <v>1307.81</v>
      </c>
      <c r="Y91" s="325">
        <f t="shared" si="41"/>
        <v>1681.832</v>
      </c>
      <c r="Z91" s="325">
        <f t="shared" si="41"/>
        <v>1761.267</v>
      </c>
      <c r="AA91" s="325">
        <f t="shared" si="41"/>
        <v>1585.299</v>
      </c>
      <c r="AB91" s="325">
        <f t="shared" si="41"/>
        <v>3197.522</v>
      </c>
      <c r="AC91" s="325">
        <f t="shared" si="41"/>
        <v>3408.5</v>
      </c>
      <c r="AD91" s="325">
        <f t="shared" si="41"/>
        <v>1528.822</v>
      </c>
      <c r="AE91" s="325">
        <f t="shared" si="41"/>
        <v>1228.072</v>
      </c>
      <c r="AF91" s="325">
        <f t="shared" si="41"/>
        <v>986.061</v>
      </c>
      <c r="AG91" s="326"/>
    </row>
    <row r="92">
      <c r="AG92" s="259"/>
    </row>
    <row r="93">
      <c r="AG93" s="259"/>
    </row>
    <row r="94">
      <c r="AG94" s="259"/>
    </row>
    <row r="95">
      <c r="AG95" s="259"/>
    </row>
    <row r="96">
      <c r="AG96" s="259"/>
    </row>
    <row r="97">
      <c r="AG97" s="259"/>
    </row>
    <row r="98">
      <c r="AG98" s="259"/>
    </row>
    <row r="99">
      <c r="AG99" s="259"/>
    </row>
    <row r="100">
      <c r="AG100" s="259"/>
    </row>
    <row r="101">
      <c r="AG101" s="259"/>
    </row>
    <row r="102">
      <c r="AG102" s="259"/>
    </row>
    <row r="103">
      <c r="AG103" s="259"/>
    </row>
    <row r="104">
      <c r="AG104" s="259"/>
    </row>
    <row r="105">
      <c r="AG105" s="259"/>
    </row>
    <row r="106">
      <c r="AG106" s="259"/>
    </row>
    <row r="107">
      <c r="AG107" s="259"/>
    </row>
    <row r="108">
      <c r="AG108" s="259"/>
    </row>
    <row r="109">
      <c r="AG109" s="259"/>
    </row>
    <row r="110">
      <c r="AG110" s="259"/>
    </row>
    <row r="111">
      <c r="AG111" s="259"/>
    </row>
    <row r="112">
      <c r="AG112" s="259"/>
    </row>
    <row r="113">
      <c r="AG113" s="259"/>
    </row>
    <row r="114">
      <c r="AG114" s="259"/>
    </row>
    <row r="115">
      <c r="AG115" s="259"/>
    </row>
    <row r="116">
      <c r="AG116" s="259"/>
    </row>
    <row r="117">
      <c r="AG117" s="259"/>
    </row>
    <row r="118">
      <c r="AG118" s="259"/>
    </row>
    <row r="119">
      <c r="AG119" s="259"/>
    </row>
    <row r="120">
      <c r="AG120" s="259"/>
    </row>
    <row r="121">
      <c r="AG121" s="259"/>
    </row>
    <row r="122">
      <c r="AG122" s="259"/>
    </row>
    <row r="123">
      <c r="AG123" s="259"/>
    </row>
    <row r="124">
      <c r="AG124" s="259"/>
    </row>
    <row r="125">
      <c r="AG125" s="259"/>
    </row>
    <row r="126">
      <c r="AG126" s="259"/>
    </row>
    <row r="127">
      <c r="AG127" s="259"/>
    </row>
    <row r="128">
      <c r="AG128" s="259"/>
    </row>
    <row r="129">
      <c r="AG129" s="259"/>
    </row>
    <row r="130">
      <c r="AG130" s="259"/>
    </row>
    <row r="131">
      <c r="AG131" s="259"/>
    </row>
    <row r="132">
      <c r="AG132" s="259"/>
    </row>
    <row r="133">
      <c r="AG133" s="259"/>
    </row>
    <row r="134">
      <c r="AG134" s="259"/>
    </row>
    <row r="135">
      <c r="AG135" s="259"/>
    </row>
    <row r="136">
      <c r="AG136" s="259"/>
    </row>
    <row r="137">
      <c r="AG137" s="259"/>
    </row>
    <row r="138">
      <c r="AG138" s="259"/>
    </row>
    <row r="139">
      <c r="AG139" s="259"/>
    </row>
    <row r="140">
      <c r="AG140" s="259"/>
    </row>
    <row r="141">
      <c r="AG141" s="259"/>
    </row>
    <row r="142">
      <c r="AG142" s="259"/>
    </row>
    <row r="143">
      <c r="AG143" s="259"/>
    </row>
    <row r="144">
      <c r="AG144" s="259"/>
    </row>
    <row r="145">
      <c r="AG145" s="259"/>
    </row>
    <row r="146">
      <c r="AG146" s="259"/>
    </row>
    <row r="147">
      <c r="AG147" s="259"/>
    </row>
    <row r="148">
      <c r="AG148" s="259"/>
    </row>
    <row r="149">
      <c r="AG149" s="259"/>
    </row>
    <row r="150">
      <c r="AG150" s="259"/>
    </row>
    <row r="151">
      <c r="AG151" s="259"/>
    </row>
    <row r="152">
      <c r="AG152" s="259"/>
    </row>
    <row r="153">
      <c r="AG153" s="259"/>
    </row>
    <row r="154">
      <c r="AG154" s="259"/>
    </row>
    <row r="155">
      <c r="AG155" s="259"/>
    </row>
    <row r="156">
      <c r="AG156" s="259"/>
    </row>
    <row r="157">
      <c r="AG157" s="259"/>
    </row>
    <row r="158">
      <c r="AG158" s="259"/>
    </row>
    <row r="159">
      <c r="AG159" s="259"/>
    </row>
    <row r="160">
      <c r="AG160" s="259"/>
    </row>
    <row r="161">
      <c r="AG161" s="259"/>
    </row>
    <row r="162">
      <c r="AG162" s="259"/>
    </row>
    <row r="163">
      <c r="AG163" s="259"/>
    </row>
    <row r="164">
      <c r="AG164" s="259"/>
    </row>
    <row r="165">
      <c r="AG165" s="259"/>
    </row>
    <row r="166">
      <c r="AG166" s="259"/>
    </row>
    <row r="167">
      <c r="AG167" s="259"/>
    </row>
    <row r="168">
      <c r="AG168" s="259"/>
    </row>
    <row r="169">
      <c r="AG169" s="259"/>
    </row>
    <row r="170">
      <c r="AG170" s="259"/>
    </row>
    <row r="171">
      <c r="AG171" s="259"/>
    </row>
    <row r="172">
      <c r="AG172" s="259"/>
    </row>
    <row r="173">
      <c r="AG173" s="259"/>
    </row>
    <row r="174">
      <c r="AG174" s="259"/>
    </row>
    <row r="175">
      <c r="AG175" s="259"/>
    </row>
    <row r="176">
      <c r="AG176" s="259"/>
    </row>
    <row r="177">
      <c r="AG177" s="259"/>
    </row>
    <row r="178">
      <c r="AG178" s="259"/>
    </row>
    <row r="179">
      <c r="AG179" s="259"/>
    </row>
    <row r="180">
      <c r="AG180" s="259"/>
    </row>
    <row r="181">
      <c r="AG181" s="259"/>
    </row>
    <row r="182">
      <c r="AG182" s="259"/>
    </row>
    <row r="183">
      <c r="AG183" s="259"/>
    </row>
    <row r="184">
      <c r="AG184" s="259"/>
    </row>
    <row r="185">
      <c r="AG185" s="259"/>
    </row>
    <row r="186">
      <c r="AG186" s="259"/>
    </row>
    <row r="187">
      <c r="AG187" s="259"/>
    </row>
    <row r="188">
      <c r="AG188" s="259"/>
    </row>
    <row r="189">
      <c r="AG189" s="259"/>
    </row>
    <row r="190">
      <c r="AG190" s="259"/>
    </row>
    <row r="191">
      <c r="AG191" s="259"/>
    </row>
    <row r="192">
      <c r="AG192" s="259"/>
    </row>
    <row r="193">
      <c r="AG193" s="259"/>
    </row>
    <row r="194">
      <c r="AG194" s="259"/>
    </row>
    <row r="195">
      <c r="AG195" s="259"/>
    </row>
    <row r="196">
      <c r="AG196" s="259"/>
    </row>
    <row r="197">
      <c r="AG197" s="259"/>
    </row>
    <row r="198">
      <c r="AG198" s="259"/>
    </row>
    <row r="199">
      <c r="AG199" s="259"/>
    </row>
    <row r="200">
      <c r="AG200" s="259"/>
    </row>
    <row r="201">
      <c r="AG201" s="259"/>
    </row>
    <row r="202">
      <c r="AG202" s="259"/>
    </row>
    <row r="203">
      <c r="AG203" s="259"/>
    </row>
    <row r="204">
      <c r="AG204" s="259"/>
    </row>
    <row r="205">
      <c r="AG205" s="259"/>
    </row>
    <row r="206">
      <c r="AG206" s="259"/>
    </row>
    <row r="207">
      <c r="AG207" s="259"/>
    </row>
    <row r="208">
      <c r="AG208" s="259"/>
    </row>
    <row r="209">
      <c r="AG209" s="259"/>
    </row>
    <row r="210">
      <c r="AG210" s="259"/>
    </row>
    <row r="211">
      <c r="AG211" s="259"/>
    </row>
    <row r="212">
      <c r="AG212" s="259"/>
    </row>
    <row r="213">
      <c r="AG213" s="259"/>
    </row>
    <row r="214">
      <c r="AG214" s="259"/>
    </row>
    <row r="215">
      <c r="AG215" s="259"/>
    </row>
    <row r="216">
      <c r="AG216" s="259"/>
    </row>
    <row r="217">
      <c r="AG217" s="259"/>
    </row>
    <row r="218">
      <c r="AG218" s="259"/>
    </row>
    <row r="219">
      <c r="AG219" s="259"/>
    </row>
    <row r="220">
      <c r="AG220" s="259"/>
    </row>
    <row r="221">
      <c r="AG221" s="259"/>
    </row>
    <row r="222">
      <c r="AG222" s="259"/>
    </row>
    <row r="223">
      <c r="AG223" s="259"/>
    </row>
    <row r="224">
      <c r="AG224" s="259"/>
    </row>
    <row r="225">
      <c r="AG225" s="259"/>
    </row>
    <row r="226">
      <c r="AG226" s="259"/>
    </row>
    <row r="227">
      <c r="AG227" s="259"/>
    </row>
    <row r="228">
      <c r="AG228" s="259"/>
    </row>
    <row r="229">
      <c r="AG229" s="259"/>
    </row>
    <row r="230">
      <c r="AG230" s="259"/>
    </row>
    <row r="231">
      <c r="AG231" s="259"/>
    </row>
    <row r="232">
      <c r="AG232" s="259"/>
    </row>
    <row r="233">
      <c r="AG233" s="259"/>
    </row>
    <row r="234">
      <c r="AG234" s="259"/>
    </row>
    <row r="235">
      <c r="AG235" s="259"/>
    </row>
    <row r="236">
      <c r="AG236" s="259"/>
    </row>
    <row r="237">
      <c r="AG237" s="259"/>
    </row>
    <row r="238">
      <c r="AG238" s="259"/>
    </row>
    <row r="239">
      <c r="AG239" s="259"/>
    </row>
    <row r="240">
      <c r="AG240" s="259"/>
    </row>
    <row r="241">
      <c r="AG241" s="259"/>
    </row>
    <row r="242">
      <c r="AG242" s="259"/>
    </row>
    <row r="243">
      <c r="AG243" s="259"/>
    </row>
    <row r="244">
      <c r="AG244" s="259"/>
    </row>
    <row r="245">
      <c r="AG245" s="259"/>
    </row>
    <row r="246">
      <c r="AG246" s="259"/>
    </row>
    <row r="247">
      <c r="AG247" s="259"/>
    </row>
    <row r="248">
      <c r="AG248" s="259"/>
    </row>
    <row r="249">
      <c r="AG249" s="259"/>
    </row>
    <row r="250">
      <c r="AG250" s="259"/>
    </row>
    <row r="251">
      <c r="AG251" s="259"/>
    </row>
    <row r="252">
      <c r="AG252" s="259"/>
    </row>
    <row r="253">
      <c r="AG253" s="259"/>
    </row>
    <row r="254">
      <c r="AG254" s="259"/>
    </row>
    <row r="255">
      <c r="AG255" s="259"/>
    </row>
    <row r="256">
      <c r="AG256" s="259"/>
    </row>
    <row r="257">
      <c r="AG257" s="259"/>
    </row>
    <row r="258">
      <c r="AG258" s="259"/>
    </row>
    <row r="259">
      <c r="AG259" s="259"/>
    </row>
    <row r="260">
      <c r="AG260" s="259"/>
    </row>
    <row r="261">
      <c r="AG261" s="259"/>
    </row>
    <row r="262">
      <c r="AG262" s="259"/>
    </row>
    <row r="263">
      <c r="AG263" s="259"/>
    </row>
    <row r="264">
      <c r="AG264" s="259"/>
    </row>
    <row r="265">
      <c r="AG265" s="259"/>
    </row>
    <row r="266">
      <c r="AG266" s="259"/>
    </row>
    <row r="267">
      <c r="AG267" s="259"/>
    </row>
    <row r="268">
      <c r="AG268" s="259"/>
    </row>
    <row r="269">
      <c r="AG269" s="259"/>
    </row>
    <row r="270">
      <c r="AG270" s="259"/>
    </row>
    <row r="271">
      <c r="AG271" s="259"/>
    </row>
    <row r="272">
      <c r="AG272" s="259"/>
    </row>
    <row r="273">
      <c r="AG273" s="259"/>
    </row>
    <row r="274">
      <c r="AG274" s="259"/>
    </row>
    <row r="275">
      <c r="AG275" s="259"/>
    </row>
    <row r="276">
      <c r="AG276" s="259"/>
    </row>
    <row r="277">
      <c r="AG277" s="259"/>
    </row>
    <row r="278">
      <c r="AG278" s="259"/>
    </row>
    <row r="279">
      <c r="AG279" s="259"/>
    </row>
    <row r="280">
      <c r="AG280" s="259"/>
    </row>
    <row r="281">
      <c r="AG281" s="259"/>
    </row>
    <row r="282">
      <c r="AG282" s="259"/>
    </row>
    <row r="283">
      <c r="AG283" s="259"/>
    </row>
    <row r="284">
      <c r="AG284" s="259"/>
    </row>
    <row r="285">
      <c r="AG285" s="259"/>
    </row>
    <row r="286">
      <c r="AG286" s="259"/>
    </row>
    <row r="287">
      <c r="AG287" s="259"/>
    </row>
    <row r="288">
      <c r="AG288" s="259"/>
    </row>
    <row r="289">
      <c r="AG289" s="259"/>
    </row>
    <row r="290">
      <c r="AG290" s="259"/>
    </row>
    <row r="291">
      <c r="AG291" s="259"/>
    </row>
    <row r="292">
      <c r="AG292" s="259"/>
    </row>
    <row r="293">
      <c r="AG293" s="259"/>
    </row>
    <row r="294">
      <c r="AG294" s="259"/>
    </row>
    <row r="295">
      <c r="AG295" s="259"/>
    </row>
    <row r="296">
      <c r="AG296" s="259"/>
    </row>
    <row r="297">
      <c r="AG297" s="259"/>
    </row>
    <row r="298">
      <c r="AG298" s="259"/>
    </row>
    <row r="299">
      <c r="AG299" s="259"/>
    </row>
    <row r="300">
      <c r="AG300" s="259"/>
    </row>
    <row r="301">
      <c r="AG301" s="259"/>
    </row>
    <row r="302">
      <c r="AG302" s="259"/>
    </row>
    <row r="303">
      <c r="AG303" s="259"/>
    </row>
    <row r="304">
      <c r="AG304" s="259"/>
    </row>
    <row r="305">
      <c r="AG305" s="259"/>
    </row>
    <row r="306">
      <c r="AG306" s="259"/>
    </row>
    <row r="307">
      <c r="AG307" s="259"/>
    </row>
    <row r="308">
      <c r="AG308" s="259"/>
    </row>
    <row r="309">
      <c r="AG309" s="259"/>
    </row>
    <row r="310">
      <c r="AG310" s="259"/>
    </row>
    <row r="311">
      <c r="AG311" s="259"/>
    </row>
    <row r="312">
      <c r="AG312" s="259"/>
    </row>
    <row r="313">
      <c r="AG313" s="259"/>
    </row>
    <row r="314">
      <c r="AG314" s="259"/>
    </row>
    <row r="315">
      <c r="AG315" s="259"/>
    </row>
    <row r="316">
      <c r="AG316" s="259"/>
    </row>
    <row r="317">
      <c r="AG317" s="259"/>
    </row>
    <row r="318">
      <c r="AG318" s="259"/>
    </row>
    <row r="319">
      <c r="AG319" s="259"/>
    </row>
    <row r="320">
      <c r="AG320" s="259"/>
    </row>
    <row r="321">
      <c r="AG321" s="259"/>
    </row>
    <row r="322">
      <c r="AG322" s="259"/>
    </row>
    <row r="323">
      <c r="AG323" s="259"/>
    </row>
    <row r="324">
      <c r="AG324" s="259"/>
    </row>
    <row r="325">
      <c r="AG325" s="259"/>
    </row>
    <row r="326">
      <c r="AG326" s="259"/>
    </row>
    <row r="327">
      <c r="AG327" s="259"/>
    </row>
    <row r="328">
      <c r="AG328" s="259"/>
    </row>
    <row r="329">
      <c r="AG329" s="259"/>
    </row>
    <row r="330">
      <c r="AG330" s="259"/>
    </row>
    <row r="331">
      <c r="AG331" s="259"/>
    </row>
    <row r="332">
      <c r="AG332" s="259"/>
    </row>
    <row r="333">
      <c r="AG333" s="259"/>
    </row>
    <row r="334">
      <c r="AG334" s="259"/>
    </row>
    <row r="335">
      <c r="AG335" s="259"/>
    </row>
    <row r="336">
      <c r="AG336" s="259"/>
    </row>
    <row r="337">
      <c r="AG337" s="259"/>
    </row>
    <row r="338">
      <c r="AG338" s="259"/>
    </row>
    <row r="339">
      <c r="AG339" s="259"/>
    </row>
    <row r="340">
      <c r="AG340" s="259"/>
    </row>
    <row r="341">
      <c r="AG341" s="259"/>
    </row>
    <row r="342">
      <c r="AG342" s="259"/>
    </row>
    <row r="343">
      <c r="AG343" s="259"/>
    </row>
    <row r="344">
      <c r="AG344" s="259"/>
    </row>
    <row r="345">
      <c r="AG345" s="259"/>
    </row>
    <row r="346">
      <c r="AG346" s="259"/>
    </row>
    <row r="347">
      <c r="AG347" s="259"/>
    </row>
    <row r="348">
      <c r="AG348" s="259"/>
    </row>
    <row r="349">
      <c r="AG349" s="259"/>
    </row>
    <row r="350">
      <c r="AG350" s="259"/>
    </row>
    <row r="351">
      <c r="AG351" s="259"/>
    </row>
    <row r="352">
      <c r="AG352" s="259"/>
    </row>
    <row r="353">
      <c r="AG353" s="259"/>
    </row>
    <row r="354">
      <c r="AG354" s="259"/>
    </row>
    <row r="355">
      <c r="AG355" s="259"/>
    </row>
    <row r="356">
      <c r="AG356" s="259"/>
    </row>
    <row r="357">
      <c r="AG357" s="259"/>
    </row>
    <row r="358">
      <c r="AG358" s="259"/>
    </row>
    <row r="359">
      <c r="AG359" s="259"/>
    </row>
    <row r="360">
      <c r="AG360" s="259"/>
    </row>
    <row r="361">
      <c r="AG361" s="259"/>
    </row>
    <row r="362">
      <c r="AG362" s="259"/>
    </row>
    <row r="363">
      <c r="AG363" s="259"/>
    </row>
    <row r="364">
      <c r="AG364" s="259"/>
    </row>
    <row r="365">
      <c r="AG365" s="259"/>
    </row>
    <row r="366">
      <c r="AG366" s="259"/>
    </row>
    <row r="367">
      <c r="AG367" s="259"/>
    </row>
    <row r="368">
      <c r="AG368" s="259"/>
    </row>
    <row r="369">
      <c r="AG369" s="259"/>
    </row>
    <row r="370">
      <c r="AG370" s="259"/>
    </row>
    <row r="371">
      <c r="AG371" s="259"/>
    </row>
    <row r="372">
      <c r="AG372" s="259"/>
    </row>
    <row r="373">
      <c r="AG373" s="259"/>
    </row>
    <row r="374">
      <c r="AG374" s="259"/>
    </row>
    <row r="375">
      <c r="AG375" s="259"/>
    </row>
    <row r="376">
      <c r="AG376" s="259"/>
    </row>
    <row r="377">
      <c r="AG377" s="259"/>
    </row>
    <row r="378">
      <c r="AG378" s="259"/>
    </row>
    <row r="379">
      <c r="AG379" s="259"/>
    </row>
    <row r="380">
      <c r="AG380" s="259"/>
    </row>
    <row r="381">
      <c r="AG381" s="259"/>
    </row>
    <row r="382">
      <c r="AG382" s="259"/>
    </row>
    <row r="383">
      <c r="AG383" s="259"/>
    </row>
    <row r="384">
      <c r="AG384" s="259"/>
    </row>
    <row r="385">
      <c r="AG385" s="259"/>
    </row>
    <row r="386">
      <c r="AG386" s="259"/>
    </row>
    <row r="387">
      <c r="AG387" s="259"/>
    </row>
    <row r="388">
      <c r="AG388" s="259"/>
    </row>
    <row r="389">
      <c r="AG389" s="259"/>
    </row>
    <row r="390">
      <c r="AG390" s="259"/>
    </row>
    <row r="391">
      <c r="AG391" s="259"/>
    </row>
    <row r="392">
      <c r="AG392" s="259"/>
    </row>
    <row r="393">
      <c r="AG393" s="259"/>
    </row>
    <row r="394">
      <c r="AG394" s="259"/>
    </row>
    <row r="395">
      <c r="AG395" s="259"/>
    </row>
    <row r="396">
      <c r="AG396" s="259"/>
    </row>
    <row r="397">
      <c r="AG397" s="259"/>
    </row>
    <row r="398">
      <c r="AG398" s="259"/>
    </row>
    <row r="399">
      <c r="AG399" s="259"/>
    </row>
    <row r="400">
      <c r="AG400" s="259"/>
    </row>
    <row r="401">
      <c r="AG401" s="259"/>
    </row>
    <row r="402">
      <c r="AG402" s="259"/>
    </row>
    <row r="403">
      <c r="AG403" s="259"/>
    </row>
    <row r="404">
      <c r="AG404" s="259"/>
    </row>
    <row r="405">
      <c r="AG405" s="259"/>
    </row>
    <row r="406">
      <c r="AG406" s="259"/>
    </row>
    <row r="407">
      <c r="AG407" s="259"/>
    </row>
    <row r="408">
      <c r="AG408" s="259"/>
    </row>
    <row r="409">
      <c r="AG409" s="259"/>
    </row>
    <row r="410">
      <c r="AG410" s="259"/>
    </row>
    <row r="411">
      <c r="AG411" s="259"/>
    </row>
    <row r="412">
      <c r="AG412" s="259"/>
    </row>
    <row r="413">
      <c r="AG413" s="259"/>
    </row>
    <row r="414">
      <c r="AG414" s="259"/>
    </row>
    <row r="415">
      <c r="AG415" s="259"/>
    </row>
    <row r="416">
      <c r="AG416" s="259"/>
    </row>
    <row r="417">
      <c r="AG417" s="259"/>
    </row>
    <row r="418">
      <c r="AG418" s="259"/>
    </row>
    <row r="419">
      <c r="AG419" s="259"/>
    </row>
    <row r="420">
      <c r="AG420" s="259"/>
    </row>
    <row r="421">
      <c r="AG421" s="259"/>
    </row>
    <row r="422">
      <c r="AG422" s="259"/>
    </row>
    <row r="423">
      <c r="AG423" s="259"/>
    </row>
    <row r="424">
      <c r="AG424" s="259"/>
    </row>
    <row r="425">
      <c r="AG425" s="259"/>
    </row>
    <row r="426">
      <c r="AG426" s="259"/>
    </row>
    <row r="427">
      <c r="AG427" s="259"/>
    </row>
    <row r="428">
      <c r="AG428" s="259"/>
    </row>
    <row r="429">
      <c r="AG429" s="259"/>
    </row>
    <row r="430">
      <c r="AG430" s="259"/>
    </row>
    <row r="431">
      <c r="AG431" s="259"/>
    </row>
    <row r="432">
      <c r="AG432" s="259"/>
    </row>
    <row r="433">
      <c r="AG433" s="259"/>
    </row>
    <row r="434">
      <c r="AG434" s="259"/>
    </row>
    <row r="435">
      <c r="AG435" s="259"/>
    </row>
    <row r="436">
      <c r="AG436" s="259"/>
    </row>
    <row r="437">
      <c r="AG437" s="259"/>
    </row>
    <row r="438">
      <c r="AG438" s="259"/>
    </row>
    <row r="439">
      <c r="AG439" s="259"/>
    </row>
    <row r="440">
      <c r="AG440" s="259"/>
    </row>
    <row r="441">
      <c r="AG441" s="259"/>
    </row>
    <row r="442">
      <c r="AG442" s="259"/>
    </row>
    <row r="443">
      <c r="AG443" s="259"/>
    </row>
    <row r="444">
      <c r="AG444" s="259"/>
    </row>
    <row r="445">
      <c r="AG445" s="259"/>
    </row>
    <row r="446">
      <c r="AG446" s="259"/>
    </row>
    <row r="447">
      <c r="AG447" s="259"/>
    </row>
    <row r="448">
      <c r="AG448" s="259"/>
    </row>
    <row r="449">
      <c r="AG449" s="259"/>
    </row>
    <row r="450">
      <c r="AG450" s="259"/>
    </row>
    <row r="451">
      <c r="AG451" s="259"/>
    </row>
    <row r="452">
      <c r="AG452" s="259"/>
    </row>
    <row r="453">
      <c r="AG453" s="259"/>
    </row>
    <row r="454">
      <c r="AG454" s="259"/>
    </row>
    <row r="455">
      <c r="AG455" s="259"/>
    </row>
    <row r="456">
      <c r="AG456" s="259"/>
    </row>
    <row r="457">
      <c r="AG457" s="259"/>
    </row>
    <row r="458">
      <c r="AG458" s="259"/>
    </row>
    <row r="459">
      <c r="AG459" s="259"/>
    </row>
    <row r="460">
      <c r="AG460" s="259"/>
    </row>
    <row r="461">
      <c r="AG461" s="259"/>
    </row>
    <row r="462">
      <c r="AG462" s="259"/>
    </row>
    <row r="463">
      <c r="AG463" s="259"/>
    </row>
    <row r="464">
      <c r="AG464" s="259"/>
    </row>
    <row r="465">
      <c r="AG465" s="259"/>
    </row>
    <row r="466">
      <c r="AG466" s="259"/>
    </row>
    <row r="467">
      <c r="AG467" s="259"/>
    </row>
    <row r="468">
      <c r="AG468" s="259"/>
    </row>
    <row r="469">
      <c r="AG469" s="259"/>
    </row>
    <row r="470">
      <c r="AG470" s="259"/>
    </row>
    <row r="471">
      <c r="AG471" s="259"/>
    </row>
    <row r="472">
      <c r="AG472" s="259"/>
    </row>
    <row r="473">
      <c r="AG473" s="259"/>
    </row>
    <row r="474">
      <c r="AG474" s="259"/>
    </row>
    <row r="475">
      <c r="AG475" s="259"/>
    </row>
    <row r="476">
      <c r="AG476" s="259"/>
    </row>
    <row r="477">
      <c r="AG477" s="259"/>
    </row>
    <row r="478">
      <c r="AG478" s="259"/>
    </row>
    <row r="479">
      <c r="AG479" s="259"/>
    </row>
    <row r="480">
      <c r="AG480" s="259"/>
    </row>
    <row r="481">
      <c r="AG481" s="259"/>
    </row>
    <row r="482">
      <c r="AG482" s="259"/>
    </row>
    <row r="483">
      <c r="AG483" s="259"/>
    </row>
    <row r="484">
      <c r="AG484" s="259"/>
    </row>
    <row r="485">
      <c r="AG485" s="259"/>
    </row>
    <row r="486">
      <c r="AG486" s="259"/>
    </row>
    <row r="487">
      <c r="AG487" s="259"/>
    </row>
    <row r="488">
      <c r="AG488" s="259"/>
    </row>
    <row r="489">
      <c r="AG489" s="259"/>
    </row>
    <row r="490">
      <c r="AG490" s="259"/>
    </row>
    <row r="491">
      <c r="AG491" s="259"/>
    </row>
    <row r="492">
      <c r="AG492" s="259"/>
    </row>
    <row r="493">
      <c r="AG493" s="259"/>
    </row>
    <row r="494">
      <c r="AG494" s="259"/>
    </row>
    <row r="495">
      <c r="AG495" s="259"/>
    </row>
    <row r="496">
      <c r="AG496" s="259"/>
    </row>
    <row r="497">
      <c r="AG497" s="259"/>
    </row>
    <row r="498">
      <c r="AG498" s="259"/>
    </row>
    <row r="499">
      <c r="AG499" s="259"/>
    </row>
    <row r="500">
      <c r="AG500" s="259"/>
    </row>
    <row r="501">
      <c r="AG501" s="259"/>
    </row>
    <row r="502">
      <c r="AG502" s="259"/>
    </row>
    <row r="503">
      <c r="AG503" s="259"/>
    </row>
    <row r="504">
      <c r="AG504" s="259"/>
    </row>
    <row r="505">
      <c r="AG505" s="259"/>
    </row>
    <row r="506">
      <c r="AG506" s="259"/>
    </row>
    <row r="507">
      <c r="AG507" s="259"/>
    </row>
    <row r="508">
      <c r="AG508" s="259"/>
    </row>
    <row r="509">
      <c r="AG509" s="259"/>
    </row>
    <row r="510">
      <c r="AG510" s="259"/>
    </row>
    <row r="511">
      <c r="AG511" s="259"/>
    </row>
    <row r="512">
      <c r="AG512" s="259"/>
    </row>
    <row r="513">
      <c r="AG513" s="259"/>
    </row>
    <row r="514">
      <c r="AG514" s="259"/>
    </row>
    <row r="515">
      <c r="AG515" s="259"/>
    </row>
    <row r="516">
      <c r="AG516" s="259"/>
    </row>
    <row r="517">
      <c r="AG517" s="259"/>
    </row>
    <row r="518">
      <c r="AG518" s="259"/>
    </row>
    <row r="519">
      <c r="AG519" s="259"/>
    </row>
    <row r="520">
      <c r="AG520" s="259"/>
    </row>
    <row r="521">
      <c r="AG521" s="259"/>
    </row>
    <row r="522">
      <c r="AG522" s="259"/>
    </row>
    <row r="523">
      <c r="AG523" s="259"/>
    </row>
    <row r="524">
      <c r="AG524" s="259"/>
    </row>
    <row r="525">
      <c r="AG525" s="259"/>
    </row>
    <row r="526">
      <c r="AG526" s="259"/>
    </row>
    <row r="527">
      <c r="AG527" s="259"/>
    </row>
    <row r="528">
      <c r="AG528" s="259"/>
    </row>
    <row r="529">
      <c r="AG529" s="259"/>
    </row>
    <row r="530">
      <c r="AG530" s="259"/>
    </row>
    <row r="531">
      <c r="AG531" s="259"/>
    </row>
    <row r="532">
      <c r="AG532" s="259"/>
    </row>
    <row r="533">
      <c r="AG533" s="259"/>
    </row>
    <row r="534">
      <c r="AG534" s="259"/>
    </row>
    <row r="535">
      <c r="AG535" s="259"/>
    </row>
    <row r="536">
      <c r="AG536" s="259"/>
    </row>
    <row r="537">
      <c r="AG537" s="259"/>
    </row>
    <row r="538">
      <c r="AG538" s="259"/>
    </row>
    <row r="539">
      <c r="AG539" s="259"/>
    </row>
    <row r="540">
      <c r="AG540" s="259"/>
    </row>
    <row r="541">
      <c r="AG541" s="259"/>
    </row>
    <row r="542">
      <c r="AG542" s="259"/>
    </row>
    <row r="543">
      <c r="AG543" s="259"/>
    </row>
    <row r="544">
      <c r="AG544" s="259"/>
    </row>
    <row r="545">
      <c r="AG545" s="259"/>
    </row>
    <row r="546">
      <c r="AG546" s="259"/>
    </row>
    <row r="547">
      <c r="AG547" s="259"/>
    </row>
    <row r="548">
      <c r="AG548" s="259"/>
    </row>
    <row r="549">
      <c r="AG549" s="259"/>
    </row>
    <row r="550">
      <c r="AG550" s="259"/>
    </row>
    <row r="551">
      <c r="AG551" s="259"/>
    </row>
    <row r="552">
      <c r="AG552" s="259"/>
    </row>
    <row r="553">
      <c r="AG553" s="259"/>
    </row>
    <row r="554">
      <c r="AG554" s="259"/>
    </row>
    <row r="555">
      <c r="AG555" s="259"/>
    </row>
    <row r="556">
      <c r="AG556" s="259"/>
    </row>
    <row r="557">
      <c r="AG557" s="259"/>
    </row>
    <row r="558">
      <c r="AG558" s="259"/>
    </row>
    <row r="559">
      <c r="AG559" s="259"/>
    </row>
    <row r="560">
      <c r="AG560" s="259"/>
    </row>
    <row r="561">
      <c r="AG561" s="259"/>
    </row>
    <row r="562">
      <c r="AG562" s="259"/>
    </row>
    <row r="563">
      <c r="AG563" s="259"/>
    </row>
    <row r="564">
      <c r="AG564" s="259"/>
    </row>
    <row r="565">
      <c r="AG565" s="259"/>
    </row>
    <row r="566">
      <c r="AG566" s="259"/>
    </row>
    <row r="567">
      <c r="AG567" s="259"/>
    </row>
    <row r="568">
      <c r="AG568" s="259"/>
    </row>
    <row r="569">
      <c r="AG569" s="259"/>
    </row>
    <row r="570">
      <c r="AG570" s="259"/>
    </row>
    <row r="571">
      <c r="AG571" s="259"/>
    </row>
    <row r="572">
      <c r="AG572" s="259"/>
    </row>
    <row r="573">
      <c r="AG573" s="259"/>
    </row>
    <row r="574">
      <c r="AG574" s="259"/>
    </row>
    <row r="575">
      <c r="AG575" s="259"/>
    </row>
    <row r="576">
      <c r="AG576" s="259"/>
    </row>
    <row r="577">
      <c r="AG577" s="259"/>
    </row>
    <row r="578">
      <c r="AG578" s="259"/>
    </row>
    <row r="579">
      <c r="AG579" s="259"/>
    </row>
    <row r="580">
      <c r="AG580" s="259"/>
    </row>
    <row r="581">
      <c r="AG581" s="259"/>
    </row>
    <row r="582">
      <c r="AG582" s="259"/>
    </row>
    <row r="583">
      <c r="AG583" s="259"/>
    </row>
    <row r="584">
      <c r="AG584" s="259"/>
    </row>
    <row r="585">
      <c r="AG585" s="259"/>
    </row>
    <row r="586">
      <c r="AG586" s="259"/>
    </row>
    <row r="587">
      <c r="AG587" s="259"/>
    </row>
    <row r="588">
      <c r="AG588" s="259"/>
    </row>
    <row r="589">
      <c r="AG589" s="259"/>
    </row>
    <row r="590">
      <c r="AG590" s="259"/>
    </row>
    <row r="591">
      <c r="AG591" s="259"/>
    </row>
    <row r="592">
      <c r="AG592" s="259"/>
    </row>
    <row r="593">
      <c r="AG593" s="259"/>
    </row>
    <row r="594">
      <c r="AG594" s="259"/>
    </row>
    <row r="595">
      <c r="AG595" s="259"/>
    </row>
    <row r="596">
      <c r="AG596" s="259"/>
    </row>
    <row r="597">
      <c r="AG597" s="259"/>
    </row>
    <row r="598">
      <c r="AG598" s="259"/>
    </row>
    <row r="599">
      <c r="AG599" s="259"/>
    </row>
    <row r="600">
      <c r="AG600" s="259"/>
    </row>
    <row r="601">
      <c r="AG601" s="259"/>
    </row>
    <row r="602">
      <c r="AG602" s="259"/>
    </row>
    <row r="603">
      <c r="AG603" s="259"/>
    </row>
    <row r="604">
      <c r="AG604" s="259"/>
    </row>
    <row r="605">
      <c r="AG605" s="259"/>
    </row>
    <row r="606">
      <c r="AG606" s="259"/>
    </row>
    <row r="607">
      <c r="AG607" s="259"/>
    </row>
    <row r="608">
      <c r="AG608" s="259"/>
    </row>
    <row r="609">
      <c r="AG609" s="259"/>
    </row>
    <row r="610">
      <c r="AG610" s="259"/>
    </row>
    <row r="611">
      <c r="AG611" s="259"/>
    </row>
    <row r="612">
      <c r="AG612" s="259"/>
    </row>
    <row r="613">
      <c r="AG613" s="259"/>
    </row>
    <row r="614">
      <c r="AG614" s="259"/>
    </row>
    <row r="615">
      <c r="AG615" s="259"/>
    </row>
    <row r="616">
      <c r="AG616" s="259"/>
    </row>
    <row r="617">
      <c r="AG617" s="259"/>
    </row>
    <row r="618">
      <c r="AG618" s="259"/>
    </row>
    <row r="619">
      <c r="AG619" s="259"/>
    </row>
    <row r="620">
      <c r="AG620" s="259"/>
    </row>
    <row r="621">
      <c r="AG621" s="259"/>
    </row>
    <row r="622">
      <c r="AG622" s="259"/>
    </row>
    <row r="623">
      <c r="AG623" s="259"/>
    </row>
    <row r="624">
      <c r="AG624" s="259"/>
    </row>
    <row r="625">
      <c r="AG625" s="259"/>
    </row>
    <row r="626">
      <c r="AG626" s="259"/>
    </row>
    <row r="627">
      <c r="AG627" s="259"/>
    </row>
    <row r="628">
      <c r="AG628" s="259"/>
    </row>
    <row r="629">
      <c r="AG629" s="259"/>
    </row>
    <row r="630">
      <c r="AG630" s="259"/>
    </row>
    <row r="631">
      <c r="AG631" s="259"/>
    </row>
    <row r="632">
      <c r="AG632" s="259"/>
    </row>
    <row r="633">
      <c r="AG633" s="259"/>
    </row>
    <row r="634">
      <c r="AG634" s="259"/>
    </row>
    <row r="635">
      <c r="AG635" s="259"/>
    </row>
    <row r="636">
      <c r="AG636" s="259"/>
    </row>
    <row r="637">
      <c r="AG637" s="259"/>
    </row>
    <row r="638">
      <c r="AG638" s="259"/>
    </row>
    <row r="639">
      <c r="AG639" s="259"/>
    </row>
    <row r="640">
      <c r="AG640" s="259"/>
    </row>
    <row r="641">
      <c r="AG641" s="259"/>
    </row>
    <row r="642">
      <c r="AG642" s="259"/>
    </row>
    <row r="643">
      <c r="AG643" s="259"/>
    </row>
    <row r="644">
      <c r="AG644" s="259"/>
    </row>
    <row r="645">
      <c r="AG645" s="259"/>
    </row>
    <row r="646">
      <c r="AG646" s="259"/>
    </row>
    <row r="647">
      <c r="AG647" s="259"/>
    </row>
    <row r="648">
      <c r="AG648" s="259"/>
    </row>
    <row r="649">
      <c r="AG649" s="259"/>
    </row>
    <row r="650">
      <c r="AG650" s="259"/>
    </row>
    <row r="651">
      <c r="AG651" s="259"/>
    </row>
    <row r="652">
      <c r="AG652" s="259"/>
    </row>
    <row r="653">
      <c r="AG653" s="259"/>
    </row>
    <row r="654">
      <c r="AG654" s="259"/>
    </row>
    <row r="655">
      <c r="AG655" s="259"/>
    </row>
    <row r="656">
      <c r="AG656" s="259"/>
    </row>
    <row r="657">
      <c r="AG657" s="259"/>
    </row>
    <row r="658">
      <c r="AG658" s="259"/>
    </row>
    <row r="659">
      <c r="AG659" s="259"/>
    </row>
    <row r="660">
      <c r="AG660" s="259"/>
    </row>
    <row r="661">
      <c r="AG661" s="259"/>
    </row>
    <row r="662">
      <c r="AG662" s="259"/>
    </row>
    <row r="663">
      <c r="AG663" s="259"/>
    </row>
    <row r="664">
      <c r="AG664" s="259"/>
    </row>
    <row r="665">
      <c r="AG665" s="259"/>
    </row>
    <row r="666">
      <c r="AG666" s="259"/>
    </row>
    <row r="667">
      <c r="AG667" s="259"/>
    </row>
    <row r="668">
      <c r="AG668" s="259"/>
    </row>
    <row r="669">
      <c r="AG669" s="259"/>
    </row>
    <row r="670">
      <c r="AG670" s="259"/>
    </row>
    <row r="671">
      <c r="AG671" s="259"/>
    </row>
    <row r="672">
      <c r="AG672" s="259"/>
    </row>
    <row r="673">
      <c r="AG673" s="259"/>
    </row>
    <row r="674">
      <c r="AG674" s="259"/>
    </row>
    <row r="675">
      <c r="AG675" s="259"/>
    </row>
    <row r="676">
      <c r="AG676" s="259"/>
    </row>
    <row r="677">
      <c r="AG677" s="259"/>
    </row>
    <row r="678">
      <c r="AG678" s="259"/>
    </row>
    <row r="679">
      <c r="AG679" s="259"/>
    </row>
    <row r="680">
      <c r="AG680" s="259"/>
    </row>
    <row r="681">
      <c r="AG681" s="259"/>
    </row>
    <row r="682">
      <c r="AG682" s="259"/>
    </row>
    <row r="683">
      <c r="AG683" s="259"/>
    </row>
    <row r="684">
      <c r="AG684" s="259"/>
    </row>
    <row r="685">
      <c r="AG685" s="259"/>
    </row>
    <row r="686">
      <c r="AG686" s="259"/>
    </row>
    <row r="687">
      <c r="AG687" s="259"/>
    </row>
    <row r="688">
      <c r="AG688" s="259"/>
    </row>
    <row r="689">
      <c r="AG689" s="259"/>
    </row>
    <row r="690">
      <c r="AG690" s="259"/>
    </row>
    <row r="691">
      <c r="AG691" s="259"/>
    </row>
    <row r="692">
      <c r="AG692" s="259"/>
    </row>
    <row r="693">
      <c r="AG693" s="259"/>
    </row>
    <row r="694">
      <c r="AG694" s="259"/>
    </row>
    <row r="695">
      <c r="AG695" s="259"/>
    </row>
    <row r="696">
      <c r="AG696" s="259"/>
    </row>
    <row r="697">
      <c r="AG697" s="259"/>
    </row>
    <row r="698">
      <c r="AG698" s="259"/>
    </row>
    <row r="699">
      <c r="AG699" s="259"/>
    </row>
    <row r="700">
      <c r="AG700" s="259"/>
    </row>
    <row r="701">
      <c r="AG701" s="259"/>
    </row>
    <row r="702">
      <c r="AG702" s="259"/>
    </row>
    <row r="703">
      <c r="AG703" s="259"/>
    </row>
    <row r="704">
      <c r="AG704" s="259"/>
    </row>
    <row r="705">
      <c r="AG705" s="259"/>
    </row>
    <row r="706">
      <c r="AG706" s="259"/>
    </row>
    <row r="707">
      <c r="AG707" s="259"/>
    </row>
    <row r="708">
      <c r="AG708" s="259"/>
    </row>
    <row r="709">
      <c r="AG709" s="259"/>
    </row>
    <row r="710">
      <c r="AG710" s="259"/>
    </row>
    <row r="711">
      <c r="AG711" s="259"/>
    </row>
    <row r="712">
      <c r="AG712" s="259"/>
    </row>
    <row r="713">
      <c r="AG713" s="259"/>
    </row>
    <row r="714">
      <c r="AG714" s="259"/>
    </row>
    <row r="715">
      <c r="AG715" s="259"/>
    </row>
    <row r="716">
      <c r="AG716" s="259"/>
    </row>
    <row r="717">
      <c r="AG717" s="259"/>
    </row>
    <row r="718">
      <c r="AG718" s="259"/>
    </row>
    <row r="719">
      <c r="AG719" s="259"/>
    </row>
    <row r="720">
      <c r="AG720" s="259"/>
    </row>
    <row r="721">
      <c r="AG721" s="259"/>
    </row>
    <row r="722">
      <c r="AG722" s="259"/>
    </row>
    <row r="723">
      <c r="AG723" s="259"/>
    </row>
    <row r="724">
      <c r="AG724" s="259"/>
    </row>
    <row r="725">
      <c r="AG725" s="259"/>
    </row>
    <row r="726">
      <c r="AG726" s="259"/>
    </row>
    <row r="727">
      <c r="AG727" s="259"/>
    </row>
    <row r="728">
      <c r="AG728" s="259"/>
    </row>
    <row r="729">
      <c r="AG729" s="259"/>
    </row>
    <row r="730">
      <c r="AG730" s="259"/>
    </row>
    <row r="731">
      <c r="AG731" s="259"/>
    </row>
    <row r="732">
      <c r="AG732" s="259"/>
    </row>
    <row r="733">
      <c r="AG733" s="259"/>
    </row>
    <row r="734">
      <c r="AG734" s="259"/>
    </row>
    <row r="735">
      <c r="AG735" s="259"/>
    </row>
    <row r="736">
      <c r="AG736" s="259"/>
    </row>
    <row r="737">
      <c r="AG737" s="259"/>
    </row>
    <row r="738">
      <c r="AG738" s="259"/>
    </row>
    <row r="739">
      <c r="AG739" s="259"/>
    </row>
    <row r="740">
      <c r="AG740" s="259"/>
    </row>
    <row r="741">
      <c r="AG741" s="259"/>
    </row>
    <row r="742">
      <c r="AG742" s="259"/>
    </row>
    <row r="743">
      <c r="AG743" s="259"/>
    </row>
    <row r="744">
      <c r="AG744" s="259"/>
    </row>
    <row r="745">
      <c r="AG745" s="259"/>
    </row>
    <row r="746">
      <c r="AG746" s="259"/>
    </row>
    <row r="747">
      <c r="AG747" s="259"/>
    </row>
    <row r="748">
      <c r="AG748" s="259"/>
    </row>
    <row r="749">
      <c r="AG749" s="259"/>
    </row>
    <row r="750">
      <c r="AG750" s="259"/>
    </row>
    <row r="751">
      <c r="AG751" s="259"/>
    </row>
    <row r="752">
      <c r="AG752" s="259"/>
    </row>
    <row r="753">
      <c r="AG753" s="259"/>
    </row>
    <row r="754">
      <c r="AG754" s="259"/>
    </row>
    <row r="755">
      <c r="AG755" s="259"/>
    </row>
    <row r="756">
      <c r="AG756" s="259"/>
    </row>
    <row r="757">
      <c r="AG757" s="259"/>
    </row>
    <row r="758">
      <c r="AG758" s="259"/>
    </row>
    <row r="759">
      <c r="AG759" s="259"/>
    </row>
    <row r="760">
      <c r="AG760" s="259"/>
    </row>
    <row r="761">
      <c r="AG761" s="259"/>
    </row>
    <row r="762">
      <c r="AG762" s="259"/>
    </row>
    <row r="763">
      <c r="AG763" s="259"/>
    </row>
    <row r="764">
      <c r="AG764" s="259"/>
    </row>
    <row r="765">
      <c r="AG765" s="259"/>
    </row>
    <row r="766">
      <c r="AG766" s="259"/>
    </row>
    <row r="767">
      <c r="AG767" s="259"/>
    </row>
    <row r="768">
      <c r="AG768" s="259"/>
    </row>
    <row r="769">
      <c r="AG769" s="259"/>
    </row>
    <row r="770">
      <c r="AG770" s="259"/>
    </row>
    <row r="771">
      <c r="AG771" s="259"/>
    </row>
    <row r="772">
      <c r="AG772" s="259"/>
    </row>
    <row r="773">
      <c r="AG773" s="259"/>
    </row>
    <row r="774">
      <c r="AG774" s="259"/>
    </row>
    <row r="775">
      <c r="AG775" s="259"/>
    </row>
    <row r="776">
      <c r="AG776" s="259"/>
    </row>
    <row r="777">
      <c r="AG777" s="259"/>
    </row>
    <row r="778">
      <c r="AG778" s="259"/>
    </row>
    <row r="779">
      <c r="AG779" s="259"/>
    </row>
    <row r="780">
      <c r="AG780" s="25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min="32" max="33" width="16.25"/>
  </cols>
  <sheetData>
    <row r="1">
      <c r="A1" s="327" t="s">
        <v>99</v>
      </c>
      <c r="B1" s="77">
        <v>45292.0</v>
      </c>
      <c r="C1" s="77">
        <v>45293.0</v>
      </c>
      <c r="D1" s="77">
        <v>45294.0</v>
      </c>
      <c r="E1" s="77">
        <v>45295.0</v>
      </c>
      <c r="F1" s="77">
        <v>45296.0</v>
      </c>
      <c r="G1" s="77">
        <v>45297.0</v>
      </c>
      <c r="H1" s="77">
        <v>45298.0</v>
      </c>
      <c r="I1" s="77">
        <v>45299.0</v>
      </c>
      <c r="J1" s="77">
        <v>45300.0</v>
      </c>
      <c r="K1" s="77">
        <v>45301.0</v>
      </c>
      <c r="L1" s="77">
        <v>45302.0</v>
      </c>
      <c r="M1" s="77">
        <v>45303.0</v>
      </c>
      <c r="N1" s="77">
        <v>45304.0</v>
      </c>
      <c r="O1" s="77">
        <v>45305.0</v>
      </c>
      <c r="P1" s="77">
        <v>45306.0</v>
      </c>
      <c r="Q1" s="77">
        <v>45307.0</v>
      </c>
      <c r="R1" s="77">
        <v>45308.0</v>
      </c>
      <c r="S1" s="77">
        <v>45309.0</v>
      </c>
      <c r="T1" s="77">
        <v>45310.0</v>
      </c>
      <c r="U1" s="77">
        <v>45311.0</v>
      </c>
      <c r="V1" s="77">
        <v>45312.0</v>
      </c>
      <c r="W1" s="77">
        <v>45313.0</v>
      </c>
      <c r="X1" s="77">
        <v>45314.0</v>
      </c>
      <c r="Y1" s="77">
        <v>45315.0</v>
      </c>
      <c r="Z1" s="77">
        <v>45316.0</v>
      </c>
      <c r="AA1" s="77">
        <v>45317.0</v>
      </c>
      <c r="AB1" s="77">
        <v>45318.0</v>
      </c>
      <c r="AC1" s="77">
        <v>45319.0</v>
      </c>
      <c r="AD1" s="77">
        <v>45320.0</v>
      </c>
      <c r="AE1" s="77">
        <v>45321.0</v>
      </c>
      <c r="AF1" s="77">
        <v>45322.0</v>
      </c>
      <c r="AG1" s="78"/>
    </row>
    <row r="2">
      <c r="A2" s="79" t="s">
        <v>100</v>
      </c>
      <c r="B2" s="80" t="s">
        <v>0</v>
      </c>
      <c r="C2" s="80" t="s">
        <v>7</v>
      </c>
      <c r="D2" s="80" t="s">
        <v>2</v>
      </c>
      <c r="E2" s="80" t="s">
        <v>3</v>
      </c>
      <c r="F2" s="80" t="s">
        <v>4</v>
      </c>
      <c r="G2" s="80" t="s">
        <v>5</v>
      </c>
      <c r="H2" s="80" t="s">
        <v>6</v>
      </c>
      <c r="I2" s="80" t="s">
        <v>0</v>
      </c>
      <c r="J2" s="80" t="s">
        <v>7</v>
      </c>
      <c r="K2" s="80" t="s">
        <v>2</v>
      </c>
      <c r="L2" s="80" t="s">
        <v>3</v>
      </c>
      <c r="M2" s="80" t="s">
        <v>4</v>
      </c>
      <c r="N2" s="80" t="s">
        <v>5</v>
      </c>
      <c r="O2" s="80" t="s">
        <v>6</v>
      </c>
      <c r="P2" s="80" t="s">
        <v>0</v>
      </c>
      <c r="Q2" s="80" t="s">
        <v>7</v>
      </c>
      <c r="R2" s="80" t="s">
        <v>2</v>
      </c>
      <c r="S2" s="80" t="s">
        <v>3</v>
      </c>
      <c r="T2" s="80" t="s">
        <v>4</v>
      </c>
      <c r="U2" s="80" t="s">
        <v>5</v>
      </c>
      <c r="V2" s="80" t="s">
        <v>6</v>
      </c>
      <c r="W2" s="80" t="s">
        <v>0</v>
      </c>
      <c r="X2" s="80" t="s">
        <v>7</v>
      </c>
      <c r="Y2" s="80" t="s">
        <v>2</v>
      </c>
      <c r="Z2" s="80" t="s">
        <v>3</v>
      </c>
      <c r="AA2" s="80" t="s">
        <v>4</v>
      </c>
      <c r="AB2" s="80" t="s">
        <v>5</v>
      </c>
      <c r="AC2" s="80" t="s">
        <v>6</v>
      </c>
      <c r="AD2" s="80" t="s">
        <v>0</v>
      </c>
      <c r="AE2" s="80" t="s">
        <v>7</v>
      </c>
      <c r="AF2" s="80" t="s">
        <v>2</v>
      </c>
      <c r="AG2" s="78"/>
    </row>
    <row r="3">
      <c r="A3" s="81" t="s">
        <v>101</v>
      </c>
      <c r="B3" s="82"/>
      <c r="C3" s="82"/>
      <c r="D3" s="82"/>
      <c r="E3" s="82"/>
      <c r="F3" s="82"/>
      <c r="G3" s="82"/>
      <c r="H3" s="82"/>
      <c r="I3" s="82"/>
      <c r="J3" s="82"/>
      <c r="K3" s="82"/>
      <c r="L3" s="82"/>
      <c r="M3" s="82"/>
      <c r="N3" s="82"/>
      <c r="O3" s="82"/>
      <c r="P3" s="82"/>
      <c r="Q3" s="82"/>
      <c r="R3" s="82"/>
      <c r="S3" s="82"/>
      <c r="T3" s="82"/>
      <c r="U3" s="82"/>
      <c r="V3" s="82"/>
      <c r="W3" s="82"/>
      <c r="X3" s="82"/>
      <c r="Y3" s="82"/>
      <c r="Z3" s="82"/>
      <c r="AA3" s="82"/>
      <c r="AB3" s="83"/>
      <c r="AC3" s="82"/>
      <c r="AD3" s="82"/>
      <c r="AE3" s="82"/>
      <c r="AF3" s="82"/>
      <c r="AG3" s="78"/>
    </row>
    <row r="4">
      <c r="A4" s="84" t="s">
        <v>94</v>
      </c>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78"/>
    </row>
    <row r="5">
      <c r="A5" s="118" t="s">
        <v>432</v>
      </c>
      <c r="B5" s="328">
        <f>Summary!B54</f>
        <v>14</v>
      </c>
      <c r="C5" s="328">
        <f>Summary!C54</f>
        <v>30</v>
      </c>
      <c r="D5" s="328">
        <f>Summary!D54</f>
        <v>34</v>
      </c>
      <c r="E5" s="329">
        <f>Summary!E54</f>
        <v>15</v>
      </c>
      <c r="F5" s="329">
        <f>Summary!F54</f>
        <v>23</v>
      </c>
      <c r="G5" s="329">
        <f>Summary!G54</f>
        <v>18</v>
      </c>
      <c r="H5" s="329">
        <f>Summary!H54</f>
        <v>22</v>
      </c>
      <c r="I5" s="329">
        <f>Summary!I54</f>
        <v>40</v>
      </c>
      <c r="J5" s="329">
        <f>Summary!J54</f>
        <v>23</v>
      </c>
      <c r="K5" s="329">
        <f>Summary!K54</f>
        <v>20</v>
      </c>
      <c r="L5" s="329">
        <f>Summary!L54</f>
        <v>26</v>
      </c>
      <c r="M5" s="329">
        <f>Summary!M54</f>
        <v>29</v>
      </c>
      <c r="N5" s="329">
        <f>Summary!N54</f>
        <v>23</v>
      </c>
      <c r="O5" s="329">
        <f>Summary!O54</f>
        <v>19</v>
      </c>
      <c r="P5" s="329">
        <f>Summary!P54</f>
        <v>20</v>
      </c>
      <c r="Q5" s="329">
        <f>Summary!Q54</f>
        <v>23</v>
      </c>
      <c r="R5" s="329">
        <f>Summary!R54</f>
        <v>28</v>
      </c>
      <c r="S5" s="329">
        <f>Summary!S54</f>
        <v>19</v>
      </c>
      <c r="T5" s="329">
        <f>Summary!T54</f>
        <v>30</v>
      </c>
      <c r="U5" s="329">
        <f>Summary!U54</f>
        <v>49</v>
      </c>
      <c r="V5" s="329">
        <f>Summary!V54</f>
        <v>65</v>
      </c>
      <c r="W5" s="329">
        <f>Summary!W54</f>
        <v>52</v>
      </c>
      <c r="X5" s="329">
        <f>Summary!X54</f>
        <v>31</v>
      </c>
      <c r="Y5" s="330">
        <f>Summary!Y54</f>
        <v>42</v>
      </c>
      <c r="Z5" s="330">
        <f>Summary!Z54</f>
        <v>34</v>
      </c>
      <c r="AA5" s="330">
        <f>Summary!AA54</f>
        <v>41</v>
      </c>
      <c r="AB5" s="329">
        <f>Summary!AB54</f>
        <v>56</v>
      </c>
      <c r="AC5" s="329">
        <f>Summary!AC54</f>
        <v>69</v>
      </c>
      <c r="AD5" s="329">
        <f>Summary!AD54</f>
        <v>67</v>
      </c>
      <c r="AE5" s="329">
        <f>Summary!AE54</f>
        <v>47</v>
      </c>
      <c r="AF5" s="329">
        <f>Summary!AF54</f>
        <v>64</v>
      </c>
      <c r="AG5" s="103"/>
    </row>
    <row r="6">
      <c r="A6" s="104" t="s">
        <v>109</v>
      </c>
      <c r="B6" s="105">
        <f t="shared" ref="B6:AF6" si="1">SUM(B5)</f>
        <v>14</v>
      </c>
      <c r="C6" s="105">
        <f t="shared" si="1"/>
        <v>30</v>
      </c>
      <c r="D6" s="105">
        <f t="shared" si="1"/>
        <v>34</v>
      </c>
      <c r="E6" s="105">
        <f t="shared" si="1"/>
        <v>15</v>
      </c>
      <c r="F6" s="105">
        <f t="shared" si="1"/>
        <v>23</v>
      </c>
      <c r="G6" s="105">
        <f t="shared" si="1"/>
        <v>18</v>
      </c>
      <c r="H6" s="105">
        <f t="shared" si="1"/>
        <v>22</v>
      </c>
      <c r="I6" s="105">
        <f t="shared" si="1"/>
        <v>40</v>
      </c>
      <c r="J6" s="105">
        <f t="shared" si="1"/>
        <v>23</v>
      </c>
      <c r="K6" s="105">
        <f t="shared" si="1"/>
        <v>20</v>
      </c>
      <c r="L6" s="105">
        <f t="shared" si="1"/>
        <v>26</v>
      </c>
      <c r="M6" s="105">
        <f t="shared" si="1"/>
        <v>29</v>
      </c>
      <c r="N6" s="105">
        <f t="shared" si="1"/>
        <v>23</v>
      </c>
      <c r="O6" s="105">
        <f t="shared" si="1"/>
        <v>19</v>
      </c>
      <c r="P6" s="105">
        <f t="shared" si="1"/>
        <v>20</v>
      </c>
      <c r="Q6" s="105">
        <f t="shared" si="1"/>
        <v>23</v>
      </c>
      <c r="R6" s="105">
        <f t="shared" si="1"/>
        <v>28</v>
      </c>
      <c r="S6" s="105">
        <f t="shared" si="1"/>
        <v>19</v>
      </c>
      <c r="T6" s="105">
        <f t="shared" si="1"/>
        <v>30</v>
      </c>
      <c r="U6" s="105">
        <f t="shared" si="1"/>
        <v>49</v>
      </c>
      <c r="V6" s="105">
        <f t="shared" si="1"/>
        <v>65</v>
      </c>
      <c r="W6" s="105">
        <f t="shared" si="1"/>
        <v>52</v>
      </c>
      <c r="X6" s="105">
        <f t="shared" si="1"/>
        <v>31</v>
      </c>
      <c r="Y6" s="105">
        <f t="shared" si="1"/>
        <v>42</v>
      </c>
      <c r="Z6" s="105">
        <f t="shared" si="1"/>
        <v>34</v>
      </c>
      <c r="AA6" s="105">
        <f t="shared" si="1"/>
        <v>41</v>
      </c>
      <c r="AB6" s="105">
        <f t="shared" si="1"/>
        <v>56</v>
      </c>
      <c r="AC6" s="105">
        <f t="shared" si="1"/>
        <v>69</v>
      </c>
      <c r="AD6" s="105">
        <f t="shared" si="1"/>
        <v>67</v>
      </c>
      <c r="AE6" s="105">
        <f t="shared" si="1"/>
        <v>47</v>
      </c>
      <c r="AF6" s="105">
        <f t="shared" si="1"/>
        <v>64</v>
      </c>
      <c r="AG6" s="97">
        <f>SUM(B6:AF6)</f>
        <v>1073</v>
      </c>
    </row>
    <row r="7">
      <c r="A7" s="98"/>
      <c r="B7" s="82"/>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92"/>
    </row>
    <row r="8">
      <c r="A8" s="106" t="s">
        <v>87</v>
      </c>
      <c r="B8" s="82"/>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92"/>
    </row>
    <row r="9">
      <c r="A9" s="118" t="s">
        <v>432</v>
      </c>
      <c r="B9" s="331">
        <f>Summary!B15</f>
        <v>8259.3</v>
      </c>
      <c r="C9" s="331">
        <f>Summary!C15</f>
        <v>8509.69</v>
      </c>
      <c r="D9" s="331">
        <f>Summary!D15</f>
        <v>9959.99</v>
      </c>
      <c r="E9" s="332">
        <f>Summary!E15</f>
        <v>7222.59</v>
      </c>
      <c r="F9" s="332">
        <f>Summary!F15</f>
        <v>7395.73</v>
      </c>
      <c r="G9" s="332">
        <f>Summary!G15</f>
        <v>6262.25</v>
      </c>
      <c r="H9" s="332">
        <f>Summary!H15</f>
        <v>5480.06</v>
      </c>
      <c r="I9" s="332">
        <f>Summary!I15</f>
        <v>8883.31</v>
      </c>
      <c r="J9" s="332">
        <f>Summary!J15</f>
        <v>7691.9</v>
      </c>
      <c r="K9" s="332">
        <f>Summary!K15</f>
        <v>6009.1</v>
      </c>
      <c r="L9" s="332">
        <f>Summary!L15</f>
        <v>6836.91</v>
      </c>
      <c r="M9" s="332">
        <f>Summary!M15</f>
        <v>7186.15</v>
      </c>
      <c r="N9" s="332">
        <f>Summary!N15</f>
        <v>6808.2</v>
      </c>
      <c r="O9" s="332">
        <f>Summary!O15</f>
        <v>5606.65</v>
      </c>
      <c r="P9" s="332">
        <f>Summary!P15</f>
        <v>6447.71</v>
      </c>
      <c r="Q9" s="332">
        <f>Summary!Q15</f>
        <v>5107.37</v>
      </c>
      <c r="R9" s="332">
        <f>Summary!R15</f>
        <v>5553.28</v>
      </c>
      <c r="S9" s="332">
        <f>Summary!S15</f>
        <v>7299.76</v>
      </c>
      <c r="T9" s="332">
        <f>Summary!T15</f>
        <v>7713.73</v>
      </c>
      <c r="U9" s="332">
        <f>Summary!U15</f>
        <v>12003.2</v>
      </c>
      <c r="V9" s="332">
        <f>Summary!V15</f>
        <v>14724.89</v>
      </c>
      <c r="W9" s="332">
        <f>Summary!W15</f>
        <v>14303.64</v>
      </c>
      <c r="X9" s="332">
        <f>Summary!X15</f>
        <v>9192.83</v>
      </c>
      <c r="Y9" s="332">
        <f>Summary!Y15</f>
        <v>11589.08</v>
      </c>
      <c r="Z9" s="332">
        <f>Summary!Z15</f>
        <v>7644.99</v>
      </c>
      <c r="AA9" s="332">
        <f>Summary!AA15</f>
        <v>10785.47</v>
      </c>
      <c r="AB9" s="332">
        <f>Summary!AB15</f>
        <v>10357.56</v>
      </c>
      <c r="AC9" s="332">
        <f>Summary!AC15</f>
        <v>15763.1</v>
      </c>
      <c r="AD9" s="332">
        <f>Summary!AD15</f>
        <v>17036.84</v>
      </c>
      <c r="AE9" s="332">
        <f>Summary!AE15</f>
        <v>11243.16</v>
      </c>
      <c r="AF9" s="332">
        <f>Summary!AF15</f>
        <v>14667.91</v>
      </c>
      <c r="AG9" s="103"/>
    </row>
    <row r="10">
      <c r="A10" s="104" t="s">
        <v>109</v>
      </c>
      <c r="B10" s="125">
        <f t="shared" ref="B10:AF10" si="2">SUM(B9)</f>
        <v>8259.3</v>
      </c>
      <c r="C10" s="125">
        <f t="shared" si="2"/>
        <v>8509.69</v>
      </c>
      <c r="D10" s="125">
        <f t="shared" si="2"/>
        <v>9959.99</v>
      </c>
      <c r="E10" s="125">
        <f t="shared" si="2"/>
        <v>7222.59</v>
      </c>
      <c r="F10" s="125">
        <f t="shared" si="2"/>
        <v>7395.73</v>
      </c>
      <c r="G10" s="125">
        <f t="shared" si="2"/>
        <v>6262.25</v>
      </c>
      <c r="H10" s="125">
        <f t="shared" si="2"/>
        <v>5480.06</v>
      </c>
      <c r="I10" s="125">
        <f t="shared" si="2"/>
        <v>8883.31</v>
      </c>
      <c r="J10" s="125">
        <f t="shared" si="2"/>
        <v>7691.9</v>
      </c>
      <c r="K10" s="125">
        <f t="shared" si="2"/>
        <v>6009.1</v>
      </c>
      <c r="L10" s="125">
        <f t="shared" si="2"/>
        <v>6836.91</v>
      </c>
      <c r="M10" s="125">
        <f t="shared" si="2"/>
        <v>7186.15</v>
      </c>
      <c r="N10" s="125">
        <f t="shared" si="2"/>
        <v>6808.2</v>
      </c>
      <c r="O10" s="125">
        <f t="shared" si="2"/>
        <v>5606.65</v>
      </c>
      <c r="P10" s="125">
        <f t="shared" si="2"/>
        <v>6447.71</v>
      </c>
      <c r="Q10" s="125">
        <f t="shared" si="2"/>
        <v>5107.37</v>
      </c>
      <c r="R10" s="125">
        <f t="shared" si="2"/>
        <v>5553.28</v>
      </c>
      <c r="S10" s="125">
        <f t="shared" si="2"/>
        <v>7299.76</v>
      </c>
      <c r="T10" s="125">
        <f t="shared" si="2"/>
        <v>7713.73</v>
      </c>
      <c r="U10" s="125">
        <f t="shared" si="2"/>
        <v>12003.2</v>
      </c>
      <c r="V10" s="125">
        <f t="shared" si="2"/>
        <v>14724.89</v>
      </c>
      <c r="W10" s="125">
        <f t="shared" si="2"/>
        <v>14303.64</v>
      </c>
      <c r="X10" s="125">
        <f t="shared" si="2"/>
        <v>9192.83</v>
      </c>
      <c r="Y10" s="125">
        <f t="shared" si="2"/>
        <v>11589.08</v>
      </c>
      <c r="Z10" s="125">
        <f t="shared" si="2"/>
        <v>7644.99</v>
      </c>
      <c r="AA10" s="125">
        <f t="shared" si="2"/>
        <v>10785.47</v>
      </c>
      <c r="AB10" s="125">
        <f t="shared" si="2"/>
        <v>10357.56</v>
      </c>
      <c r="AC10" s="125">
        <f t="shared" si="2"/>
        <v>15763.1</v>
      </c>
      <c r="AD10" s="125">
        <f t="shared" si="2"/>
        <v>17036.84</v>
      </c>
      <c r="AE10" s="125">
        <f t="shared" si="2"/>
        <v>11243.16</v>
      </c>
      <c r="AF10" s="125">
        <f t="shared" si="2"/>
        <v>14667.91</v>
      </c>
      <c r="AG10" s="126">
        <f>SUM(B10:AF10)</f>
        <v>283546.35</v>
      </c>
    </row>
    <row r="11">
      <c r="A11" s="98"/>
      <c r="B11" s="82"/>
      <c r="C11" s="82"/>
      <c r="D11" s="82"/>
      <c r="E11" s="82"/>
      <c r="F11" s="82"/>
      <c r="G11" s="82"/>
      <c r="H11" s="82"/>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92"/>
    </row>
    <row r="12">
      <c r="A12" s="127" t="s">
        <v>110</v>
      </c>
      <c r="B12" s="82"/>
      <c r="C12" s="82"/>
      <c r="D12" s="82"/>
      <c r="E12" s="82"/>
      <c r="F12" s="82"/>
      <c r="G12" s="82"/>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92"/>
    </row>
    <row r="13">
      <c r="A13" s="85" t="s">
        <v>59</v>
      </c>
      <c r="B13" s="252">
        <f>Summary!B77</f>
        <v>2390.92</v>
      </c>
      <c r="C13" s="252">
        <f>Summary!C77</f>
        <v>2568.83</v>
      </c>
      <c r="D13" s="252">
        <f>Summary!D77</f>
        <v>1913.96</v>
      </c>
      <c r="E13" s="206">
        <f>Summary!E77</f>
        <v>1152.11</v>
      </c>
      <c r="F13" s="206">
        <f>Summary!F77</f>
        <v>1392.03</v>
      </c>
      <c r="G13" s="206">
        <f>Summary!G77</f>
        <v>0</v>
      </c>
      <c r="H13" s="206">
        <f>Summary!H77</f>
        <v>0</v>
      </c>
      <c r="I13" s="206">
        <f>Summary!I77</f>
        <v>341.24</v>
      </c>
      <c r="J13" s="206">
        <f>Summary!J77</f>
        <v>892.25</v>
      </c>
      <c r="K13" s="206">
        <f>Summary!K77</f>
        <v>857</v>
      </c>
      <c r="L13" s="206">
        <f>Summary!L77</f>
        <v>986.01</v>
      </c>
      <c r="M13" s="206">
        <f>Summary!M77</f>
        <v>1180.06</v>
      </c>
      <c r="N13" s="206">
        <f>Summary!N77</f>
        <v>867.48</v>
      </c>
      <c r="O13" s="206">
        <f>Summary!O77</f>
        <v>1071.76</v>
      </c>
      <c r="P13" s="206">
        <f>Summary!P77</f>
        <v>1012.45</v>
      </c>
      <c r="Q13" s="206">
        <f>Summary!Q77</f>
        <v>977.04</v>
      </c>
      <c r="R13" s="206">
        <f>Summary!R77</f>
        <v>936.82</v>
      </c>
      <c r="S13" s="206">
        <f>Summary!S77</f>
        <v>995.13</v>
      </c>
      <c r="T13" s="206">
        <f>Summary!T77</f>
        <v>1262.59</v>
      </c>
      <c r="U13" s="206">
        <f>Summary!U77</f>
        <v>1408.85</v>
      </c>
      <c r="V13" s="206">
        <f>Summary!V77</f>
        <v>1380.25</v>
      </c>
      <c r="W13" s="206">
        <f>Summary!W77</f>
        <v>672.65</v>
      </c>
      <c r="X13" s="206">
        <f>Summary!X77</f>
        <v>709.7</v>
      </c>
      <c r="Y13" s="206">
        <f>Summary!Y77</f>
        <v>737.2</v>
      </c>
      <c r="Z13" s="206">
        <f>Summary!Z77</f>
        <v>863.9</v>
      </c>
      <c r="AA13" s="206">
        <f>Summary!AA77</f>
        <v>1191.1</v>
      </c>
      <c r="AB13" s="206">
        <f>Summary!AB77</f>
        <v>1856.57</v>
      </c>
      <c r="AC13" s="206">
        <f>Summary!AC77</f>
        <v>2428.3</v>
      </c>
      <c r="AD13" s="206">
        <f>Summary!AD77</f>
        <v>1865.18</v>
      </c>
      <c r="AE13" s="206">
        <f>Summary!AE77</f>
        <v>1736.58</v>
      </c>
      <c r="AF13" s="206">
        <f>Summary!AF77</f>
        <v>1754.27</v>
      </c>
      <c r="AG13" s="126">
        <f>SUM(B13:AF13)</f>
        <v>37402.23</v>
      </c>
    </row>
    <row r="14">
      <c r="A14" s="118" t="s">
        <v>433</v>
      </c>
      <c r="B14" s="253">
        <f>B9*'Data - P&amp;L'!$C$48</f>
        <v>1238.895</v>
      </c>
      <c r="C14" s="253">
        <f>C9*'Data - P&amp;L'!$C$48</f>
        <v>1276.4535</v>
      </c>
      <c r="D14" s="253">
        <f>D9*'Data - P&amp;L'!$C$48</f>
        <v>1493.9985</v>
      </c>
      <c r="E14" s="253">
        <f>E9*'Data - P&amp;L'!$C$48</f>
        <v>1083.3885</v>
      </c>
      <c r="F14" s="253">
        <f>F9*'Data - P&amp;L'!$C$48</f>
        <v>1109.3595</v>
      </c>
      <c r="G14" s="253">
        <f>G9*'Data - P&amp;L'!$C$48</f>
        <v>939.3375</v>
      </c>
      <c r="H14" s="253">
        <f>H9*'Data - P&amp;L'!$C$48</f>
        <v>822.009</v>
      </c>
      <c r="I14" s="253">
        <f>I9*'Data - P&amp;L'!$C$48</f>
        <v>1332.4965</v>
      </c>
      <c r="J14" s="253">
        <f>J9*'Data - P&amp;L'!$C$48</f>
        <v>1153.785</v>
      </c>
      <c r="K14" s="253">
        <f>K9*'Data - P&amp;L'!$C$48</f>
        <v>901.365</v>
      </c>
      <c r="L14" s="253">
        <f>L9*'Data - P&amp;L'!$C$48</f>
        <v>1025.5365</v>
      </c>
      <c r="M14" s="253">
        <f>M9*'Data - P&amp;L'!$C$48</f>
        <v>1077.9225</v>
      </c>
      <c r="N14" s="253">
        <f>N9*'Data - P&amp;L'!$C$48</f>
        <v>1021.23</v>
      </c>
      <c r="O14" s="253">
        <f>O9*'Data - P&amp;L'!$C$48</f>
        <v>840.9975</v>
      </c>
      <c r="P14" s="253">
        <f>P9*'Data - P&amp;L'!$C$48</f>
        <v>967.1565</v>
      </c>
      <c r="Q14" s="253">
        <f>Q9*'Data - P&amp;L'!$C$48</f>
        <v>766.1055</v>
      </c>
      <c r="R14" s="253">
        <f>R9*'Data - P&amp;L'!$C$48</f>
        <v>832.992</v>
      </c>
      <c r="S14" s="253">
        <f>S9*'Data - P&amp;L'!$C$48</f>
        <v>1094.964</v>
      </c>
      <c r="T14" s="253">
        <f>T9*'Data - P&amp;L'!$C$48</f>
        <v>1157.0595</v>
      </c>
      <c r="U14" s="253">
        <f>U9*'Data - P&amp;L'!$C$48</f>
        <v>1800.48</v>
      </c>
      <c r="V14" s="253">
        <f>V9*'Data - P&amp;L'!$C$48</f>
        <v>2208.7335</v>
      </c>
      <c r="W14" s="253">
        <f>W9*'Data - P&amp;L'!$C$48</f>
        <v>2145.546</v>
      </c>
      <c r="X14" s="253">
        <f>X9*'Data - P&amp;L'!$C$48</f>
        <v>1378.9245</v>
      </c>
      <c r="Y14" s="253">
        <f>Y9*'Data - P&amp;L'!$C$48</f>
        <v>1738.362</v>
      </c>
      <c r="Z14" s="253">
        <f>Z9*'Data - P&amp;L'!$C$48</f>
        <v>1146.7485</v>
      </c>
      <c r="AA14" s="253">
        <f>AA9*'Data - P&amp;L'!$C$48</f>
        <v>1617.8205</v>
      </c>
      <c r="AB14" s="253">
        <f>AB9*'Data - P&amp;L'!$C$48</f>
        <v>1553.634</v>
      </c>
      <c r="AC14" s="253">
        <f>AC9*'Data - P&amp;L'!$C$48</f>
        <v>2364.465</v>
      </c>
      <c r="AD14" s="253">
        <f>AD9*'Data - P&amp;L'!$C$48</f>
        <v>2555.526</v>
      </c>
      <c r="AE14" s="253">
        <f>AE9*'Data - P&amp;L'!$C$48</f>
        <v>1686.474</v>
      </c>
      <c r="AF14" s="253">
        <f>AF9*'Data - P&amp;L'!$C$48</f>
        <v>2200.1865</v>
      </c>
      <c r="AG14" s="103"/>
    </row>
    <row r="15">
      <c r="A15" s="104" t="s">
        <v>109</v>
      </c>
      <c r="B15" s="125">
        <f t="shared" ref="B15:AF15" si="3">SUM(B13:B14)</f>
        <v>3629.815</v>
      </c>
      <c r="C15" s="125">
        <f t="shared" si="3"/>
        <v>3845.2835</v>
      </c>
      <c r="D15" s="125">
        <f t="shared" si="3"/>
        <v>3407.9585</v>
      </c>
      <c r="E15" s="125">
        <f t="shared" si="3"/>
        <v>2235.4985</v>
      </c>
      <c r="F15" s="125">
        <f t="shared" si="3"/>
        <v>2501.3895</v>
      </c>
      <c r="G15" s="125">
        <f t="shared" si="3"/>
        <v>939.3375</v>
      </c>
      <c r="H15" s="125">
        <f t="shared" si="3"/>
        <v>822.009</v>
      </c>
      <c r="I15" s="125">
        <f t="shared" si="3"/>
        <v>1673.7365</v>
      </c>
      <c r="J15" s="125">
        <f t="shared" si="3"/>
        <v>2046.035</v>
      </c>
      <c r="K15" s="125">
        <f t="shared" si="3"/>
        <v>1758.365</v>
      </c>
      <c r="L15" s="125">
        <f t="shared" si="3"/>
        <v>2011.5465</v>
      </c>
      <c r="M15" s="125">
        <f t="shared" si="3"/>
        <v>2257.9825</v>
      </c>
      <c r="N15" s="125">
        <f t="shared" si="3"/>
        <v>1888.71</v>
      </c>
      <c r="O15" s="125">
        <f t="shared" si="3"/>
        <v>1912.7575</v>
      </c>
      <c r="P15" s="125">
        <f t="shared" si="3"/>
        <v>1979.6065</v>
      </c>
      <c r="Q15" s="125">
        <f t="shared" si="3"/>
        <v>1743.1455</v>
      </c>
      <c r="R15" s="125">
        <f t="shared" si="3"/>
        <v>1769.812</v>
      </c>
      <c r="S15" s="125">
        <f t="shared" si="3"/>
        <v>2090.094</v>
      </c>
      <c r="T15" s="125">
        <f t="shared" si="3"/>
        <v>2419.6495</v>
      </c>
      <c r="U15" s="125">
        <f t="shared" si="3"/>
        <v>3209.33</v>
      </c>
      <c r="V15" s="125">
        <f t="shared" si="3"/>
        <v>3588.9835</v>
      </c>
      <c r="W15" s="125">
        <f t="shared" si="3"/>
        <v>2818.196</v>
      </c>
      <c r="X15" s="125">
        <f t="shared" si="3"/>
        <v>2088.6245</v>
      </c>
      <c r="Y15" s="125">
        <f t="shared" si="3"/>
        <v>2475.562</v>
      </c>
      <c r="Z15" s="125">
        <f t="shared" si="3"/>
        <v>2010.6485</v>
      </c>
      <c r="AA15" s="125">
        <f t="shared" si="3"/>
        <v>2808.9205</v>
      </c>
      <c r="AB15" s="125">
        <f t="shared" si="3"/>
        <v>3410.204</v>
      </c>
      <c r="AC15" s="125">
        <f t="shared" si="3"/>
        <v>4792.765</v>
      </c>
      <c r="AD15" s="133">
        <f t="shared" si="3"/>
        <v>4420.706</v>
      </c>
      <c r="AE15" s="133">
        <f t="shared" si="3"/>
        <v>3423.054</v>
      </c>
      <c r="AF15" s="133">
        <f t="shared" si="3"/>
        <v>3954.4565</v>
      </c>
      <c r="AG15" s="126">
        <f>SUM(B15:AF15)</f>
        <v>79934.1825</v>
      </c>
    </row>
    <row r="16">
      <c r="A16" s="98"/>
      <c r="B16" s="82"/>
      <c r="C16" s="82"/>
      <c r="D16" s="82"/>
      <c r="E16" s="82"/>
      <c r="F16" s="82"/>
      <c r="G16" s="82"/>
      <c r="H16" s="82"/>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92"/>
    </row>
    <row r="17">
      <c r="A17" s="137"/>
      <c r="B17" s="138"/>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78"/>
    </row>
    <row r="18">
      <c r="A18" s="98"/>
      <c r="B18" s="82"/>
      <c r="C18" s="82"/>
      <c r="D18" s="82"/>
      <c r="E18" s="82"/>
      <c r="F18" s="82"/>
      <c r="G18" s="82"/>
      <c r="H18" s="82"/>
      <c r="I18" s="82"/>
      <c r="J18" s="82"/>
      <c r="K18" s="82"/>
      <c r="L18" s="82"/>
      <c r="M18" s="82"/>
      <c r="N18" s="82"/>
      <c r="O18" s="82"/>
      <c r="P18" s="82"/>
      <c r="Q18" s="82"/>
      <c r="R18" s="82"/>
      <c r="S18" s="82"/>
      <c r="T18" s="82"/>
      <c r="U18" s="82"/>
      <c r="V18" s="82"/>
      <c r="W18" s="82"/>
      <c r="X18" s="82"/>
      <c r="Y18" s="82"/>
      <c r="Z18" s="82"/>
      <c r="AA18" s="82"/>
      <c r="AB18" s="82"/>
      <c r="AC18" s="82"/>
      <c r="AD18" s="82"/>
      <c r="AE18" s="82"/>
      <c r="AF18" s="333"/>
      <c r="AG18" s="146"/>
    </row>
    <row r="19">
      <c r="A19" s="147" t="s">
        <v>46</v>
      </c>
      <c r="B19" s="82"/>
      <c r="C19" s="82"/>
      <c r="D19" s="82"/>
      <c r="E19" s="82"/>
      <c r="F19" s="82"/>
      <c r="G19" s="82"/>
      <c r="H19" s="82"/>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146"/>
    </row>
    <row r="20">
      <c r="A20" s="157" t="s">
        <v>434</v>
      </c>
      <c r="B20" s="158">
        <f>Summary!B16</f>
        <v>7579.26</v>
      </c>
      <c r="C20" s="158">
        <f>Summary!C16</f>
        <v>7878.36</v>
      </c>
      <c r="D20" s="158">
        <f>Summary!D16</f>
        <v>9382.76</v>
      </c>
      <c r="E20" s="158">
        <f>Summary!E16</f>
        <v>6797.99</v>
      </c>
      <c r="F20" s="158">
        <f>Summary!F16</f>
        <v>6870.37</v>
      </c>
      <c r="G20" s="158">
        <f>Summary!G16</f>
        <v>5854.37</v>
      </c>
      <c r="H20" s="158">
        <f>Summary!H16</f>
        <v>5096.37</v>
      </c>
      <c r="I20" s="158">
        <f>Summary!I16</f>
        <v>8203.4</v>
      </c>
      <c r="J20" s="158">
        <f>Summary!J16</f>
        <v>7081.24</v>
      </c>
      <c r="K20" s="158">
        <f>Summary!K16</f>
        <v>5634.26</v>
      </c>
      <c r="L20" s="158">
        <f>Summary!L16</f>
        <v>6359.39</v>
      </c>
      <c r="M20" s="158">
        <f>Summary!M16</f>
        <v>6559.07</v>
      </c>
      <c r="N20" s="158">
        <f>Summary!N16</f>
        <v>6368.68</v>
      </c>
      <c r="O20" s="158">
        <f>Summary!O16</f>
        <v>5184.96</v>
      </c>
      <c r="P20" s="158">
        <f>Summary!P16</f>
        <v>5980.28</v>
      </c>
      <c r="Q20" s="158">
        <f>Summary!Q16</f>
        <v>4765.08</v>
      </c>
      <c r="R20" s="158">
        <f>Summary!R16</f>
        <v>5087.93</v>
      </c>
      <c r="S20" s="158">
        <f>Summary!S16</f>
        <v>6712.04</v>
      </c>
      <c r="T20" s="158">
        <f>Summary!T16</f>
        <v>7238.85</v>
      </c>
      <c r="U20" s="158">
        <f>Summary!U16</f>
        <v>11009.99</v>
      </c>
      <c r="V20" s="158">
        <f>Summary!V16</f>
        <v>13434.09</v>
      </c>
      <c r="W20" s="158">
        <f>Summary!W16</f>
        <v>13110.93</v>
      </c>
      <c r="X20" s="158">
        <f>Summary!X16</f>
        <v>8315.35</v>
      </c>
      <c r="Y20" s="158">
        <f>Summary!Y16</f>
        <v>10572.52</v>
      </c>
      <c r="Z20" s="158">
        <f>Summary!Z16</f>
        <v>6884.22</v>
      </c>
      <c r="AA20" s="158">
        <f>Summary!AA16</f>
        <v>9832.15</v>
      </c>
      <c r="AB20" s="158">
        <f>Summary!AB16</f>
        <v>9240.78</v>
      </c>
      <c r="AC20" s="158">
        <f>Summary!AC16</f>
        <v>13967.45</v>
      </c>
      <c r="AD20" s="158">
        <f>Summary!AD16</f>
        <v>15532.95</v>
      </c>
      <c r="AE20" s="158">
        <f>Summary!AE16</f>
        <v>10092.73</v>
      </c>
      <c r="AF20" s="158">
        <f>Summary!AF16</f>
        <v>13530.04</v>
      </c>
      <c r="AG20" s="126">
        <f t="shared" ref="AG20:AG25" si="4">SUM(B20:AF20)</f>
        <v>260157.86</v>
      </c>
    </row>
    <row r="21">
      <c r="A21" s="157" t="s">
        <v>435</v>
      </c>
      <c r="B21" s="158">
        <f>Summary!B17</f>
        <v>166.38</v>
      </c>
      <c r="C21" s="158">
        <f>Summary!C17</f>
        <v>87</v>
      </c>
      <c r="D21" s="158">
        <f>Summary!D17</f>
        <v>0</v>
      </c>
      <c r="E21" s="158">
        <f>Summary!E17</f>
        <v>0</v>
      </c>
      <c r="F21" s="158">
        <f>Summary!F17</f>
        <v>0</v>
      </c>
      <c r="G21" s="158">
        <f>Summary!G17</f>
        <v>0</v>
      </c>
      <c r="H21" s="158">
        <f>Summary!H17</f>
        <v>58</v>
      </c>
      <c r="I21" s="158">
        <f>Summary!I17</f>
        <v>116</v>
      </c>
      <c r="J21" s="158">
        <f>Summary!J17</f>
        <v>108.38</v>
      </c>
      <c r="K21" s="158">
        <f>Summary!K17</f>
        <v>0</v>
      </c>
      <c r="L21" s="158">
        <f>Summary!L17</f>
        <v>29</v>
      </c>
      <c r="M21" s="158">
        <f>Summary!M17</f>
        <v>166.38</v>
      </c>
      <c r="N21" s="158">
        <f>Summary!N17</f>
        <v>0</v>
      </c>
      <c r="O21" s="158">
        <f>Summary!O17</f>
        <v>29</v>
      </c>
      <c r="P21" s="158">
        <f>Summary!P17</f>
        <v>29</v>
      </c>
      <c r="Q21" s="158">
        <f>Summary!Q17</f>
        <v>0</v>
      </c>
      <c r="R21" s="158">
        <f>Summary!R17</f>
        <v>87</v>
      </c>
      <c r="S21" s="158">
        <f>Summary!S17</f>
        <v>87</v>
      </c>
      <c r="T21" s="158">
        <f>Summary!T17</f>
        <v>0</v>
      </c>
      <c r="U21" s="158">
        <f>Summary!U17</f>
        <v>166.38</v>
      </c>
      <c r="V21" s="158">
        <f>Summary!V17</f>
        <v>290</v>
      </c>
      <c r="W21" s="158">
        <f>Summary!W17</f>
        <v>203</v>
      </c>
      <c r="X21" s="158">
        <f>Summary!X17</f>
        <v>232</v>
      </c>
      <c r="Y21" s="158">
        <f>Summary!Y17</f>
        <v>261</v>
      </c>
      <c r="Z21" s="158">
        <f>Summary!Z17</f>
        <v>232</v>
      </c>
      <c r="AA21" s="158">
        <f>Summary!AA17</f>
        <v>261</v>
      </c>
      <c r="AB21" s="158">
        <f>Summary!AB17</f>
        <v>435</v>
      </c>
      <c r="AC21" s="158">
        <f>Summary!AC17</f>
        <v>754</v>
      </c>
      <c r="AD21" s="158">
        <f>Summary!AD17</f>
        <v>406</v>
      </c>
      <c r="AE21" s="158">
        <f>Summary!AE17</f>
        <v>448.76</v>
      </c>
      <c r="AF21" s="158">
        <f>Summary!AF17</f>
        <v>203</v>
      </c>
      <c r="AG21" s="126">
        <f t="shared" si="4"/>
        <v>4855.28</v>
      </c>
    </row>
    <row r="22">
      <c r="A22" s="157" t="s">
        <v>436</v>
      </c>
      <c r="B22" s="158">
        <f>Summary!B18</f>
        <v>503.88</v>
      </c>
      <c r="C22" s="158">
        <f>Summary!C18</f>
        <v>523.33</v>
      </c>
      <c r="D22" s="158">
        <f>Summary!D18</f>
        <v>567.45</v>
      </c>
      <c r="E22" s="158">
        <f>Summary!E18</f>
        <v>424.6</v>
      </c>
      <c r="F22" s="158">
        <f>Summary!F18</f>
        <v>520.47</v>
      </c>
      <c r="G22" s="158">
        <f>Summary!G18</f>
        <v>398.03</v>
      </c>
      <c r="H22" s="158">
        <f>Summary!H18</f>
        <v>325.29</v>
      </c>
      <c r="I22" s="158">
        <f>Summary!I18</f>
        <v>562.31</v>
      </c>
      <c r="J22" s="158">
        <f>Summary!J18</f>
        <v>476.34</v>
      </c>
      <c r="K22" s="158">
        <f>Summary!K18</f>
        <v>374.44</v>
      </c>
      <c r="L22" s="158">
        <f>Summary!L18</f>
        <v>442.43</v>
      </c>
      <c r="M22" s="158">
        <f>Summary!M18</f>
        <v>440.97</v>
      </c>
      <c r="N22" s="158">
        <f>Summary!N18</f>
        <v>434.23</v>
      </c>
      <c r="O22" s="158">
        <f>Summary!O18</f>
        <v>392.69</v>
      </c>
      <c r="P22" s="158">
        <f>Summary!P18</f>
        <v>413.92</v>
      </c>
      <c r="Q22" s="158">
        <f>Summary!Q18</f>
        <v>341.09</v>
      </c>
      <c r="R22" s="158">
        <f>Summary!R18</f>
        <v>378.35</v>
      </c>
      <c r="S22" s="158">
        <f>Summary!S18</f>
        <v>492.53</v>
      </c>
      <c r="T22" s="158">
        <f>Summary!T18</f>
        <v>474.88</v>
      </c>
      <c r="U22" s="158">
        <f>Summary!U18</f>
        <v>805.87</v>
      </c>
      <c r="V22" s="158">
        <f>Summary!V18</f>
        <v>979.14</v>
      </c>
      <c r="W22" s="158">
        <f>Summary!W18</f>
        <v>980.73</v>
      </c>
      <c r="X22" s="158">
        <f>Summary!X18</f>
        <v>627.12</v>
      </c>
      <c r="Y22" s="158">
        <f>Summary!Y18</f>
        <v>737.77</v>
      </c>
      <c r="Z22" s="158">
        <f>Summary!Z18</f>
        <v>475.86</v>
      </c>
      <c r="AA22" s="158">
        <f>Summary!AA18</f>
        <v>680.01</v>
      </c>
      <c r="AB22" s="158">
        <f>Summary!AB18</f>
        <v>681.78</v>
      </c>
      <c r="AC22" s="158">
        <f>Summary!AC18</f>
        <v>1027.38</v>
      </c>
      <c r="AD22" s="158">
        <f>Summary!AD18</f>
        <v>1041.16</v>
      </c>
      <c r="AE22" s="158">
        <f>Summary!AE18</f>
        <v>700.87</v>
      </c>
      <c r="AF22" s="158">
        <f>Summary!AF18</f>
        <v>917.39</v>
      </c>
      <c r="AG22" s="126">
        <f t="shared" si="4"/>
        <v>18142.31</v>
      </c>
    </row>
    <row r="23">
      <c r="A23" s="157" t="s">
        <v>437</v>
      </c>
      <c r="B23" s="158">
        <f>Summary!B19</f>
        <v>0.5</v>
      </c>
      <c r="C23" s="158">
        <f>Summary!C19</f>
        <v>11.87</v>
      </c>
      <c r="D23" s="158">
        <f>Summary!D19</f>
        <v>0.5</v>
      </c>
      <c r="E23" s="158">
        <f>Summary!E19</f>
        <v>0</v>
      </c>
      <c r="F23" s="158">
        <f>Summary!F19</f>
        <v>0.25</v>
      </c>
      <c r="G23" s="158">
        <f>Summary!G19</f>
        <v>5.21</v>
      </c>
      <c r="H23" s="158">
        <f>Summary!H19</f>
        <v>0.25</v>
      </c>
      <c r="I23" s="158">
        <f>Summary!I19</f>
        <v>1</v>
      </c>
      <c r="J23" s="158">
        <f>Summary!J19</f>
        <v>21.15</v>
      </c>
      <c r="K23" s="158">
        <f>Summary!K19</f>
        <v>0.25</v>
      </c>
      <c r="L23" s="158">
        <f>Summary!L19</f>
        <v>1</v>
      </c>
      <c r="M23" s="158">
        <f>Summary!M19</f>
        <v>14.64</v>
      </c>
      <c r="N23" s="158">
        <f>Summary!N19</f>
        <v>0.5</v>
      </c>
      <c r="O23" s="158">
        <f>Summary!O19</f>
        <v>0</v>
      </c>
      <c r="P23" s="158">
        <f>Summary!P19</f>
        <v>6.4</v>
      </c>
      <c r="Q23" s="158">
        <f>Summary!Q19</f>
        <v>0.75</v>
      </c>
      <c r="R23" s="158">
        <f>Summary!R19</f>
        <v>0</v>
      </c>
      <c r="S23" s="158">
        <f>Summary!S19</f>
        <v>7.74</v>
      </c>
      <c r="T23" s="158">
        <f>Summary!T19</f>
        <v>0</v>
      </c>
      <c r="U23" s="158">
        <f>Summary!U19</f>
        <v>11.83</v>
      </c>
      <c r="V23" s="158">
        <f>Summary!V19</f>
        <v>7.74</v>
      </c>
      <c r="W23" s="158">
        <f>Summary!W19</f>
        <v>0</v>
      </c>
      <c r="X23" s="158">
        <f>Summary!X19</f>
        <v>0.25</v>
      </c>
      <c r="Y23" s="158">
        <f>Summary!Y19</f>
        <v>17.49</v>
      </c>
      <c r="Z23" s="158">
        <f>Summary!Z19</f>
        <v>25.82</v>
      </c>
      <c r="AA23" s="158">
        <f>Summary!AA19</f>
        <v>12.16</v>
      </c>
      <c r="AB23" s="158">
        <f>Summary!AB19</f>
        <v>0</v>
      </c>
      <c r="AC23" s="158">
        <f>Summary!AC19</f>
        <v>0.5</v>
      </c>
      <c r="AD23" s="158">
        <f>Summary!AD19</f>
        <v>30.14</v>
      </c>
      <c r="AE23" s="158">
        <f>Summary!AE19</f>
        <v>0.5</v>
      </c>
      <c r="AF23" s="158">
        <f>Summary!AF19</f>
        <v>8.35</v>
      </c>
      <c r="AG23" s="126">
        <f t="shared" si="4"/>
        <v>186.79</v>
      </c>
    </row>
    <row r="24">
      <c r="A24" s="157" t="s">
        <v>438</v>
      </c>
      <c r="B24" s="158">
        <f>Summary!B20</f>
        <v>9.28</v>
      </c>
      <c r="C24" s="158">
        <f>Summary!C20</f>
        <v>9.13</v>
      </c>
      <c r="D24" s="158">
        <f>Summary!D20</f>
        <v>9.28</v>
      </c>
      <c r="E24" s="158">
        <f>Summary!E20</f>
        <v>0</v>
      </c>
      <c r="F24" s="158">
        <f>Summary!F20</f>
        <v>4.64</v>
      </c>
      <c r="G24" s="158">
        <f>Summary!G20</f>
        <v>4.64</v>
      </c>
      <c r="H24" s="158">
        <f>Summary!H20</f>
        <v>0.15</v>
      </c>
      <c r="I24" s="158">
        <f>Summary!I20</f>
        <v>0.6</v>
      </c>
      <c r="J24" s="158">
        <f>Summary!J20</f>
        <v>4.79</v>
      </c>
      <c r="K24" s="158">
        <f>Summary!K20</f>
        <v>0.15</v>
      </c>
      <c r="L24" s="158">
        <f>Summary!L20</f>
        <v>5.09</v>
      </c>
      <c r="M24" s="158">
        <f>Summary!M20</f>
        <v>5.09</v>
      </c>
      <c r="N24" s="158">
        <f>Summary!N20</f>
        <v>4.79</v>
      </c>
      <c r="O24" s="158">
        <f>Summary!O20</f>
        <v>0</v>
      </c>
      <c r="P24" s="158">
        <f>Summary!P20</f>
        <v>18.11</v>
      </c>
      <c r="Q24" s="158">
        <f>Summary!Q20</f>
        <v>0.45</v>
      </c>
      <c r="R24" s="158">
        <f>Summary!R20</f>
        <v>0</v>
      </c>
      <c r="S24" s="158">
        <f>Summary!S20</f>
        <v>0.45</v>
      </c>
      <c r="T24" s="158">
        <f>Summary!T20</f>
        <v>0</v>
      </c>
      <c r="U24" s="158">
        <f>Summary!U20</f>
        <v>9.13</v>
      </c>
      <c r="V24" s="158">
        <f>Summary!V20</f>
        <v>13.92</v>
      </c>
      <c r="W24" s="158">
        <f>Summary!W20</f>
        <v>8.98</v>
      </c>
      <c r="X24" s="158">
        <f>Summary!X20</f>
        <v>18.11</v>
      </c>
      <c r="Y24" s="158">
        <f>Summary!Y20</f>
        <v>0.3</v>
      </c>
      <c r="Z24" s="158">
        <f>Summary!Z20</f>
        <v>27.09</v>
      </c>
      <c r="AA24" s="158">
        <f>Summary!AA20</f>
        <v>0.15</v>
      </c>
      <c r="AB24" s="158">
        <f>Summary!AB20</f>
        <v>0</v>
      </c>
      <c r="AC24" s="158">
        <f>Summary!AC20</f>
        <v>13.77</v>
      </c>
      <c r="AD24" s="158">
        <f>Summary!AD20</f>
        <v>26.59</v>
      </c>
      <c r="AE24" s="158">
        <f>Summary!AE20</f>
        <v>0.3</v>
      </c>
      <c r="AF24" s="158">
        <f>Summary!AF20</f>
        <v>9.13</v>
      </c>
      <c r="AG24" s="126">
        <f t="shared" si="4"/>
        <v>204.11</v>
      </c>
    </row>
    <row r="25">
      <c r="A25" s="334" t="s">
        <v>439</v>
      </c>
      <c r="B25" s="335">
        <f t="shared" ref="B25:AF25" si="5">SUM(B20:B24)</f>
        <v>8259.3</v>
      </c>
      <c r="C25" s="335">
        <f t="shared" si="5"/>
        <v>8509.69</v>
      </c>
      <c r="D25" s="335">
        <f t="shared" si="5"/>
        <v>9959.99</v>
      </c>
      <c r="E25" s="335">
        <f t="shared" si="5"/>
        <v>7222.59</v>
      </c>
      <c r="F25" s="335">
        <f t="shared" si="5"/>
        <v>7395.73</v>
      </c>
      <c r="G25" s="335">
        <f t="shared" si="5"/>
        <v>6262.25</v>
      </c>
      <c r="H25" s="335">
        <f t="shared" si="5"/>
        <v>5480.06</v>
      </c>
      <c r="I25" s="335">
        <f t="shared" si="5"/>
        <v>8883.31</v>
      </c>
      <c r="J25" s="335">
        <f t="shared" si="5"/>
        <v>7691.9</v>
      </c>
      <c r="K25" s="335">
        <f t="shared" si="5"/>
        <v>6009.1</v>
      </c>
      <c r="L25" s="335">
        <f t="shared" si="5"/>
        <v>6836.91</v>
      </c>
      <c r="M25" s="335">
        <f t="shared" si="5"/>
        <v>7186.15</v>
      </c>
      <c r="N25" s="335">
        <f t="shared" si="5"/>
        <v>6808.2</v>
      </c>
      <c r="O25" s="335">
        <f t="shared" si="5"/>
        <v>5606.65</v>
      </c>
      <c r="P25" s="335">
        <f t="shared" si="5"/>
        <v>6447.71</v>
      </c>
      <c r="Q25" s="335">
        <f t="shared" si="5"/>
        <v>5107.37</v>
      </c>
      <c r="R25" s="335">
        <f t="shared" si="5"/>
        <v>5553.28</v>
      </c>
      <c r="S25" s="335">
        <f t="shared" si="5"/>
        <v>7299.76</v>
      </c>
      <c r="T25" s="335">
        <f t="shared" si="5"/>
        <v>7713.73</v>
      </c>
      <c r="U25" s="335">
        <f t="shared" si="5"/>
        <v>12003.2</v>
      </c>
      <c r="V25" s="335">
        <f t="shared" si="5"/>
        <v>14724.89</v>
      </c>
      <c r="W25" s="335">
        <f t="shared" si="5"/>
        <v>14303.64</v>
      </c>
      <c r="X25" s="335">
        <f t="shared" si="5"/>
        <v>9192.83</v>
      </c>
      <c r="Y25" s="335">
        <f t="shared" si="5"/>
        <v>11589.08</v>
      </c>
      <c r="Z25" s="335">
        <f t="shared" si="5"/>
        <v>7644.99</v>
      </c>
      <c r="AA25" s="335">
        <f t="shared" si="5"/>
        <v>10785.47</v>
      </c>
      <c r="AB25" s="335">
        <f t="shared" si="5"/>
        <v>10357.56</v>
      </c>
      <c r="AC25" s="335">
        <f t="shared" si="5"/>
        <v>15763.1</v>
      </c>
      <c r="AD25" s="335">
        <f t="shared" si="5"/>
        <v>17036.84</v>
      </c>
      <c r="AE25" s="335">
        <f t="shared" si="5"/>
        <v>11243.16</v>
      </c>
      <c r="AF25" s="335">
        <f t="shared" si="5"/>
        <v>14667.91</v>
      </c>
      <c r="AG25" s="126">
        <f t="shared" si="4"/>
        <v>283546.35</v>
      </c>
    </row>
    <row r="26">
      <c r="A26" s="98"/>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B26" s="82"/>
      <c r="AC26" s="82"/>
      <c r="AD26" s="82"/>
      <c r="AE26" s="82"/>
      <c r="AF26" s="333"/>
      <c r="AG26" s="146"/>
    </row>
    <row r="27">
      <c r="A27" s="147" t="s">
        <v>116</v>
      </c>
      <c r="B27" s="165"/>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82"/>
      <c r="AC27" s="82"/>
      <c r="AD27" s="82"/>
      <c r="AE27" s="82"/>
      <c r="AF27" s="333"/>
      <c r="AG27" s="146"/>
    </row>
    <row r="28">
      <c r="A28" s="163" t="s">
        <v>440</v>
      </c>
      <c r="B28" s="165">
        <v>1.0</v>
      </c>
      <c r="C28" s="165">
        <v>6.0</v>
      </c>
      <c r="D28" s="165">
        <v>8.0</v>
      </c>
      <c r="E28" s="165">
        <v>5.0</v>
      </c>
      <c r="F28" s="165">
        <v>2.0</v>
      </c>
      <c r="G28" s="165">
        <v>1.0</v>
      </c>
      <c r="H28" s="165">
        <v>2.0</v>
      </c>
      <c r="I28" s="165">
        <v>4.0</v>
      </c>
      <c r="J28" s="165">
        <v>7.0</v>
      </c>
      <c r="K28" s="165">
        <v>6.0</v>
      </c>
      <c r="L28" s="165">
        <v>7.0</v>
      </c>
      <c r="M28" s="165">
        <v>15.0</v>
      </c>
      <c r="N28" s="165">
        <v>11.0</v>
      </c>
      <c r="O28" s="165">
        <v>7.0</v>
      </c>
      <c r="P28" s="165">
        <v>9.0</v>
      </c>
      <c r="Q28" s="165">
        <v>9.0</v>
      </c>
      <c r="R28" s="165">
        <v>8.0</v>
      </c>
      <c r="S28" s="165">
        <v>12.0</v>
      </c>
      <c r="T28" s="165">
        <v>9.0</v>
      </c>
      <c r="U28" s="165">
        <v>18.0</v>
      </c>
      <c r="V28" s="165">
        <v>15.0</v>
      </c>
      <c r="W28" s="165">
        <v>10.0</v>
      </c>
      <c r="X28" s="165">
        <v>11.0</v>
      </c>
      <c r="Y28" s="165">
        <v>4.0</v>
      </c>
      <c r="Z28" s="165">
        <v>5.0</v>
      </c>
      <c r="AA28" s="165">
        <v>1.0</v>
      </c>
      <c r="AB28" s="165">
        <v>0.0</v>
      </c>
      <c r="AC28" s="165">
        <v>5.0</v>
      </c>
      <c r="AD28" s="165">
        <v>1.0</v>
      </c>
      <c r="AE28" s="165">
        <v>1.0</v>
      </c>
      <c r="AF28" s="165">
        <v>3.0</v>
      </c>
      <c r="AG28" s="143">
        <f t="shared" ref="AG28:AG32" si="6">sum(B28:AF28)</f>
        <v>203</v>
      </c>
    </row>
    <row r="29">
      <c r="A29" s="163" t="s">
        <v>441</v>
      </c>
      <c r="B29" s="165">
        <v>1.0</v>
      </c>
      <c r="C29" s="165">
        <v>1.0</v>
      </c>
      <c r="D29" s="165">
        <v>1.0</v>
      </c>
      <c r="E29" s="165">
        <v>1.0</v>
      </c>
      <c r="F29" s="165">
        <v>2.0</v>
      </c>
      <c r="G29" s="165">
        <v>0.0</v>
      </c>
      <c r="H29" s="165">
        <v>0.0</v>
      </c>
      <c r="I29" s="165">
        <v>0.0</v>
      </c>
      <c r="J29" s="165">
        <v>1.0</v>
      </c>
      <c r="K29" s="165">
        <v>1.0</v>
      </c>
      <c r="L29" s="165">
        <v>3.0</v>
      </c>
      <c r="M29" s="165">
        <v>4.0</v>
      </c>
      <c r="N29" s="165">
        <v>5.0</v>
      </c>
      <c r="O29" s="165">
        <v>3.0</v>
      </c>
      <c r="P29" s="165">
        <v>3.0</v>
      </c>
      <c r="Q29" s="165">
        <v>3.0</v>
      </c>
      <c r="R29" s="165">
        <v>4.0</v>
      </c>
      <c r="S29" s="165">
        <v>3.0</v>
      </c>
      <c r="T29" s="165">
        <v>2.0</v>
      </c>
      <c r="U29" s="165">
        <v>7.0</v>
      </c>
      <c r="V29" s="165">
        <v>3.0</v>
      </c>
      <c r="W29" s="165">
        <v>3.0</v>
      </c>
      <c r="X29" s="165">
        <v>2.0</v>
      </c>
      <c r="Y29" s="165">
        <v>0.0</v>
      </c>
      <c r="Z29" s="165">
        <v>1.0</v>
      </c>
      <c r="AA29" s="165">
        <v>0.0</v>
      </c>
      <c r="AB29" s="165">
        <v>1.0</v>
      </c>
      <c r="AC29" s="165">
        <v>3.0</v>
      </c>
      <c r="AD29" s="165">
        <v>0.0</v>
      </c>
      <c r="AE29" s="165">
        <v>1.0</v>
      </c>
      <c r="AF29" s="165">
        <v>2.0</v>
      </c>
      <c r="AG29" s="143">
        <f t="shared" si="6"/>
        <v>61</v>
      </c>
    </row>
    <row r="30">
      <c r="A30" s="163" t="s">
        <v>442</v>
      </c>
      <c r="B30" s="165">
        <v>16.0</v>
      </c>
      <c r="C30" s="165">
        <v>7.0</v>
      </c>
      <c r="D30" s="165">
        <v>2.0</v>
      </c>
      <c r="E30" s="165">
        <v>3.0</v>
      </c>
      <c r="F30" s="165">
        <v>4.0</v>
      </c>
      <c r="G30" s="165">
        <v>5.0</v>
      </c>
      <c r="H30" s="165">
        <v>3.0</v>
      </c>
      <c r="I30" s="165">
        <v>13.0</v>
      </c>
      <c r="J30" s="165">
        <v>14.0</v>
      </c>
      <c r="K30" s="165">
        <v>12.0</v>
      </c>
      <c r="L30" s="165">
        <v>13.0</v>
      </c>
      <c r="M30" s="165">
        <v>7.0</v>
      </c>
      <c r="N30" s="166">
        <v>8.0</v>
      </c>
      <c r="O30" s="165">
        <v>4.0</v>
      </c>
      <c r="P30" s="165">
        <v>10.0</v>
      </c>
      <c r="Q30" s="165">
        <v>6.0</v>
      </c>
      <c r="R30" s="166">
        <v>7.0</v>
      </c>
      <c r="S30" s="165">
        <v>10.0</v>
      </c>
      <c r="T30" s="165">
        <v>15.0</v>
      </c>
      <c r="U30" s="165">
        <v>1.0</v>
      </c>
      <c r="V30" s="165">
        <v>5.0</v>
      </c>
      <c r="W30" s="165">
        <v>7.0</v>
      </c>
      <c r="X30" s="165">
        <v>3.0</v>
      </c>
      <c r="Y30" s="165">
        <v>24.0</v>
      </c>
      <c r="Z30" s="165">
        <v>16.0</v>
      </c>
      <c r="AA30" s="165">
        <v>23.0</v>
      </c>
      <c r="AB30" s="165">
        <v>22.0</v>
      </c>
      <c r="AC30" s="165">
        <v>31.0</v>
      </c>
      <c r="AD30" s="165">
        <v>43.0</v>
      </c>
      <c r="AE30" s="165">
        <v>27.0</v>
      </c>
      <c r="AF30" s="165">
        <v>34.0</v>
      </c>
      <c r="AG30" s="143">
        <f t="shared" si="6"/>
        <v>395</v>
      </c>
    </row>
    <row r="31">
      <c r="A31" s="163" t="s">
        <v>443</v>
      </c>
      <c r="B31" s="165">
        <v>7.0</v>
      </c>
      <c r="C31" s="165">
        <v>12.0</v>
      </c>
      <c r="D31" s="165">
        <v>21.0</v>
      </c>
      <c r="E31" s="165">
        <v>14.0</v>
      </c>
      <c r="F31" s="165">
        <v>15.0</v>
      </c>
      <c r="G31" s="165">
        <v>13.0</v>
      </c>
      <c r="H31" s="165">
        <v>12.0</v>
      </c>
      <c r="I31" s="166">
        <v>11.0</v>
      </c>
      <c r="J31" s="166">
        <v>3.0</v>
      </c>
      <c r="K31" s="166">
        <v>1.0</v>
      </c>
      <c r="L31" s="166">
        <v>0.0</v>
      </c>
      <c r="M31" s="166">
        <v>0.0</v>
      </c>
      <c r="N31" s="164">
        <v>0.0</v>
      </c>
      <c r="O31" s="149">
        <v>5.0</v>
      </c>
      <c r="P31" s="166">
        <v>0.0</v>
      </c>
      <c r="Q31" s="166">
        <v>0.0</v>
      </c>
      <c r="R31" s="166">
        <v>0.0</v>
      </c>
      <c r="S31" s="83">
        <v>0.0</v>
      </c>
      <c r="T31" s="83">
        <v>0.0</v>
      </c>
      <c r="U31" s="83">
        <v>15.0</v>
      </c>
      <c r="V31" s="83">
        <v>25.0</v>
      </c>
      <c r="W31" s="83">
        <v>26.0</v>
      </c>
      <c r="X31" s="83">
        <v>14.0</v>
      </c>
      <c r="Y31" s="83">
        <v>8.0</v>
      </c>
      <c r="Z31" s="173">
        <v>2.0</v>
      </c>
      <c r="AA31" s="83">
        <v>9.0</v>
      </c>
      <c r="AB31" s="83">
        <v>8.0</v>
      </c>
      <c r="AC31" s="83">
        <v>9.0</v>
      </c>
      <c r="AD31" s="83">
        <v>8.0</v>
      </c>
      <c r="AE31" s="83">
        <v>5.0</v>
      </c>
      <c r="AF31" s="165">
        <v>7.0</v>
      </c>
      <c r="AG31" s="143">
        <f t="shared" si="6"/>
        <v>250</v>
      </c>
    </row>
    <row r="32">
      <c r="A32" s="169" t="s">
        <v>121</v>
      </c>
      <c r="B32" s="336">
        <f t="shared" ref="B32:AF32" si="7">SUM(B28:B31)</f>
        <v>25</v>
      </c>
      <c r="C32" s="336">
        <f t="shared" si="7"/>
        <v>26</v>
      </c>
      <c r="D32" s="336">
        <f t="shared" si="7"/>
        <v>32</v>
      </c>
      <c r="E32" s="336">
        <f t="shared" si="7"/>
        <v>23</v>
      </c>
      <c r="F32" s="336">
        <f t="shared" si="7"/>
        <v>23</v>
      </c>
      <c r="G32" s="336">
        <f t="shared" si="7"/>
        <v>19</v>
      </c>
      <c r="H32" s="336">
        <f t="shared" si="7"/>
        <v>17</v>
      </c>
      <c r="I32" s="336">
        <f t="shared" si="7"/>
        <v>28</v>
      </c>
      <c r="J32" s="336">
        <f t="shared" si="7"/>
        <v>25</v>
      </c>
      <c r="K32" s="336">
        <f t="shared" si="7"/>
        <v>20</v>
      </c>
      <c r="L32" s="336">
        <f t="shared" si="7"/>
        <v>23</v>
      </c>
      <c r="M32" s="336">
        <f t="shared" si="7"/>
        <v>26</v>
      </c>
      <c r="N32" s="336">
        <f t="shared" si="7"/>
        <v>24</v>
      </c>
      <c r="O32" s="336">
        <f t="shared" si="7"/>
        <v>19</v>
      </c>
      <c r="P32" s="336">
        <f t="shared" si="7"/>
        <v>22</v>
      </c>
      <c r="Q32" s="336">
        <f t="shared" si="7"/>
        <v>18</v>
      </c>
      <c r="R32" s="336">
        <f t="shared" si="7"/>
        <v>19</v>
      </c>
      <c r="S32" s="336">
        <f t="shared" si="7"/>
        <v>25</v>
      </c>
      <c r="T32" s="336">
        <f t="shared" si="7"/>
        <v>26</v>
      </c>
      <c r="U32" s="336">
        <f t="shared" si="7"/>
        <v>41</v>
      </c>
      <c r="V32" s="336">
        <f t="shared" si="7"/>
        <v>48</v>
      </c>
      <c r="W32" s="336">
        <f t="shared" si="7"/>
        <v>46</v>
      </c>
      <c r="X32" s="336">
        <f t="shared" si="7"/>
        <v>30</v>
      </c>
      <c r="Y32" s="336">
        <f t="shared" si="7"/>
        <v>36</v>
      </c>
      <c r="Z32" s="336">
        <f t="shared" si="7"/>
        <v>24</v>
      </c>
      <c r="AA32" s="336">
        <f t="shared" si="7"/>
        <v>33</v>
      </c>
      <c r="AB32" s="336">
        <f t="shared" si="7"/>
        <v>31</v>
      </c>
      <c r="AC32" s="336">
        <f t="shared" si="7"/>
        <v>48</v>
      </c>
      <c r="AD32" s="336">
        <f t="shared" si="7"/>
        <v>52</v>
      </c>
      <c r="AE32" s="336">
        <f t="shared" si="7"/>
        <v>34</v>
      </c>
      <c r="AF32" s="336">
        <f t="shared" si="7"/>
        <v>46</v>
      </c>
      <c r="AG32" s="143">
        <f t="shared" si="6"/>
        <v>909</v>
      </c>
    </row>
    <row r="33">
      <c r="A33" s="98"/>
      <c r="B33" s="171"/>
      <c r="C33" s="171"/>
      <c r="D33" s="171"/>
      <c r="E33" s="171"/>
      <c r="F33" s="171"/>
      <c r="G33" s="171"/>
      <c r="H33" s="171"/>
      <c r="I33" s="171"/>
      <c r="J33" s="82"/>
      <c r="K33" s="82"/>
      <c r="L33" s="82"/>
      <c r="M33" s="82"/>
      <c r="N33" s="82"/>
      <c r="O33" s="82"/>
      <c r="P33" s="82"/>
      <c r="Q33" s="82"/>
      <c r="R33" s="82"/>
      <c r="S33" s="82"/>
      <c r="T33" s="82"/>
      <c r="U33" s="82"/>
      <c r="V33" s="82"/>
      <c r="W33" s="82"/>
      <c r="X33" s="82"/>
      <c r="Y33" s="82"/>
      <c r="Z33" s="82"/>
      <c r="AA33" s="82"/>
      <c r="AB33" s="82"/>
      <c r="AC33" s="82"/>
      <c r="AD33" s="82"/>
      <c r="AE33" s="82"/>
      <c r="AF33" s="83"/>
      <c r="AG33" s="172"/>
    </row>
    <row r="34">
      <c r="A34" s="163" t="s">
        <v>122</v>
      </c>
      <c r="B34" s="165">
        <v>8.0</v>
      </c>
      <c r="C34" s="165">
        <v>3.0</v>
      </c>
      <c r="D34" s="165">
        <v>0.0</v>
      </c>
      <c r="E34" s="165">
        <v>0.0</v>
      </c>
      <c r="F34" s="165">
        <v>0.0</v>
      </c>
      <c r="G34" s="165">
        <v>0.0</v>
      </c>
      <c r="H34" s="165">
        <v>2.0</v>
      </c>
      <c r="I34" s="165">
        <v>4.0</v>
      </c>
      <c r="J34" s="165">
        <v>4.0</v>
      </c>
      <c r="K34" s="165">
        <v>0.0</v>
      </c>
      <c r="L34" s="165">
        <v>1.0</v>
      </c>
      <c r="M34" s="166">
        <v>6.0</v>
      </c>
      <c r="N34" s="166">
        <v>0.0</v>
      </c>
      <c r="O34" s="166">
        <v>1.0</v>
      </c>
      <c r="P34" s="166">
        <v>1.0</v>
      </c>
      <c r="Q34" s="166">
        <v>0.0</v>
      </c>
      <c r="R34" s="166">
        <v>3.0</v>
      </c>
      <c r="S34" s="166">
        <v>3.0</v>
      </c>
      <c r="T34" s="166">
        <v>0.0</v>
      </c>
      <c r="U34" s="166">
        <v>6.0</v>
      </c>
      <c r="V34" s="166">
        <v>10.0</v>
      </c>
      <c r="W34" s="166">
        <v>7.0</v>
      </c>
      <c r="X34" s="166">
        <v>8.0</v>
      </c>
      <c r="Y34" s="166">
        <v>9.0</v>
      </c>
      <c r="Z34" s="166">
        <v>8.0</v>
      </c>
      <c r="AA34" s="166">
        <v>9.0</v>
      </c>
      <c r="AB34" s="166">
        <v>15.0</v>
      </c>
      <c r="AC34" s="166">
        <v>26.0</v>
      </c>
      <c r="AD34" s="166">
        <v>14.0</v>
      </c>
      <c r="AE34" s="166">
        <v>16.0</v>
      </c>
      <c r="AF34" s="166">
        <v>9.0</v>
      </c>
      <c r="AG34" s="143">
        <f t="shared" ref="AG34:AG42" si="8">sum(B34:AF34)</f>
        <v>173</v>
      </c>
    </row>
    <row r="35">
      <c r="A35" s="163" t="s">
        <v>123</v>
      </c>
      <c r="B35" s="95"/>
      <c r="C35" s="95"/>
      <c r="D35" s="95"/>
      <c r="E35" s="95"/>
      <c r="F35" s="95"/>
      <c r="G35" s="95"/>
      <c r="H35" s="95"/>
      <c r="I35" s="95"/>
      <c r="J35" s="95"/>
      <c r="K35" s="95"/>
      <c r="L35" s="95"/>
      <c r="M35" s="95"/>
      <c r="N35" s="95"/>
      <c r="O35" s="95"/>
      <c r="P35" s="95"/>
      <c r="Q35" s="95"/>
      <c r="R35" s="95"/>
      <c r="S35" s="95"/>
      <c r="T35" s="95"/>
      <c r="U35" s="88"/>
      <c r="V35" s="88"/>
      <c r="W35" s="88"/>
      <c r="X35" s="88"/>
      <c r="Y35" s="88"/>
      <c r="Z35" s="88"/>
      <c r="AA35" s="88"/>
      <c r="AB35" s="88"/>
      <c r="AC35" s="88"/>
      <c r="AD35" s="88"/>
      <c r="AE35" s="88"/>
      <c r="AF35" s="337"/>
      <c r="AG35" s="143">
        <f t="shared" si="8"/>
        <v>0</v>
      </c>
    </row>
    <row r="36">
      <c r="A36" s="163" t="s">
        <v>444</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c r="AE36" s="95"/>
      <c r="AF36" s="337"/>
      <c r="AG36" s="143">
        <f t="shared" si="8"/>
        <v>0</v>
      </c>
    </row>
    <row r="37">
      <c r="A37" s="163" t="s">
        <v>445</v>
      </c>
      <c r="B37" s="95"/>
      <c r="C37" s="95"/>
      <c r="D37" s="95"/>
      <c r="E37" s="95"/>
      <c r="F37" s="95"/>
      <c r="G37" s="95"/>
      <c r="H37" s="95"/>
      <c r="I37" s="95"/>
      <c r="J37" s="95"/>
      <c r="K37" s="95"/>
      <c r="L37" s="95"/>
      <c r="M37" s="95"/>
      <c r="N37" s="95"/>
      <c r="O37" s="95"/>
      <c r="P37" s="95"/>
      <c r="Q37" s="95"/>
      <c r="R37" s="95"/>
      <c r="S37" s="95"/>
      <c r="T37" s="95"/>
      <c r="U37" s="95"/>
      <c r="V37" s="95"/>
      <c r="W37" s="95"/>
      <c r="X37" s="95"/>
      <c r="Y37" s="95"/>
      <c r="Z37" s="95"/>
      <c r="AA37" s="95"/>
      <c r="AB37" s="95"/>
      <c r="AC37" s="95"/>
      <c r="AD37" s="95"/>
      <c r="AE37" s="95"/>
      <c r="AF37" s="337"/>
      <c r="AG37" s="143">
        <f t="shared" si="8"/>
        <v>0</v>
      </c>
    </row>
    <row r="38">
      <c r="A38" s="163" t="s">
        <v>446</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337"/>
      <c r="AG38" s="143">
        <f t="shared" si="8"/>
        <v>0</v>
      </c>
    </row>
    <row r="39">
      <c r="A39" s="163" t="s">
        <v>447</v>
      </c>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337"/>
      <c r="AG39" s="143">
        <f t="shared" si="8"/>
        <v>0</v>
      </c>
    </row>
    <row r="40">
      <c r="A40" s="163" t="s">
        <v>448</v>
      </c>
      <c r="B40" s="95"/>
      <c r="C40" s="95"/>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338"/>
      <c r="AD40" s="338"/>
      <c r="AE40" s="338"/>
      <c r="AF40" s="337"/>
      <c r="AG40" s="143">
        <f t="shared" si="8"/>
        <v>0</v>
      </c>
    </row>
    <row r="41">
      <c r="A41" s="163" t="s">
        <v>449</v>
      </c>
      <c r="B41" s="95"/>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338"/>
      <c r="AD41" s="338"/>
      <c r="AE41" s="338"/>
      <c r="AF41" s="337"/>
      <c r="AG41" s="143">
        <f t="shared" si="8"/>
        <v>0</v>
      </c>
    </row>
    <row r="42">
      <c r="A42" s="169" t="s">
        <v>130</v>
      </c>
      <c r="B42" s="336">
        <f t="shared" ref="B42:AF42" si="9">SUM(B34:B41)</f>
        <v>8</v>
      </c>
      <c r="C42" s="336">
        <f t="shared" si="9"/>
        <v>3</v>
      </c>
      <c r="D42" s="336">
        <f t="shared" si="9"/>
        <v>0</v>
      </c>
      <c r="E42" s="336">
        <f t="shared" si="9"/>
        <v>0</v>
      </c>
      <c r="F42" s="336">
        <f t="shared" si="9"/>
        <v>0</v>
      </c>
      <c r="G42" s="336">
        <f t="shared" si="9"/>
        <v>0</v>
      </c>
      <c r="H42" s="336">
        <f t="shared" si="9"/>
        <v>2</v>
      </c>
      <c r="I42" s="336">
        <f t="shared" si="9"/>
        <v>4</v>
      </c>
      <c r="J42" s="336">
        <f t="shared" si="9"/>
        <v>4</v>
      </c>
      <c r="K42" s="336">
        <f t="shared" si="9"/>
        <v>0</v>
      </c>
      <c r="L42" s="336">
        <f t="shared" si="9"/>
        <v>1</v>
      </c>
      <c r="M42" s="336">
        <f t="shared" si="9"/>
        <v>6</v>
      </c>
      <c r="N42" s="336">
        <f t="shared" si="9"/>
        <v>0</v>
      </c>
      <c r="O42" s="336">
        <f t="shared" si="9"/>
        <v>1</v>
      </c>
      <c r="P42" s="336">
        <f t="shared" si="9"/>
        <v>1</v>
      </c>
      <c r="Q42" s="336">
        <f t="shared" si="9"/>
        <v>0</v>
      </c>
      <c r="R42" s="336">
        <f t="shared" si="9"/>
        <v>3</v>
      </c>
      <c r="S42" s="336">
        <f t="shared" si="9"/>
        <v>3</v>
      </c>
      <c r="T42" s="336">
        <f t="shared" si="9"/>
        <v>0</v>
      </c>
      <c r="U42" s="336">
        <f t="shared" si="9"/>
        <v>6</v>
      </c>
      <c r="V42" s="336">
        <f t="shared" si="9"/>
        <v>10</v>
      </c>
      <c r="W42" s="336">
        <f t="shared" si="9"/>
        <v>7</v>
      </c>
      <c r="X42" s="336">
        <f t="shared" si="9"/>
        <v>8</v>
      </c>
      <c r="Y42" s="336">
        <f t="shared" si="9"/>
        <v>9</v>
      </c>
      <c r="Z42" s="336">
        <f t="shared" si="9"/>
        <v>8</v>
      </c>
      <c r="AA42" s="336">
        <f t="shared" si="9"/>
        <v>9</v>
      </c>
      <c r="AB42" s="336">
        <f t="shared" si="9"/>
        <v>15</v>
      </c>
      <c r="AC42" s="336">
        <f t="shared" si="9"/>
        <v>26</v>
      </c>
      <c r="AD42" s="336">
        <f t="shared" si="9"/>
        <v>14</v>
      </c>
      <c r="AE42" s="336">
        <f t="shared" si="9"/>
        <v>16</v>
      </c>
      <c r="AF42" s="336">
        <f t="shared" si="9"/>
        <v>9</v>
      </c>
      <c r="AG42" s="143">
        <f t="shared" si="8"/>
        <v>173</v>
      </c>
    </row>
    <row r="43">
      <c r="A43" s="177"/>
      <c r="AF43" s="339"/>
      <c r="AG43" s="143"/>
    </row>
    <row r="44">
      <c r="A44" s="177"/>
      <c r="AF44" s="288"/>
      <c r="AG44" s="209"/>
    </row>
    <row r="45">
      <c r="A45" s="340" t="s">
        <v>450</v>
      </c>
      <c r="B45" s="135"/>
      <c r="C45" s="135"/>
      <c r="D45" s="135"/>
      <c r="E45" s="135"/>
      <c r="F45" s="135"/>
      <c r="G45" s="135"/>
      <c r="H45" s="135"/>
      <c r="I45" s="82"/>
      <c r="J45" s="82"/>
      <c r="K45" s="82"/>
      <c r="L45" s="82"/>
      <c r="M45" s="82"/>
      <c r="N45" s="82"/>
      <c r="O45" s="82"/>
      <c r="P45" s="82"/>
      <c r="Q45" s="82"/>
      <c r="R45" s="82"/>
      <c r="S45" s="82"/>
      <c r="T45" s="82"/>
      <c r="U45" s="82"/>
      <c r="V45" s="82"/>
      <c r="W45" s="82"/>
      <c r="X45" s="82"/>
      <c r="Y45" s="82"/>
      <c r="Z45" s="82"/>
      <c r="AA45" s="82"/>
      <c r="AB45" s="82"/>
      <c r="AC45" s="82"/>
      <c r="AD45" s="82"/>
      <c r="AE45" s="82"/>
      <c r="AF45" s="339"/>
      <c r="AG45" s="143"/>
    </row>
    <row r="46" outlineLevel="1">
      <c r="A46" s="341" t="s">
        <v>451</v>
      </c>
      <c r="B46" s="342"/>
      <c r="C46" s="342"/>
      <c r="D46" s="342"/>
      <c r="E46" s="342"/>
      <c r="F46" s="342"/>
      <c r="G46" s="342"/>
      <c r="H46" s="343"/>
      <c r="I46" s="343"/>
      <c r="J46" s="343"/>
      <c r="K46" s="343"/>
      <c r="L46" s="343"/>
      <c r="M46" s="342"/>
      <c r="N46" s="343"/>
      <c r="O46" s="343"/>
      <c r="P46" s="343"/>
      <c r="Q46" s="343"/>
      <c r="R46" s="342"/>
      <c r="S46" s="342"/>
      <c r="T46" s="343"/>
      <c r="U46" s="343"/>
      <c r="V46" s="343"/>
      <c r="W46" s="343"/>
      <c r="X46" s="343"/>
      <c r="Y46" s="343"/>
      <c r="Z46" s="343"/>
      <c r="AA46" s="343"/>
      <c r="AB46" s="343"/>
      <c r="AC46" s="343"/>
      <c r="AD46" s="343"/>
      <c r="AE46" s="343"/>
      <c r="AF46" s="339"/>
      <c r="AG46" s="143">
        <f>sum(B46:AE46)</f>
        <v>0</v>
      </c>
    </row>
    <row r="47" outlineLevel="1">
      <c r="A47" s="341" t="s">
        <v>452</v>
      </c>
      <c r="B47" s="342"/>
      <c r="C47" s="342"/>
      <c r="D47" s="342"/>
      <c r="E47" s="342"/>
      <c r="F47" s="342"/>
      <c r="G47" s="342"/>
      <c r="H47" s="343"/>
      <c r="I47" s="343"/>
      <c r="J47" s="343"/>
      <c r="K47" s="343"/>
      <c r="L47" s="343"/>
      <c r="M47" s="342"/>
      <c r="N47" s="343"/>
      <c r="O47" s="343"/>
      <c r="P47" s="343"/>
      <c r="Q47" s="343"/>
      <c r="R47" s="342"/>
      <c r="S47" s="342"/>
      <c r="T47" s="343"/>
      <c r="U47" s="343"/>
      <c r="V47" s="343"/>
      <c r="W47" s="343"/>
      <c r="X47" s="343"/>
      <c r="Y47" s="343"/>
      <c r="Z47" s="343"/>
      <c r="AA47" s="343"/>
      <c r="AB47" s="343"/>
      <c r="AC47" s="343"/>
      <c r="AD47" s="343"/>
      <c r="AE47" s="343"/>
      <c r="AF47" s="339"/>
      <c r="AG47" s="143"/>
    </row>
    <row r="48" outlineLevel="1">
      <c r="A48" s="344" t="s">
        <v>453</v>
      </c>
      <c r="B48" s="343"/>
      <c r="C48" s="343"/>
      <c r="D48" s="343"/>
      <c r="E48" s="343"/>
      <c r="F48" s="343"/>
      <c r="G48" s="343"/>
      <c r="H48" s="343"/>
      <c r="I48" s="343"/>
      <c r="J48" s="343"/>
      <c r="K48" s="343"/>
      <c r="L48" s="343"/>
      <c r="M48" s="343"/>
      <c r="N48" s="343"/>
      <c r="O48" s="343"/>
      <c r="P48" s="343"/>
      <c r="Q48" s="343"/>
      <c r="R48" s="343"/>
      <c r="S48" s="343"/>
      <c r="T48" s="343"/>
      <c r="U48" s="343"/>
      <c r="V48" s="343"/>
      <c r="W48" s="343"/>
      <c r="X48" s="343"/>
      <c r="Y48" s="343"/>
      <c r="Z48" s="343"/>
      <c r="AA48" s="343"/>
      <c r="AB48" s="343">
        <f t="shared" ref="AB48:AE48" si="10">AB31</f>
        <v>8</v>
      </c>
      <c r="AC48" s="343">
        <f t="shared" si="10"/>
        <v>9</v>
      </c>
      <c r="AD48" s="343">
        <f t="shared" si="10"/>
        <v>8</v>
      </c>
      <c r="AE48" s="343">
        <f t="shared" si="10"/>
        <v>5</v>
      </c>
      <c r="AF48" s="339"/>
      <c r="AG48" s="143">
        <f>sum(B48:AE48)</f>
        <v>30</v>
      </c>
    </row>
    <row r="49" outlineLevel="1">
      <c r="A49" s="344" t="s">
        <v>454</v>
      </c>
      <c r="B49" s="342"/>
      <c r="C49" s="342"/>
      <c r="D49" s="342"/>
      <c r="E49" s="342"/>
      <c r="F49" s="342"/>
      <c r="G49" s="342"/>
      <c r="H49" s="343"/>
      <c r="I49" s="343"/>
      <c r="J49" s="343"/>
      <c r="K49" s="343"/>
      <c r="L49" s="343"/>
      <c r="M49" s="342"/>
      <c r="N49" s="343"/>
      <c r="O49" s="343"/>
      <c r="P49" s="343"/>
      <c r="Q49" s="343"/>
      <c r="R49" s="342"/>
      <c r="S49" s="342"/>
      <c r="T49" s="343"/>
      <c r="U49" s="343"/>
      <c r="V49" s="343"/>
      <c r="W49" s="343"/>
      <c r="X49" s="343"/>
      <c r="Y49" s="343"/>
      <c r="Z49" s="343"/>
      <c r="AA49" s="343"/>
      <c r="AB49" s="343"/>
      <c r="AC49" s="343"/>
      <c r="AD49" s="343"/>
      <c r="AE49" s="343"/>
      <c r="AF49" s="339"/>
      <c r="AG49" s="143"/>
    </row>
    <row r="50" outlineLevel="1">
      <c r="A50" s="344" t="s">
        <v>455</v>
      </c>
      <c r="B50" s="342"/>
      <c r="C50" s="342"/>
      <c r="D50" s="342"/>
      <c r="E50" s="342"/>
      <c r="F50" s="342"/>
      <c r="G50" s="342"/>
      <c r="H50" s="343"/>
      <c r="I50" s="343"/>
      <c r="J50" s="343"/>
      <c r="K50" s="343"/>
      <c r="L50" s="343"/>
      <c r="M50" s="342"/>
      <c r="N50" s="343"/>
      <c r="O50" s="343"/>
      <c r="P50" s="343"/>
      <c r="Q50" s="343"/>
      <c r="R50" s="342"/>
      <c r="S50" s="342"/>
      <c r="T50" s="343"/>
      <c r="U50" s="343"/>
      <c r="V50" s="343"/>
      <c r="W50" s="343"/>
      <c r="X50" s="343"/>
      <c r="Y50" s="343"/>
      <c r="Z50" s="343"/>
      <c r="AA50" s="343"/>
      <c r="AB50" s="343"/>
      <c r="AC50" s="343"/>
      <c r="AD50" s="343"/>
      <c r="AE50" s="343"/>
      <c r="AF50" s="339"/>
      <c r="AG50" s="143">
        <f t="shared" ref="AG50:AG55" si="11">sum(B50:AE50)</f>
        <v>0</v>
      </c>
    </row>
    <row r="51" outlineLevel="1">
      <c r="A51" s="344" t="s">
        <v>456</v>
      </c>
      <c r="B51" s="342"/>
      <c r="C51" s="342"/>
      <c r="D51" s="342"/>
      <c r="E51" s="342"/>
      <c r="F51" s="342"/>
      <c r="G51" s="342"/>
      <c r="H51" s="343"/>
      <c r="I51" s="343"/>
      <c r="J51" s="343"/>
      <c r="K51" s="343"/>
      <c r="L51" s="343"/>
      <c r="M51" s="342"/>
      <c r="N51" s="343"/>
      <c r="O51" s="343"/>
      <c r="P51" s="343"/>
      <c r="Q51" s="343"/>
      <c r="R51" s="342"/>
      <c r="S51" s="342"/>
      <c r="T51" s="343"/>
      <c r="U51" s="343"/>
      <c r="V51" s="343"/>
      <c r="W51" s="343"/>
      <c r="X51" s="343"/>
      <c r="Y51" s="343"/>
      <c r="Z51" s="343"/>
      <c r="AA51" s="343"/>
      <c r="AB51" s="343"/>
      <c r="AC51" s="343"/>
      <c r="AD51" s="343"/>
      <c r="AE51" s="343"/>
      <c r="AF51" s="339"/>
      <c r="AG51" s="143">
        <f t="shared" si="11"/>
        <v>0</v>
      </c>
    </row>
    <row r="52" outlineLevel="1">
      <c r="A52" s="344" t="s">
        <v>457</v>
      </c>
      <c r="B52" s="345"/>
      <c r="C52" s="345"/>
      <c r="D52" s="96"/>
      <c r="E52" s="34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339"/>
      <c r="AG52" s="143">
        <f t="shared" si="11"/>
        <v>0</v>
      </c>
    </row>
    <row r="53" outlineLevel="1">
      <c r="A53" s="344" t="s">
        <v>458</v>
      </c>
      <c r="B53" s="347"/>
      <c r="C53" s="96"/>
      <c r="D53" s="345"/>
      <c r="E53" s="346"/>
      <c r="F53" s="96"/>
      <c r="G53" s="96"/>
      <c r="H53" s="96"/>
      <c r="I53" s="96"/>
      <c r="J53" s="96"/>
      <c r="K53" s="96"/>
      <c r="L53" s="96"/>
      <c r="M53" s="96"/>
      <c r="N53" s="96"/>
      <c r="O53" s="96"/>
      <c r="P53" s="96"/>
      <c r="Q53" s="96"/>
      <c r="R53" s="96"/>
      <c r="S53" s="96"/>
      <c r="T53" s="96"/>
      <c r="U53" s="96"/>
      <c r="V53" s="96"/>
      <c r="W53" s="96"/>
      <c r="X53" s="96"/>
      <c r="Y53" s="96"/>
      <c r="Z53" s="96"/>
      <c r="AA53" s="96"/>
      <c r="AB53" s="96"/>
      <c r="AC53" s="96"/>
      <c r="AD53" s="96"/>
      <c r="AE53" s="96"/>
      <c r="AF53" s="339"/>
      <c r="AG53" s="143">
        <f t="shared" si="11"/>
        <v>0</v>
      </c>
    </row>
    <row r="54" outlineLevel="1">
      <c r="A54" s="348" t="s">
        <v>459</v>
      </c>
      <c r="B54" s="349">
        <f>B46+B50+B52</f>
        <v>0</v>
      </c>
      <c r="C54" s="349">
        <f t="shared" ref="C54:AF54" si="12">SUM(C46:C53)</f>
        <v>0</v>
      </c>
      <c r="D54" s="349">
        <f t="shared" si="12"/>
        <v>0</v>
      </c>
      <c r="E54" s="349">
        <f t="shared" si="12"/>
        <v>0</v>
      </c>
      <c r="F54" s="349">
        <f t="shared" si="12"/>
        <v>0</v>
      </c>
      <c r="G54" s="349">
        <f t="shared" si="12"/>
        <v>0</v>
      </c>
      <c r="H54" s="349">
        <f t="shared" si="12"/>
        <v>0</v>
      </c>
      <c r="I54" s="349">
        <f t="shared" si="12"/>
        <v>0</v>
      </c>
      <c r="J54" s="349">
        <f t="shared" si="12"/>
        <v>0</v>
      </c>
      <c r="K54" s="349">
        <f t="shared" si="12"/>
        <v>0</v>
      </c>
      <c r="L54" s="349">
        <f t="shared" si="12"/>
        <v>0</v>
      </c>
      <c r="M54" s="349">
        <f t="shared" si="12"/>
        <v>0</v>
      </c>
      <c r="N54" s="349">
        <f t="shared" si="12"/>
        <v>0</v>
      </c>
      <c r="O54" s="349">
        <f t="shared" si="12"/>
        <v>0</v>
      </c>
      <c r="P54" s="349">
        <f t="shared" si="12"/>
        <v>0</v>
      </c>
      <c r="Q54" s="349">
        <f t="shared" si="12"/>
        <v>0</v>
      </c>
      <c r="R54" s="349">
        <f t="shared" si="12"/>
        <v>0</v>
      </c>
      <c r="S54" s="349">
        <f t="shared" si="12"/>
        <v>0</v>
      </c>
      <c r="T54" s="349">
        <f t="shared" si="12"/>
        <v>0</v>
      </c>
      <c r="U54" s="349">
        <f t="shared" si="12"/>
        <v>0</v>
      </c>
      <c r="V54" s="349">
        <f t="shared" si="12"/>
        <v>0</v>
      </c>
      <c r="W54" s="349">
        <f t="shared" si="12"/>
        <v>0</v>
      </c>
      <c r="X54" s="349">
        <f t="shared" si="12"/>
        <v>0</v>
      </c>
      <c r="Y54" s="349">
        <f t="shared" si="12"/>
        <v>0</v>
      </c>
      <c r="Z54" s="349">
        <f t="shared" si="12"/>
        <v>0</v>
      </c>
      <c r="AA54" s="349">
        <f t="shared" si="12"/>
        <v>0</v>
      </c>
      <c r="AB54" s="349">
        <f t="shared" si="12"/>
        <v>8</v>
      </c>
      <c r="AC54" s="349">
        <f t="shared" si="12"/>
        <v>9</v>
      </c>
      <c r="AD54" s="349">
        <f t="shared" si="12"/>
        <v>8</v>
      </c>
      <c r="AE54" s="349">
        <f t="shared" si="12"/>
        <v>5</v>
      </c>
      <c r="AF54" s="349">
        <f t="shared" si="12"/>
        <v>0</v>
      </c>
      <c r="AG54" s="143">
        <f t="shared" si="11"/>
        <v>30</v>
      </c>
    </row>
    <row r="55" outlineLevel="1">
      <c r="A55" s="348" t="s">
        <v>460</v>
      </c>
      <c r="B55" s="349">
        <f t="shared" ref="B55:AF55" si="13">B48+B51+B53</f>
        <v>0</v>
      </c>
      <c r="C55" s="349">
        <f t="shared" si="13"/>
        <v>0</v>
      </c>
      <c r="D55" s="349">
        <f t="shared" si="13"/>
        <v>0</v>
      </c>
      <c r="E55" s="349">
        <f t="shared" si="13"/>
        <v>0</v>
      </c>
      <c r="F55" s="349">
        <f t="shared" si="13"/>
        <v>0</v>
      </c>
      <c r="G55" s="349">
        <f t="shared" si="13"/>
        <v>0</v>
      </c>
      <c r="H55" s="349">
        <f t="shared" si="13"/>
        <v>0</v>
      </c>
      <c r="I55" s="349">
        <f t="shared" si="13"/>
        <v>0</v>
      </c>
      <c r="J55" s="349">
        <f t="shared" si="13"/>
        <v>0</v>
      </c>
      <c r="K55" s="349">
        <f t="shared" si="13"/>
        <v>0</v>
      </c>
      <c r="L55" s="349">
        <f t="shared" si="13"/>
        <v>0</v>
      </c>
      <c r="M55" s="349">
        <f t="shared" si="13"/>
        <v>0</v>
      </c>
      <c r="N55" s="349">
        <f t="shared" si="13"/>
        <v>0</v>
      </c>
      <c r="O55" s="349">
        <f t="shared" si="13"/>
        <v>0</v>
      </c>
      <c r="P55" s="349">
        <f t="shared" si="13"/>
        <v>0</v>
      </c>
      <c r="Q55" s="349">
        <f t="shared" si="13"/>
        <v>0</v>
      </c>
      <c r="R55" s="349">
        <f t="shared" si="13"/>
        <v>0</v>
      </c>
      <c r="S55" s="349">
        <f t="shared" si="13"/>
        <v>0</v>
      </c>
      <c r="T55" s="349">
        <f t="shared" si="13"/>
        <v>0</v>
      </c>
      <c r="U55" s="349">
        <f t="shared" si="13"/>
        <v>0</v>
      </c>
      <c r="V55" s="349">
        <f t="shared" si="13"/>
        <v>0</v>
      </c>
      <c r="W55" s="349">
        <f t="shared" si="13"/>
        <v>0</v>
      </c>
      <c r="X55" s="349">
        <f t="shared" si="13"/>
        <v>0</v>
      </c>
      <c r="Y55" s="349">
        <f t="shared" si="13"/>
        <v>0</v>
      </c>
      <c r="Z55" s="349">
        <f t="shared" si="13"/>
        <v>0</v>
      </c>
      <c r="AA55" s="349">
        <f t="shared" si="13"/>
        <v>0</v>
      </c>
      <c r="AB55" s="349">
        <f t="shared" si="13"/>
        <v>8</v>
      </c>
      <c r="AC55" s="349">
        <f t="shared" si="13"/>
        <v>9</v>
      </c>
      <c r="AD55" s="349">
        <f t="shared" si="13"/>
        <v>8</v>
      </c>
      <c r="AE55" s="349">
        <f t="shared" si="13"/>
        <v>5</v>
      </c>
      <c r="AF55" s="349">
        <f t="shared" si="13"/>
        <v>0</v>
      </c>
      <c r="AG55" s="143">
        <f t="shared" si="11"/>
        <v>30</v>
      </c>
    </row>
    <row r="56" ht="21.0" customHeight="1" outlineLevel="1">
      <c r="A56" s="350"/>
      <c r="B56" s="135"/>
      <c r="C56" s="135"/>
      <c r="D56" s="135"/>
      <c r="E56" s="135"/>
      <c r="F56" s="135"/>
      <c r="G56" s="135"/>
      <c r="H56" s="135"/>
      <c r="I56" s="82"/>
      <c r="J56" s="82"/>
      <c r="K56" s="82"/>
      <c r="L56" s="82"/>
      <c r="M56" s="82"/>
      <c r="N56" s="82"/>
      <c r="O56" s="82"/>
      <c r="P56" s="82"/>
      <c r="Q56" s="82"/>
      <c r="R56" s="82"/>
      <c r="S56" s="82"/>
      <c r="T56" s="82"/>
      <c r="U56" s="82"/>
      <c r="V56" s="82"/>
      <c r="W56" s="82"/>
      <c r="X56" s="82"/>
      <c r="Y56" s="82"/>
      <c r="Z56" s="82"/>
      <c r="AA56" s="82"/>
      <c r="AB56" s="82"/>
      <c r="AC56" s="82"/>
      <c r="AD56" s="82"/>
      <c r="AE56" s="82"/>
      <c r="AF56" s="339"/>
      <c r="AG56" s="143"/>
    </row>
    <row r="57" outlineLevel="1">
      <c r="A57" s="341" t="s">
        <v>461</v>
      </c>
      <c r="B57" s="342"/>
      <c r="C57" s="342"/>
      <c r="D57" s="342"/>
      <c r="E57" s="342"/>
      <c r="F57" s="342"/>
      <c r="G57" s="342"/>
      <c r="H57" s="343"/>
      <c r="I57" s="343"/>
      <c r="J57" s="343"/>
      <c r="K57" s="343"/>
      <c r="L57" s="343"/>
      <c r="M57" s="342"/>
      <c r="N57" s="343"/>
      <c r="O57" s="343"/>
      <c r="P57" s="343"/>
      <c r="Q57" s="343"/>
      <c r="R57" s="342"/>
      <c r="S57" s="342"/>
      <c r="T57" s="343"/>
      <c r="U57" s="91"/>
      <c r="V57" s="91"/>
      <c r="W57" s="343"/>
      <c r="X57" s="343"/>
      <c r="Y57" s="343"/>
      <c r="Z57" s="343"/>
      <c r="AA57" s="343"/>
      <c r="AB57" s="343"/>
      <c r="AC57" s="343"/>
      <c r="AD57" s="343"/>
      <c r="AE57" s="343"/>
      <c r="AF57" s="339"/>
      <c r="AG57" s="143">
        <f t="shared" ref="AG57:AG62" si="14">sum(B57:AE57)</f>
        <v>0</v>
      </c>
    </row>
    <row r="58" outlineLevel="1">
      <c r="A58" s="341" t="s">
        <v>462</v>
      </c>
      <c r="B58" s="342"/>
      <c r="C58" s="342"/>
      <c r="D58" s="342"/>
      <c r="E58" s="342"/>
      <c r="F58" s="342"/>
      <c r="G58" s="342"/>
      <c r="H58" s="343"/>
      <c r="I58" s="343"/>
      <c r="J58" s="343"/>
      <c r="K58" s="343"/>
      <c r="L58" s="343"/>
      <c r="M58" s="342"/>
      <c r="N58" s="343"/>
      <c r="O58" s="343"/>
      <c r="P58" s="343"/>
      <c r="Q58" s="343"/>
      <c r="R58" s="342"/>
      <c r="S58" s="342"/>
      <c r="T58" s="343"/>
      <c r="U58" s="343"/>
      <c r="V58" s="91"/>
      <c r="W58" s="91"/>
      <c r="X58" s="91"/>
      <c r="Y58" s="343"/>
      <c r="Z58" s="343"/>
      <c r="AA58" s="343"/>
      <c r="AB58" s="343"/>
      <c r="AC58" s="343"/>
      <c r="AD58" s="343"/>
      <c r="AE58" s="343"/>
      <c r="AF58" s="339"/>
      <c r="AG58" s="143">
        <f t="shared" si="14"/>
        <v>0</v>
      </c>
    </row>
    <row r="59" outlineLevel="1">
      <c r="A59" s="344" t="s">
        <v>463</v>
      </c>
      <c r="B59" s="342"/>
      <c r="C59" s="342"/>
      <c r="D59" s="342"/>
      <c r="E59" s="342"/>
      <c r="F59" s="342"/>
      <c r="G59" s="342"/>
      <c r="H59" s="343"/>
      <c r="I59" s="343"/>
      <c r="J59" s="343"/>
      <c r="K59" s="343"/>
      <c r="L59" s="343"/>
      <c r="M59" s="342"/>
      <c r="N59" s="343"/>
      <c r="O59" s="343"/>
      <c r="P59" s="343"/>
      <c r="Q59" s="343"/>
      <c r="R59" s="342"/>
      <c r="S59" s="342"/>
      <c r="T59" s="343"/>
      <c r="U59" s="91"/>
      <c r="V59" s="91"/>
      <c r="W59" s="343"/>
      <c r="X59" s="343"/>
      <c r="Y59" s="343"/>
      <c r="Z59" s="343"/>
      <c r="AA59" s="343"/>
      <c r="AB59" s="343"/>
      <c r="AC59" s="343"/>
      <c r="AD59" s="343"/>
      <c r="AE59" s="343"/>
      <c r="AF59" s="339"/>
      <c r="AG59" s="143">
        <f t="shared" si="14"/>
        <v>0</v>
      </c>
    </row>
    <row r="60" outlineLevel="1">
      <c r="A60" s="341" t="s">
        <v>464</v>
      </c>
      <c r="B60" s="342"/>
      <c r="C60" s="342"/>
      <c r="D60" s="342"/>
      <c r="E60" s="342"/>
      <c r="F60" s="342"/>
      <c r="G60" s="342"/>
      <c r="H60" s="343"/>
      <c r="I60" s="343"/>
      <c r="J60" s="343"/>
      <c r="K60" s="343"/>
      <c r="L60" s="343"/>
      <c r="M60" s="342"/>
      <c r="N60" s="343"/>
      <c r="O60" s="343"/>
      <c r="P60" s="343"/>
      <c r="Q60" s="343"/>
      <c r="R60" s="342"/>
      <c r="S60" s="342"/>
      <c r="T60" s="343"/>
      <c r="U60" s="95"/>
      <c r="V60" s="95"/>
      <c r="W60" s="343"/>
      <c r="X60" s="91"/>
      <c r="Y60" s="343"/>
      <c r="Z60" s="343"/>
      <c r="AA60" s="343"/>
      <c r="AB60" s="343"/>
      <c r="AC60" s="343"/>
      <c r="AD60" s="343"/>
      <c r="AE60" s="343"/>
      <c r="AF60" s="339"/>
      <c r="AG60" s="143">
        <f t="shared" si="14"/>
        <v>0</v>
      </c>
    </row>
    <row r="61" outlineLevel="1">
      <c r="A61" s="341" t="s">
        <v>465</v>
      </c>
      <c r="B61" s="342"/>
      <c r="C61" s="342"/>
      <c r="D61" s="342"/>
      <c r="E61" s="342"/>
      <c r="F61" s="342"/>
      <c r="G61" s="342"/>
      <c r="H61" s="343"/>
      <c r="I61" s="343"/>
      <c r="J61" s="343"/>
      <c r="K61" s="343"/>
      <c r="L61" s="343"/>
      <c r="M61" s="342"/>
      <c r="N61" s="343"/>
      <c r="O61" s="343"/>
      <c r="P61" s="343"/>
      <c r="Q61" s="343"/>
      <c r="R61" s="342"/>
      <c r="S61" s="342"/>
      <c r="T61" s="343"/>
      <c r="U61" s="95"/>
      <c r="V61" s="95"/>
      <c r="W61" s="343"/>
      <c r="X61" s="343"/>
      <c r="Y61" s="343"/>
      <c r="Z61" s="343"/>
      <c r="AA61" s="343"/>
      <c r="AB61" s="343"/>
      <c r="AC61" s="343"/>
      <c r="AD61" s="343"/>
      <c r="AE61" s="343"/>
      <c r="AF61" s="339"/>
      <c r="AG61" s="143">
        <f t="shared" si="14"/>
        <v>0</v>
      </c>
    </row>
    <row r="62" outlineLevel="1">
      <c r="A62" s="351" t="s">
        <v>466</v>
      </c>
      <c r="B62" s="349">
        <f t="shared" ref="B62:AF62" si="15">SUM(B57:B61)</f>
        <v>0</v>
      </c>
      <c r="C62" s="349">
        <f t="shared" si="15"/>
        <v>0</v>
      </c>
      <c r="D62" s="349">
        <f t="shared" si="15"/>
        <v>0</v>
      </c>
      <c r="E62" s="349">
        <f t="shared" si="15"/>
        <v>0</v>
      </c>
      <c r="F62" s="349">
        <f t="shared" si="15"/>
        <v>0</v>
      </c>
      <c r="G62" s="349">
        <f t="shared" si="15"/>
        <v>0</v>
      </c>
      <c r="H62" s="349">
        <f t="shared" si="15"/>
        <v>0</v>
      </c>
      <c r="I62" s="349">
        <f t="shared" si="15"/>
        <v>0</v>
      </c>
      <c r="J62" s="349">
        <f t="shared" si="15"/>
        <v>0</v>
      </c>
      <c r="K62" s="349">
        <f t="shared" si="15"/>
        <v>0</v>
      </c>
      <c r="L62" s="349">
        <f t="shared" si="15"/>
        <v>0</v>
      </c>
      <c r="M62" s="349">
        <f t="shared" si="15"/>
        <v>0</v>
      </c>
      <c r="N62" s="349">
        <f t="shared" si="15"/>
        <v>0</v>
      </c>
      <c r="O62" s="349">
        <f t="shared" si="15"/>
        <v>0</v>
      </c>
      <c r="P62" s="349">
        <f t="shared" si="15"/>
        <v>0</v>
      </c>
      <c r="Q62" s="349">
        <f t="shared" si="15"/>
        <v>0</v>
      </c>
      <c r="R62" s="349">
        <f t="shared" si="15"/>
        <v>0</v>
      </c>
      <c r="S62" s="349">
        <f t="shared" si="15"/>
        <v>0</v>
      </c>
      <c r="T62" s="349">
        <f t="shared" si="15"/>
        <v>0</v>
      </c>
      <c r="U62" s="349">
        <f t="shared" si="15"/>
        <v>0</v>
      </c>
      <c r="V62" s="349">
        <f t="shared" si="15"/>
        <v>0</v>
      </c>
      <c r="W62" s="349">
        <f t="shared" si="15"/>
        <v>0</v>
      </c>
      <c r="X62" s="349">
        <f t="shared" si="15"/>
        <v>0</v>
      </c>
      <c r="Y62" s="349">
        <f t="shared" si="15"/>
        <v>0</v>
      </c>
      <c r="Z62" s="349">
        <f t="shared" si="15"/>
        <v>0</v>
      </c>
      <c r="AA62" s="349">
        <f t="shared" si="15"/>
        <v>0</v>
      </c>
      <c r="AB62" s="349">
        <f t="shared" si="15"/>
        <v>0</v>
      </c>
      <c r="AC62" s="349">
        <f t="shared" si="15"/>
        <v>0</v>
      </c>
      <c r="AD62" s="349">
        <f t="shared" si="15"/>
        <v>0</v>
      </c>
      <c r="AE62" s="349">
        <f t="shared" si="15"/>
        <v>0</v>
      </c>
      <c r="AF62" s="349">
        <f t="shared" si="15"/>
        <v>0</v>
      </c>
      <c r="AG62" s="143">
        <f t="shared" si="14"/>
        <v>0</v>
      </c>
    </row>
    <row r="63" outlineLevel="1">
      <c r="A63" s="350"/>
      <c r="B63" s="135"/>
      <c r="C63" s="135"/>
      <c r="D63" s="135"/>
      <c r="E63" s="135"/>
      <c r="F63" s="135"/>
      <c r="G63" s="135"/>
      <c r="H63" s="135"/>
      <c r="I63" s="82"/>
      <c r="J63" s="82"/>
      <c r="K63" s="82"/>
      <c r="L63" s="82"/>
      <c r="M63" s="82"/>
      <c r="N63" s="82"/>
      <c r="O63" s="82"/>
      <c r="P63" s="82"/>
      <c r="Q63" s="82"/>
      <c r="R63" s="82"/>
      <c r="S63" s="82"/>
      <c r="T63" s="82"/>
      <c r="U63" s="82"/>
      <c r="V63" s="82"/>
      <c r="W63" s="82"/>
      <c r="X63" s="82"/>
      <c r="Y63" s="82"/>
      <c r="Z63" s="82"/>
      <c r="AA63" s="82"/>
      <c r="AB63" s="82"/>
      <c r="AC63" s="82"/>
      <c r="AD63" s="82"/>
      <c r="AE63" s="82"/>
      <c r="AF63" s="339"/>
      <c r="AG63" s="143"/>
    </row>
    <row r="64" outlineLevel="1">
      <c r="A64" s="344" t="s">
        <v>467</v>
      </c>
      <c r="B64" s="342"/>
      <c r="C64" s="342"/>
      <c r="D64" s="342"/>
      <c r="E64" s="342"/>
      <c r="F64" s="342"/>
      <c r="G64" s="342"/>
      <c r="H64" s="343"/>
      <c r="I64" s="343"/>
      <c r="J64" s="343"/>
      <c r="K64" s="343"/>
      <c r="L64" s="343"/>
      <c r="M64" s="342"/>
      <c r="N64" s="343"/>
      <c r="O64" s="343"/>
      <c r="P64" s="343"/>
      <c r="Q64" s="343"/>
      <c r="R64" s="342"/>
      <c r="S64" s="342"/>
      <c r="T64" s="343"/>
      <c r="U64" s="343"/>
      <c r="V64" s="343"/>
      <c r="W64" s="343"/>
      <c r="X64" s="343"/>
      <c r="Y64" s="343"/>
      <c r="Z64" s="343"/>
      <c r="AA64" s="343"/>
      <c r="AB64" s="343"/>
      <c r="AC64" s="343"/>
      <c r="AD64" s="343"/>
      <c r="AE64" s="343"/>
      <c r="AF64" s="339"/>
      <c r="AG64" s="143">
        <f t="shared" ref="AG64:AG69" si="16">sum(B64:AE64)</f>
        <v>0</v>
      </c>
    </row>
    <row r="65" outlineLevel="1">
      <c r="A65" s="344" t="s">
        <v>468</v>
      </c>
      <c r="B65" s="342"/>
      <c r="C65" s="342"/>
      <c r="D65" s="342"/>
      <c r="E65" s="342"/>
      <c r="F65" s="342"/>
      <c r="G65" s="342"/>
      <c r="H65" s="343"/>
      <c r="I65" s="343"/>
      <c r="J65" s="343"/>
      <c r="K65" s="343"/>
      <c r="L65" s="343"/>
      <c r="M65" s="342"/>
      <c r="N65" s="343"/>
      <c r="O65" s="343"/>
      <c r="P65" s="343"/>
      <c r="Q65" s="343"/>
      <c r="R65" s="342"/>
      <c r="S65" s="342"/>
      <c r="T65" s="343"/>
      <c r="U65" s="343"/>
      <c r="V65" s="343"/>
      <c r="W65" s="343"/>
      <c r="X65" s="343"/>
      <c r="Y65" s="343"/>
      <c r="Z65" s="343"/>
      <c r="AA65" s="343"/>
      <c r="AB65" s="343"/>
      <c r="AC65" s="343"/>
      <c r="AD65" s="343"/>
      <c r="AE65" s="343"/>
      <c r="AF65" s="339"/>
      <c r="AG65" s="143">
        <f t="shared" si="16"/>
        <v>0</v>
      </c>
    </row>
    <row r="66" outlineLevel="1">
      <c r="A66" s="344" t="s">
        <v>469</v>
      </c>
      <c r="B66" s="342"/>
      <c r="C66" s="342"/>
      <c r="D66" s="342"/>
      <c r="E66" s="342"/>
      <c r="F66" s="342"/>
      <c r="G66" s="342"/>
      <c r="H66" s="343"/>
      <c r="I66" s="343"/>
      <c r="J66" s="343"/>
      <c r="K66" s="343"/>
      <c r="L66" s="343"/>
      <c r="M66" s="342"/>
      <c r="N66" s="343"/>
      <c r="O66" s="343"/>
      <c r="P66" s="343"/>
      <c r="Q66" s="343"/>
      <c r="R66" s="342"/>
      <c r="S66" s="342"/>
      <c r="T66" s="343"/>
      <c r="U66" s="343"/>
      <c r="V66" s="343"/>
      <c r="W66" s="343"/>
      <c r="X66" s="343"/>
      <c r="Y66" s="343"/>
      <c r="Z66" s="343"/>
      <c r="AA66" s="343"/>
      <c r="AB66" s="343"/>
      <c r="AC66" s="343"/>
      <c r="AD66" s="343"/>
      <c r="AE66" s="343"/>
      <c r="AF66" s="339"/>
      <c r="AG66" s="143">
        <f t="shared" si="16"/>
        <v>0</v>
      </c>
    </row>
    <row r="67" outlineLevel="1">
      <c r="A67" s="344" t="s">
        <v>470</v>
      </c>
      <c r="B67" s="342"/>
      <c r="C67" s="342"/>
      <c r="D67" s="342"/>
      <c r="E67" s="342"/>
      <c r="F67" s="342"/>
      <c r="G67" s="342"/>
      <c r="H67" s="343"/>
      <c r="I67" s="343"/>
      <c r="J67" s="343"/>
      <c r="K67" s="343"/>
      <c r="L67" s="343"/>
      <c r="M67" s="342"/>
      <c r="N67" s="343"/>
      <c r="O67" s="343"/>
      <c r="P67" s="343"/>
      <c r="Q67" s="343"/>
      <c r="R67" s="342"/>
      <c r="S67" s="342"/>
      <c r="T67" s="343"/>
      <c r="U67" s="343"/>
      <c r="V67" s="343"/>
      <c r="W67" s="343"/>
      <c r="X67" s="343"/>
      <c r="Y67" s="343"/>
      <c r="Z67" s="343"/>
      <c r="AA67" s="343"/>
      <c r="AB67" s="343"/>
      <c r="AC67" s="343"/>
      <c r="AD67" s="343"/>
      <c r="AE67" s="343"/>
      <c r="AF67" s="339"/>
      <c r="AG67" s="143">
        <f t="shared" si="16"/>
        <v>0</v>
      </c>
    </row>
    <row r="68" outlineLevel="1">
      <c r="A68" s="344" t="s">
        <v>471</v>
      </c>
      <c r="B68" s="342"/>
      <c r="C68" s="342"/>
      <c r="D68" s="342"/>
      <c r="E68" s="342"/>
      <c r="F68" s="342"/>
      <c r="G68" s="342"/>
      <c r="H68" s="343"/>
      <c r="I68" s="343"/>
      <c r="J68" s="343"/>
      <c r="K68" s="343"/>
      <c r="L68" s="343"/>
      <c r="M68" s="342"/>
      <c r="N68" s="343"/>
      <c r="O68" s="343"/>
      <c r="P68" s="343"/>
      <c r="Q68" s="343"/>
      <c r="R68" s="342"/>
      <c r="S68" s="342"/>
      <c r="T68" s="343"/>
      <c r="U68" s="343"/>
      <c r="V68" s="343"/>
      <c r="W68" s="343"/>
      <c r="X68" s="343"/>
      <c r="Y68" s="343"/>
      <c r="Z68" s="343"/>
      <c r="AA68" s="343"/>
      <c r="AB68" s="343"/>
      <c r="AC68" s="343"/>
      <c r="AD68" s="343"/>
      <c r="AE68" s="343"/>
      <c r="AF68" s="339"/>
      <c r="AG68" s="143">
        <f t="shared" si="16"/>
        <v>0</v>
      </c>
    </row>
    <row r="69" outlineLevel="1">
      <c r="A69" s="352" t="s">
        <v>472</v>
      </c>
      <c r="B69" s="349">
        <f t="shared" ref="B69:AF69" si="17">SUM(B64:B68)</f>
        <v>0</v>
      </c>
      <c r="C69" s="349">
        <f t="shared" si="17"/>
        <v>0</v>
      </c>
      <c r="D69" s="349">
        <f t="shared" si="17"/>
        <v>0</v>
      </c>
      <c r="E69" s="349">
        <f t="shared" si="17"/>
        <v>0</v>
      </c>
      <c r="F69" s="349">
        <f t="shared" si="17"/>
        <v>0</v>
      </c>
      <c r="G69" s="349">
        <f t="shared" si="17"/>
        <v>0</v>
      </c>
      <c r="H69" s="349">
        <f t="shared" si="17"/>
        <v>0</v>
      </c>
      <c r="I69" s="349">
        <f t="shared" si="17"/>
        <v>0</v>
      </c>
      <c r="J69" s="349">
        <f t="shared" si="17"/>
        <v>0</v>
      </c>
      <c r="K69" s="349">
        <f t="shared" si="17"/>
        <v>0</v>
      </c>
      <c r="L69" s="349">
        <f t="shared" si="17"/>
        <v>0</v>
      </c>
      <c r="M69" s="349">
        <f t="shared" si="17"/>
        <v>0</v>
      </c>
      <c r="N69" s="349">
        <f t="shared" si="17"/>
        <v>0</v>
      </c>
      <c r="O69" s="349">
        <f t="shared" si="17"/>
        <v>0</v>
      </c>
      <c r="P69" s="349">
        <f t="shared" si="17"/>
        <v>0</v>
      </c>
      <c r="Q69" s="349">
        <f t="shared" si="17"/>
        <v>0</v>
      </c>
      <c r="R69" s="349">
        <f t="shared" si="17"/>
        <v>0</v>
      </c>
      <c r="S69" s="349">
        <f t="shared" si="17"/>
        <v>0</v>
      </c>
      <c r="T69" s="349">
        <f t="shared" si="17"/>
        <v>0</v>
      </c>
      <c r="U69" s="349">
        <f t="shared" si="17"/>
        <v>0</v>
      </c>
      <c r="V69" s="349">
        <f t="shared" si="17"/>
        <v>0</v>
      </c>
      <c r="W69" s="349">
        <f t="shared" si="17"/>
        <v>0</v>
      </c>
      <c r="X69" s="349">
        <f t="shared" si="17"/>
        <v>0</v>
      </c>
      <c r="Y69" s="349">
        <f t="shared" si="17"/>
        <v>0</v>
      </c>
      <c r="Z69" s="349">
        <f t="shared" si="17"/>
        <v>0</v>
      </c>
      <c r="AA69" s="349">
        <f t="shared" si="17"/>
        <v>0</v>
      </c>
      <c r="AB69" s="349">
        <f t="shared" si="17"/>
        <v>0</v>
      </c>
      <c r="AC69" s="349">
        <f t="shared" si="17"/>
        <v>0</v>
      </c>
      <c r="AD69" s="349">
        <f t="shared" si="17"/>
        <v>0</v>
      </c>
      <c r="AE69" s="349">
        <f t="shared" si="17"/>
        <v>0</v>
      </c>
      <c r="AF69" s="349">
        <f t="shared" si="17"/>
        <v>0</v>
      </c>
      <c r="AG69" s="143">
        <f t="shared" si="16"/>
        <v>0</v>
      </c>
    </row>
    <row r="70" outlineLevel="1">
      <c r="A70" s="350"/>
      <c r="B70" s="135"/>
      <c r="C70" s="135"/>
      <c r="D70" s="135"/>
      <c r="E70" s="135"/>
      <c r="F70" s="135"/>
      <c r="G70" s="135"/>
      <c r="H70" s="135"/>
      <c r="I70" s="82"/>
      <c r="J70" s="82"/>
      <c r="K70" s="82"/>
      <c r="L70" s="82"/>
      <c r="M70" s="82"/>
      <c r="N70" s="82"/>
      <c r="O70" s="82"/>
      <c r="P70" s="82"/>
      <c r="Q70" s="82"/>
      <c r="R70" s="82"/>
      <c r="S70" s="82"/>
      <c r="T70" s="82"/>
      <c r="U70" s="82"/>
      <c r="V70" s="82"/>
      <c r="W70" s="82"/>
      <c r="X70" s="82"/>
      <c r="Y70" s="82"/>
      <c r="Z70" s="82"/>
      <c r="AA70" s="82"/>
      <c r="AB70" s="82"/>
      <c r="AC70" s="82"/>
      <c r="AD70" s="82"/>
      <c r="AE70" s="82"/>
      <c r="AF70" s="339"/>
      <c r="AG70" s="143"/>
    </row>
    <row r="71" outlineLevel="1">
      <c r="A71" s="344" t="s">
        <v>473</v>
      </c>
      <c r="B71" s="345"/>
      <c r="C71" s="346"/>
      <c r="D71" s="346"/>
      <c r="E71" s="346"/>
      <c r="F71" s="346"/>
      <c r="G71" s="346"/>
      <c r="H71" s="346"/>
      <c r="I71" s="346"/>
      <c r="J71" s="346"/>
      <c r="K71" s="346"/>
      <c r="L71" s="346"/>
      <c r="M71" s="346"/>
      <c r="N71" s="346"/>
      <c r="O71" s="346"/>
      <c r="P71" s="346"/>
      <c r="Q71" s="346"/>
      <c r="R71" s="346"/>
      <c r="S71" s="346"/>
      <c r="T71" s="346"/>
      <c r="U71" s="346"/>
      <c r="V71" s="346"/>
      <c r="W71" s="346"/>
      <c r="X71" s="346"/>
      <c r="Y71" s="346"/>
      <c r="Z71" s="346"/>
      <c r="AA71" s="346"/>
      <c r="AB71" s="346"/>
      <c r="AC71" s="346"/>
      <c r="AD71" s="346"/>
      <c r="AE71" s="346"/>
      <c r="AF71" s="339"/>
      <c r="AG71" s="143">
        <f t="shared" ref="AG71:AG76" si="18">sum(B71:AE71)</f>
        <v>0</v>
      </c>
    </row>
    <row r="72" outlineLevel="1">
      <c r="A72" s="344" t="s">
        <v>474</v>
      </c>
      <c r="B72" s="345"/>
      <c r="C72" s="353"/>
      <c r="D72" s="96"/>
      <c r="E72" s="346"/>
      <c r="F72" s="346"/>
      <c r="G72" s="346"/>
      <c r="H72" s="346"/>
      <c r="I72" s="346"/>
      <c r="J72" s="346"/>
      <c r="K72" s="346"/>
      <c r="L72" s="346"/>
      <c r="M72" s="346"/>
      <c r="N72" s="346"/>
      <c r="O72" s="346"/>
      <c r="P72" s="346"/>
      <c r="Q72" s="346"/>
      <c r="R72" s="346"/>
      <c r="S72" s="346"/>
      <c r="T72" s="346"/>
      <c r="U72" s="346"/>
      <c r="V72" s="346"/>
      <c r="W72" s="346"/>
      <c r="X72" s="346"/>
      <c r="Y72" s="346"/>
      <c r="Z72" s="346"/>
      <c r="AA72" s="346"/>
      <c r="AB72" s="346"/>
      <c r="AC72" s="346"/>
      <c r="AD72" s="346"/>
      <c r="AE72" s="346"/>
      <c r="AF72" s="339"/>
      <c r="AG72" s="143">
        <f t="shared" si="18"/>
        <v>0</v>
      </c>
    </row>
    <row r="73" outlineLevel="1">
      <c r="A73" s="344" t="s">
        <v>475</v>
      </c>
      <c r="B73" s="345"/>
      <c r="C73" s="346"/>
      <c r="D73" s="346"/>
      <c r="E73" s="346"/>
      <c r="F73" s="346"/>
      <c r="G73" s="346"/>
      <c r="H73" s="346"/>
      <c r="I73" s="346"/>
      <c r="J73" s="346"/>
      <c r="K73" s="346"/>
      <c r="L73" s="346"/>
      <c r="M73" s="346"/>
      <c r="N73" s="346"/>
      <c r="O73" s="346"/>
      <c r="P73" s="346"/>
      <c r="Q73" s="346"/>
      <c r="R73" s="346"/>
      <c r="S73" s="346"/>
      <c r="T73" s="346"/>
      <c r="U73" s="346"/>
      <c r="V73" s="346"/>
      <c r="W73" s="346"/>
      <c r="X73" s="346"/>
      <c r="Y73" s="346"/>
      <c r="Z73" s="346"/>
      <c r="AA73" s="346"/>
      <c r="AB73" s="346"/>
      <c r="AC73" s="346"/>
      <c r="AD73" s="346"/>
      <c r="AE73" s="346"/>
      <c r="AF73" s="339"/>
      <c r="AG73" s="143">
        <f t="shared" si="18"/>
        <v>0</v>
      </c>
    </row>
    <row r="74" outlineLevel="1">
      <c r="A74" s="344" t="s">
        <v>476</v>
      </c>
      <c r="B74" s="345"/>
      <c r="C74" s="346"/>
      <c r="D74" s="346"/>
      <c r="E74" s="346"/>
      <c r="F74" s="346"/>
      <c r="G74" s="346"/>
      <c r="H74" s="346"/>
      <c r="I74" s="346"/>
      <c r="J74" s="346"/>
      <c r="K74" s="346"/>
      <c r="L74" s="346"/>
      <c r="M74" s="346"/>
      <c r="N74" s="346"/>
      <c r="O74" s="346"/>
      <c r="P74" s="346"/>
      <c r="Q74" s="346"/>
      <c r="R74" s="346"/>
      <c r="S74" s="346"/>
      <c r="T74" s="346"/>
      <c r="U74" s="346"/>
      <c r="V74" s="346"/>
      <c r="W74" s="346"/>
      <c r="X74" s="346"/>
      <c r="Y74" s="346"/>
      <c r="Z74" s="346"/>
      <c r="AA74" s="346"/>
      <c r="AB74" s="346"/>
      <c r="AC74" s="346"/>
      <c r="AD74" s="346"/>
      <c r="AE74" s="346"/>
      <c r="AF74" s="339"/>
      <c r="AG74" s="143">
        <f t="shared" si="18"/>
        <v>0</v>
      </c>
    </row>
    <row r="75" outlineLevel="1">
      <c r="A75" s="344" t="s">
        <v>477</v>
      </c>
      <c r="B75" s="346"/>
      <c r="C75" s="353"/>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c r="AB75" s="346"/>
      <c r="AC75" s="346"/>
      <c r="AD75" s="346"/>
      <c r="AE75" s="346"/>
      <c r="AF75" s="339"/>
      <c r="AG75" s="143">
        <f t="shared" si="18"/>
        <v>0</v>
      </c>
    </row>
    <row r="76" outlineLevel="1">
      <c r="A76" s="352" t="s">
        <v>478</v>
      </c>
      <c r="B76" s="349">
        <f>SUM(B71:B75)</f>
        <v>0</v>
      </c>
      <c r="C76" s="349">
        <f>SUM(C71:C74)</f>
        <v>0</v>
      </c>
      <c r="D76" s="349">
        <f t="shared" ref="D76:F76" si="19">SUM(D71:D75)</f>
        <v>0</v>
      </c>
      <c r="E76" s="349">
        <f t="shared" si="19"/>
        <v>0</v>
      </c>
      <c r="F76" s="349">
        <f t="shared" si="19"/>
        <v>0</v>
      </c>
      <c r="G76" s="349">
        <f t="shared" ref="G76:V76" si="20">SUM(G71:G74)</f>
        <v>0</v>
      </c>
      <c r="H76" s="349">
        <f t="shared" si="20"/>
        <v>0</v>
      </c>
      <c r="I76" s="349">
        <f t="shared" si="20"/>
        <v>0</v>
      </c>
      <c r="J76" s="349">
        <f t="shared" si="20"/>
        <v>0</v>
      </c>
      <c r="K76" s="349">
        <f t="shared" si="20"/>
        <v>0</v>
      </c>
      <c r="L76" s="349">
        <f t="shared" si="20"/>
        <v>0</v>
      </c>
      <c r="M76" s="349">
        <f t="shared" si="20"/>
        <v>0</v>
      </c>
      <c r="N76" s="349">
        <f t="shared" si="20"/>
        <v>0</v>
      </c>
      <c r="O76" s="349">
        <f t="shared" si="20"/>
        <v>0</v>
      </c>
      <c r="P76" s="349">
        <f t="shared" si="20"/>
        <v>0</v>
      </c>
      <c r="Q76" s="349">
        <f t="shared" si="20"/>
        <v>0</v>
      </c>
      <c r="R76" s="349">
        <f t="shared" si="20"/>
        <v>0</v>
      </c>
      <c r="S76" s="349">
        <f t="shared" si="20"/>
        <v>0</v>
      </c>
      <c r="T76" s="349">
        <f t="shared" si="20"/>
        <v>0</v>
      </c>
      <c r="U76" s="349">
        <f t="shared" si="20"/>
        <v>0</v>
      </c>
      <c r="V76" s="349">
        <f t="shared" si="20"/>
        <v>0</v>
      </c>
      <c r="W76" s="349">
        <f>SUM(W71:W75)</f>
        <v>0</v>
      </c>
      <c r="X76" s="349">
        <f t="shared" ref="X76:AF76" si="21">SUM(X71:X74)</f>
        <v>0</v>
      </c>
      <c r="Y76" s="349">
        <f t="shared" si="21"/>
        <v>0</v>
      </c>
      <c r="Z76" s="349">
        <f t="shared" si="21"/>
        <v>0</v>
      </c>
      <c r="AA76" s="349">
        <f t="shared" si="21"/>
        <v>0</v>
      </c>
      <c r="AB76" s="349">
        <f t="shared" si="21"/>
        <v>0</v>
      </c>
      <c r="AC76" s="349">
        <f t="shared" si="21"/>
        <v>0</v>
      </c>
      <c r="AD76" s="349">
        <f t="shared" si="21"/>
        <v>0</v>
      </c>
      <c r="AE76" s="349">
        <f t="shared" si="21"/>
        <v>0</v>
      </c>
      <c r="AF76" s="349">
        <f t="shared" si="21"/>
        <v>0</v>
      </c>
      <c r="AG76" s="143">
        <f t="shared" si="18"/>
        <v>0</v>
      </c>
    </row>
    <row r="77" outlineLevel="1">
      <c r="A77" s="350"/>
      <c r="B77" s="135"/>
      <c r="C77" s="135"/>
      <c r="D77" s="135"/>
      <c r="E77" s="135"/>
      <c r="F77" s="135"/>
      <c r="G77" s="135"/>
      <c r="H77" s="135"/>
      <c r="I77" s="82"/>
      <c r="J77" s="82"/>
      <c r="K77" s="82"/>
      <c r="L77" s="82"/>
      <c r="M77" s="82"/>
      <c r="N77" s="82"/>
      <c r="O77" s="82"/>
      <c r="P77" s="82"/>
      <c r="Q77" s="82"/>
      <c r="R77" s="82"/>
      <c r="S77" s="82"/>
      <c r="T77" s="82"/>
      <c r="U77" s="82"/>
      <c r="V77" s="82"/>
      <c r="W77" s="82"/>
      <c r="X77" s="82"/>
      <c r="Y77" s="82"/>
      <c r="Z77" s="82"/>
      <c r="AA77" s="82"/>
      <c r="AB77" s="82"/>
      <c r="AC77" s="82"/>
      <c r="AD77" s="82"/>
      <c r="AE77" s="82"/>
      <c r="AF77" s="339"/>
      <c r="AG77" s="143"/>
    </row>
    <row r="78">
      <c r="A78" s="340" t="s">
        <v>479</v>
      </c>
      <c r="B78" s="135"/>
      <c r="C78" s="135"/>
      <c r="D78" s="135"/>
      <c r="E78" s="135"/>
      <c r="F78" s="135"/>
      <c r="G78" s="135"/>
      <c r="H78" s="135"/>
      <c r="I78" s="82"/>
      <c r="J78" s="82"/>
      <c r="K78" s="82"/>
      <c r="L78" s="82"/>
      <c r="M78" s="82"/>
      <c r="N78" s="82"/>
      <c r="O78" s="82"/>
      <c r="P78" s="82"/>
      <c r="Q78" s="82"/>
      <c r="R78" s="82"/>
      <c r="S78" s="82"/>
      <c r="T78" s="82"/>
      <c r="U78" s="82"/>
      <c r="V78" s="82"/>
      <c r="W78" s="82"/>
      <c r="X78" s="82"/>
      <c r="Y78" s="82"/>
      <c r="Z78" s="82"/>
      <c r="AA78" s="82"/>
      <c r="AB78" s="82"/>
      <c r="AC78" s="82"/>
      <c r="AD78" s="82"/>
      <c r="AE78" s="82"/>
      <c r="AF78" s="339"/>
      <c r="AG78" s="143"/>
    </row>
    <row r="79" outlineLevel="1">
      <c r="A79" s="354" t="s">
        <v>480</v>
      </c>
      <c r="B79" s="355"/>
      <c r="C79" s="355"/>
      <c r="D79" s="355"/>
      <c r="E79" s="355"/>
      <c r="F79" s="355"/>
      <c r="G79" s="355"/>
      <c r="H79" s="116"/>
      <c r="I79" s="116"/>
      <c r="J79" s="116"/>
      <c r="K79" s="116"/>
      <c r="L79" s="116"/>
      <c r="M79" s="355"/>
      <c r="N79" s="116"/>
      <c r="O79" s="116"/>
      <c r="P79" s="116"/>
      <c r="Q79" s="116"/>
      <c r="R79" s="355"/>
      <c r="S79" s="355"/>
      <c r="T79" s="116"/>
      <c r="U79" s="116"/>
      <c r="V79" s="116"/>
      <c r="W79" s="116"/>
      <c r="X79" s="116"/>
      <c r="Y79" s="116"/>
      <c r="Z79" s="116"/>
      <c r="AA79" s="116"/>
      <c r="AB79" s="116"/>
      <c r="AC79" s="116"/>
      <c r="AD79" s="116"/>
      <c r="AE79" s="116"/>
      <c r="AF79" s="356"/>
      <c r="AG79" s="114">
        <f t="shared" ref="AG79:AG86" si="23">SUM(B79:AE79)</f>
        <v>0</v>
      </c>
    </row>
    <row r="80" outlineLevel="1">
      <c r="A80" s="193" t="s">
        <v>481</v>
      </c>
      <c r="B80" s="116"/>
      <c r="C80" s="116"/>
      <c r="D80" s="116"/>
      <c r="E80" s="357"/>
      <c r="F80" s="357"/>
      <c r="G80" s="357"/>
      <c r="H80" s="357"/>
      <c r="I80" s="357"/>
      <c r="J80" s="357"/>
      <c r="K80" s="357"/>
      <c r="L80" s="357"/>
      <c r="M80" s="357"/>
      <c r="N80" s="357"/>
      <c r="O80" s="357"/>
      <c r="P80" s="357"/>
      <c r="Q80" s="357"/>
      <c r="R80" s="357"/>
      <c r="S80" s="357"/>
      <c r="T80" s="357"/>
      <c r="U80" s="357"/>
      <c r="V80" s="357"/>
      <c r="W80" s="357"/>
      <c r="X80" s="357"/>
      <c r="Y80" s="357"/>
      <c r="Z80" s="116"/>
      <c r="AA80" s="116"/>
      <c r="AB80" s="116">
        <f t="shared" ref="AB80:AE80" si="22">AB9</f>
        <v>10357.56</v>
      </c>
      <c r="AC80" s="116">
        <f t="shared" si="22"/>
        <v>15763.1</v>
      </c>
      <c r="AD80" s="116">
        <f t="shared" si="22"/>
        <v>17036.84</v>
      </c>
      <c r="AE80" s="116">
        <f t="shared" si="22"/>
        <v>11243.16</v>
      </c>
      <c r="AF80" s="356"/>
      <c r="AG80" s="114">
        <f t="shared" si="23"/>
        <v>54400.66</v>
      </c>
    </row>
    <row r="81" outlineLevel="1">
      <c r="A81" s="193" t="s">
        <v>455</v>
      </c>
      <c r="B81" s="355"/>
      <c r="C81" s="355"/>
      <c r="D81" s="355"/>
      <c r="E81" s="355"/>
      <c r="F81" s="355"/>
      <c r="G81" s="355"/>
      <c r="H81" s="116"/>
      <c r="I81" s="116"/>
      <c r="J81" s="116"/>
      <c r="K81" s="116"/>
      <c r="L81" s="116"/>
      <c r="M81" s="355"/>
      <c r="N81" s="358"/>
      <c r="O81" s="116"/>
      <c r="P81" s="355"/>
      <c r="Q81" s="116"/>
      <c r="R81" s="116"/>
      <c r="S81" s="355"/>
      <c r="T81" s="116"/>
      <c r="U81" s="116"/>
      <c r="V81" s="355"/>
      <c r="W81" s="116"/>
      <c r="X81" s="116"/>
      <c r="Y81" s="116"/>
      <c r="Z81" s="116"/>
      <c r="AA81" s="116"/>
      <c r="AB81" s="116"/>
      <c r="AC81" s="116"/>
      <c r="AD81" s="116"/>
      <c r="AE81" s="116"/>
      <c r="AF81" s="356"/>
      <c r="AG81" s="114">
        <f t="shared" si="23"/>
        <v>0</v>
      </c>
    </row>
    <row r="82" outlineLevel="1">
      <c r="A82" s="193" t="s">
        <v>456</v>
      </c>
      <c r="B82" s="355"/>
      <c r="C82" s="355"/>
      <c r="D82" s="355"/>
      <c r="E82" s="355"/>
      <c r="F82" s="355"/>
      <c r="G82" s="355"/>
      <c r="H82" s="116"/>
      <c r="I82" s="116"/>
      <c r="J82" s="116"/>
      <c r="K82" s="116"/>
      <c r="L82" s="116"/>
      <c r="M82" s="355"/>
      <c r="N82" s="116"/>
      <c r="O82" s="116"/>
      <c r="P82" s="116"/>
      <c r="Q82" s="355"/>
      <c r="R82" s="355"/>
      <c r="S82" s="359"/>
      <c r="T82" s="116"/>
      <c r="U82" s="116"/>
      <c r="V82" s="116"/>
      <c r="W82" s="116"/>
      <c r="X82" s="116"/>
      <c r="Y82" s="116"/>
      <c r="Z82" s="116"/>
      <c r="AA82" s="116"/>
      <c r="AB82" s="116"/>
      <c r="AC82" s="116"/>
      <c r="AD82" s="116"/>
      <c r="AE82" s="116"/>
      <c r="AF82" s="356"/>
      <c r="AG82" s="114">
        <f t="shared" si="23"/>
        <v>0</v>
      </c>
    </row>
    <row r="83" ht="20.25" customHeight="1" outlineLevel="1">
      <c r="A83" s="193" t="s">
        <v>457</v>
      </c>
      <c r="B83" s="360"/>
      <c r="C83" s="113"/>
      <c r="D83" s="113"/>
      <c r="E83" s="113"/>
      <c r="F83" s="113"/>
      <c r="G83" s="113"/>
      <c r="H83" s="113"/>
      <c r="I83" s="113"/>
      <c r="J83" s="360"/>
      <c r="K83" s="360"/>
      <c r="L83" s="360"/>
      <c r="M83" s="360"/>
      <c r="N83" s="360"/>
      <c r="O83" s="360"/>
      <c r="P83" s="360"/>
      <c r="Q83" s="360"/>
      <c r="R83" s="360"/>
      <c r="S83" s="360"/>
      <c r="T83" s="360"/>
      <c r="U83" s="360"/>
      <c r="V83" s="360"/>
      <c r="W83" s="113"/>
      <c r="X83" s="360"/>
      <c r="Y83" s="360"/>
      <c r="Z83" s="360"/>
      <c r="AA83" s="360"/>
      <c r="AB83" s="360"/>
      <c r="AC83" s="360"/>
      <c r="AD83" s="360"/>
      <c r="AE83" s="360"/>
      <c r="AF83" s="356"/>
      <c r="AG83" s="114">
        <f t="shared" si="23"/>
        <v>0</v>
      </c>
    </row>
    <row r="84" outlineLevel="1">
      <c r="A84" s="193" t="s">
        <v>458</v>
      </c>
      <c r="B84" s="360"/>
      <c r="C84" s="113"/>
      <c r="D84" s="360"/>
      <c r="E84" s="113"/>
      <c r="F84" s="113"/>
      <c r="G84" s="113"/>
      <c r="H84" s="113"/>
      <c r="I84" s="113"/>
      <c r="J84" s="360"/>
      <c r="K84" s="360"/>
      <c r="L84" s="360"/>
      <c r="M84" s="360"/>
      <c r="N84" s="360"/>
      <c r="O84" s="360"/>
      <c r="P84" s="360"/>
      <c r="Q84" s="360"/>
      <c r="R84" s="360"/>
      <c r="S84" s="360"/>
      <c r="T84" s="360"/>
      <c r="U84" s="360"/>
      <c r="V84" s="360"/>
      <c r="W84" s="360"/>
      <c r="X84" s="360"/>
      <c r="Y84" s="360"/>
      <c r="Z84" s="360"/>
      <c r="AA84" s="360"/>
      <c r="AB84" s="360"/>
      <c r="AC84" s="360"/>
      <c r="AD84" s="360"/>
      <c r="AE84" s="360"/>
      <c r="AF84" s="356"/>
      <c r="AG84" s="114">
        <f t="shared" si="23"/>
        <v>0</v>
      </c>
    </row>
    <row r="85" outlineLevel="1">
      <c r="A85" s="361" t="s">
        <v>459</v>
      </c>
      <c r="B85" s="362">
        <f t="shared" ref="B85:AF85" si="24">B79+B81+B83</f>
        <v>0</v>
      </c>
      <c r="C85" s="362">
        <f t="shared" si="24"/>
        <v>0</v>
      </c>
      <c r="D85" s="362">
        <f t="shared" si="24"/>
        <v>0</v>
      </c>
      <c r="E85" s="362">
        <f t="shared" si="24"/>
        <v>0</v>
      </c>
      <c r="F85" s="362">
        <f t="shared" si="24"/>
        <v>0</v>
      </c>
      <c r="G85" s="362">
        <f t="shared" si="24"/>
        <v>0</v>
      </c>
      <c r="H85" s="362">
        <f t="shared" si="24"/>
        <v>0</v>
      </c>
      <c r="I85" s="362">
        <f t="shared" si="24"/>
        <v>0</v>
      </c>
      <c r="J85" s="362">
        <f t="shared" si="24"/>
        <v>0</v>
      </c>
      <c r="K85" s="362">
        <f t="shared" si="24"/>
        <v>0</v>
      </c>
      <c r="L85" s="362">
        <f t="shared" si="24"/>
        <v>0</v>
      </c>
      <c r="M85" s="362">
        <f t="shared" si="24"/>
        <v>0</v>
      </c>
      <c r="N85" s="362">
        <f t="shared" si="24"/>
        <v>0</v>
      </c>
      <c r="O85" s="362">
        <f t="shared" si="24"/>
        <v>0</v>
      </c>
      <c r="P85" s="362">
        <f t="shared" si="24"/>
        <v>0</v>
      </c>
      <c r="Q85" s="362">
        <f t="shared" si="24"/>
        <v>0</v>
      </c>
      <c r="R85" s="362">
        <f t="shared" si="24"/>
        <v>0</v>
      </c>
      <c r="S85" s="362">
        <f t="shared" si="24"/>
        <v>0</v>
      </c>
      <c r="T85" s="362">
        <f t="shared" si="24"/>
        <v>0</v>
      </c>
      <c r="U85" s="362">
        <f t="shared" si="24"/>
        <v>0</v>
      </c>
      <c r="V85" s="362">
        <f t="shared" si="24"/>
        <v>0</v>
      </c>
      <c r="W85" s="362">
        <f t="shared" si="24"/>
        <v>0</v>
      </c>
      <c r="X85" s="362">
        <f t="shared" si="24"/>
        <v>0</v>
      </c>
      <c r="Y85" s="362">
        <f t="shared" si="24"/>
        <v>0</v>
      </c>
      <c r="Z85" s="362">
        <f t="shared" si="24"/>
        <v>0</v>
      </c>
      <c r="AA85" s="362">
        <f t="shared" si="24"/>
        <v>0</v>
      </c>
      <c r="AB85" s="362">
        <f t="shared" si="24"/>
        <v>0</v>
      </c>
      <c r="AC85" s="362">
        <f t="shared" si="24"/>
        <v>0</v>
      </c>
      <c r="AD85" s="362">
        <f t="shared" si="24"/>
        <v>0</v>
      </c>
      <c r="AE85" s="362">
        <f t="shared" si="24"/>
        <v>0</v>
      </c>
      <c r="AF85" s="362">
        <f t="shared" si="24"/>
        <v>0</v>
      </c>
      <c r="AG85" s="114">
        <f t="shared" si="23"/>
        <v>0</v>
      </c>
    </row>
    <row r="86" outlineLevel="1">
      <c r="A86" s="361" t="s">
        <v>460</v>
      </c>
      <c r="B86" s="362">
        <f t="shared" ref="B86:AF86" si="25">B80+B82+B84</f>
        <v>0</v>
      </c>
      <c r="C86" s="362">
        <f t="shared" si="25"/>
        <v>0</v>
      </c>
      <c r="D86" s="362">
        <f t="shared" si="25"/>
        <v>0</v>
      </c>
      <c r="E86" s="362">
        <f t="shared" si="25"/>
        <v>0</v>
      </c>
      <c r="F86" s="362">
        <f t="shared" si="25"/>
        <v>0</v>
      </c>
      <c r="G86" s="362">
        <f t="shared" si="25"/>
        <v>0</v>
      </c>
      <c r="H86" s="362">
        <f t="shared" si="25"/>
        <v>0</v>
      </c>
      <c r="I86" s="362">
        <f t="shared" si="25"/>
        <v>0</v>
      </c>
      <c r="J86" s="362">
        <f t="shared" si="25"/>
        <v>0</v>
      </c>
      <c r="K86" s="362">
        <f t="shared" si="25"/>
        <v>0</v>
      </c>
      <c r="L86" s="362">
        <f t="shared" si="25"/>
        <v>0</v>
      </c>
      <c r="M86" s="362">
        <f t="shared" si="25"/>
        <v>0</v>
      </c>
      <c r="N86" s="362">
        <f t="shared" si="25"/>
        <v>0</v>
      </c>
      <c r="O86" s="362">
        <f t="shared" si="25"/>
        <v>0</v>
      </c>
      <c r="P86" s="362">
        <f t="shared" si="25"/>
        <v>0</v>
      </c>
      <c r="Q86" s="362">
        <f t="shared" si="25"/>
        <v>0</v>
      </c>
      <c r="R86" s="362">
        <f t="shared" si="25"/>
        <v>0</v>
      </c>
      <c r="S86" s="362">
        <f t="shared" si="25"/>
        <v>0</v>
      </c>
      <c r="T86" s="362">
        <f t="shared" si="25"/>
        <v>0</v>
      </c>
      <c r="U86" s="362">
        <f t="shared" si="25"/>
        <v>0</v>
      </c>
      <c r="V86" s="362">
        <f t="shared" si="25"/>
        <v>0</v>
      </c>
      <c r="W86" s="362">
        <f t="shared" si="25"/>
        <v>0</v>
      </c>
      <c r="X86" s="362">
        <f t="shared" si="25"/>
        <v>0</v>
      </c>
      <c r="Y86" s="362">
        <f t="shared" si="25"/>
        <v>0</v>
      </c>
      <c r="Z86" s="362">
        <f t="shared" si="25"/>
        <v>0</v>
      </c>
      <c r="AA86" s="362">
        <f t="shared" si="25"/>
        <v>0</v>
      </c>
      <c r="AB86" s="362">
        <f t="shared" si="25"/>
        <v>10357.56</v>
      </c>
      <c r="AC86" s="362">
        <f t="shared" si="25"/>
        <v>15763.1</v>
      </c>
      <c r="AD86" s="362">
        <f t="shared" si="25"/>
        <v>17036.84</v>
      </c>
      <c r="AE86" s="362">
        <f t="shared" si="25"/>
        <v>11243.16</v>
      </c>
      <c r="AF86" s="362">
        <f t="shared" si="25"/>
        <v>0</v>
      </c>
      <c r="AG86" s="114">
        <f t="shared" si="23"/>
        <v>54400.66</v>
      </c>
    </row>
    <row r="87" ht="16.5" customHeight="1" outlineLevel="1">
      <c r="A87" s="98"/>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356"/>
      <c r="AG87" s="114"/>
    </row>
    <row r="88" outlineLevel="1">
      <c r="A88" s="354" t="s">
        <v>482</v>
      </c>
      <c r="B88" s="363"/>
      <c r="C88" s="364"/>
      <c r="D88" s="363"/>
      <c r="E88" s="363"/>
      <c r="F88" s="363"/>
      <c r="G88" s="363"/>
      <c r="H88" s="365"/>
      <c r="I88" s="366"/>
      <c r="J88" s="365"/>
      <c r="K88" s="365"/>
      <c r="L88" s="365"/>
      <c r="M88" s="363"/>
      <c r="N88" s="365"/>
      <c r="O88" s="365"/>
      <c r="P88" s="365"/>
      <c r="Q88" s="365"/>
      <c r="R88" s="363"/>
      <c r="S88" s="363"/>
      <c r="T88" s="365"/>
      <c r="U88" s="363"/>
      <c r="V88" s="365"/>
      <c r="W88" s="365"/>
      <c r="X88" s="363"/>
      <c r="Y88" s="365"/>
      <c r="Z88" s="365"/>
      <c r="AA88" s="365"/>
      <c r="AB88" s="365"/>
      <c r="AC88" s="365"/>
      <c r="AD88" s="367"/>
      <c r="AE88" s="365"/>
      <c r="AF88" s="356"/>
      <c r="AG88" s="114">
        <f t="shared" ref="AG88:AG93" si="26">SUM(B88:AE88)</f>
        <v>0</v>
      </c>
    </row>
    <row r="89" outlineLevel="1">
      <c r="A89" s="354" t="s">
        <v>483</v>
      </c>
      <c r="B89" s="364"/>
      <c r="C89" s="364"/>
      <c r="D89" s="364"/>
      <c r="E89" s="364"/>
      <c r="F89" s="364"/>
      <c r="G89" s="364"/>
      <c r="H89" s="366"/>
      <c r="I89" s="366"/>
      <c r="J89" s="366"/>
      <c r="K89" s="366"/>
      <c r="L89" s="364"/>
      <c r="M89" s="364"/>
      <c r="N89" s="364"/>
      <c r="O89" s="364"/>
      <c r="P89" s="364"/>
      <c r="Q89" s="363"/>
      <c r="R89" s="363"/>
      <c r="S89" s="363"/>
      <c r="T89" s="363"/>
      <c r="U89" s="363"/>
      <c r="V89" s="363"/>
      <c r="W89" s="363"/>
      <c r="X89" s="363"/>
      <c r="Y89" s="363"/>
      <c r="Z89" s="363"/>
      <c r="AA89" s="363"/>
      <c r="AB89" s="363"/>
      <c r="AC89" s="363"/>
      <c r="AD89" s="367"/>
      <c r="AE89" s="365"/>
      <c r="AF89" s="356"/>
      <c r="AG89" s="114">
        <f t="shared" si="26"/>
        <v>0</v>
      </c>
    </row>
    <row r="90" outlineLevel="1">
      <c r="A90" s="193" t="s">
        <v>463</v>
      </c>
      <c r="B90" s="363"/>
      <c r="C90" s="363"/>
      <c r="D90" s="363"/>
      <c r="E90" s="363"/>
      <c r="F90" s="363"/>
      <c r="G90" s="363"/>
      <c r="H90" s="365"/>
      <c r="I90" s="365"/>
      <c r="J90" s="366"/>
      <c r="K90" s="365"/>
      <c r="L90" s="365"/>
      <c r="M90" s="363"/>
      <c r="N90" s="365"/>
      <c r="O90" s="365"/>
      <c r="P90" s="365"/>
      <c r="Q90" s="365"/>
      <c r="R90" s="363"/>
      <c r="S90" s="363"/>
      <c r="T90" s="365"/>
      <c r="U90" s="365"/>
      <c r="V90" s="365"/>
      <c r="W90" s="365"/>
      <c r="X90" s="365"/>
      <c r="Y90" s="365"/>
      <c r="Z90" s="365"/>
      <c r="AA90" s="365"/>
      <c r="AB90" s="365"/>
      <c r="AC90" s="365"/>
      <c r="AD90" s="367"/>
      <c r="AE90" s="365"/>
      <c r="AF90" s="356"/>
      <c r="AG90" s="114">
        <f t="shared" si="26"/>
        <v>0</v>
      </c>
    </row>
    <row r="91" outlineLevel="1">
      <c r="A91" s="354" t="s">
        <v>484</v>
      </c>
      <c r="B91" s="363"/>
      <c r="C91" s="363"/>
      <c r="D91" s="363"/>
      <c r="E91" s="363"/>
      <c r="F91" s="363"/>
      <c r="G91" s="363"/>
      <c r="H91" s="365"/>
      <c r="I91" s="365"/>
      <c r="J91" s="365"/>
      <c r="K91" s="365"/>
      <c r="L91" s="365"/>
      <c r="M91" s="363"/>
      <c r="N91" s="365"/>
      <c r="O91" s="365"/>
      <c r="P91" s="365"/>
      <c r="Q91" s="365"/>
      <c r="R91" s="363"/>
      <c r="S91" s="363"/>
      <c r="T91" s="365"/>
      <c r="U91" s="365"/>
      <c r="V91" s="365"/>
      <c r="W91" s="365"/>
      <c r="X91" s="365"/>
      <c r="Y91" s="365"/>
      <c r="Z91" s="365"/>
      <c r="AA91" s="365"/>
      <c r="AB91" s="365"/>
      <c r="AC91" s="365"/>
      <c r="AD91" s="367"/>
      <c r="AE91" s="365"/>
      <c r="AF91" s="356"/>
      <c r="AG91" s="114">
        <f t="shared" si="26"/>
        <v>0</v>
      </c>
    </row>
    <row r="92" outlineLevel="1">
      <c r="A92" s="354" t="s">
        <v>485</v>
      </c>
      <c r="B92" s="363"/>
      <c r="C92" s="363"/>
      <c r="D92" s="363"/>
      <c r="E92" s="363"/>
      <c r="F92" s="363"/>
      <c r="G92" s="363"/>
      <c r="H92" s="365"/>
      <c r="I92" s="365"/>
      <c r="J92" s="365"/>
      <c r="K92" s="365"/>
      <c r="L92" s="365"/>
      <c r="M92" s="363"/>
      <c r="N92" s="365"/>
      <c r="O92" s="365"/>
      <c r="P92" s="365"/>
      <c r="Q92" s="365"/>
      <c r="R92" s="363"/>
      <c r="S92" s="363"/>
      <c r="T92" s="365"/>
      <c r="U92" s="365"/>
      <c r="V92" s="365"/>
      <c r="W92" s="365"/>
      <c r="X92" s="365"/>
      <c r="Y92" s="365"/>
      <c r="Z92" s="365"/>
      <c r="AA92" s="365"/>
      <c r="AB92" s="365"/>
      <c r="AC92" s="365"/>
      <c r="AD92" s="367"/>
      <c r="AE92" s="365"/>
      <c r="AF92" s="356"/>
      <c r="AG92" s="114">
        <f t="shared" si="26"/>
        <v>0</v>
      </c>
    </row>
    <row r="93" outlineLevel="1">
      <c r="A93" s="368" t="s">
        <v>486</v>
      </c>
      <c r="B93" s="362">
        <f t="shared" ref="B93:AF93" si="27">SUM(B88:B92)</f>
        <v>0</v>
      </c>
      <c r="C93" s="362">
        <f t="shared" si="27"/>
        <v>0</v>
      </c>
      <c r="D93" s="362">
        <f t="shared" si="27"/>
        <v>0</v>
      </c>
      <c r="E93" s="362">
        <f t="shared" si="27"/>
        <v>0</v>
      </c>
      <c r="F93" s="362">
        <f t="shared" si="27"/>
        <v>0</v>
      </c>
      <c r="G93" s="362">
        <f t="shared" si="27"/>
        <v>0</v>
      </c>
      <c r="H93" s="362">
        <f t="shared" si="27"/>
        <v>0</v>
      </c>
      <c r="I93" s="362">
        <f t="shared" si="27"/>
        <v>0</v>
      </c>
      <c r="J93" s="362">
        <f t="shared" si="27"/>
        <v>0</v>
      </c>
      <c r="K93" s="362">
        <f t="shared" si="27"/>
        <v>0</v>
      </c>
      <c r="L93" s="362">
        <f t="shared" si="27"/>
        <v>0</v>
      </c>
      <c r="M93" s="362">
        <f t="shared" si="27"/>
        <v>0</v>
      </c>
      <c r="N93" s="362">
        <f t="shared" si="27"/>
        <v>0</v>
      </c>
      <c r="O93" s="362">
        <f t="shared" si="27"/>
        <v>0</v>
      </c>
      <c r="P93" s="362">
        <f t="shared" si="27"/>
        <v>0</v>
      </c>
      <c r="Q93" s="362">
        <f t="shared" si="27"/>
        <v>0</v>
      </c>
      <c r="R93" s="362">
        <f t="shared" si="27"/>
        <v>0</v>
      </c>
      <c r="S93" s="362">
        <f t="shared" si="27"/>
        <v>0</v>
      </c>
      <c r="T93" s="362">
        <f t="shared" si="27"/>
        <v>0</v>
      </c>
      <c r="U93" s="362">
        <f t="shared" si="27"/>
        <v>0</v>
      </c>
      <c r="V93" s="362">
        <f t="shared" si="27"/>
        <v>0</v>
      </c>
      <c r="W93" s="362">
        <f t="shared" si="27"/>
        <v>0</v>
      </c>
      <c r="X93" s="362">
        <f t="shared" si="27"/>
        <v>0</v>
      </c>
      <c r="Y93" s="362">
        <f t="shared" si="27"/>
        <v>0</v>
      </c>
      <c r="Z93" s="362">
        <f t="shared" si="27"/>
        <v>0</v>
      </c>
      <c r="AA93" s="362">
        <f t="shared" si="27"/>
        <v>0</v>
      </c>
      <c r="AB93" s="362">
        <f t="shared" si="27"/>
        <v>0</v>
      </c>
      <c r="AC93" s="362">
        <f t="shared" si="27"/>
        <v>0</v>
      </c>
      <c r="AD93" s="362">
        <f t="shared" si="27"/>
        <v>0</v>
      </c>
      <c r="AE93" s="362">
        <f t="shared" si="27"/>
        <v>0</v>
      </c>
      <c r="AF93" s="362">
        <f t="shared" si="27"/>
        <v>0</v>
      </c>
      <c r="AG93" s="114">
        <f t="shared" si="26"/>
        <v>0</v>
      </c>
    </row>
    <row r="94" outlineLevel="1">
      <c r="A94" s="98"/>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c r="AA94" s="206"/>
      <c r="AB94" s="206"/>
      <c r="AC94" s="206"/>
      <c r="AD94" s="206"/>
      <c r="AE94" s="206"/>
      <c r="AF94" s="356"/>
      <c r="AG94" s="114"/>
    </row>
    <row r="95" outlineLevel="1">
      <c r="A95" s="193" t="s">
        <v>467</v>
      </c>
      <c r="B95" s="355"/>
      <c r="C95" s="364"/>
      <c r="D95" s="355"/>
      <c r="E95" s="363"/>
      <c r="F95" s="355"/>
      <c r="G95" s="355"/>
      <c r="H95" s="116"/>
      <c r="I95" s="116"/>
      <c r="J95" s="116"/>
      <c r="K95" s="116"/>
      <c r="L95" s="116"/>
      <c r="M95" s="355"/>
      <c r="N95" s="116"/>
      <c r="O95" s="116"/>
      <c r="P95" s="116"/>
      <c r="Q95" s="116"/>
      <c r="R95" s="355"/>
      <c r="S95" s="355"/>
      <c r="T95" s="116"/>
      <c r="U95" s="116"/>
      <c r="V95" s="116"/>
      <c r="W95" s="116"/>
      <c r="X95" s="116"/>
      <c r="Y95" s="116"/>
      <c r="Z95" s="116"/>
      <c r="AA95" s="116"/>
      <c r="AB95" s="116"/>
      <c r="AC95" s="116"/>
      <c r="AD95" s="116"/>
      <c r="AE95" s="116"/>
      <c r="AF95" s="356"/>
      <c r="AG95" s="114">
        <f t="shared" ref="AG95:AG100" si="28">SUM(B95:AE95)</f>
        <v>0</v>
      </c>
    </row>
    <row r="96" outlineLevel="1">
      <c r="A96" s="193" t="s">
        <v>468</v>
      </c>
      <c r="B96" s="355"/>
      <c r="C96" s="364"/>
      <c r="D96" s="355"/>
      <c r="E96" s="364"/>
      <c r="F96" s="355"/>
      <c r="G96" s="355"/>
      <c r="H96" s="116"/>
      <c r="I96" s="116"/>
      <c r="J96" s="116"/>
      <c r="K96" s="116"/>
      <c r="L96" s="116"/>
      <c r="M96" s="355"/>
      <c r="N96" s="116"/>
      <c r="O96" s="116"/>
      <c r="P96" s="116"/>
      <c r="Q96" s="116"/>
      <c r="R96" s="355"/>
      <c r="S96" s="355"/>
      <c r="T96" s="116"/>
      <c r="U96" s="116"/>
      <c r="V96" s="116"/>
      <c r="W96" s="116"/>
      <c r="X96" s="116"/>
      <c r="Y96" s="116"/>
      <c r="Z96" s="116"/>
      <c r="AA96" s="116"/>
      <c r="AB96" s="116"/>
      <c r="AC96" s="116"/>
      <c r="AD96" s="116"/>
      <c r="AE96" s="116"/>
      <c r="AF96" s="356"/>
      <c r="AG96" s="114">
        <f t="shared" si="28"/>
        <v>0</v>
      </c>
    </row>
    <row r="97" outlineLevel="1">
      <c r="A97" s="193" t="s">
        <v>469</v>
      </c>
      <c r="B97" s="355"/>
      <c r="C97" s="363"/>
      <c r="D97" s="355"/>
      <c r="E97" s="363"/>
      <c r="F97" s="355"/>
      <c r="G97" s="355"/>
      <c r="H97" s="116"/>
      <c r="I97" s="116"/>
      <c r="J97" s="116"/>
      <c r="K97" s="116"/>
      <c r="L97" s="116"/>
      <c r="M97" s="355"/>
      <c r="N97" s="116"/>
      <c r="O97" s="116"/>
      <c r="P97" s="116"/>
      <c r="Q97" s="116"/>
      <c r="R97" s="355"/>
      <c r="S97" s="355"/>
      <c r="T97" s="116"/>
      <c r="U97" s="116"/>
      <c r="V97" s="116"/>
      <c r="W97" s="365"/>
      <c r="X97" s="116"/>
      <c r="Y97" s="116"/>
      <c r="Z97" s="116"/>
      <c r="AA97" s="116"/>
      <c r="AB97" s="116"/>
      <c r="AC97" s="116"/>
      <c r="AD97" s="116"/>
      <c r="AE97" s="116"/>
      <c r="AF97" s="356"/>
      <c r="AG97" s="114">
        <f t="shared" si="28"/>
        <v>0</v>
      </c>
    </row>
    <row r="98" outlineLevel="1">
      <c r="A98" s="193" t="s">
        <v>470</v>
      </c>
      <c r="B98" s="355"/>
      <c r="C98" s="363"/>
      <c r="D98" s="355"/>
      <c r="E98" s="363"/>
      <c r="F98" s="355"/>
      <c r="G98" s="355"/>
      <c r="H98" s="116"/>
      <c r="I98" s="116"/>
      <c r="J98" s="116"/>
      <c r="K98" s="116"/>
      <c r="L98" s="116"/>
      <c r="M98" s="355"/>
      <c r="N98" s="116"/>
      <c r="O98" s="116"/>
      <c r="P98" s="116"/>
      <c r="Q98" s="116"/>
      <c r="R98" s="355"/>
      <c r="S98" s="355"/>
      <c r="T98" s="116"/>
      <c r="U98" s="116"/>
      <c r="V98" s="116"/>
      <c r="W98" s="116"/>
      <c r="X98" s="116"/>
      <c r="Y98" s="116"/>
      <c r="Z98" s="116"/>
      <c r="AA98" s="116"/>
      <c r="AB98" s="116"/>
      <c r="AC98" s="116"/>
      <c r="AD98" s="116"/>
      <c r="AE98" s="116"/>
      <c r="AF98" s="356"/>
      <c r="AG98" s="114">
        <f t="shared" si="28"/>
        <v>0</v>
      </c>
    </row>
    <row r="99" outlineLevel="1">
      <c r="A99" s="193" t="s">
        <v>471</v>
      </c>
      <c r="B99" s="355"/>
      <c r="C99" s="363"/>
      <c r="D99" s="355"/>
      <c r="E99" s="363"/>
      <c r="F99" s="355"/>
      <c r="G99" s="355"/>
      <c r="H99" s="116"/>
      <c r="I99" s="116"/>
      <c r="J99" s="116"/>
      <c r="K99" s="116"/>
      <c r="L99" s="116"/>
      <c r="M99" s="355"/>
      <c r="N99" s="116"/>
      <c r="O99" s="116"/>
      <c r="P99" s="116"/>
      <c r="Q99" s="116"/>
      <c r="R99" s="355"/>
      <c r="S99" s="355"/>
      <c r="T99" s="116"/>
      <c r="U99" s="116"/>
      <c r="V99" s="116"/>
      <c r="W99" s="116"/>
      <c r="X99" s="116"/>
      <c r="Y99" s="116"/>
      <c r="Z99" s="116"/>
      <c r="AA99" s="116"/>
      <c r="AB99" s="116"/>
      <c r="AC99" s="116"/>
      <c r="AD99" s="116"/>
      <c r="AE99" s="116"/>
      <c r="AF99" s="356"/>
      <c r="AG99" s="114">
        <f t="shared" si="28"/>
        <v>0</v>
      </c>
    </row>
    <row r="100" outlineLevel="1">
      <c r="A100" s="369" t="s">
        <v>472</v>
      </c>
      <c r="B100" s="362">
        <f t="shared" ref="B100:AF100" si="29">SUM(B95:B99)</f>
        <v>0</v>
      </c>
      <c r="C100" s="362">
        <f t="shared" si="29"/>
        <v>0</v>
      </c>
      <c r="D100" s="362">
        <f t="shared" si="29"/>
        <v>0</v>
      </c>
      <c r="E100" s="362">
        <f t="shared" si="29"/>
        <v>0</v>
      </c>
      <c r="F100" s="362">
        <f t="shared" si="29"/>
        <v>0</v>
      </c>
      <c r="G100" s="362">
        <f t="shared" si="29"/>
        <v>0</v>
      </c>
      <c r="H100" s="362">
        <f t="shared" si="29"/>
        <v>0</v>
      </c>
      <c r="I100" s="362">
        <f t="shared" si="29"/>
        <v>0</v>
      </c>
      <c r="J100" s="362">
        <f t="shared" si="29"/>
        <v>0</v>
      </c>
      <c r="K100" s="362">
        <f t="shared" si="29"/>
        <v>0</v>
      </c>
      <c r="L100" s="362">
        <f t="shared" si="29"/>
        <v>0</v>
      </c>
      <c r="M100" s="362">
        <f t="shared" si="29"/>
        <v>0</v>
      </c>
      <c r="N100" s="362">
        <f t="shared" si="29"/>
        <v>0</v>
      </c>
      <c r="O100" s="362">
        <f t="shared" si="29"/>
        <v>0</v>
      </c>
      <c r="P100" s="362">
        <f t="shared" si="29"/>
        <v>0</v>
      </c>
      <c r="Q100" s="362">
        <f t="shared" si="29"/>
        <v>0</v>
      </c>
      <c r="R100" s="362">
        <f t="shared" si="29"/>
        <v>0</v>
      </c>
      <c r="S100" s="362">
        <f t="shared" si="29"/>
        <v>0</v>
      </c>
      <c r="T100" s="362">
        <f t="shared" si="29"/>
        <v>0</v>
      </c>
      <c r="U100" s="362">
        <f t="shared" si="29"/>
        <v>0</v>
      </c>
      <c r="V100" s="362">
        <f t="shared" si="29"/>
        <v>0</v>
      </c>
      <c r="W100" s="362">
        <f t="shared" si="29"/>
        <v>0</v>
      </c>
      <c r="X100" s="362">
        <f t="shared" si="29"/>
        <v>0</v>
      </c>
      <c r="Y100" s="362">
        <f t="shared" si="29"/>
        <v>0</v>
      </c>
      <c r="Z100" s="362">
        <f t="shared" si="29"/>
        <v>0</v>
      </c>
      <c r="AA100" s="362">
        <f t="shared" si="29"/>
        <v>0</v>
      </c>
      <c r="AB100" s="362">
        <f t="shared" si="29"/>
        <v>0</v>
      </c>
      <c r="AC100" s="362">
        <f t="shared" si="29"/>
        <v>0</v>
      </c>
      <c r="AD100" s="362">
        <f t="shared" si="29"/>
        <v>0</v>
      </c>
      <c r="AE100" s="362">
        <f t="shared" si="29"/>
        <v>0</v>
      </c>
      <c r="AF100" s="362">
        <f t="shared" si="29"/>
        <v>0</v>
      </c>
      <c r="AG100" s="114">
        <f t="shared" si="28"/>
        <v>0</v>
      </c>
    </row>
    <row r="101" outlineLevel="1">
      <c r="A101" s="98"/>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c r="AB101" s="206"/>
      <c r="AC101" s="206"/>
      <c r="AD101" s="206"/>
      <c r="AE101" s="206"/>
      <c r="AF101" s="356"/>
      <c r="AG101" s="114"/>
    </row>
    <row r="102" outlineLevel="1">
      <c r="A102" s="193" t="s">
        <v>473</v>
      </c>
      <c r="B102" s="360"/>
      <c r="C102" s="113"/>
      <c r="D102" s="360"/>
      <c r="E102" s="113"/>
      <c r="F102" s="113"/>
      <c r="G102" s="113"/>
      <c r="H102" s="113"/>
      <c r="I102" s="113"/>
      <c r="J102" s="360"/>
      <c r="K102" s="360"/>
      <c r="L102" s="360"/>
      <c r="M102" s="360"/>
      <c r="N102" s="360"/>
      <c r="O102" s="360"/>
      <c r="P102" s="360"/>
      <c r="Q102" s="360"/>
      <c r="R102" s="360"/>
      <c r="S102" s="360"/>
      <c r="T102" s="360"/>
      <c r="U102" s="360"/>
      <c r="V102" s="360"/>
      <c r="W102" s="360"/>
      <c r="X102" s="360"/>
      <c r="Y102" s="360"/>
      <c r="Z102" s="360"/>
      <c r="AA102" s="360"/>
      <c r="AB102" s="360"/>
      <c r="AC102" s="360"/>
      <c r="AD102" s="360"/>
      <c r="AE102" s="360"/>
      <c r="AF102" s="356"/>
      <c r="AG102" s="114">
        <f t="shared" ref="AG102:AG107" si="30">SUM(B102:AE102)</f>
        <v>0</v>
      </c>
    </row>
    <row r="103" outlineLevel="1">
      <c r="A103" s="193" t="s">
        <v>474</v>
      </c>
      <c r="B103" s="360"/>
      <c r="C103" s="360"/>
      <c r="D103" s="113"/>
      <c r="E103" s="113"/>
      <c r="F103" s="113"/>
      <c r="G103" s="113"/>
      <c r="H103" s="113"/>
      <c r="I103" s="113"/>
      <c r="J103" s="360"/>
      <c r="K103" s="360"/>
      <c r="L103" s="360"/>
      <c r="M103" s="360"/>
      <c r="N103" s="360"/>
      <c r="O103" s="360"/>
      <c r="P103" s="360"/>
      <c r="Q103" s="360"/>
      <c r="R103" s="360"/>
      <c r="S103" s="360"/>
      <c r="T103" s="360"/>
      <c r="U103" s="360"/>
      <c r="V103" s="360"/>
      <c r="W103" s="360"/>
      <c r="X103" s="360"/>
      <c r="Y103" s="360"/>
      <c r="Z103" s="360"/>
      <c r="AA103" s="360"/>
      <c r="AB103" s="360"/>
      <c r="AC103" s="360"/>
      <c r="AD103" s="360"/>
      <c r="AE103" s="360"/>
      <c r="AF103" s="356"/>
      <c r="AG103" s="114">
        <f t="shared" si="30"/>
        <v>0</v>
      </c>
    </row>
    <row r="104" outlineLevel="1">
      <c r="A104" s="193" t="s">
        <v>475</v>
      </c>
      <c r="B104" s="360"/>
      <c r="C104" s="113"/>
      <c r="D104" s="360"/>
      <c r="E104" s="113"/>
      <c r="F104" s="113"/>
      <c r="G104" s="113"/>
      <c r="H104" s="113"/>
      <c r="I104" s="113"/>
      <c r="J104" s="360"/>
      <c r="K104" s="360"/>
      <c r="L104" s="360"/>
      <c r="M104" s="360"/>
      <c r="N104" s="360"/>
      <c r="O104" s="360"/>
      <c r="P104" s="360"/>
      <c r="Q104" s="360"/>
      <c r="R104" s="360"/>
      <c r="S104" s="360"/>
      <c r="T104" s="360"/>
      <c r="U104" s="360"/>
      <c r="V104" s="360"/>
      <c r="W104" s="360"/>
      <c r="X104" s="360"/>
      <c r="Y104" s="360"/>
      <c r="Z104" s="360"/>
      <c r="AA104" s="360"/>
      <c r="AB104" s="360"/>
      <c r="AC104" s="360"/>
      <c r="AD104" s="360"/>
      <c r="AE104" s="360"/>
      <c r="AF104" s="356"/>
      <c r="AG104" s="114">
        <f t="shared" si="30"/>
        <v>0</v>
      </c>
    </row>
    <row r="105" outlineLevel="1">
      <c r="A105" s="193" t="s">
        <v>476</v>
      </c>
      <c r="B105" s="360"/>
      <c r="C105" s="113"/>
      <c r="D105" s="360"/>
      <c r="E105" s="113"/>
      <c r="F105" s="113"/>
      <c r="G105" s="113"/>
      <c r="H105" s="113"/>
      <c r="I105" s="113"/>
      <c r="J105" s="360"/>
      <c r="K105" s="360"/>
      <c r="L105" s="360"/>
      <c r="M105" s="360"/>
      <c r="N105" s="360"/>
      <c r="O105" s="360"/>
      <c r="P105" s="360"/>
      <c r="Q105" s="360"/>
      <c r="R105" s="360"/>
      <c r="S105" s="360"/>
      <c r="T105" s="360"/>
      <c r="U105" s="360"/>
      <c r="V105" s="360"/>
      <c r="W105" s="360"/>
      <c r="X105" s="360"/>
      <c r="Y105" s="360"/>
      <c r="Z105" s="360"/>
      <c r="AA105" s="360"/>
      <c r="AB105" s="360"/>
      <c r="AC105" s="360"/>
      <c r="AD105" s="360"/>
      <c r="AE105" s="360"/>
      <c r="AF105" s="356"/>
      <c r="AG105" s="114">
        <f t="shared" si="30"/>
        <v>0</v>
      </c>
    </row>
    <row r="106" outlineLevel="1">
      <c r="A106" s="193" t="s">
        <v>477</v>
      </c>
      <c r="B106" s="113"/>
      <c r="C106" s="360"/>
      <c r="D106" s="360"/>
      <c r="E106" s="113"/>
      <c r="F106" s="113"/>
      <c r="G106" s="113"/>
      <c r="H106" s="113"/>
      <c r="I106" s="113"/>
      <c r="J106" s="360"/>
      <c r="K106" s="360"/>
      <c r="L106" s="360"/>
      <c r="M106" s="360"/>
      <c r="N106" s="360"/>
      <c r="O106" s="360"/>
      <c r="P106" s="360"/>
      <c r="Q106" s="360"/>
      <c r="R106" s="360"/>
      <c r="S106" s="360"/>
      <c r="T106" s="360"/>
      <c r="U106" s="360"/>
      <c r="V106" s="360"/>
      <c r="W106" s="113"/>
      <c r="X106" s="360"/>
      <c r="Y106" s="360"/>
      <c r="Z106" s="360"/>
      <c r="AA106" s="360"/>
      <c r="AB106" s="360"/>
      <c r="AC106" s="360"/>
      <c r="AD106" s="360"/>
      <c r="AE106" s="360"/>
      <c r="AF106" s="356"/>
      <c r="AG106" s="114">
        <f t="shared" si="30"/>
        <v>0</v>
      </c>
    </row>
    <row r="107" outlineLevel="1">
      <c r="A107" s="369" t="s">
        <v>478</v>
      </c>
      <c r="B107" s="362">
        <f t="shared" ref="B107:AF107" si="31">SUM(B102:B106)</f>
        <v>0</v>
      </c>
      <c r="C107" s="362">
        <f t="shared" si="31"/>
        <v>0</v>
      </c>
      <c r="D107" s="362">
        <f t="shared" si="31"/>
        <v>0</v>
      </c>
      <c r="E107" s="362">
        <f t="shared" si="31"/>
        <v>0</v>
      </c>
      <c r="F107" s="362">
        <f t="shared" si="31"/>
        <v>0</v>
      </c>
      <c r="G107" s="362">
        <f t="shared" si="31"/>
        <v>0</v>
      </c>
      <c r="H107" s="362">
        <f t="shared" si="31"/>
        <v>0</v>
      </c>
      <c r="I107" s="362">
        <f t="shared" si="31"/>
        <v>0</v>
      </c>
      <c r="J107" s="362">
        <f t="shared" si="31"/>
        <v>0</v>
      </c>
      <c r="K107" s="362">
        <f t="shared" si="31"/>
        <v>0</v>
      </c>
      <c r="L107" s="362">
        <f t="shared" si="31"/>
        <v>0</v>
      </c>
      <c r="M107" s="362">
        <f t="shared" si="31"/>
        <v>0</v>
      </c>
      <c r="N107" s="362">
        <f t="shared" si="31"/>
        <v>0</v>
      </c>
      <c r="O107" s="362">
        <f t="shared" si="31"/>
        <v>0</v>
      </c>
      <c r="P107" s="362">
        <f t="shared" si="31"/>
        <v>0</v>
      </c>
      <c r="Q107" s="362">
        <f t="shared" si="31"/>
        <v>0</v>
      </c>
      <c r="R107" s="362">
        <f t="shared" si="31"/>
        <v>0</v>
      </c>
      <c r="S107" s="362">
        <f t="shared" si="31"/>
        <v>0</v>
      </c>
      <c r="T107" s="362">
        <f t="shared" si="31"/>
        <v>0</v>
      </c>
      <c r="U107" s="362">
        <f t="shared" si="31"/>
        <v>0</v>
      </c>
      <c r="V107" s="362">
        <f t="shared" si="31"/>
        <v>0</v>
      </c>
      <c r="W107" s="362">
        <f t="shared" si="31"/>
        <v>0</v>
      </c>
      <c r="X107" s="362">
        <f t="shared" si="31"/>
        <v>0</v>
      </c>
      <c r="Y107" s="362">
        <f t="shared" si="31"/>
        <v>0</v>
      </c>
      <c r="Z107" s="362">
        <f t="shared" si="31"/>
        <v>0</v>
      </c>
      <c r="AA107" s="362">
        <f t="shared" si="31"/>
        <v>0</v>
      </c>
      <c r="AB107" s="362">
        <f t="shared" si="31"/>
        <v>0</v>
      </c>
      <c r="AC107" s="362">
        <f t="shared" si="31"/>
        <v>0</v>
      </c>
      <c r="AD107" s="362">
        <f t="shared" si="31"/>
        <v>0</v>
      </c>
      <c r="AE107" s="362">
        <f t="shared" si="31"/>
        <v>0</v>
      </c>
      <c r="AF107" s="362">
        <f t="shared" si="31"/>
        <v>0</v>
      </c>
      <c r="AG107" s="114">
        <f t="shared" si="30"/>
        <v>0</v>
      </c>
    </row>
    <row r="108">
      <c r="A108" s="177"/>
      <c r="AF108" s="356"/>
      <c r="AG108" s="114"/>
    </row>
    <row r="109">
      <c r="A109" s="177"/>
      <c r="AF109" s="288"/>
      <c r="AG109" s="209"/>
    </row>
    <row r="110">
      <c r="A110" s="147" t="s">
        <v>487</v>
      </c>
      <c r="B110" s="135"/>
      <c r="C110" s="135"/>
      <c r="D110" s="135"/>
      <c r="E110" s="135"/>
      <c r="F110" s="135"/>
      <c r="G110" s="135"/>
      <c r="H110" s="135"/>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288"/>
      <c r="AG110" s="209"/>
    </row>
    <row r="111" outlineLevel="1">
      <c r="A111" s="216" t="s">
        <v>488</v>
      </c>
      <c r="B111" s="176">
        <v>0.0</v>
      </c>
      <c r="C111" s="176">
        <v>0.0</v>
      </c>
      <c r="D111" s="176">
        <v>1.0</v>
      </c>
      <c r="E111" s="176">
        <v>0.0</v>
      </c>
      <c r="F111" s="176">
        <v>0.0</v>
      </c>
      <c r="G111" s="176">
        <v>0.0</v>
      </c>
      <c r="H111" s="176">
        <v>0.0</v>
      </c>
      <c r="I111" s="176">
        <v>1.0</v>
      </c>
      <c r="J111" s="176">
        <v>1.0</v>
      </c>
      <c r="K111" s="176">
        <v>0.0</v>
      </c>
      <c r="L111" s="176">
        <v>0.0</v>
      </c>
      <c r="M111" s="176">
        <v>1.0</v>
      </c>
      <c r="N111" s="176">
        <v>0.0</v>
      </c>
      <c r="O111" s="176">
        <v>0.0</v>
      </c>
      <c r="P111" s="176">
        <v>0.0</v>
      </c>
      <c r="Q111" s="176">
        <v>0.0</v>
      </c>
      <c r="R111" s="176">
        <v>0.0</v>
      </c>
      <c r="S111" s="176">
        <v>0.0</v>
      </c>
      <c r="T111" s="176">
        <v>0.0</v>
      </c>
      <c r="U111" s="176">
        <v>0.0</v>
      </c>
      <c r="V111" s="176">
        <v>1.0</v>
      </c>
      <c r="W111" s="176">
        <v>0.0</v>
      </c>
      <c r="X111" s="176">
        <v>0.0</v>
      </c>
      <c r="Y111" s="176">
        <v>0.0</v>
      </c>
      <c r="Z111" s="176">
        <v>0.0</v>
      </c>
      <c r="AA111" s="176">
        <v>0.0</v>
      </c>
      <c r="AB111" s="176">
        <v>0.0</v>
      </c>
      <c r="AC111" s="176">
        <v>0.0</v>
      </c>
      <c r="AD111" s="176">
        <v>0.0</v>
      </c>
      <c r="AE111" s="176">
        <v>0.0</v>
      </c>
      <c r="AF111" s="176">
        <v>0.0</v>
      </c>
      <c r="AG111" s="143">
        <f t="shared" ref="AG111:AG116" si="32">SUM(B111:AF111)</f>
        <v>5</v>
      </c>
    </row>
    <row r="112" outlineLevel="1">
      <c r="A112" s="216" t="s">
        <v>489</v>
      </c>
      <c r="B112" s="176">
        <v>0.0</v>
      </c>
      <c r="C112" s="176">
        <v>0.0</v>
      </c>
      <c r="D112" s="176">
        <v>0.0</v>
      </c>
      <c r="E112" s="176">
        <v>0.0</v>
      </c>
      <c r="F112" s="176">
        <v>1.0</v>
      </c>
      <c r="G112" s="176">
        <v>0.0</v>
      </c>
      <c r="H112" s="176">
        <v>0.0</v>
      </c>
      <c r="I112" s="176">
        <v>0.0</v>
      </c>
      <c r="J112" s="176">
        <v>0.0</v>
      </c>
      <c r="K112" s="176">
        <v>0.0</v>
      </c>
      <c r="L112" s="176">
        <v>0.0</v>
      </c>
      <c r="M112" s="176">
        <v>0.0</v>
      </c>
      <c r="N112" s="176">
        <v>0.0</v>
      </c>
      <c r="O112" s="176">
        <v>0.0</v>
      </c>
      <c r="P112" s="176">
        <v>0.0</v>
      </c>
      <c r="Q112" s="176">
        <v>0.0</v>
      </c>
      <c r="R112" s="176">
        <v>0.0</v>
      </c>
      <c r="S112" s="176">
        <v>1.0</v>
      </c>
      <c r="T112" s="176">
        <v>0.0</v>
      </c>
      <c r="U112" s="176">
        <v>0.0</v>
      </c>
      <c r="V112" s="176">
        <v>0.0</v>
      </c>
      <c r="W112" s="176">
        <v>0.0</v>
      </c>
      <c r="X112" s="176">
        <v>0.0</v>
      </c>
      <c r="Y112" s="176">
        <v>0.0</v>
      </c>
      <c r="Z112" s="176">
        <v>0.0</v>
      </c>
      <c r="AA112" s="176">
        <v>0.0</v>
      </c>
      <c r="AB112" s="176">
        <v>0.0</v>
      </c>
      <c r="AC112" s="176">
        <v>1.0</v>
      </c>
      <c r="AD112" s="176">
        <v>0.0</v>
      </c>
      <c r="AE112" s="176">
        <v>0.0</v>
      </c>
      <c r="AF112" s="176">
        <v>0.0</v>
      </c>
      <c r="AG112" s="143">
        <f t="shared" si="32"/>
        <v>3</v>
      </c>
    </row>
    <row r="113" outlineLevel="1">
      <c r="A113" s="216" t="s">
        <v>490</v>
      </c>
      <c r="B113" s="176">
        <v>0.0</v>
      </c>
      <c r="C113" s="176">
        <v>0.0</v>
      </c>
      <c r="D113" s="176">
        <v>0.0</v>
      </c>
      <c r="E113" s="176">
        <v>0.0</v>
      </c>
      <c r="F113" s="176">
        <v>0.0</v>
      </c>
      <c r="G113" s="176">
        <v>0.0</v>
      </c>
      <c r="H113" s="176">
        <v>2.0</v>
      </c>
      <c r="I113" s="176">
        <v>0.0</v>
      </c>
      <c r="J113" s="176">
        <v>1.0</v>
      </c>
      <c r="K113" s="176">
        <v>1.0</v>
      </c>
      <c r="L113" s="176">
        <v>4.0</v>
      </c>
      <c r="M113" s="176">
        <v>2.0</v>
      </c>
      <c r="N113" s="176">
        <v>2.0</v>
      </c>
      <c r="O113" s="176">
        <v>0.0</v>
      </c>
      <c r="P113" s="176">
        <v>1.0</v>
      </c>
      <c r="Q113" s="176">
        <v>3.0</v>
      </c>
      <c r="R113" s="176">
        <v>0.0</v>
      </c>
      <c r="S113" s="176">
        <v>2.0</v>
      </c>
      <c r="T113" s="176">
        <v>0.0</v>
      </c>
      <c r="U113" s="176">
        <v>0.0</v>
      </c>
      <c r="V113" s="176">
        <v>0.0</v>
      </c>
      <c r="W113" s="176">
        <v>0.0</v>
      </c>
      <c r="X113" s="176">
        <v>0.0</v>
      </c>
      <c r="Y113" s="176">
        <v>1.0</v>
      </c>
      <c r="Z113" s="176">
        <v>1.0</v>
      </c>
      <c r="AA113" s="176">
        <v>1.0</v>
      </c>
      <c r="AB113" s="176">
        <v>0.0</v>
      </c>
      <c r="AC113" s="176">
        <v>0.0</v>
      </c>
      <c r="AD113" s="176">
        <v>0.0</v>
      </c>
      <c r="AE113" s="176">
        <v>0.0</v>
      </c>
      <c r="AF113" s="176">
        <v>1.0</v>
      </c>
      <c r="AG113" s="143">
        <f t="shared" si="32"/>
        <v>22</v>
      </c>
    </row>
    <row r="114" outlineLevel="1">
      <c r="A114" s="216" t="s">
        <v>491</v>
      </c>
      <c r="B114" s="176">
        <v>0.0</v>
      </c>
      <c r="C114" s="176">
        <v>1.0</v>
      </c>
      <c r="D114" s="176">
        <v>1.0</v>
      </c>
      <c r="E114" s="176">
        <v>0.0</v>
      </c>
      <c r="F114" s="176">
        <v>0.0</v>
      </c>
      <c r="G114" s="176">
        <v>0.0</v>
      </c>
      <c r="H114" s="176">
        <v>0.0</v>
      </c>
      <c r="I114" s="176">
        <v>2.0</v>
      </c>
      <c r="J114" s="176">
        <v>0.0</v>
      </c>
      <c r="K114" s="176">
        <v>0.0</v>
      </c>
      <c r="L114" s="176">
        <v>0.0</v>
      </c>
      <c r="M114" s="176">
        <v>0.0</v>
      </c>
      <c r="N114" s="176">
        <v>0.0</v>
      </c>
      <c r="O114" s="176">
        <v>0.0</v>
      </c>
      <c r="P114" s="176">
        <v>0.0</v>
      </c>
      <c r="Q114" s="176">
        <v>0.0</v>
      </c>
      <c r="R114" s="176">
        <v>0.0</v>
      </c>
      <c r="S114" s="176">
        <v>0.0</v>
      </c>
      <c r="T114" s="176">
        <v>0.0</v>
      </c>
      <c r="U114" s="176">
        <v>0.0</v>
      </c>
      <c r="V114" s="176">
        <v>2.0</v>
      </c>
      <c r="W114" s="176">
        <v>0.0</v>
      </c>
      <c r="X114" s="176">
        <v>1.0</v>
      </c>
      <c r="Y114" s="176">
        <v>1.0</v>
      </c>
      <c r="Z114" s="176">
        <v>0.0</v>
      </c>
      <c r="AA114" s="176">
        <v>0.0</v>
      </c>
      <c r="AB114" s="176">
        <v>0.0</v>
      </c>
      <c r="AC114" s="176">
        <v>1.0</v>
      </c>
      <c r="AD114" s="176">
        <v>1.0</v>
      </c>
      <c r="AE114" s="176">
        <v>0.0</v>
      </c>
      <c r="AF114" s="176">
        <v>0.0</v>
      </c>
      <c r="AG114" s="143">
        <f t="shared" si="32"/>
        <v>10</v>
      </c>
    </row>
    <row r="115" outlineLevel="1">
      <c r="A115" s="218" t="s">
        <v>194</v>
      </c>
      <c r="B115" s="370">
        <f t="shared" ref="B115:AF115" si="33">B111+B112</f>
        <v>0</v>
      </c>
      <c r="C115" s="370">
        <f t="shared" si="33"/>
        <v>0</v>
      </c>
      <c r="D115" s="370">
        <f t="shared" si="33"/>
        <v>1</v>
      </c>
      <c r="E115" s="370">
        <f t="shared" si="33"/>
        <v>0</v>
      </c>
      <c r="F115" s="370">
        <f t="shared" si="33"/>
        <v>1</v>
      </c>
      <c r="G115" s="370">
        <f t="shared" si="33"/>
        <v>0</v>
      </c>
      <c r="H115" s="370">
        <f t="shared" si="33"/>
        <v>0</v>
      </c>
      <c r="I115" s="370">
        <f t="shared" si="33"/>
        <v>1</v>
      </c>
      <c r="J115" s="370">
        <f t="shared" si="33"/>
        <v>1</v>
      </c>
      <c r="K115" s="370">
        <f t="shared" si="33"/>
        <v>0</v>
      </c>
      <c r="L115" s="370">
        <f t="shared" si="33"/>
        <v>0</v>
      </c>
      <c r="M115" s="370">
        <f t="shared" si="33"/>
        <v>1</v>
      </c>
      <c r="N115" s="370">
        <f t="shared" si="33"/>
        <v>0</v>
      </c>
      <c r="O115" s="370">
        <f t="shared" si="33"/>
        <v>0</v>
      </c>
      <c r="P115" s="370">
        <f t="shared" si="33"/>
        <v>0</v>
      </c>
      <c r="Q115" s="370">
        <f t="shared" si="33"/>
        <v>0</v>
      </c>
      <c r="R115" s="370">
        <f t="shared" si="33"/>
        <v>0</v>
      </c>
      <c r="S115" s="370">
        <f t="shared" si="33"/>
        <v>1</v>
      </c>
      <c r="T115" s="370">
        <f t="shared" si="33"/>
        <v>0</v>
      </c>
      <c r="U115" s="370">
        <f t="shared" si="33"/>
        <v>0</v>
      </c>
      <c r="V115" s="370">
        <f t="shared" si="33"/>
        <v>1</v>
      </c>
      <c r="W115" s="370">
        <f t="shared" si="33"/>
        <v>0</v>
      </c>
      <c r="X115" s="370">
        <f t="shared" si="33"/>
        <v>0</v>
      </c>
      <c r="Y115" s="370">
        <f t="shared" si="33"/>
        <v>0</v>
      </c>
      <c r="Z115" s="370">
        <f t="shared" si="33"/>
        <v>0</v>
      </c>
      <c r="AA115" s="370">
        <f t="shared" si="33"/>
        <v>0</v>
      </c>
      <c r="AB115" s="370">
        <f t="shared" si="33"/>
        <v>0</v>
      </c>
      <c r="AC115" s="370">
        <f t="shared" si="33"/>
        <v>1</v>
      </c>
      <c r="AD115" s="370">
        <f t="shared" si="33"/>
        <v>0</v>
      </c>
      <c r="AE115" s="370">
        <f t="shared" si="33"/>
        <v>0</v>
      </c>
      <c r="AF115" s="370">
        <f t="shared" si="33"/>
        <v>0</v>
      </c>
      <c r="AG115" s="143">
        <f t="shared" si="32"/>
        <v>8</v>
      </c>
    </row>
    <row r="116" outlineLevel="1">
      <c r="A116" s="218" t="s">
        <v>195</v>
      </c>
      <c r="B116" s="370">
        <f t="shared" ref="B116:AF116" si="34">B113+B114</f>
        <v>0</v>
      </c>
      <c r="C116" s="370">
        <f t="shared" si="34"/>
        <v>1</v>
      </c>
      <c r="D116" s="370">
        <f t="shared" si="34"/>
        <v>1</v>
      </c>
      <c r="E116" s="370">
        <f t="shared" si="34"/>
        <v>0</v>
      </c>
      <c r="F116" s="370">
        <f t="shared" si="34"/>
        <v>0</v>
      </c>
      <c r="G116" s="370">
        <f t="shared" si="34"/>
        <v>0</v>
      </c>
      <c r="H116" s="370">
        <f t="shared" si="34"/>
        <v>2</v>
      </c>
      <c r="I116" s="370">
        <f t="shared" si="34"/>
        <v>2</v>
      </c>
      <c r="J116" s="370">
        <f t="shared" si="34"/>
        <v>1</v>
      </c>
      <c r="K116" s="370">
        <f t="shared" si="34"/>
        <v>1</v>
      </c>
      <c r="L116" s="370">
        <f t="shared" si="34"/>
        <v>4</v>
      </c>
      <c r="M116" s="370">
        <f t="shared" si="34"/>
        <v>2</v>
      </c>
      <c r="N116" s="370">
        <f t="shared" si="34"/>
        <v>2</v>
      </c>
      <c r="O116" s="370">
        <f t="shared" si="34"/>
        <v>0</v>
      </c>
      <c r="P116" s="370">
        <f t="shared" si="34"/>
        <v>1</v>
      </c>
      <c r="Q116" s="370">
        <f t="shared" si="34"/>
        <v>3</v>
      </c>
      <c r="R116" s="370">
        <f t="shared" si="34"/>
        <v>0</v>
      </c>
      <c r="S116" s="370">
        <f t="shared" si="34"/>
        <v>2</v>
      </c>
      <c r="T116" s="370">
        <f t="shared" si="34"/>
        <v>0</v>
      </c>
      <c r="U116" s="370">
        <f t="shared" si="34"/>
        <v>0</v>
      </c>
      <c r="V116" s="370">
        <f t="shared" si="34"/>
        <v>2</v>
      </c>
      <c r="W116" s="370">
        <f t="shared" si="34"/>
        <v>0</v>
      </c>
      <c r="X116" s="370">
        <f t="shared" si="34"/>
        <v>1</v>
      </c>
      <c r="Y116" s="370">
        <f t="shared" si="34"/>
        <v>2</v>
      </c>
      <c r="Z116" s="370">
        <f t="shared" si="34"/>
        <v>1</v>
      </c>
      <c r="AA116" s="370">
        <f t="shared" si="34"/>
        <v>1</v>
      </c>
      <c r="AB116" s="370">
        <f t="shared" si="34"/>
        <v>0</v>
      </c>
      <c r="AC116" s="370">
        <f t="shared" si="34"/>
        <v>1</v>
      </c>
      <c r="AD116" s="370">
        <f t="shared" si="34"/>
        <v>1</v>
      </c>
      <c r="AE116" s="370">
        <f t="shared" si="34"/>
        <v>0</v>
      </c>
      <c r="AF116" s="370">
        <f t="shared" si="34"/>
        <v>1</v>
      </c>
      <c r="AG116" s="143">
        <f t="shared" si="32"/>
        <v>32</v>
      </c>
    </row>
    <row r="117" outlineLevel="1">
      <c r="A117" s="98"/>
      <c r="B117" s="135"/>
      <c r="C117" s="135"/>
      <c r="D117" s="135"/>
      <c r="E117" s="135"/>
      <c r="F117" s="135"/>
      <c r="G117" s="135"/>
      <c r="H117" s="135"/>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2"/>
      <c r="AF117" s="339"/>
      <c r="AG117" s="143"/>
    </row>
    <row r="118" outlineLevel="1">
      <c r="A118" s="216" t="s">
        <v>197</v>
      </c>
      <c r="B118" s="176">
        <v>0.0</v>
      </c>
      <c r="C118" s="176">
        <v>0.0</v>
      </c>
      <c r="D118" s="176">
        <v>0.0</v>
      </c>
      <c r="E118" s="176">
        <v>0.0</v>
      </c>
      <c r="F118" s="176">
        <v>0.0</v>
      </c>
      <c r="G118" s="176">
        <v>0.0</v>
      </c>
      <c r="H118" s="176">
        <v>0.0</v>
      </c>
      <c r="I118" s="176">
        <v>0.0</v>
      </c>
      <c r="J118" s="176">
        <v>1.0</v>
      </c>
      <c r="K118" s="176">
        <v>0.0</v>
      </c>
      <c r="L118" s="176">
        <v>0.0</v>
      </c>
      <c r="M118" s="176">
        <v>1.0</v>
      </c>
      <c r="N118" s="176">
        <v>0.0</v>
      </c>
      <c r="O118" s="176">
        <v>0.0</v>
      </c>
      <c r="P118" s="176">
        <v>0.0</v>
      </c>
      <c r="Q118" s="176">
        <v>0.0</v>
      </c>
      <c r="R118" s="176">
        <v>0.0</v>
      </c>
      <c r="S118" s="176">
        <v>0.0</v>
      </c>
      <c r="T118" s="176">
        <v>0.0</v>
      </c>
      <c r="U118" s="176">
        <v>1.0</v>
      </c>
      <c r="V118" s="176">
        <v>0.0</v>
      </c>
      <c r="W118" s="176">
        <v>0.0</v>
      </c>
      <c r="X118" s="176">
        <v>0.0</v>
      </c>
      <c r="Y118" s="176">
        <v>0.0</v>
      </c>
      <c r="Z118" s="176">
        <v>0.0</v>
      </c>
      <c r="AA118" s="176">
        <v>0.0</v>
      </c>
      <c r="AB118" s="176">
        <v>0.0</v>
      </c>
      <c r="AC118" s="176">
        <v>0.0</v>
      </c>
      <c r="AD118" s="176">
        <v>0.0</v>
      </c>
      <c r="AE118" s="176">
        <v>2.0</v>
      </c>
      <c r="AF118" s="176">
        <v>0.0</v>
      </c>
      <c r="AG118" s="143">
        <f t="shared" ref="AG118:AG126" si="35">SUM(B118:AF118)</f>
        <v>5</v>
      </c>
    </row>
    <row r="119" outlineLevel="1">
      <c r="A119" s="216" t="s">
        <v>198</v>
      </c>
      <c r="B119" s="176">
        <v>0.0</v>
      </c>
      <c r="C119" s="176">
        <v>0.0</v>
      </c>
      <c r="D119" s="176">
        <v>0.0</v>
      </c>
      <c r="E119" s="176">
        <v>0.0</v>
      </c>
      <c r="F119" s="176">
        <v>0.0</v>
      </c>
      <c r="G119" s="176">
        <v>0.0</v>
      </c>
      <c r="H119" s="176">
        <v>0.0</v>
      </c>
      <c r="I119" s="176">
        <v>0.0</v>
      </c>
      <c r="J119" s="176">
        <v>0.0</v>
      </c>
      <c r="K119" s="176">
        <v>0.0</v>
      </c>
      <c r="L119" s="176">
        <v>0.0</v>
      </c>
      <c r="M119" s="176">
        <v>0.0</v>
      </c>
      <c r="N119" s="176">
        <v>0.0</v>
      </c>
      <c r="O119" s="176">
        <v>0.0</v>
      </c>
      <c r="P119" s="176">
        <v>0.0</v>
      </c>
      <c r="Q119" s="176">
        <v>0.0</v>
      </c>
      <c r="R119" s="176">
        <v>0.0</v>
      </c>
      <c r="S119" s="176">
        <v>0.0</v>
      </c>
      <c r="T119" s="176">
        <v>0.0</v>
      </c>
      <c r="U119" s="176">
        <v>0.0</v>
      </c>
      <c r="V119" s="176">
        <v>0.0</v>
      </c>
      <c r="W119" s="176">
        <v>0.0</v>
      </c>
      <c r="X119" s="176">
        <v>0.0</v>
      </c>
      <c r="Y119" s="176">
        <v>0.0</v>
      </c>
      <c r="Z119" s="176">
        <v>0.0</v>
      </c>
      <c r="AA119" s="176">
        <v>0.0</v>
      </c>
      <c r="AB119" s="176">
        <v>0.0</v>
      </c>
      <c r="AC119" s="176">
        <v>0.0</v>
      </c>
      <c r="AD119" s="176">
        <v>0.0</v>
      </c>
      <c r="AE119" s="176">
        <v>0.0</v>
      </c>
      <c r="AF119" s="176">
        <v>0.0</v>
      </c>
      <c r="AG119" s="143">
        <f t="shared" si="35"/>
        <v>0</v>
      </c>
    </row>
    <row r="120" outlineLevel="1">
      <c r="A120" s="216" t="s">
        <v>492</v>
      </c>
      <c r="B120" s="176">
        <v>0.0</v>
      </c>
      <c r="C120" s="176">
        <v>0.0</v>
      </c>
      <c r="D120" s="176">
        <v>0.0</v>
      </c>
      <c r="E120" s="176">
        <v>0.0</v>
      </c>
      <c r="F120" s="176">
        <v>0.0</v>
      </c>
      <c r="G120" s="176">
        <v>0.0</v>
      </c>
      <c r="H120" s="176">
        <v>0.0</v>
      </c>
      <c r="I120" s="176">
        <v>0.0</v>
      </c>
      <c r="J120" s="176">
        <v>0.0</v>
      </c>
      <c r="K120" s="176">
        <v>0.0</v>
      </c>
      <c r="L120" s="176">
        <v>0.0</v>
      </c>
      <c r="M120" s="176">
        <v>0.0</v>
      </c>
      <c r="N120" s="176">
        <v>0.0</v>
      </c>
      <c r="O120" s="176">
        <v>0.0</v>
      </c>
      <c r="P120" s="176">
        <v>0.0</v>
      </c>
      <c r="Q120" s="176">
        <v>0.0</v>
      </c>
      <c r="R120" s="176">
        <v>0.0</v>
      </c>
      <c r="S120" s="176">
        <v>0.0</v>
      </c>
      <c r="T120" s="176">
        <v>0.0</v>
      </c>
      <c r="U120" s="176">
        <v>0.0</v>
      </c>
      <c r="V120" s="176">
        <v>0.0</v>
      </c>
      <c r="W120" s="176">
        <v>0.0</v>
      </c>
      <c r="X120" s="176">
        <v>0.0</v>
      </c>
      <c r="Y120" s="176">
        <v>0.0</v>
      </c>
      <c r="Z120" s="176">
        <v>0.0</v>
      </c>
      <c r="AA120" s="176">
        <v>0.0</v>
      </c>
      <c r="AB120" s="176">
        <v>0.0</v>
      </c>
      <c r="AC120" s="176">
        <v>0.0</v>
      </c>
      <c r="AD120" s="176">
        <v>0.0</v>
      </c>
      <c r="AE120" s="176">
        <v>0.0</v>
      </c>
      <c r="AF120" s="176">
        <v>0.0</v>
      </c>
      <c r="AG120" s="143">
        <f t="shared" si="35"/>
        <v>0</v>
      </c>
    </row>
    <row r="121" outlineLevel="1">
      <c r="A121" s="216" t="s">
        <v>493</v>
      </c>
      <c r="B121" s="176">
        <v>0.0</v>
      </c>
      <c r="C121" s="176">
        <v>0.0</v>
      </c>
      <c r="D121" s="176">
        <v>0.0</v>
      </c>
      <c r="E121" s="176">
        <v>0.0</v>
      </c>
      <c r="F121" s="176">
        <v>0.0</v>
      </c>
      <c r="G121" s="176">
        <v>0.0</v>
      </c>
      <c r="H121" s="176">
        <v>0.0</v>
      </c>
      <c r="I121" s="176">
        <v>0.0</v>
      </c>
      <c r="J121" s="176">
        <v>0.0</v>
      </c>
      <c r="K121" s="176">
        <v>0.0</v>
      </c>
      <c r="L121" s="176">
        <v>0.0</v>
      </c>
      <c r="M121" s="176">
        <v>0.0</v>
      </c>
      <c r="N121" s="176">
        <v>0.0</v>
      </c>
      <c r="O121" s="176">
        <v>0.0</v>
      </c>
      <c r="P121" s="176">
        <v>0.0</v>
      </c>
      <c r="Q121" s="176">
        <v>0.0</v>
      </c>
      <c r="R121" s="176">
        <v>0.0</v>
      </c>
      <c r="S121" s="176">
        <v>0.0</v>
      </c>
      <c r="T121" s="176">
        <v>0.0</v>
      </c>
      <c r="U121" s="176">
        <v>0.0</v>
      </c>
      <c r="V121" s="176">
        <v>0.0</v>
      </c>
      <c r="W121" s="176">
        <v>0.0</v>
      </c>
      <c r="X121" s="176">
        <v>0.0</v>
      </c>
      <c r="Y121" s="176">
        <v>0.0</v>
      </c>
      <c r="Z121" s="176">
        <v>0.0</v>
      </c>
      <c r="AA121" s="176">
        <v>0.0</v>
      </c>
      <c r="AB121" s="176">
        <v>0.0</v>
      </c>
      <c r="AC121" s="176">
        <v>0.0</v>
      </c>
      <c r="AD121" s="176">
        <v>0.0</v>
      </c>
      <c r="AE121" s="176">
        <v>0.0</v>
      </c>
      <c r="AF121" s="176">
        <v>0.0</v>
      </c>
      <c r="AG121" s="143">
        <f t="shared" si="35"/>
        <v>0</v>
      </c>
    </row>
    <row r="122" outlineLevel="1">
      <c r="A122" s="216" t="s">
        <v>494</v>
      </c>
      <c r="B122" s="176">
        <v>0.0</v>
      </c>
      <c r="C122" s="176">
        <v>0.0</v>
      </c>
      <c r="D122" s="176">
        <v>0.0</v>
      </c>
      <c r="E122" s="176">
        <v>0.0</v>
      </c>
      <c r="F122" s="176">
        <v>0.0</v>
      </c>
      <c r="G122" s="176">
        <v>0.0</v>
      </c>
      <c r="H122" s="176">
        <v>0.0</v>
      </c>
      <c r="I122" s="176">
        <v>0.0</v>
      </c>
      <c r="J122" s="176">
        <v>0.0</v>
      </c>
      <c r="K122" s="176">
        <v>0.0</v>
      </c>
      <c r="L122" s="176">
        <v>0.0</v>
      </c>
      <c r="M122" s="176">
        <v>0.0</v>
      </c>
      <c r="N122" s="176">
        <v>0.0</v>
      </c>
      <c r="O122" s="176">
        <v>0.0</v>
      </c>
      <c r="P122" s="176">
        <v>0.0</v>
      </c>
      <c r="Q122" s="176">
        <v>0.0</v>
      </c>
      <c r="R122" s="176">
        <v>0.0</v>
      </c>
      <c r="S122" s="176">
        <v>0.0</v>
      </c>
      <c r="T122" s="176">
        <v>0.0</v>
      </c>
      <c r="U122" s="176">
        <v>0.0</v>
      </c>
      <c r="V122" s="176">
        <v>0.0</v>
      </c>
      <c r="W122" s="176">
        <v>0.0</v>
      </c>
      <c r="X122" s="176">
        <v>0.0</v>
      </c>
      <c r="Y122" s="176">
        <v>0.0</v>
      </c>
      <c r="Z122" s="176">
        <v>0.0</v>
      </c>
      <c r="AA122" s="176">
        <v>0.0</v>
      </c>
      <c r="AB122" s="176">
        <v>0.0</v>
      </c>
      <c r="AC122" s="176">
        <v>0.0</v>
      </c>
      <c r="AD122" s="176">
        <v>0.0</v>
      </c>
      <c r="AE122" s="176">
        <v>0.0</v>
      </c>
      <c r="AF122" s="176">
        <v>0.0</v>
      </c>
      <c r="AG122" s="143">
        <f t="shared" si="35"/>
        <v>0</v>
      </c>
    </row>
    <row r="123" outlineLevel="1">
      <c r="A123" s="216" t="s">
        <v>495</v>
      </c>
      <c r="B123" s="176">
        <v>0.0</v>
      </c>
      <c r="C123" s="176">
        <v>0.0</v>
      </c>
      <c r="D123" s="176">
        <v>0.0</v>
      </c>
      <c r="E123" s="176">
        <v>0.0</v>
      </c>
      <c r="F123" s="176">
        <v>0.0</v>
      </c>
      <c r="G123" s="176">
        <v>0.0</v>
      </c>
      <c r="H123" s="176">
        <v>0.0</v>
      </c>
      <c r="I123" s="176">
        <v>0.0</v>
      </c>
      <c r="J123" s="176">
        <v>0.0</v>
      </c>
      <c r="K123" s="176">
        <v>0.0</v>
      </c>
      <c r="L123" s="176">
        <v>0.0</v>
      </c>
      <c r="M123" s="176">
        <v>0.0</v>
      </c>
      <c r="N123" s="176">
        <v>0.0</v>
      </c>
      <c r="O123" s="176">
        <v>0.0</v>
      </c>
      <c r="P123" s="176">
        <v>0.0</v>
      </c>
      <c r="Q123" s="176">
        <v>0.0</v>
      </c>
      <c r="R123" s="176">
        <v>0.0</v>
      </c>
      <c r="S123" s="176">
        <v>0.0</v>
      </c>
      <c r="T123" s="176">
        <v>0.0</v>
      </c>
      <c r="U123" s="176">
        <v>0.0</v>
      </c>
      <c r="V123" s="176">
        <v>0.0</v>
      </c>
      <c r="W123" s="176">
        <v>0.0</v>
      </c>
      <c r="X123" s="176">
        <v>0.0</v>
      </c>
      <c r="Y123" s="176">
        <v>0.0</v>
      </c>
      <c r="Z123" s="176">
        <v>0.0</v>
      </c>
      <c r="AA123" s="176">
        <v>0.0</v>
      </c>
      <c r="AB123" s="176">
        <v>0.0</v>
      </c>
      <c r="AC123" s="176">
        <v>0.0</v>
      </c>
      <c r="AD123" s="176">
        <v>0.0</v>
      </c>
      <c r="AE123" s="176">
        <v>0.0</v>
      </c>
      <c r="AF123" s="176">
        <v>0.0</v>
      </c>
      <c r="AG123" s="143">
        <f t="shared" si="35"/>
        <v>0</v>
      </c>
    </row>
    <row r="124" outlineLevel="1">
      <c r="A124" s="216" t="s">
        <v>496</v>
      </c>
      <c r="B124" s="176">
        <v>0.0</v>
      </c>
      <c r="C124" s="176">
        <v>0.0</v>
      </c>
      <c r="D124" s="176">
        <v>0.0</v>
      </c>
      <c r="E124" s="176">
        <v>0.0</v>
      </c>
      <c r="F124" s="176">
        <v>0.0</v>
      </c>
      <c r="G124" s="176">
        <v>0.0</v>
      </c>
      <c r="H124" s="176">
        <v>0.0</v>
      </c>
      <c r="I124" s="176">
        <v>0.0</v>
      </c>
      <c r="J124" s="176">
        <v>0.0</v>
      </c>
      <c r="K124" s="176">
        <v>0.0</v>
      </c>
      <c r="L124" s="176">
        <v>0.0</v>
      </c>
      <c r="M124" s="176">
        <v>0.0</v>
      </c>
      <c r="N124" s="176">
        <v>0.0</v>
      </c>
      <c r="O124" s="176">
        <v>0.0</v>
      </c>
      <c r="P124" s="176">
        <v>0.0</v>
      </c>
      <c r="Q124" s="176">
        <v>0.0</v>
      </c>
      <c r="R124" s="176">
        <v>0.0</v>
      </c>
      <c r="S124" s="176">
        <v>0.0</v>
      </c>
      <c r="T124" s="176">
        <v>0.0</v>
      </c>
      <c r="U124" s="176">
        <v>0.0</v>
      </c>
      <c r="V124" s="176">
        <v>0.0</v>
      </c>
      <c r="W124" s="176">
        <v>0.0</v>
      </c>
      <c r="X124" s="176">
        <v>0.0</v>
      </c>
      <c r="Y124" s="176">
        <v>0.0</v>
      </c>
      <c r="Z124" s="176">
        <v>0.0</v>
      </c>
      <c r="AA124" s="176">
        <v>0.0</v>
      </c>
      <c r="AB124" s="176">
        <v>0.0</v>
      </c>
      <c r="AC124" s="176">
        <v>0.0</v>
      </c>
      <c r="AD124" s="176">
        <v>0.0</v>
      </c>
      <c r="AE124" s="176">
        <v>0.0</v>
      </c>
      <c r="AF124" s="176">
        <v>0.0</v>
      </c>
      <c r="AG124" s="143">
        <f t="shared" si="35"/>
        <v>0</v>
      </c>
    </row>
    <row r="125" outlineLevel="1">
      <c r="A125" s="216" t="s">
        <v>497</v>
      </c>
      <c r="B125" s="176">
        <v>0.0</v>
      </c>
      <c r="C125" s="176">
        <v>0.0</v>
      </c>
      <c r="D125" s="176">
        <v>0.0</v>
      </c>
      <c r="E125" s="176">
        <v>0.0</v>
      </c>
      <c r="F125" s="176">
        <v>0.0</v>
      </c>
      <c r="G125" s="176">
        <v>0.0</v>
      </c>
      <c r="H125" s="176">
        <v>0.0</v>
      </c>
      <c r="I125" s="176">
        <v>0.0</v>
      </c>
      <c r="J125" s="176">
        <v>0.0</v>
      </c>
      <c r="K125" s="176">
        <v>0.0</v>
      </c>
      <c r="L125" s="176">
        <v>0.0</v>
      </c>
      <c r="M125" s="176">
        <v>0.0</v>
      </c>
      <c r="N125" s="176">
        <v>0.0</v>
      </c>
      <c r="O125" s="176">
        <v>0.0</v>
      </c>
      <c r="P125" s="176">
        <v>0.0</v>
      </c>
      <c r="Q125" s="176">
        <v>0.0</v>
      </c>
      <c r="R125" s="176">
        <v>0.0</v>
      </c>
      <c r="S125" s="176">
        <v>0.0</v>
      </c>
      <c r="T125" s="176">
        <v>0.0</v>
      </c>
      <c r="U125" s="176">
        <v>0.0</v>
      </c>
      <c r="V125" s="176">
        <v>0.0</v>
      </c>
      <c r="W125" s="176">
        <v>0.0</v>
      </c>
      <c r="X125" s="176">
        <v>0.0</v>
      </c>
      <c r="Y125" s="176">
        <v>0.0</v>
      </c>
      <c r="Z125" s="176">
        <v>0.0</v>
      </c>
      <c r="AA125" s="176">
        <v>0.0</v>
      </c>
      <c r="AB125" s="176">
        <v>0.0</v>
      </c>
      <c r="AC125" s="176">
        <v>0.0</v>
      </c>
      <c r="AD125" s="176">
        <v>0.0</v>
      </c>
      <c r="AE125" s="176">
        <v>0.0</v>
      </c>
      <c r="AF125" s="176">
        <v>0.0</v>
      </c>
      <c r="AG125" s="143">
        <f t="shared" si="35"/>
        <v>0</v>
      </c>
    </row>
    <row r="126" outlineLevel="1">
      <c r="A126" s="220" t="s">
        <v>130</v>
      </c>
      <c r="B126" s="370">
        <f t="shared" ref="B126:AF126" si="36">SUM(B118:B125)</f>
        <v>0</v>
      </c>
      <c r="C126" s="370">
        <f t="shared" si="36"/>
        <v>0</v>
      </c>
      <c r="D126" s="370">
        <f t="shared" si="36"/>
        <v>0</v>
      </c>
      <c r="E126" s="370">
        <f t="shared" si="36"/>
        <v>0</v>
      </c>
      <c r="F126" s="370">
        <f t="shared" si="36"/>
        <v>0</v>
      </c>
      <c r="G126" s="370">
        <f t="shared" si="36"/>
        <v>0</v>
      </c>
      <c r="H126" s="370">
        <f t="shared" si="36"/>
        <v>0</v>
      </c>
      <c r="I126" s="370">
        <f t="shared" si="36"/>
        <v>0</v>
      </c>
      <c r="J126" s="370">
        <f t="shared" si="36"/>
        <v>1</v>
      </c>
      <c r="K126" s="370">
        <f t="shared" si="36"/>
        <v>0</v>
      </c>
      <c r="L126" s="370">
        <f t="shared" si="36"/>
        <v>0</v>
      </c>
      <c r="M126" s="370">
        <f t="shared" si="36"/>
        <v>1</v>
      </c>
      <c r="N126" s="370">
        <f t="shared" si="36"/>
        <v>0</v>
      </c>
      <c r="O126" s="370">
        <f t="shared" si="36"/>
        <v>0</v>
      </c>
      <c r="P126" s="370">
        <f t="shared" si="36"/>
        <v>0</v>
      </c>
      <c r="Q126" s="370">
        <f t="shared" si="36"/>
        <v>0</v>
      </c>
      <c r="R126" s="370">
        <f t="shared" si="36"/>
        <v>0</v>
      </c>
      <c r="S126" s="370">
        <f t="shared" si="36"/>
        <v>0</v>
      </c>
      <c r="T126" s="370">
        <f t="shared" si="36"/>
        <v>0</v>
      </c>
      <c r="U126" s="370">
        <f t="shared" si="36"/>
        <v>1</v>
      </c>
      <c r="V126" s="370">
        <f t="shared" si="36"/>
        <v>0</v>
      </c>
      <c r="W126" s="370">
        <f t="shared" si="36"/>
        <v>0</v>
      </c>
      <c r="X126" s="370">
        <f t="shared" si="36"/>
        <v>0</v>
      </c>
      <c r="Y126" s="370">
        <f t="shared" si="36"/>
        <v>0</v>
      </c>
      <c r="Z126" s="370">
        <f t="shared" si="36"/>
        <v>0</v>
      </c>
      <c r="AA126" s="370">
        <f t="shared" si="36"/>
        <v>0</v>
      </c>
      <c r="AB126" s="370">
        <f t="shared" si="36"/>
        <v>0</v>
      </c>
      <c r="AC126" s="370">
        <f t="shared" si="36"/>
        <v>0</v>
      </c>
      <c r="AD126" s="370">
        <f t="shared" si="36"/>
        <v>0</v>
      </c>
      <c r="AE126" s="370">
        <f t="shared" si="36"/>
        <v>2</v>
      </c>
      <c r="AF126" s="370">
        <f t="shared" si="36"/>
        <v>0</v>
      </c>
      <c r="AG126" s="143">
        <f t="shared" si="35"/>
        <v>5</v>
      </c>
    </row>
    <row r="127">
      <c r="A127" s="177"/>
      <c r="AF127" s="288"/>
      <c r="AG127" s="209"/>
    </row>
    <row r="128">
      <c r="A128" s="147" t="s">
        <v>498</v>
      </c>
      <c r="AF128" s="288"/>
      <c r="AG128" s="209"/>
    </row>
    <row r="129" outlineLevel="1">
      <c r="A129" s="216" t="s">
        <v>499</v>
      </c>
      <c r="B129" s="176">
        <v>0.0</v>
      </c>
      <c r="C129" s="176">
        <v>0.0</v>
      </c>
      <c r="D129" s="176">
        <v>1.0</v>
      </c>
      <c r="E129" s="176">
        <v>1.0</v>
      </c>
      <c r="F129" s="371">
        <v>0.0</v>
      </c>
      <c r="G129" s="371">
        <v>0.0</v>
      </c>
      <c r="H129" s="176">
        <v>0.0</v>
      </c>
      <c r="I129" s="176">
        <v>2.0</v>
      </c>
      <c r="J129" s="176">
        <v>1.0</v>
      </c>
      <c r="K129" s="176">
        <v>1.0</v>
      </c>
      <c r="L129" s="176">
        <v>1.0</v>
      </c>
      <c r="M129" s="176">
        <v>0.0</v>
      </c>
      <c r="N129" s="176">
        <v>0.0</v>
      </c>
      <c r="O129" s="176">
        <v>1.0</v>
      </c>
      <c r="P129" s="176">
        <v>1.0</v>
      </c>
      <c r="Q129" s="176">
        <v>0.0</v>
      </c>
      <c r="R129" s="176">
        <v>2.0</v>
      </c>
      <c r="S129" s="371">
        <v>1.0</v>
      </c>
      <c r="T129" s="176">
        <v>0.0</v>
      </c>
      <c r="U129" s="176">
        <v>0.0</v>
      </c>
      <c r="V129" s="176">
        <v>1.0</v>
      </c>
      <c r="W129" s="371">
        <v>1.0</v>
      </c>
      <c r="X129" s="371">
        <v>1.0</v>
      </c>
      <c r="Y129" s="176">
        <v>0.0</v>
      </c>
      <c r="Z129" s="176">
        <v>1.0</v>
      </c>
      <c r="AA129" s="176">
        <v>0.0</v>
      </c>
      <c r="AB129" s="176">
        <v>2.0</v>
      </c>
      <c r="AC129" s="176">
        <v>0.0</v>
      </c>
      <c r="AD129" s="176">
        <v>1.0</v>
      </c>
      <c r="AE129" s="176">
        <v>0.0</v>
      </c>
      <c r="AF129" s="372">
        <v>2.0</v>
      </c>
      <c r="AG129" s="143">
        <f t="shared" ref="AG129:AG134" si="37">SUM(B129:AF129)</f>
        <v>21</v>
      </c>
    </row>
    <row r="130" outlineLevel="1">
      <c r="A130" s="216" t="s">
        <v>500</v>
      </c>
      <c r="B130" s="176">
        <v>0.0</v>
      </c>
      <c r="C130" s="176">
        <v>0.0</v>
      </c>
      <c r="D130" s="176">
        <v>0.0</v>
      </c>
      <c r="E130" s="176">
        <v>0.0</v>
      </c>
      <c r="F130" s="176">
        <v>0.0</v>
      </c>
      <c r="G130" s="176">
        <v>0.0</v>
      </c>
      <c r="H130" s="176">
        <v>0.0</v>
      </c>
      <c r="I130" s="176">
        <v>0.0</v>
      </c>
      <c r="J130" s="176">
        <v>1.0</v>
      </c>
      <c r="K130" s="176">
        <v>0.0</v>
      </c>
      <c r="L130" s="176">
        <v>0.0</v>
      </c>
      <c r="M130" s="176">
        <v>0.0</v>
      </c>
      <c r="N130" s="176">
        <v>0.0</v>
      </c>
      <c r="O130" s="176">
        <v>0.0</v>
      </c>
      <c r="P130" s="176">
        <v>0.0</v>
      </c>
      <c r="Q130" s="176">
        <v>0.0</v>
      </c>
      <c r="R130" s="176">
        <v>0.0</v>
      </c>
      <c r="S130" s="371">
        <v>0.0</v>
      </c>
      <c r="T130" s="176">
        <v>0.0</v>
      </c>
      <c r="U130" s="176">
        <v>0.0</v>
      </c>
      <c r="V130" s="176">
        <v>0.0</v>
      </c>
      <c r="W130" s="371">
        <v>0.0</v>
      </c>
      <c r="X130" s="371">
        <v>0.0</v>
      </c>
      <c r="Y130" s="176">
        <v>0.0</v>
      </c>
      <c r="Z130" s="176">
        <v>0.0</v>
      </c>
      <c r="AA130" s="176">
        <v>0.0</v>
      </c>
      <c r="AB130" s="176">
        <v>0.0</v>
      </c>
      <c r="AC130" s="176">
        <v>0.0</v>
      </c>
      <c r="AD130" s="176">
        <v>1.0</v>
      </c>
      <c r="AE130" s="176">
        <v>0.0</v>
      </c>
      <c r="AF130" s="372">
        <v>0.0</v>
      </c>
      <c r="AG130" s="143">
        <f t="shared" si="37"/>
        <v>2</v>
      </c>
    </row>
    <row r="131" outlineLevel="1">
      <c r="A131" s="216" t="s">
        <v>501</v>
      </c>
      <c r="B131" s="176">
        <v>1.0</v>
      </c>
      <c r="C131" s="176">
        <v>6.0</v>
      </c>
      <c r="D131" s="176">
        <v>15.0</v>
      </c>
      <c r="E131" s="176">
        <v>10.0</v>
      </c>
      <c r="F131" s="83">
        <v>10.0</v>
      </c>
      <c r="G131" s="176">
        <v>13.0</v>
      </c>
      <c r="H131" s="176">
        <v>8.0</v>
      </c>
      <c r="I131" s="176">
        <v>19.0</v>
      </c>
      <c r="J131" s="176">
        <v>11.0</v>
      </c>
      <c r="K131" s="176">
        <v>22.0</v>
      </c>
      <c r="L131" s="176">
        <v>20.0</v>
      </c>
      <c r="M131" s="176">
        <v>14.0</v>
      </c>
      <c r="N131" s="176">
        <v>14.0</v>
      </c>
      <c r="O131" s="176">
        <v>17.0</v>
      </c>
      <c r="P131" s="176">
        <v>13.0</v>
      </c>
      <c r="Q131" s="176">
        <v>20.0</v>
      </c>
      <c r="R131" s="176">
        <v>20.0</v>
      </c>
      <c r="S131" s="176">
        <v>15.0</v>
      </c>
      <c r="T131" s="176">
        <v>18.0</v>
      </c>
      <c r="U131" s="176">
        <v>10.0</v>
      </c>
      <c r="V131" s="176">
        <v>9.0</v>
      </c>
      <c r="W131" s="176">
        <v>13.0</v>
      </c>
      <c r="X131" s="176">
        <v>9.0</v>
      </c>
      <c r="Y131" s="176">
        <v>10.0</v>
      </c>
      <c r="Z131" s="176">
        <v>12.0</v>
      </c>
      <c r="AA131" s="176">
        <v>4.0</v>
      </c>
      <c r="AB131" s="176">
        <v>15.0</v>
      </c>
      <c r="AC131" s="176">
        <v>6.0</v>
      </c>
      <c r="AD131" s="176">
        <v>6.0</v>
      </c>
      <c r="AE131" s="176">
        <v>12.0</v>
      </c>
      <c r="AF131" s="373">
        <v>12.0</v>
      </c>
      <c r="AG131" s="143">
        <f t="shared" si="37"/>
        <v>384</v>
      </c>
    </row>
    <row r="132" outlineLevel="1">
      <c r="A132" s="216" t="s">
        <v>502</v>
      </c>
      <c r="B132" s="176">
        <v>0.0</v>
      </c>
      <c r="C132" s="176">
        <v>0.0</v>
      </c>
      <c r="D132" s="176">
        <v>0.0</v>
      </c>
      <c r="E132" s="176">
        <v>0.0</v>
      </c>
      <c r="F132" s="176">
        <v>0.0</v>
      </c>
      <c r="G132" s="176">
        <v>0.0</v>
      </c>
      <c r="H132" s="176">
        <v>0.0</v>
      </c>
      <c r="I132" s="176">
        <v>0.0</v>
      </c>
      <c r="J132" s="176">
        <v>0.0</v>
      </c>
      <c r="K132" s="176">
        <v>0.0</v>
      </c>
      <c r="L132" s="176">
        <v>0.0</v>
      </c>
      <c r="M132" s="176">
        <v>0.0</v>
      </c>
      <c r="N132" s="176">
        <v>0.0</v>
      </c>
      <c r="O132" s="176">
        <v>2.0</v>
      </c>
      <c r="P132" s="176">
        <v>1.0</v>
      </c>
      <c r="Q132" s="176">
        <v>0.0</v>
      </c>
      <c r="R132" s="176">
        <v>0.0</v>
      </c>
      <c r="S132" s="176">
        <v>0.0</v>
      </c>
      <c r="T132" s="176">
        <v>0.0</v>
      </c>
      <c r="U132" s="176">
        <v>0.0</v>
      </c>
      <c r="V132" s="176">
        <v>1.0</v>
      </c>
      <c r="W132" s="176">
        <v>0.0</v>
      </c>
      <c r="X132" s="176">
        <v>0.0</v>
      </c>
      <c r="Y132" s="176">
        <v>1.0</v>
      </c>
      <c r="Z132" s="176">
        <v>2.0</v>
      </c>
      <c r="AA132" s="176">
        <v>2.0</v>
      </c>
      <c r="AB132" s="176">
        <v>0.0</v>
      </c>
      <c r="AC132" s="176">
        <v>1.0</v>
      </c>
      <c r="AD132" s="176">
        <v>0.0</v>
      </c>
      <c r="AE132" s="176">
        <v>0.0</v>
      </c>
      <c r="AF132" s="373">
        <v>1.0</v>
      </c>
      <c r="AG132" s="143">
        <f t="shared" si="37"/>
        <v>11</v>
      </c>
    </row>
    <row r="133" outlineLevel="1">
      <c r="A133" s="218" t="s">
        <v>194</v>
      </c>
      <c r="B133" s="370">
        <f t="shared" ref="B133:AF133" si="38">B129+B130</f>
        <v>0</v>
      </c>
      <c r="C133" s="370">
        <f t="shared" si="38"/>
        <v>0</v>
      </c>
      <c r="D133" s="370">
        <f t="shared" si="38"/>
        <v>1</v>
      </c>
      <c r="E133" s="370">
        <f t="shared" si="38"/>
        <v>1</v>
      </c>
      <c r="F133" s="370">
        <f t="shared" si="38"/>
        <v>0</v>
      </c>
      <c r="G133" s="370">
        <f t="shared" si="38"/>
        <v>0</v>
      </c>
      <c r="H133" s="370">
        <f t="shared" si="38"/>
        <v>0</v>
      </c>
      <c r="I133" s="370">
        <f t="shared" si="38"/>
        <v>2</v>
      </c>
      <c r="J133" s="370">
        <f t="shared" si="38"/>
        <v>2</v>
      </c>
      <c r="K133" s="370">
        <f t="shared" si="38"/>
        <v>1</v>
      </c>
      <c r="L133" s="370">
        <f t="shared" si="38"/>
        <v>1</v>
      </c>
      <c r="M133" s="370">
        <f t="shared" si="38"/>
        <v>0</v>
      </c>
      <c r="N133" s="370">
        <f t="shared" si="38"/>
        <v>0</v>
      </c>
      <c r="O133" s="370">
        <f t="shared" si="38"/>
        <v>1</v>
      </c>
      <c r="P133" s="370">
        <f t="shared" si="38"/>
        <v>1</v>
      </c>
      <c r="Q133" s="370">
        <f t="shared" si="38"/>
        <v>0</v>
      </c>
      <c r="R133" s="370">
        <f t="shared" si="38"/>
        <v>2</v>
      </c>
      <c r="S133" s="370">
        <f t="shared" si="38"/>
        <v>1</v>
      </c>
      <c r="T133" s="370">
        <f t="shared" si="38"/>
        <v>0</v>
      </c>
      <c r="U133" s="370">
        <f t="shared" si="38"/>
        <v>0</v>
      </c>
      <c r="V133" s="370">
        <f t="shared" si="38"/>
        <v>1</v>
      </c>
      <c r="W133" s="370">
        <f t="shared" si="38"/>
        <v>1</v>
      </c>
      <c r="X133" s="370">
        <f t="shared" si="38"/>
        <v>1</v>
      </c>
      <c r="Y133" s="370">
        <f t="shared" si="38"/>
        <v>0</v>
      </c>
      <c r="Z133" s="370">
        <f t="shared" si="38"/>
        <v>1</v>
      </c>
      <c r="AA133" s="370">
        <f t="shared" si="38"/>
        <v>0</v>
      </c>
      <c r="AB133" s="370">
        <f t="shared" si="38"/>
        <v>2</v>
      </c>
      <c r="AC133" s="370">
        <f t="shared" si="38"/>
        <v>0</v>
      </c>
      <c r="AD133" s="370">
        <f t="shared" si="38"/>
        <v>2</v>
      </c>
      <c r="AE133" s="370">
        <f t="shared" si="38"/>
        <v>0</v>
      </c>
      <c r="AF133" s="370">
        <f t="shared" si="38"/>
        <v>2</v>
      </c>
      <c r="AG133" s="143">
        <f t="shared" si="37"/>
        <v>23</v>
      </c>
    </row>
    <row r="134" outlineLevel="1">
      <c r="A134" s="218" t="s">
        <v>195</v>
      </c>
      <c r="B134" s="370">
        <f t="shared" ref="B134:AF134" si="39">B131+B132</f>
        <v>1</v>
      </c>
      <c r="C134" s="370">
        <f t="shared" si="39"/>
        <v>6</v>
      </c>
      <c r="D134" s="370">
        <f t="shared" si="39"/>
        <v>15</v>
      </c>
      <c r="E134" s="370">
        <f t="shared" si="39"/>
        <v>10</v>
      </c>
      <c r="F134" s="370">
        <f t="shared" si="39"/>
        <v>10</v>
      </c>
      <c r="G134" s="370">
        <f t="shared" si="39"/>
        <v>13</v>
      </c>
      <c r="H134" s="370">
        <f t="shared" si="39"/>
        <v>8</v>
      </c>
      <c r="I134" s="370">
        <f t="shared" si="39"/>
        <v>19</v>
      </c>
      <c r="J134" s="370">
        <f t="shared" si="39"/>
        <v>11</v>
      </c>
      <c r="K134" s="370">
        <f t="shared" si="39"/>
        <v>22</v>
      </c>
      <c r="L134" s="370">
        <f t="shared" si="39"/>
        <v>20</v>
      </c>
      <c r="M134" s="370">
        <f t="shared" si="39"/>
        <v>14</v>
      </c>
      <c r="N134" s="370">
        <f t="shared" si="39"/>
        <v>14</v>
      </c>
      <c r="O134" s="370">
        <f t="shared" si="39"/>
        <v>19</v>
      </c>
      <c r="P134" s="370">
        <f t="shared" si="39"/>
        <v>14</v>
      </c>
      <c r="Q134" s="370">
        <f t="shared" si="39"/>
        <v>20</v>
      </c>
      <c r="R134" s="370">
        <f t="shared" si="39"/>
        <v>20</v>
      </c>
      <c r="S134" s="370">
        <f t="shared" si="39"/>
        <v>15</v>
      </c>
      <c r="T134" s="370">
        <f t="shared" si="39"/>
        <v>18</v>
      </c>
      <c r="U134" s="370">
        <f t="shared" si="39"/>
        <v>10</v>
      </c>
      <c r="V134" s="370">
        <f t="shared" si="39"/>
        <v>10</v>
      </c>
      <c r="W134" s="370">
        <f t="shared" si="39"/>
        <v>13</v>
      </c>
      <c r="X134" s="370">
        <f t="shared" si="39"/>
        <v>9</v>
      </c>
      <c r="Y134" s="370">
        <f t="shared" si="39"/>
        <v>11</v>
      </c>
      <c r="Z134" s="370">
        <f t="shared" si="39"/>
        <v>14</v>
      </c>
      <c r="AA134" s="370">
        <f t="shared" si="39"/>
        <v>6</v>
      </c>
      <c r="AB134" s="370">
        <f t="shared" si="39"/>
        <v>15</v>
      </c>
      <c r="AC134" s="370">
        <f t="shared" si="39"/>
        <v>7</v>
      </c>
      <c r="AD134" s="370">
        <f t="shared" si="39"/>
        <v>6</v>
      </c>
      <c r="AE134" s="370">
        <f t="shared" si="39"/>
        <v>12</v>
      </c>
      <c r="AF134" s="370">
        <f t="shared" si="39"/>
        <v>13</v>
      </c>
      <c r="AG134" s="143">
        <f t="shared" si="37"/>
        <v>395</v>
      </c>
    </row>
    <row r="135" outlineLevel="1">
      <c r="A135" s="98"/>
      <c r="AF135" s="288"/>
      <c r="AG135" s="209"/>
    </row>
    <row r="136" outlineLevel="1">
      <c r="A136" s="216" t="s">
        <v>197</v>
      </c>
      <c r="B136" s="176">
        <v>0.0</v>
      </c>
      <c r="C136" s="176">
        <v>0.0</v>
      </c>
      <c r="D136" s="176">
        <v>0.0</v>
      </c>
      <c r="E136" s="176">
        <v>0.0</v>
      </c>
      <c r="F136" s="176">
        <v>1.0</v>
      </c>
      <c r="G136" s="176">
        <v>1.0</v>
      </c>
      <c r="H136" s="176">
        <v>5.0</v>
      </c>
      <c r="I136" s="176">
        <v>7.0</v>
      </c>
      <c r="J136" s="176">
        <v>1.0</v>
      </c>
      <c r="K136" s="176">
        <v>3.0</v>
      </c>
      <c r="L136" s="176">
        <v>4.0</v>
      </c>
      <c r="M136" s="176">
        <v>3.0</v>
      </c>
      <c r="N136" s="176">
        <v>4.0</v>
      </c>
      <c r="O136" s="176">
        <v>1.0</v>
      </c>
      <c r="P136" s="176">
        <v>0.0</v>
      </c>
      <c r="Q136" s="176">
        <v>1.0</v>
      </c>
      <c r="R136" s="176">
        <v>4.0</v>
      </c>
      <c r="S136" s="176">
        <v>3.0</v>
      </c>
      <c r="T136" s="176">
        <v>2.0</v>
      </c>
      <c r="U136" s="176">
        <v>0.0</v>
      </c>
      <c r="V136" s="176">
        <v>1.0</v>
      </c>
      <c r="W136" s="176">
        <v>2.0</v>
      </c>
      <c r="X136" s="176">
        <v>3.0</v>
      </c>
      <c r="Y136" s="176">
        <v>1.0</v>
      </c>
      <c r="Z136" s="176">
        <v>1.0</v>
      </c>
      <c r="AA136" s="176">
        <v>2.0</v>
      </c>
      <c r="AB136" s="176">
        <v>1.0</v>
      </c>
      <c r="AC136" s="176">
        <v>2.0</v>
      </c>
      <c r="AD136" s="176">
        <v>1.0</v>
      </c>
      <c r="AE136" s="176">
        <v>0.0</v>
      </c>
      <c r="AF136" s="372">
        <v>0.0</v>
      </c>
      <c r="AG136" s="143">
        <f t="shared" ref="AG136:AG144" si="40">SUM(B136:AF136)</f>
        <v>54</v>
      </c>
    </row>
    <row r="137" outlineLevel="1">
      <c r="A137" s="216" t="s">
        <v>198</v>
      </c>
      <c r="B137" s="176">
        <v>0.0</v>
      </c>
      <c r="C137" s="176">
        <v>0.0</v>
      </c>
      <c r="D137" s="176">
        <v>0.0</v>
      </c>
      <c r="E137" s="176">
        <v>0.0</v>
      </c>
      <c r="F137" s="176">
        <v>0.0</v>
      </c>
      <c r="G137" s="176">
        <v>0.0</v>
      </c>
      <c r="H137" s="176">
        <v>0.0</v>
      </c>
      <c r="I137" s="176">
        <v>0.0</v>
      </c>
      <c r="J137" s="176">
        <v>0.0</v>
      </c>
      <c r="K137" s="176">
        <v>0.0</v>
      </c>
      <c r="L137" s="176">
        <v>0.0</v>
      </c>
      <c r="M137" s="176">
        <v>0.0</v>
      </c>
      <c r="N137" s="176">
        <v>0.0</v>
      </c>
      <c r="O137" s="176">
        <v>0.0</v>
      </c>
      <c r="P137" s="176">
        <v>0.0</v>
      </c>
      <c r="Q137" s="176">
        <v>0.0</v>
      </c>
      <c r="R137" s="176">
        <v>0.0</v>
      </c>
      <c r="S137" s="176">
        <v>0.0</v>
      </c>
      <c r="T137" s="176">
        <v>0.0</v>
      </c>
      <c r="U137" s="176">
        <v>0.0</v>
      </c>
      <c r="V137" s="176">
        <v>0.0</v>
      </c>
      <c r="W137" s="176">
        <v>0.0</v>
      </c>
      <c r="X137" s="176">
        <v>0.0</v>
      </c>
      <c r="Y137" s="176">
        <v>0.0</v>
      </c>
      <c r="Z137" s="176">
        <v>0.0</v>
      </c>
      <c r="AA137" s="176">
        <v>0.0</v>
      </c>
      <c r="AB137" s="176">
        <v>0.0</v>
      </c>
      <c r="AC137" s="176">
        <v>0.0</v>
      </c>
      <c r="AD137" s="176">
        <v>0.0</v>
      </c>
      <c r="AE137" s="176">
        <v>0.0</v>
      </c>
      <c r="AF137" s="176">
        <v>0.0</v>
      </c>
      <c r="AG137" s="143">
        <f t="shared" si="40"/>
        <v>0</v>
      </c>
    </row>
    <row r="138" outlineLevel="1">
      <c r="A138" s="216" t="s">
        <v>503</v>
      </c>
      <c r="B138" s="176">
        <v>0.0</v>
      </c>
      <c r="C138" s="176">
        <v>0.0</v>
      </c>
      <c r="D138" s="176">
        <v>0.0</v>
      </c>
      <c r="E138" s="176">
        <v>0.0</v>
      </c>
      <c r="F138" s="176">
        <v>0.0</v>
      </c>
      <c r="G138" s="176">
        <v>0.0</v>
      </c>
      <c r="H138" s="176">
        <v>0.0</v>
      </c>
      <c r="I138" s="176">
        <v>0.0</v>
      </c>
      <c r="J138" s="176">
        <v>0.0</v>
      </c>
      <c r="K138" s="176">
        <v>0.0</v>
      </c>
      <c r="L138" s="176">
        <v>0.0</v>
      </c>
      <c r="M138" s="176">
        <v>0.0</v>
      </c>
      <c r="N138" s="176">
        <v>0.0</v>
      </c>
      <c r="O138" s="176">
        <v>0.0</v>
      </c>
      <c r="P138" s="176">
        <v>0.0</v>
      </c>
      <c r="Q138" s="176">
        <v>0.0</v>
      </c>
      <c r="R138" s="176">
        <v>0.0</v>
      </c>
      <c r="S138" s="176">
        <v>0.0</v>
      </c>
      <c r="T138" s="176">
        <v>0.0</v>
      </c>
      <c r="U138" s="176">
        <v>0.0</v>
      </c>
      <c r="V138" s="176">
        <v>0.0</v>
      </c>
      <c r="W138" s="176">
        <v>0.0</v>
      </c>
      <c r="X138" s="176">
        <v>0.0</v>
      </c>
      <c r="Y138" s="176">
        <v>0.0</v>
      </c>
      <c r="Z138" s="176">
        <v>0.0</v>
      </c>
      <c r="AA138" s="176">
        <v>0.0</v>
      </c>
      <c r="AB138" s="176">
        <v>0.0</v>
      </c>
      <c r="AC138" s="176">
        <v>0.0</v>
      </c>
      <c r="AD138" s="176">
        <v>0.0</v>
      </c>
      <c r="AE138" s="176">
        <v>0.0</v>
      </c>
      <c r="AF138" s="176">
        <v>0.0</v>
      </c>
      <c r="AG138" s="143">
        <f t="shared" si="40"/>
        <v>0</v>
      </c>
    </row>
    <row r="139" outlineLevel="1">
      <c r="A139" s="216" t="s">
        <v>504</v>
      </c>
      <c r="B139" s="176">
        <v>0.0</v>
      </c>
      <c r="C139" s="176">
        <v>0.0</v>
      </c>
      <c r="D139" s="176">
        <v>0.0</v>
      </c>
      <c r="E139" s="176">
        <v>0.0</v>
      </c>
      <c r="F139" s="176">
        <v>0.0</v>
      </c>
      <c r="G139" s="176">
        <v>0.0</v>
      </c>
      <c r="H139" s="176">
        <v>0.0</v>
      </c>
      <c r="I139" s="176">
        <v>0.0</v>
      </c>
      <c r="J139" s="176">
        <v>0.0</v>
      </c>
      <c r="K139" s="176">
        <v>0.0</v>
      </c>
      <c r="L139" s="176">
        <v>0.0</v>
      </c>
      <c r="M139" s="176">
        <v>0.0</v>
      </c>
      <c r="N139" s="176">
        <v>0.0</v>
      </c>
      <c r="O139" s="176">
        <v>0.0</v>
      </c>
      <c r="P139" s="176">
        <v>0.0</v>
      </c>
      <c r="Q139" s="176">
        <v>0.0</v>
      </c>
      <c r="R139" s="176">
        <v>0.0</v>
      </c>
      <c r="S139" s="176">
        <v>0.0</v>
      </c>
      <c r="T139" s="176">
        <v>0.0</v>
      </c>
      <c r="U139" s="176">
        <v>0.0</v>
      </c>
      <c r="V139" s="176">
        <v>0.0</v>
      </c>
      <c r="W139" s="176">
        <v>0.0</v>
      </c>
      <c r="X139" s="176">
        <v>0.0</v>
      </c>
      <c r="Y139" s="176">
        <v>0.0</v>
      </c>
      <c r="Z139" s="176">
        <v>0.0</v>
      </c>
      <c r="AA139" s="176">
        <v>0.0</v>
      </c>
      <c r="AB139" s="176">
        <v>0.0</v>
      </c>
      <c r="AC139" s="176">
        <v>0.0</v>
      </c>
      <c r="AD139" s="176">
        <v>0.0</v>
      </c>
      <c r="AE139" s="176">
        <v>0.0</v>
      </c>
      <c r="AF139" s="176">
        <v>0.0</v>
      </c>
      <c r="AG139" s="143">
        <f t="shared" si="40"/>
        <v>0</v>
      </c>
    </row>
    <row r="140" outlineLevel="1">
      <c r="A140" s="216" t="s">
        <v>505</v>
      </c>
      <c r="B140" s="176">
        <v>0.0</v>
      </c>
      <c r="C140" s="176">
        <v>0.0</v>
      </c>
      <c r="D140" s="176">
        <v>0.0</v>
      </c>
      <c r="E140" s="176">
        <v>0.0</v>
      </c>
      <c r="F140" s="176">
        <v>0.0</v>
      </c>
      <c r="G140" s="176">
        <v>0.0</v>
      </c>
      <c r="H140" s="176">
        <v>0.0</v>
      </c>
      <c r="I140" s="176">
        <v>0.0</v>
      </c>
      <c r="J140" s="176">
        <v>0.0</v>
      </c>
      <c r="K140" s="176">
        <v>0.0</v>
      </c>
      <c r="L140" s="176">
        <v>0.0</v>
      </c>
      <c r="M140" s="176">
        <v>0.0</v>
      </c>
      <c r="N140" s="176">
        <v>0.0</v>
      </c>
      <c r="O140" s="176">
        <v>0.0</v>
      </c>
      <c r="P140" s="176">
        <v>0.0</v>
      </c>
      <c r="Q140" s="176">
        <v>0.0</v>
      </c>
      <c r="R140" s="176">
        <v>0.0</v>
      </c>
      <c r="S140" s="176">
        <v>0.0</v>
      </c>
      <c r="T140" s="176">
        <v>0.0</v>
      </c>
      <c r="U140" s="176">
        <v>0.0</v>
      </c>
      <c r="V140" s="176">
        <v>0.0</v>
      </c>
      <c r="W140" s="176">
        <v>0.0</v>
      </c>
      <c r="X140" s="176">
        <v>0.0</v>
      </c>
      <c r="Y140" s="176">
        <v>0.0</v>
      </c>
      <c r="Z140" s="176">
        <v>0.0</v>
      </c>
      <c r="AA140" s="176">
        <v>0.0</v>
      </c>
      <c r="AB140" s="176">
        <v>0.0</v>
      </c>
      <c r="AC140" s="176">
        <v>0.0</v>
      </c>
      <c r="AD140" s="176">
        <v>0.0</v>
      </c>
      <c r="AE140" s="176">
        <v>0.0</v>
      </c>
      <c r="AF140" s="176">
        <v>0.0</v>
      </c>
      <c r="AG140" s="143">
        <f t="shared" si="40"/>
        <v>0</v>
      </c>
    </row>
    <row r="141" outlineLevel="1">
      <c r="A141" s="216" t="s">
        <v>506</v>
      </c>
      <c r="B141" s="176">
        <v>0.0</v>
      </c>
      <c r="C141" s="176">
        <v>0.0</v>
      </c>
      <c r="D141" s="176">
        <v>0.0</v>
      </c>
      <c r="E141" s="176">
        <v>0.0</v>
      </c>
      <c r="F141" s="176">
        <v>0.0</v>
      </c>
      <c r="G141" s="176">
        <v>0.0</v>
      </c>
      <c r="H141" s="176">
        <v>0.0</v>
      </c>
      <c r="I141" s="176">
        <v>0.0</v>
      </c>
      <c r="J141" s="176">
        <v>0.0</v>
      </c>
      <c r="K141" s="176">
        <v>0.0</v>
      </c>
      <c r="L141" s="176">
        <v>0.0</v>
      </c>
      <c r="M141" s="176">
        <v>0.0</v>
      </c>
      <c r="N141" s="176">
        <v>0.0</v>
      </c>
      <c r="O141" s="176">
        <v>0.0</v>
      </c>
      <c r="P141" s="176">
        <v>0.0</v>
      </c>
      <c r="Q141" s="176">
        <v>0.0</v>
      </c>
      <c r="R141" s="176">
        <v>0.0</v>
      </c>
      <c r="S141" s="176">
        <v>0.0</v>
      </c>
      <c r="T141" s="176">
        <v>0.0</v>
      </c>
      <c r="U141" s="176">
        <v>0.0</v>
      </c>
      <c r="V141" s="176">
        <v>0.0</v>
      </c>
      <c r="W141" s="176">
        <v>0.0</v>
      </c>
      <c r="X141" s="176">
        <v>0.0</v>
      </c>
      <c r="Y141" s="176">
        <v>0.0</v>
      </c>
      <c r="Z141" s="176">
        <v>0.0</v>
      </c>
      <c r="AA141" s="176">
        <v>0.0</v>
      </c>
      <c r="AB141" s="176">
        <v>0.0</v>
      </c>
      <c r="AC141" s="176">
        <v>0.0</v>
      </c>
      <c r="AD141" s="176">
        <v>0.0</v>
      </c>
      <c r="AE141" s="176">
        <v>0.0</v>
      </c>
      <c r="AF141" s="176">
        <v>0.0</v>
      </c>
      <c r="AG141" s="143">
        <f t="shared" si="40"/>
        <v>0</v>
      </c>
    </row>
    <row r="142" outlineLevel="1">
      <c r="A142" s="216" t="s">
        <v>507</v>
      </c>
      <c r="B142" s="176">
        <v>0.0</v>
      </c>
      <c r="C142" s="176">
        <v>0.0</v>
      </c>
      <c r="D142" s="176">
        <v>0.0</v>
      </c>
      <c r="E142" s="176">
        <v>0.0</v>
      </c>
      <c r="F142" s="176">
        <v>0.0</v>
      </c>
      <c r="G142" s="176">
        <v>0.0</v>
      </c>
      <c r="H142" s="176">
        <v>0.0</v>
      </c>
      <c r="I142" s="176">
        <v>0.0</v>
      </c>
      <c r="J142" s="176">
        <v>0.0</v>
      </c>
      <c r="K142" s="176">
        <v>0.0</v>
      </c>
      <c r="L142" s="176">
        <v>0.0</v>
      </c>
      <c r="M142" s="176">
        <v>0.0</v>
      </c>
      <c r="N142" s="176">
        <v>0.0</v>
      </c>
      <c r="O142" s="176">
        <v>0.0</v>
      </c>
      <c r="P142" s="176">
        <v>0.0</v>
      </c>
      <c r="Q142" s="176">
        <v>0.0</v>
      </c>
      <c r="R142" s="176">
        <v>0.0</v>
      </c>
      <c r="S142" s="176">
        <v>0.0</v>
      </c>
      <c r="T142" s="176">
        <v>0.0</v>
      </c>
      <c r="U142" s="176">
        <v>0.0</v>
      </c>
      <c r="V142" s="176">
        <v>0.0</v>
      </c>
      <c r="W142" s="176">
        <v>0.0</v>
      </c>
      <c r="X142" s="176">
        <v>0.0</v>
      </c>
      <c r="Y142" s="176">
        <v>0.0</v>
      </c>
      <c r="Z142" s="176">
        <v>0.0</v>
      </c>
      <c r="AA142" s="176">
        <v>0.0</v>
      </c>
      <c r="AB142" s="176">
        <v>0.0</v>
      </c>
      <c r="AC142" s="176">
        <v>0.0</v>
      </c>
      <c r="AD142" s="176">
        <v>0.0</v>
      </c>
      <c r="AE142" s="176">
        <v>0.0</v>
      </c>
      <c r="AF142" s="176">
        <v>0.0</v>
      </c>
      <c r="AG142" s="143">
        <f t="shared" si="40"/>
        <v>0</v>
      </c>
    </row>
    <row r="143" outlineLevel="1">
      <c r="A143" s="216" t="s">
        <v>508</v>
      </c>
      <c r="B143" s="176">
        <v>0.0</v>
      </c>
      <c r="C143" s="176">
        <v>0.0</v>
      </c>
      <c r="D143" s="176">
        <v>0.0</v>
      </c>
      <c r="E143" s="176">
        <v>0.0</v>
      </c>
      <c r="F143" s="176">
        <v>0.0</v>
      </c>
      <c r="G143" s="176">
        <v>0.0</v>
      </c>
      <c r="H143" s="176">
        <v>0.0</v>
      </c>
      <c r="I143" s="176">
        <v>0.0</v>
      </c>
      <c r="J143" s="176">
        <v>0.0</v>
      </c>
      <c r="K143" s="176">
        <v>0.0</v>
      </c>
      <c r="L143" s="176">
        <v>0.0</v>
      </c>
      <c r="M143" s="176">
        <v>0.0</v>
      </c>
      <c r="N143" s="176">
        <v>0.0</v>
      </c>
      <c r="O143" s="176">
        <v>0.0</v>
      </c>
      <c r="P143" s="176">
        <v>0.0</v>
      </c>
      <c r="Q143" s="176">
        <v>0.0</v>
      </c>
      <c r="R143" s="176">
        <v>0.0</v>
      </c>
      <c r="S143" s="176">
        <v>0.0</v>
      </c>
      <c r="T143" s="176">
        <v>0.0</v>
      </c>
      <c r="U143" s="176">
        <v>0.0</v>
      </c>
      <c r="V143" s="176">
        <v>0.0</v>
      </c>
      <c r="W143" s="176">
        <v>0.0</v>
      </c>
      <c r="X143" s="176">
        <v>0.0</v>
      </c>
      <c r="Y143" s="176">
        <v>0.0</v>
      </c>
      <c r="Z143" s="176">
        <v>0.0</v>
      </c>
      <c r="AA143" s="176">
        <v>0.0</v>
      </c>
      <c r="AB143" s="176">
        <v>0.0</v>
      </c>
      <c r="AC143" s="176">
        <v>0.0</v>
      </c>
      <c r="AD143" s="176">
        <v>0.0</v>
      </c>
      <c r="AE143" s="176">
        <v>0.0</v>
      </c>
      <c r="AF143" s="176">
        <v>0.0</v>
      </c>
      <c r="AG143" s="143">
        <f t="shared" si="40"/>
        <v>0</v>
      </c>
    </row>
    <row r="144" outlineLevel="1">
      <c r="A144" s="220" t="s">
        <v>130</v>
      </c>
      <c r="B144" s="370">
        <f t="shared" ref="B144:AF144" si="41">SUM(B136:B143)</f>
        <v>0</v>
      </c>
      <c r="C144" s="370">
        <f t="shared" si="41"/>
        <v>0</v>
      </c>
      <c r="D144" s="370">
        <f t="shared" si="41"/>
        <v>0</v>
      </c>
      <c r="E144" s="370">
        <f t="shared" si="41"/>
        <v>0</v>
      </c>
      <c r="F144" s="370">
        <f t="shared" si="41"/>
        <v>1</v>
      </c>
      <c r="G144" s="370">
        <f t="shared" si="41"/>
        <v>1</v>
      </c>
      <c r="H144" s="370">
        <f t="shared" si="41"/>
        <v>5</v>
      </c>
      <c r="I144" s="370">
        <f t="shared" si="41"/>
        <v>7</v>
      </c>
      <c r="J144" s="370">
        <f t="shared" si="41"/>
        <v>1</v>
      </c>
      <c r="K144" s="370">
        <f t="shared" si="41"/>
        <v>3</v>
      </c>
      <c r="L144" s="370">
        <f t="shared" si="41"/>
        <v>4</v>
      </c>
      <c r="M144" s="370">
        <f t="shared" si="41"/>
        <v>3</v>
      </c>
      <c r="N144" s="370">
        <f t="shared" si="41"/>
        <v>4</v>
      </c>
      <c r="O144" s="370">
        <f t="shared" si="41"/>
        <v>1</v>
      </c>
      <c r="P144" s="370">
        <f t="shared" si="41"/>
        <v>0</v>
      </c>
      <c r="Q144" s="370">
        <f t="shared" si="41"/>
        <v>1</v>
      </c>
      <c r="R144" s="370">
        <f t="shared" si="41"/>
        <v>4</v>
      </c>
      <c r="S144" s="370">
        <f t="shared" si="41"/>
        <v>3</v>
      </c>
      <c r="T144" s="370">
        <f t="shared" si="41"/>
        <v>2</v>
      </c>
      <c r="U144" s="370">
        <f t="shared" si="41"/>
        <v>0</v>
      </c>
      <c r="V144" s="370">
        <f t="shared" si="41"/>
        <v>1</v>
      </c>
      <c r="W144" s="370">
        <f t="shared" si="41"/>
        <v>2</v>
      </c>
      <c r="X144" s="370">
        <f t="shared" si="41"/>
        <v>3</v>
      </c>
      <c r="Y144" s="370">
        <f t="shared" si="41"/>
        <v>1</v>
      </c>
      <c r="Z144" s="370">
        <f t="shared" si="41"/>
        <v>1</v>
      </c>
      <c r="AA144" s="370">
        <f t="shared" si="41"/>
        <v>2</v>
      </c>
      <c r="AB144" s="370">
        <f t="shared" si="41"/>
        <v>1</v>
      </c>
      <c r="AC144" s="370">
        <f t="shared" si="41"/>
        <v>2</v>
      </c>
      <c r="AD144" s="370">
        <f t="shared" si="41"/>
        <v>1</v>
      </c>
      <c r="AE144" s="370">
        <f t="shared" si="41"/>
        <v>0</v>
      </c>
      <c r="AF144" s="370">
        <f t="shared" si="41"/>
        <v>0</v>
      </c>
      <c r="AG144" s="143">
        <f t="shared" si="40"/>
        <v>54</v>
      </c>
    </row>
    <row r="145">
      <c r="A145" s="177"/>
      <c r="AF145" s="288"/>
      <c r="AG145" s="209"/>
    </row>
    <row r="146">
      <c r="A146" s="177"/>
      <c r="B146" s="374"/>
      <c r="AF146" s="288"/>
      <c r="AG146" s="209"/>
    </row>
    <row r="147">
      <c r="A147" s="147" t="s">
        <v>509</v>
      </c>
      <c r="B147" s="135"/>
      <c r="C147" s="135"/>
      <c r="D147" s="135"/>
      <c r="E147" s="135"/>
      <c r="F147" s="135"/>
      <c r="G147" s="201"/>
      <c r="H147" s="135"/>
      <c r="I147" s="82"/>
      <c r="J147" s="82"/>
      <c r="K147" s="82"/>
      <c r="L147" s="82"/>
      <c r="M147" s="82"/>
      <c r="N147" s="82"/>
      <c r="O147" s="82"/>
      <c r="P147" s="82"/>
      <c r="Q147" s="82"/>
      <c r="R147" s="82"/>
      <c r="S147" s="82"/>
      <c r="T147" s="82"/>
      <c r="U147" s="82"/>
      <c r="V147" s="82"/>
      <c r="W147" s="82"/>
      <c r="X147" s="83"/>
      <c r="Y147" s="82"/>
      <c r="Z147" s="82"/>
      <c r="AA147" s="82"/>
      <c r="AB147" s="82"/>
      <c r="AC147" s="82"/>
      <c r="AD147" s="82"/>
      <c r="AE147" s="82"/>
      <c r="AF147" s="288"/>
      <c r="AG147" s="209"/>
    </row>
    <row r="148" outlineLevel="1">
      <c r="A148" s="375" t="s">
        <v>510</v>
      </c>
      <c r="B148" s="200">
        <v>0.0</v>
      </c>
      <c r="C148" s="200">
        <v>299.0</v>
      </c>
      <c r="D148" s="200">
        <f>279+299</f>
        <v>578</v>
      </c>
      <c r="E148" s="200">
        <v>0.0</v>
      </c>
      <c r="F148" s="200">
        <v>279.0</v>
      </c>
      <c r="G148" s="200">
        <v>0.0</v>
      </c>
      <c r="H148" s="200">
        <v>698.0</v>
      </c>
      <c r="I148" s="200">
        <v>847.0</v>
      </c>
      <c r="J148" s="200">
        <v>577.0</v>
      </c>
      <c r="K148" s="200">
        <v>299.99</v>
      </c>
      <c r="L148" s="200">
        <v>1199.96</v>
      </c>
      <c r="M148" s="200">
        <v>877.98</v>
      </c>
      <c r="N148" s="200">
        <v>599.98</v>
      </c>
      <c r="O148" s="200">
        <v>0.0</v>
      </c>
      <c r="P148" s="200">
        <v>299.99</v>
      </c>
      <c r="Q148" s="200">
        <v>899.97</v>
      </c>
      <c r="R148" s="200">
        <v>0.0</v>
      </c>
      <c r="S148" s="200">
        <v>848.98</v>
      </c>
      <c r="T148" s="200">
        <v>0.0</v>
      </c>
      <c r="U148" s="200">
        <v>29.0</v>
      </c>
      <c r="V148" s="200">
        <v>847.0</v>
      </c>
      <c r="W148" s="200">
        <v>0.0</v>
      </c>
      <c r="X148" s="200">
        <v>299.0</v>
      </c>
      <c r="Y148" s="200">
        <v>598.99</v>
      </c>
      <c r="Z148" s="200">
        <v>299.0</v>
      </c>
      <c r="AA148" s="200">
        <v>299.0</v>
      </c>
      <c r="AB148" s="200">
        <v>0.0</v>
      </c>
      <c r="AC148" s="200">
        <v>548.0</v>
      </c>
      <c r="AD148" s="200">
        <v>299.0</v>
      </c>
      <c r="AE148" s="200">
        <v>58.0</v>
      </c>
      <c r="AF148" s="200">
        <v>299.99</v>
      </c>
      <c r="AG148" s="114">
        <f t="shared" ref="AG148:AG150" si="42">SUM(B148:AF148)</f>
        <v>11881.83</v>
      </c>
    </row>
    <row r="149" outlineLevel="1">
      <c r="A149" s="375" t="s">
        <v>511</v>
      </c>
      <c r="B149" s="200">
        <v>0.0</v>
      </c>
      <c r="C149" s="200">
        <v>0.29</v>
      </c>
      <c r="D149" s="376">
        <v>0.58</v>
      </c>
      <c r="E149" s="377">
        <v>0.0</v>
      </c>
      <c r="F149" s="377">
        <v>0.29</v>
      </c>
      <c r="G149" s="377">
        <v>0.0</v>
      </c>
      <c r="H149" s="376">
        <v>0.58</v>
      </c>
      <c r="I149" s="377">
        <v>0.87</v>
      </c>
      <c r="J149" s="376">
        <v>0.58</v>
      </c>
      <c r="K149" s="377">
        <v>0.29</v>
      </c>
      <c r="L149" s="377">
        <v>1.16</v>
      </c>
      <c r="M149" s="376">
        <v>0.8699999999999999</v>
      </c>
      <c r="N149" s="376">
        <v>0.58</v>
      </c>
      <c r="O149" s="377">
        <v>0.0</v>
      </c>
      <c r="P149" s="377">
        <v>0.29</v>
      </c>
      <c r="Q149" s="376">
        <v>0.8699999999999999</v>
      </c>
      <c r="R149" s="377">
        <v>0.0</v>
      </c>
      <c r="S149" s="376">
        <v>0.8699999999999999</v>
      </c>
      <c r="T149" s="377">
        <v>0.0</v>
      </c>
      <c r="U149" s="377">
        <v>0.0</v>
      </c>
      <c r="V149" s="376">
        <v>0.8699999999999999</v>
      </c>
      <c r="W149" s="377">
        <v>0.0</v>
      </c>
      <c r="X149" s="377">
        <v>0.29</v>
      </c>
      <c r="Y149" s="376">
        <v>0.58</v>
      </c>
      <c r="Z149" s="377">
        <v>0.29</v>
      </c>
      <c r="AA149" s="377">
        <v>0.29</v>
      </c>
      <c r="AB149" s="377">
        <v>0.0</v>
      </c>
      <c r="AC149" s="376">
        <v>0.58</v>
      </c>
      <c r="AD149" s="377">
        <v>0.29</v>
      </c>
      <c r="AE149" s="377">
        <v>0.0</v>
      </c>
      <c r="AF149" s="377">
        <v>0.29</v>
      </c>
      <c r="AG149" s="114">
        <f t="shared" si="42"/>
        <v>11.6</v>
      </c>
    </row>
    <row r="150" outlineLevel="1">
      <c r="A150" s="375" t="s">
        <v>512</v>
      </c>
      <c r="B150" s="200">
        <v>0.0</v>
      </c>
      <c r="C150" s="200">
        <v>17.59</v>
      </c>
      <c r="D150" s="376">
        <v>35.18</v>
      </c>
      <c r="E150" s="200">
        <v>0.0</v>
      </c>
      <c r="F150" s="200">
        <v>17.59</v>
      </c>
      <c r="G150" s="200">
        <v>0.0</v>
      </c>
      <c r="H150" s="376">
        <v>35.18</v>
      </c>
      <c r="I150" s="377">
        <v>52.77</v>
      </c>
      <c r="J150" s="376">
        <v>35.18</v>
      </c>
      <c r="K150" s="200">
        <v>17.59</v>
      </c>
      <c r="L150" s="377">
        <v>70.76</v>
      </c>
      <c r="M150" s="376">
        <v>52.769999999999996</v>
      </c>
      <c r="N150" s="376">
        <v>35.18</v>
      </c>
      <c r="O150" s="200">
        <v>0.0</v>
      </c>
      <c r="P150" s="200">
        <v>17.59</v>
      </c>
      <c r="Q150" s="376">
        <v>52.769999999999996</v>
      </c>
      <c r="R150" s="200">
        <v>0.0</v>
      </c>
      <c r="S150" s="376">
        <v>52.769999999999996</v>
      </c>
      <c r="T150" s="200">
        <v>0.0</v>
      </c>
      <c r="U150" s="200">
        <v>1.74</v>
      </c>
      <c r="V150" s="376">
        <v>52.769999999999996</v>
      </c>
      <c r="W150" s="200">
        <v>0.0</v>
      </c>
      <c r="X150" s="200">
        <v>17.59</v>
      </c>
      <c r="Y150" s="376">
        <v>35.18</v>
      </c>
      <c r="Z150" s="200">
        <v>17.59</v>
      </c>
      <c r="AA150" s="200">
        <v>17.59</v>
      </c>
      <c r="AB150" s="200">
        <v>0.0</v>
      </c>
      <c r="AC150" s="376">
        <v>35.18</v>
      </c>
      <c r="AD150" s="200">
        <v>17.59</v>
      </c>
      <c r="AE150" s="200">
        <v>3.48</v>
      </c>
      <c r="AF150" s="200">
        <v>17.59</v>
      </c>
      <c r="AG150" s="114">
        <f t="shared" si="42"/>
        <v>709.22</v>
      </c>
    </row>
    <row r="151" outlineLevel="1">
      <c r="A151" s="375" t="s">
        <v>513</v>
      </c>
      <c r="B151" s="200">
        <v>0.0</v>
      </c>
      <c r="C151" s="200">
        <v>0.17</v>
      </c>
      <c r="D151" s="376">
        <v>0.34</v>
      </c>
      <c r="E151" s="377">
        <v>0.0</v>
      </c>
      <c r="F151" s="377">
        <v>0.17</v>
      </c>
      <c r="G151" s="377">
        <v>0.0</v>
      </c>
      <c r="H151" s="376">
        <v>0.34</v>
      </c>
      <c r="I151" s="377">
        <v>0.51</v>
      </c>
      <c r="J151" s="376">
        <v>0.34</v>
      </c>
      <c r="K151" s="377">
        <v>0.17</v>
      </c>
      <c r="L151" s="377">
        <v>0.68</v>
      </c>
      <c r="M151" s="376">
        <v>0.51</v>
      </c>
      <c r="N151" s="376">
        <v>0.34</v>
      </c>
      <c r="O151" s="377">
        <v>0.0</v>
      </c>
      <c r="P151" s="377">
        <v>0.17</v>
      </c>
      <c r="Q151" s="376">
        <v>0.51</v>
      </c>
      <c r="R151" s="377">
        <v>0.0</v>
      </c>
      <c r="S151" s="376">
        <v>0.51</v>
      </c>
      <c r="T151" s="377">
        <v>0.0</v>
      </c>
      <c r="U151" s="377">
        <v>0.0</v>
      </c>
      <c r="V151" s="376">
        <v>0.51</v>
      </c>
      <c r="W151" s="377">
        <v>0.0</v>
      </c>
      <c r="X151" s="377">
        <v>0.17</v>
      </c>
      <c r="Y151" s="376">
        <v>0.34</v>
      </c>
      <c r="Z151" s="377">
        <v>0.17</v>
      </c>
      <c r="AA151" s="377">
        <v>0.17</v>
      </c>
      <c r="AB151" s="377">
        <v>0.0</v>
      </c>
      <c r="AC151" s="376">
        <v>0.34</v>
      </c>
      <c r="AD151" s="377">
        <v>0.17</v>
      </c>
      <c r="AE151" s="377">
        <v>0.0</v>
      </c>
      <c r="AF151" s="377">
        <v>0.17</v>
      </c>
      <c r="AG151" s="114"/>
    </row>
    <row r="152" outlineLevel="1">
      <c r="A152" s="378" t="s">
        <v>514</v>
      </c>
      <c r="B152" s="379">
        <f t="shared" ref="B152:AF152" si="43">B148+B149+B150</f>
        <v>0</v>
      </c>
      <c r="C152" s="379">
        <f t="shared" si="43"/>
        <v>316.88</v>
      </c>
      <c r="D152" s="379">
        <f t="shared" si="43"/>
        <v>613.76</v>
      </c>
      <c r="E152" s="379">
        <f t="shared" si="43"/>
        <v>0</v>
      </c>
      <c r="F152" s="379">
        <f t="shared" si="43"/>
        <v>296.88</v>
      </c>
      <c r="G152" s="379">
        <f t="shared" si="43"/>
        <v>0</v>
      </c>
      <c r="H152" s="379">
        <f t="shared" si="43"/>
        <v>733.76</v>
      </c>
      <c r="I152" s="379">
        <f t="shared" si="43"/>
        <v>900.64</v>
      </c>
      <c r="J152" s="379">
        <f t="shared" si="43"/>
        <v>612.76</v>
      </c>
      <c r="K152" s="379">
        <f t="shared" si="43"/>
        <v>317.87</v>
      </c>
      <c r="L152" s="379">
        <f t="shared" si="43"/>
        <v>1271.88</v>
      </c>
      <c r="M152" s="379">
        <f t="shared" si="43"/>
        <v>931.62</v>
      </c>
      <c r="N152" s="379">
        <f t="shared" si="43"/>
        <v>635.74</v>
      </c>
      <c r="O152" s="379">
        <f t="shared" si="43"/>
        <v>0</v>
      </c>
      <c r="P152" s="379">
        <f t="shared" si="43"/>
        <v>317.87</v>
      </c>
      <c r="Q152" s="379">
        <f t="shared" si="43"/>
        <v>953.61</v>
      </c>
      <c r="R152" s="379">
        <f t="shared" si="43"/>
        <v>0</v>
      </c>
      <c r="S152" s="379">
        <f t="shared" si="43"/>
        <v>902.62</v>
      </c>
      <c r="T152" s="379">
        <f t="shared" si="43"/>
        <v>0</v>
      </c>
      <c r="U152" s="379">
        <f t="shared" si="43"/>
        <v>30.74</v>
      </c>
      <c r="V152" s="379">
        <f t="shared" si="43"/>
        <v>900.64</v>
      </c>
      <c r="W152" s="379">
        <f t="shared" si="43"/>
        <v>0</v>
      </c>
      <c r="X152" s="379">
        <f t="shared" si="43"/>
        <v>316.88</v>
      </c>
      <c r="Y152" s="379">
        <f t="shared" si="43"/>
        <v>634.75</v>
      </c>
      <c r="Z152" s="379">
        <f t="shared" si="43"/>
        <v>316.88</v>
      </c>
      <c r="AA152" s="379">
        <f t="shared" si="43"/>
        <v>316.88</v>
      </c>
      <c r="AB152" s="379">
        <f t="shared" si="43"/>
        <v>0</v>
      </c>
      <c r="AC152" s="379">
        <f t="shared" si="43"/>
        <v>583.76</v>
      </c>
      <c r="AD152" s="379">
        <f t="shared" si="43"/>
        <v>316.88</v>
      </c>
      <c r="AE152" s="379">
        <f t="shared" si="43"/>
        <v>61.48</v>
      </c>
      <c r="AF152" s="379">
        <f t="shared" si="43"/>
        <v>317.87</v>
      </c>
      <c r="AG152" s="114">
        <f>SUM(B152:AF152)</f>
        <v>12602.65</v>
      </c>
    </row>
    <row r="153">
      <c r="A153" s="177"/>
      <c r="AF153" s="288"/>
      <c r="AG153" s="209"/>
    </row>
    <row r="154">
      <c r="A154" s="147" t="s">
        <v>515</v>
      </c>
      <c r="I154" s="200"/>
      <c r="AF154" s="288"/>
      <c r="AG154" s="209"/>
    </row>
    <row r="155" outlineLevel="1">
      <c r="A155" s="375" t="s">
        <v>516</v>
      </c>
      <c r="B155" s="200">
        <v>1694.06</v>
      </c>
      <c r="C155" s="200">
        <v>4676.54</v>
      </c>
      <c r="D155" s="200">
        <v>6837.94</v>
      </c>
      <c r="E155" s="200">
        <v>4817.22</v>
      </c>
      <c r="F155" s="200">
        <v>3158.96</v>
      </c>
      <c r="G155" s="200">
        <v>3354.18</v>
      </c>
      <c r="H155" s="200">
        <v>3044.21</v>
      </c>
      <c r="I155" s="200">
        <v>2626.21</v>
      </c>
      <c r="J155" s="228">
        <v>3388.94</v>
      </c>
      <c r="K155" s="200">
        <v>3771.03</v>
      </c>
      <c r="L155" s="200">
        <v>2404.31</v>
      </c>
      <c r="M155" s="228">
        <v>2335.25</v>
      </c>
      <c r="N155" s="228">
        <v>1587.12</v>
      </c>
      <c r="O155" s="200">
        <v>1887.0</v>
      </c>
      <c r="P155" s="200">
        <v>2880.12</v>
      </c>
      <c r="Q155" s="200">
        <v>1310.91</v>
      </c>
      <c r="R155" s="200">
        <v>1788.19</v>
      </c>
      <c r="S155" s="200">
        <v>1581.89</v>
      </c>
      <c r="T155" s="200">
        <v>3354.25</v>
      </c>
      <c r="U155" s="200">
        <v>2019.53</v>
      </c>
      <c r="V155" s="200">
        <v>1942.11</v>
      </c>
      <c r="W155" s="200">
        <v>1683.88</v>
      </c>
      <c r="X155" s="200">
        <v>1866.1</v>
      </c>
      <c r="Y155" s="200">
        <v>1842.83</v>
      </c>
      <c r="Z155" s="200">
        <v>2556.34</v>
      </c>
      <c r="AA155" s="200">
        <v>1284.58</v>
      </c>
      <c r="AB155" s="200">
        <v>3644.54</v>
      </c>
      <c r="AC155" s="228">
        <v>2414.52</v>
      </c>
      <c r="AD155" s="228">
        <v>1350.89</v>
      </c>
      <c r="AE155" s="228">
        <v>4421.7</v>
      </c>
      <c r="AF155" s="321">
        <v>2755.13</v>
      </c>
      <c r="AG155" s="114">
        <f t="shared" ref="AG155:AG157" si="44">SUM(B155:AF155)</f>
        <v>84280.48</v>
      </c>
    </row>
    <row r="156" outlineLevel="1">
      <c r="A156" s="375" t="s">
        <v>517</v>
      </c>
      <c r="B156" s="200">
        <v>0.0</v>
      </c>
      <c r="C156" s="200">
        <v>0.0</v>
      </c>
      <c r="D156" s="200">
        <v>0.0</v>
      </c>
      <c r="E156" s="200">
        <v>0.0</v>
      </c>
      <c r="F156" s="200">
        <v>0.0</v>
      </c>
      <c r="G156" s="200">
        <v>0.0</v>
      </c>
      <c r="H156" s="200">
        <v>0.0</v>
      </c>
      <c r="I156" s="200">
        <v>0.0</v>
      </c>
      <c r="J156" s="200">
        <v>0.0</v>
      </c>
      <c r="K156" s="200">
        <v>0.0</v>
      </c>
      <c r="L156" s="200">
        <v>0.0</v>
      </c>
      <c r="M156" s="200">
        <v>0.0</v>
      </c>
      <c r="N156" s="200">
        <v>0.0</v>
      </c>
      <c r="O156" s="200">
        <v>0.0</v>
      </c>
      <c r="P156" s="200">
        <v>0.0</v>
      </c>
      <c r="Q156" s="200">
        <v>0.0</v>
      </c>
      <c r="R156" s="200">
        <v>0.0</v>
      </c>
      <c r="S156" s="200">
        <v>0.0</v>
      </c>
      <c r="T156" s="200">
        <v>0.0</v>
      </c>
      <c r="U156" s="200">
        <v>0.0</v>
      </c>
      <c r="V156" s="200">
        <v>0.0</v>
      </c>
      <c r="W156" s="200">
        <v>0.0</v>
      </c>
      <c r="X156" s="200">
        <v>0.0</v>
      </c>
      <c r="Y156" s="200">
        <v>0.0</v>
      </c>
      <c r="Z156" s="200">
        <v>0.0</v>
      </c>
      <c r="AA156" s="200">
        <v>0.0</v>
      </c>
      <c r="AB156" s="200">
        <v>0.0</v>
      </c>
      <c r="AC156" s="200">
        <v>0.0</v>
      </c>
      <c r="AD156" s="200">
        <v>0.0</v>
      </c>
      <c r="AE156" s="200">
        <v>0.0</v>
      </c>
      <c r="AF156" s="200">
        <v>0.0</v>
      </c>
      <c r="AG156" s="114">
        <f t="shared" si="44"/>
        <v>0</v>
      </c>
    </row>
    <row r="157" outlineLevel="1">
      <c r="A157" s="216" t="s">
        <v>518</v>
      </c>
      <c r="B157" s="200">
        <v>0.0</v>
      </c>
      <c r="C157" s="200">
        <v>0.0</v>
      </c>
      <c r="D157" s="200">
        <v>0.0</v>
      </c>
      <c r="E157" s="200">
        <v>0.0</v>
      </c>
      <c r="F157" s="200">
        <v>0.0</v>
      </c>
      <c r="G157" s="200">
        <v>0.0</v>
      </c>
      <c r="H157" s="200">
        <v>0.0</v>
      </c>
      <c r="I157" s="200">
        <v>0.0</v>
      </c>
      <c r="J157" s="200">
        <v>0.0</v>
      </c>
      <c r="K157" s="200">
        <v>0.0</v>
      </c>
      <c r="L157" s="200">
        <v>0.0</v>
      </c>
      <c r="M157" s="200">
        <v>0.0</v>
      </c>
      <c r="N157" s="200">
        <v>0.0</v>
      </c>
      <c r="O157" s="200">
        <v>0.0</v>
      </c>
      <c r="P157" s="200">
        <v>0.0</v>
      </c>
      <c r="Q157" s="200">
        <v>0.0</v>
      </c>
      <c r="R157" s="200">
        <v>0.0</v>
      </c>
      <c r="S157" s="200">
        <v>0.0</v>
      </c>
      <c r="T157" s="200">
        <v>0.0</v>
      </c>
      <c r="U157" s="200">
        <v>0.0</v>
      </c>
      <c r="V157" s="200">
        <v>0.0</v>
      </c>
      <c r="W157" s="200">
        <v>0.0</v>
      </c>
      <c r="X157" s="200">
        <v>0.0</v>
      </c>
      <c r="Y157" s="200">
        <v>0.0</v>
      </c>
      <c r="Z157" s="200">
        <v>0.0</v>
      </c>
      <c r="AA157" s="200">
        <v>0.0</v>
      </c>
      <c r="AB157" s="200">
        <v>0.0</v>
      </c>
      <c r="AC157" s="200">
        <v>0.0</v>
      </c>
      <c r="AD157" s="200">
        <v>0.0</v>
      </c>
      <c r="AE157" s="200">
        <v>0.0</v>
      </c>
      <c r="AF157" s="200">
        <v>0.0</v>
      </c>
      <c r="AG157" s="114">
        <f t="shared" si="44"/>
        <v>0</v>
      </c>
    </row>
    <row r="158" outlineLevel="1">
      <c r="A158" s="375" t="s">
        <v>519</v>
      </c>
      <c r="B158" s="200">
        <v>0.0</v>
      </c>
      <c r="C158" s="200">
        <v>0.0</v>
      </c>
      <c r="D158" s="200">
        <v>0.0</v>
      </c>
      <c r="E158" s="200">
        <v>0.0</v>
      </c>
      <c r="F158" s="200">
        <v>0.0</v>
      </c>
      <c r="G158" s="200">
        <v>0.0</v>
      </c>
      <c r="H158" s="200">
        <v>0.0</v>
      </c>
      <c r="I158" s="200">
        <v>0.0</v>
      </c>
      <c r="J158" s="200">
        <v>0.0</v>
      </c>
      <c r="K158" s="200">
        <v>0.0</v>
      </c>
      <c r="L158" s="200">
        <v>0.0</v>
      </c>
      <c r="M158" s="200">
        <v>0.0</v>
      </c>
      <c r="N158" s="200">
        <v>0.0</v>
      </c>
      <c r="O158" s="200">
        <v>0.0</v>
      </c>
      <c r="P158" s="200">
        <v>0.0</v>
      </c>
      <c r="Q158" s="200">
        <v>0.0</v>
      </c>
      <c r="R158" s="200">
        <v>0.0</v>
      </c>
      <c r="S158" s="200">
        <v>0.0</v>
      </c>
      <c r="T158" s="200">
        <v>0.0</v>
      </c>
      <c r="U158" s="200">
        <v>0.0</v>
      </c>
      <c r="V158" s="200">
        <v>0.0</v>
      </c>
      <c r="W158" s="200">
        <v>0.0</v>
      </c>
      <c r="X158" s="200">
        <v>0.0</v>
      </c>
      <c r="Y158" s="200">
        <v>0.0</v>
      </c>
      <c r="Z158" s="200">
        <v>0.0</v>
      </c>
      <c r="AA158" s="200">
        <v>0.0</v>
      </c>
      <c r="AB158" s="200">
        <v>0.0</v>
      </c>
      <c r="AC158" s="200">
        <v>0.0</v>
      </c>
      <c r="AD158" s="200">
        <v>0.0</v>
      </c>
      <c r="AE158" s="200">
        <v>0.0</v>
      </c>
      <c r="AF158" s="200">
        <v>0.0</v>
      </c>
      <c r="AG158" s="114"/>
    </row>
    <row r="159" outlineLevel="1">
      <c r="A159" s="378" t="s">
        <v>520</v>
      </c>
      <c r="B159" s="380">
        <f>sum(B155:B158)</f>
        <v>1694.06</v>
      </c>
      <c r="C159" s="380">
        <f t="shared" ref="C159:H159" si="45">sum(C155:C157)</f>
        <v>4676.54</v>
      </c>
      <c r="D159" s="380">
        <f t="shared" si="45"/>
        <v>6837.94</v>
      </c>
      <c r="E159" s="380">
        <f t="shared" si="45"/>
        <v>4817.22</v>
      </c>
      <c r="F159" s="380">
        <f t="shared" si="45"/>
        <v>3158.96</v>
      </c>
      <c r="G159" s="380">
        <f t="shared" si="45"/>
        <v>3354.18</v>
      </c>
      <c r="H159" s="380">
        <f t="shared" si="45"/>
        <v>3044.21</v>
      </c>
      <c r="I159" s="380">
        <f>sum(I154:I157)</f>
        <v>2626.21</v>
      </c>
      <c r="J159" s="380">
        <f t="shared" ref="J159:AF159" si="46">sum(J155:J157)</f>
        <v>3388.94</v>
      </c>
      <c r="K159" s="380">
        <f t="shared" si="46"/>
        <v>3771.03</v>
      </c>
      <c r="L159" s="380">
        <f t="shared" si="46"/>
        <v>2404.31</v>
      </c>
      <c r="M159" s="380">
        <f t="shared" si="46"/>
        <v>2335.25</v>
      </c>
      <c r="N159" s="380">
        <f t="shared" si="46"/>
        <v>1587.12</v>
      </c>
      <c r="O159" s="380">
        <f t="shared" si="46"/>
        <v>1887</v>
      </c>
      <c r="P159" s="380">
        <f t="shared" si="46"/>
        <v>2880.12</v>
      </c>
      <c r="Q159" s="380">
        <f t="shared" si="46"/>
        <v>1310.91</v>
      </c>
      <c r="R159" s="380">
        <f t="shared" si="46"/>
        <v>1788.19</v>
      </c>
      <c r="S159" s="380">
        <f t="shared" si="46"/>
        <v>1581.89</v>
      </c>
      <c r="T159" s="380">
        <f t="shared" si="46"/>
        <v>3354.25</v>
      </c>
      <c r="U159" s="380">
        <f t="shared" si="46"/>
        <v>2019.53</v>
      </c>
      <c r="V159" s="380">
        <f t="shared" si="46"/>
        <v>1942.11</v>
      </c>
      <c r="W159" s="380">
        <f t="shared" si="46"/>
        <v>1683.88</v>
      </c>
      <c r="X159" s="380">
        <f t="shared" si="46"/>
        <v>1866.1</v>
      </c>
      <c r="Y159" s="380">
        <f t="shared" si="46"/>
        <v>1842.83</v>
      </c>
      <c r="Z159" s="380">
        <f t="shared" si="46"/>
        <v>2556.34</v>
      </c>
      <c r="AA159" s="380">
        <f t="shared" si="46"/>
        <v>1284.58</v>
      </c>
      <c r="AB159" s="380">
        <f t="shared" si="46"/>
        <v>3644.54</v>
      </c>
      <c r="AC159" s="380">
        <f t="shared" si="46"/>
        <v>2414.52</v>
      </c>
      <c r="AD159" s="380">
        <f t="shared" si="46"/>
        <v>1350.89</v>
      </c>
      <c r="AE159" s="380">
        <f t="shared" si="46"/>
        <v>4421.7</v>
      </c>
      <c r="AF159" s="380">
        <f t="shared" si="46"/>
        <v>2755.13</v>
      </c>
      <c r="AG159" s="114">
        <f>SUM(B159:AF159)</f>
        <v>84280.48</v>
      </c>
    </row>
    <row r="160">
      <c r="A160" s="177"/>
      <c r="B160" s="381"/>
      <c r="C160" s="381"/>
      <c r="D160" s="381"/>
      <c r="E160" s="381"/>
      <c r="F160" s="381"/>
      <c r="G160" s="381"/>
      <c r="H160" s="381"/>
      <c r="I160" s="381"/>
      <c r="J160" s="381"/>
      <c r="K160" s="381"/>
      <c r="L160" s="381"/>
      <c r="M160" s="381"/>
      <c r="N160" s="381"/>
      <c r="O160" s="381"/>
      <c r="P160" s="381"/>
      <c r="Q160" s="381"/>
      <c r="R160" s="381"/>
      <c r="S160" s="381"/>
      <c r="T160" s="381"/>
      <c r="U160" s="381"/>
      <c r="V160" s="381"/>
      <c r="W160" s="381"/>
      <c r="X160" s="381"/>
      <c r="Y160" s="381"/>
      <c r="Z160" s="381"/>
      <c r="AA160" s="381"/>
      <c r="AB160" s="381"/>
      <c r="AC160" s="381"/>
      <c r="AD160" s="381"/>
      <c r="AE160" s="381"/>
      <c r="AF160" s="288"/>
      <c r="AG160" s="209"/>
    </row>
    <row r="161">
      <c r="A161" s="177"/>
      <c r="AF161" s="288"/>
      <c r="AG161" s="209"/>
    </row>
    <row r="162">
      <c r="A162" s="147" t="s">
        <v>521</v>
      </c>
      <c r="B162" s="382" t="s">
        <v>522</v>
      </c>
      <c r="AF162" s="288"/>
      <c r="AG162" s="209"/>
    </row>
    <row r="163">
      <c r="A163" s="216" t="s">
        <v>523</v>
      </c>
      <c r="B163" s="176">
        <v>0.0</v>
      </c>
      <c r="C163" s="176">
        <v>0.0</v>
      </c>
      <c r="D163" s="176">
        <v>0.0</v>
      </c>
      <c r="E163" s="176">
        <v>0.0</v>
      </c>
      <c r="F163" s="176">
        <v>0.0</v>
      </c>
      <c r="G163" s="176">
        <v>0.0</v>
      </c>
      <c r="H163" s="176">
        <v>0.0</v>
      </c>
      <c r="I163" s="176">
        <v>0.0</v>
      </c>
      <c r="J163" s="176">
        <v>0.0</v>
      </c>
      <c r="K163" s="176">
        <v>0.0</v>
      </c>
      <c r="L163" s="176">
        <v>0.0</v>
      </c>
      <c r="M163" s="176">
        <v>0.0</v>
      </c>
      <c r="N163" s="176">
        <v>0.0</v>
      </c>
      <c r="O163" s="176">
        <v>0.0</v>
      </c>
      <c r="P163" s="176">
        <v>0.0</v>
      </c>
      <c r="Q163" s="176">
        <v>0.0</v>
      </c>
      <c r="R163" s="176">
        <v>0.0</v>
      </c>
      <c r="S163" s="176">
        <v>0.0</v>
      </c>
      <c r="T163" s="190">
        <v>0.0</v>
      </c>
      <c r="U163" s="190">
        <v>0.0</v>
      </c>
      <c r="V163" s="190">
        <v>0.0</v>
      </c>
      <c r="W163" s="190">
        <v>0.0</v>
      </c>
      <c r="X163" s="190">
        <v>0.0</v>
      </c>
      <c r="Y163" s="190">
        <v>0.0</v>
      </c>
      <c r="Z163" s="190">
        <v>0.0</v>
      </c>
      <c r="AA163" s="190">
        <v>0.0</v>
      </c>
      <c r="AB163" s="190">
        <v>0.0</v>
      </c>
      <c r="AC163" s="190">
        <v>0.0</v>
      </c>
      <c r="AD163" s="190">
        <v>0.0</v>
      </c>
      <c r="AE163" s="190">
        <v>0.0</v>
      </c>
      <c r="AF163" s="190">
        <v>0.0</v>
      </c>
      <c r="AG163" s="143">
        <f t="shared" ref="AG163:AG168" si="47">SUM(B163:AF163)</f>
        <v>0</v>
      </c>
    </row>
    <row r="164">
      <c r="A164" s="216" t="s">
        <v>524</v>
      </c>
      <c r="B164" s="176">
        <v>0.0</v>
      </c>
      <c r="C164" s="176">
        <v>0.0</v>
      </c>
      <c r="D164" s="176">
        <v>0.0</v>
      </c>
      <c r="E164" s="176">
        <v>0.0</v>
      </c>
      <c r="F164" s="176">
        <v>0.0</v>
      </c>
      <c r="G164" s="176">
        <v>0.0</v>
      </c>
      <c r="H164" s="176">
        <v>0.0</v>
      </c>
      <c r="I164" s="176">
        <v>0.0</v>
      </c>
      <c r="J164" s="176">
        <v>0.0</v>
      </c>
      <c r="K164" s="176">
        <v>0.0</v>
      </c>
      <c r="L164" s="176">
        <v>0.0</v>
      </c>
      <c r="M164" s="176">
        <v>0.0</v>
      </c>
      <c r="N164" s="176">
        <v>0.0</v>
      </c>
      <c r="O164" s="176">
        <v>0.0</v>
      </c>
      <c r="P164" s="176">
        <v>0.0</v>
      </c>
      <c r="Q164" s="176">
        <v>0.0</v>
      </c>
      <c r="R164" s="176">
        <v>0.0</v>
      </c>
      <c r="S164" s="176">
        <v>0.0</v>
      </c>
      <c r="T164" s="190">
        <v>0.0</v>
      </c>
      <c r="U164" s="190">
        <v>0.0</v>
      </c>
      <c r="V164" s="190">
        <v>0.0</v>
      </c>
      <c r="W164" s="190">
        <v>0.0</v>
      </c>
      <c r="X164" s="190">
        <v>0.0</v>
      </c>
      <c r="Y164" s="190">
        <v>0.0</v>
      </c>
      <c r="Z164" s="190">
        <v>0.0</v>
      </c>
      <c r="AA164" s="190">
        <v>0.0</v>
      </c>
      <c r="AB164" s="190">
        <v>0.0</v>
      </c>
      <c r="AC164" s="190">
        <v>0.0</v>
      </c>
      <c r="AD164" s="190">
        <v>0.0</v>
      </c>
      <c r="AE164" s="190">
        <v>0.0</v>
      </c>
      <c r="AF164" s="190">
        <v>0.0</v>
      </c>
      <c r="AG164" s="143">
        <f t="shared" si="47"/>
        <v>0</v>
      </c>
    </row>
    <row r="165">
      <c r="A165" s="216" t="s">
        <v>525</v>
      </c>
      <c r="B165" s="176">
        <v>0.0</v>
      </c>
      <c r="C165" s="176">
        <v>0.0</v>
      </c>
      <c r="D165" s="176">
        <v>0.0</v>
      </c>
      <c r="E165" s="176">
        <v>0.0</v>
      </c>
      <c r="F165" s="176">
        <v>0.0</v>
      </c>
      <c r="G165" s="176">
        <v>0.0</v>
      </c>
      <c r="H165" s="176">
        <v>0.0</v>
      </c>
      <c r="I165" s="176">
        <v>0.0</v>
      </c>
      <c r="J165" s="176">
        <v>0.0</v>
      </c>
      <c r="K165" s="176">
        <v>1.0</v>
      </c>
      <c r="L165" s="176">
        <v>0.0</v>
      </c>
      <c r="M165" s="176">
        <v>0.0</v>
      </c>
      <c r="N165" s="176">
        <v>0.0</v>
      </c>
      <c r="O165" s="176">
        <v>0.0</v>
      </c>
      <c r="P165" s="176">
        <v>0.0</v>
      </c>
      <c r="Q165" s="176">
        <v>0.0</v>
      </c>
      <c r="R165" s="176">
        <v>0.0</v>
      </c>
      <c r="S165" s="176">
        <v>0.0</v>
      </c>
      <c r="T165" s="190">
        <v>0.0</v>
      </c>
      <c r="U165" s="190">
        <v>0.0</v>
      </c>
      <c r="V165" s="190">
        <v>0.0</v>
      </c>
      <c r="W165" s="190">
        <v>0.0</v>
      </c>
      <c r="X165" s="190">
        <v>0.0</v>
      </c>
      <c r="Y165" s="190">
        <v>0.0</v>
      </c>
      <c r="Z165" s="190">
        <v>0.0</v>
      </c>
      <c r="AA165" s="190">
        <v>0.0</v>
      </c>
      <c r="AB165" s="190">
        <v>0.0</v>
      </c>
      <c r="AC165" s="190">
        <v>0.0</v>
      </c>
      <c r="AD165" s="190">
        <v>0.0</v>
      </c>
      <c r="AE165" s="190">
        <v>0.0</v>
      </c>
      <c r="AF165" s="190">
        <v>0.0</v>
      </c>
      <c r="AG165" s="143">
        <f t="shared" si="47"/>
        <v>1</v>
      </c>
    </row>
    <row r="166">
      <c r="A166" s="216" t="s">
        <v>526</v>
      </c>
      <c r="B166" s="176">
        <v>0.0</v>
      </c>
      <c r="C166" s="176">
        <v>0.0</v>
      </c>
      <c r="D166" s="176">
        <v>0.0</v>
      </c>
      <c r="E166" s="176">
        <v>0.0</v>
      </c>
      <c r="F166" s="176">
        <v>0.0</v>
      </c>
      <c r="G166" s="176">
        <v>0.0</v>
      </c>
      <c r="H166" s="176">
        <v>0.0</v>
      </c>
      <c r="I166" s="176">
        <v>0.0</v>
      </c>
      <c r="J166" s="176">
        <v>0.0</v>
      </c>
      <c r="K166" s="176">
        <v>0.0</v>
      </c>
      <c r="L166" s="176">
        <v>0.0</v>
      </c>
      <c r="M166" s="176">
        <v>0.0</v>
      </c>
      <c r="N166" s="176">
        <v>0.0</v>
      </c>
      <c r="O166" s="176">
        <v>0.0</v>
      </c>
      <c r="P166" s="176">
        <v>0.0</v>
      </c>
      <c r="Q166" s="176">
        <v>0.0</v>
      </c>
      <c r="R166" s="176">
        <v>0.0</v>
      </c>
      <c r="S166" s="176">
        <v>0.0</v>
      </c>
      <c r="T166" s="190">
        <v>0.0</v>
      </c>
      <c r="U166" s="190">
        <v>0.0</v>
      </c>
      <c r="V166" s="190">
        <v>0.0</v>
      </c>
      <c r="W166" s="190">
        <v>0.0</v>
      </c>
      <c r="X166" s="190">
        <v>0.0</v>
      </c>
      <c r="Y166" s="190">
        <v>0.0</v>
      </c>
      <c r="Z166" s="190">
        <v>0.0</v>
      </c>
      <c r="AA166" s="190">
        <v>0.0</v>
      </c>
      <c r="AB166" s="190">
        <v>0.0</v>
      </c>
      <c r="AC166" s="190">
        <v>0.0</v>
      </c>
      <c r="AD166" s="176">
        <v>1.0</v>
      </c>
      <c r="AE166" s="190">
        <v>0.0</v>
      </c>
      <c r="AF166" s="190">
        <v>0.0</v>
      </c>
      <c r="AG166" s="143">
        <f t="shared" si="47"/>
        <v>1</v>
      </c>
    </row>
    <row r="167">
      <c r="A167" s="218" t="s">
        <v>194</v>
      </c>
      <c r="B167" s="383">
        <f t="shared" ref="B167:AF167" si="48">B163+B164</f>
        <v>0</v>
      </c>
      <c r="C167" s="384">
        <f t="shared" si="48"/>
        <v>0</v>
      </c>
      <c r="D167" s="384">
        <f t="shared" si="48"/>
        <v>0</v>
      </c>
      <c r="E167" s="384">
        <f t="shared" si="48"/>
        <v>0</v>
      </c>
      <c r="F167" s="384">
        <f t="shared" si="48"/>
        <v>0</v>
      </c>
      <c r="G167" s="384">
        <f t="shared" si="48"/>
        <v>0</v>
      </c>
      <c r="H167" s="384">
        <f t="shared" si="48"/>
        <v>0</v>
      </c>
      <c r="I167" s="384">
        <f t="shared" si="48"/>
        <v>0</v>
      </c>
      <c r="J167" s="384">
        <f t="shared" si="48"/>
        <v>0</v>
      </c>
      <c r="K167" s="384">
        <f t="shared" si="48"/>
        <v>0</v>
      </c>
      <c r="L167" s="384">
        <f t="shared" si="48"/>
        <v>0</v>
      </c>
      <c r="M167" s="384">
        <f t="shared" si="48"/>
        <v>0</v>
      </c>
      <c r="N167" s="384">
        <f t="shared" si="48"/>
        <v>0</v>
      </c>
      <c r="O167" s="384">
        <f t="shared" si="48"/>
        <v>0</v>
      </c>
      <c r="P167" s="384">
        <f t="shared" si="48"/>
        <v>0</v>
      </c>
      <c r="Q167" s="384">
        <f t="shared" si="48"/>
        <v>0</v>
      </c>
      <c r="R167" s="384">
        <f t="shared" si="48"/>
        <v>0</v>
      </c>
      <c r="S167" s="384">
        <f t="shared" si="48"/>
        <v>0</v>
      </c>
      <c r="T167" s="384">
        <f t="shared" si="48"/>
        <v>0</v>
      </c>
      <c r="U167" s="384">
        <f t="shared" si="48"/>
        <v>0</v>
      </c>
      <c r="V167" s="384">
        <f t="shared" si="48"/>
        <v>0</v>
      </c>
      <c r="W167" s="384">
        <f t="shared" si="48"/>
        <v>0</v>
      </c>
      <c r="X167" s="384">
        <f t="shared" si="48"/>
        <v>0</v>
      </c>
      <c r="Y167" s="384">
        <f t="shared" si="48"/>
        <v>0</v>
      </c>
      <c r="Z167" s="384">
        <f t="shared" si="48"/>
        <v>0</v>
      </c>
      <c r="AA167" s="384">
        <f t="shared" si="48"/>
        <v>0</v>
      </c>
      <c r="AB167" s="384">
        <f t="shared" si="48"/>
        <v>0</v>
      </c>
      <c r="AC167" s="384">
        <f t="shared" si="48"/>
        <v>0</v>
      </c>
      <c r="AD167" s="384">
        <f t="shared" si="48"/>
        <v>0</v>
      </c>
      <c r="AE167" s="384">
        <f t="shared" si="48"/>
        <v>0</v>
      </c>
      <c r="AF167" s="384">
        <f t="shared" si="48"/>
        <v>0</v>
      </c>
      <c r="AG167" s="143">
        <f t="shared" si="47"/>
        <v>0</v>
      </c>
    </row>
    <row r="168">
      <c r="A168" s="218" t="s">
        <v>195</v>
      </c>
      <c r="B168" s="383">
        <f t="shared" ref="B168:AF168" si="49">B165+B166</f>
        <v>0</v>
      </c>
      <c r="C168" s="384">
        <f t="shared" si="49"/>
        <v>0</v>
      </c>
      <c r="D168" s="384">
        <f t="shared" si="49"/>
        <v>0</v>
      </c>
      <c r="E168" s="384">
        <f t="shared" si="49"/>
        <v>0</v>
      </c>
      <c r="F168" s="384">
        <f t="shared" si="49"/>
        <v>0</v>
      </c>
      <c r="G168" s="384">
        <f t="shared" si="49"/>
        <v>0</v>
      </c>
      <c r="H168" s="384">
        <f t="shared" si="49"/>
        <v>0</v>
      </c>
      <c r="I168" s="384">
        <f t="shared" si="49"/>
        <v>0</v>
      </c>
      <c r="J168" s="384">
        <f t="shared" si="49"/>
        <v>0</v>
      </c>
      <c r="K168" s="384">
        <f t="shared" si="49"/>
        <v>1</v>
      </c>
      <c r="L168" s="384">
        <f t="shared" si="49"/>
        <v>0</v>
      </c>
      <c r="M168" s="384">
        <f t="shared" si="49"/>
        <v>0</v>
      </c>
      <c r="N168" s="384">
        <f t="shared" si="49"/>
        <v>0</v>
      </c>
      <c r="O168" s="384">
        <f t="shared" si="49"/>
        <v>0</v>
      </c>
      <c r="P168" s="384">
        <f t="shared" si="49"/>
        <v>0</v>
      </c>
      <c r="Q168" s="384">
        <f t="shared" si="49"/>
        <v>0</v>
      </c>
      <c r="R168" s="384">
        <f t="shared" si="49"/>
        <v>0</v>
      </c>
      <c r="S168" s="384">
        <f t="shared" si="49"/>
        <v>0</v>
      </c>
      <c r="T168" s="384">
        <f t="shared" si="49"/>
        <v>0</v>
      </c>
      <c r="U168" s="384">
        <f t="shared" si="49"/>
        <v>0</v>
      </c>
      <c r="V168" s="384">
        <f t="shared" si="49"/>
        <v>0</v>
      </c>
      <c r="W168" s="384">
        <f t="shared" si="49"/>
        <v>0</v>
      </c>
      <c r="X168" s="384">
        <f t="shared" si="49"/>
        <v>0</v>
      </c>
      <c r="Y168" s="384">
        <f t="shared" si="49"/>
        <v>0</v>
      </c>
      <c r="Z168" s="384">
        <f t="shared" si="49"/>
        <v>0</v>
      </c>
      <c r="AA168" s="384">
        <f t="shared" si="49"/>
        <v>0</v>
      </c>
      <c r="AB168" s="384">
        <f t="shared" si="49"/>
        <v>0</v>
      </c>
      <c r="AC168" s="384">
        <f t="shared" si="49"/>
        <v>0</v>
      </c>
      <c r="AD168" s="384">
        <f t="shared" si="49"/>
        <v>1</v>
      </c>
      <c r="AE168" s="384">
        <f t="shared" si="49"/>
        <v>0</v>
      </c>
      <c r="AF168" s="384">
        <f t="shared" si="49"/>
        <v>0</v>
      </c>
      <c r="AG168" s="143">
        <f t="shared" si="47"/>
        <v>2</v>
      </c>
    </row>
    <row r="169">
      <c r="A169" s="98"/>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c r="AE169" s="187"/>
      <c r="AF169" s="288"/>
      <c r="AG169" s="209"/>
    </row>
    <row r="170">
      <c r="A170" s="216" t="s">
        <v>197</v>
      </c>
      <c r="B170" s="176">
        <v>0.0</v>
      </c>
      <c r="C170" s="176">
        <v>0.0</v>
      </c>
      <c r="D170" s="176">
        <v>0.0</v>
      </c>
      <c r="E170" s="176">
        <v>0.0</v>
      </c>
      <c r="F170" s="176">
        <v>0.0</v>
      </c>
      <c r="G170" s="176">
        <v>0.0</v>
      </c>
      <c r="H170" s="176">
        <v>0.0</v>
      </c>
      <c r="I170" s="176">
        <v>0.0</v>
      </c>
      <c r="J170" s="176">
        <v>0.0</v>
      </c>
      <c r="K170" s="176">
        <v>0.0</v>
      </c>
      <c r="L170" s="176">
        <v>0.0</v>
      </c>
      <c r="M170" s="176">
        <v>0.0</v>
      </c>
      <c r="N170" s="176">
        <v>0.0</v>
      </c>
      <c r="O170" s="176">
        <v>0.0</v>
      </c>
      <c r="P170" s="176">
        <v>0.0</v>
      </c>
      <c r="Q170" s="83">
        <v>0.0</v>
      </c>
      <c r="R170" s="83">
        <v>0.0</v>
      </c>
      <c r="S170" s="83">
        <v>0.0</v>
      </c>
      <c r="T170" s="83">
        <v>0.0</v>
      </c>
      <c r="U170" s="83">
        <v>0.0</v>
      </c>
      <c r="V170" s="83">
        <v>0.0</v>
      </c>
      <c r="W170" s="83">
        <v>0.0</v>
      </c>
      <c r="X170" s="190">
        <v>0.0</v>
      </c>
      <c r="Y170" s="190">
        <v>0.0</v>
      </c>
      <c r="Z170" s="190">
        <v>0.0</v>
      </c>
      <c r="AA170" s="190">
        <v>0.0</v>
      </c>
      <c r="AB170" s="190">
        <v>0.0</v>
      </c>
      <c r="AC170" s="190">
        <v>0.0</v>
      </c>
      <c r="AD170" s="190">
        <v>0.0</v>
      </c>
      <c r="AE170" s="190">
        <v>0.0</v>
      </c>
      <c r="AF170" s="190">
        <v>0.0</v>
      </c>
      <c r="AG170" s="143">
        <f t="shared" ref="AG170:AG178" si="50">SUM(B170:AF170)</f>
        <v>0</v>
      </c>
    </row>
    <row r="171">
      <c r="A171" s="216" t="s">
        <v>198</v>
      </c>
      <c r="B171" s="176">
        <v>0.0</v>
      </c>
      <c r="C171" s="176">
        <v>0.0</v>
      </c>
      <c r="D171" s="176">
        <v>0.0</v>
      </c>
      <c r="E171" s="176">
        <v>0.0</v>
      </c>
      <c r="F171" s="176">
        <v>0.0</v>
      </c>
      <c r="G171" s="176">
        <v>0.0</v>
      </c>
      <c r="H171" s="176">
        <v>0.0</v>
      </c>
      <c r="I171" s="176">
        <v>0.0</v>
      </c>
      <c r="J171" s="176">
        <v>0.0</v>
      </c>
      <c r="K171" s="176">
        <v>0.0</v>
      </c>
      <c r="L171" s="176">
        <v>0.0</v>
      </c>
      <c r="M171" s="176">
        <v>0.0</v>
      </c>
      <c r="N171" s="176">
        <v>0.0</v>
      </c>
      <c r="O171" s="176">
        <v>0.0</v>
      </c>
      <c r="P171" s="176">
        <v>0.0</v>
      </c>
      <c r="Q171" s="83">
        <v>0.0</v>
      </c>
      <c r="R171" s="83">
        <v>0.0</v>
      </c>
      <c r="S171" s="83">
        <v>0.0</v>
      </c>
      <c r="T171" s="83">
        <v>0.0</v>
      </c>
      <c r="U171" s="83">
        <v>0.0</v>
      </c>
      <c r="V171" s="83">
        <v>0.0</v>
      </c>
      <c r="W171" s="83">
        <v>0.0</v>
      </c>
      <c r="X171" s="190">
        <v>0.0</v>
      </c>
      <c r="Y171" s="190">
        <v>0.0</v>
      </c>
      <c r="Z171" s="190">
        <v>0.0</v>
      </c>
      <c r="AA171" s="190">
        <v>0.0</v>
      </c>
      <c r="AB171" s="190">
        <v>0.0</v>
      </c>
      <c r="AC171" s="190">
        <v>0.0</v>
      </c>
      <c r="AD171" s="190">
        <v>0.0</v>
      </c>
      <c r="AE171" s="190">
        <v>0.0</v>
      </c>
      <c r="AF171" s="190">
        <v>0.0</v>
      </c>
      <c r="AG171" s="143">
        <f t="shared" si="50"/>
        <v>0</v>
      </c>
    </row>
    <row r="172">
      <c r="A172" s="216" t="s">
        <v>527</v>
      </c>
      <c r="B172" s="176">
        <v>0.0</v>
      </c>
      <c r="C172" s="176">
        <v>0.0</v>
      </c>
      <c r="D172" s="176">
        <v>0.0</v>
      </c>
      <c r="E172" s="176">
        <v>0.0</v>
      </c>
      <c r="F172" s="176">
        <v>0.0</v>
      </c>
      <c r="G172" s="176">
        <v>0.0</v>
      </c>
      <c r="H172" s="176">
        <v>0.0</v>
      </c>
      <c r="I172" s="176">
        <v>0.0</v>
      </c>
      <c r="J172" s="176">
        <v>0.0</v>
      </c>
      <c r="K172" s="176">
        <v>0.0</v>
      </c>
      <c r="L172" s="176">
        <v>0.0</v>
      </c>
      <c r="M172" s="176">
        <v>0.0</v>
      </c>
      <c r="N172" s="176">
        <v>0.0</v>
      </c>
      <c r="O172" s="176">
        <v>0.0</v>
      </c>
      <c r="P172" s="176">
        <v>0.0</v>
      </c>
      <c r="Q172" s="83">
        <v>0.0</v>
      </c>
      <c r="R172" s="83">
        <v>0.0</v>
      </c>
      <c r="S172" s="83">
        <v>0.0</v>
      </c>
      <c r="T172" s="83">
        <v>0.0</v>
      </c>
      <c r="U172" s="83">
        <v>0.0</v>
      </c>
      <c r="V172" s="83">
        <v>0.0</v>
      </c>
      <c r="W172" s="83">
        <v>0.0</v>
      </c>
      <c r="X172" s="190">
        <v>0.0</v>
      </c>
      <c r="Y172" s="190">
        <v>0.0</v>
      </c>
      <c r="Z172" s="190">
        <v>0.0</v>
      </c>
      <c r="AA172" s="190">
        <v>0.0</v>
      </c>
      <c r="AB172" s="190">
        <v>0.0</v>
      </c>
      <c r="AC172" s="190">
        <v>0.0</v>
      </c>
      <c r="AD172" s="190">
        <v>0.0</v>
      </c>
      <c r="AE172" s="190">
        <v>0.0</v>
      </c>
      <c r="AF172" s="190">
        <v>0.0</v>
      </c>
      <c r="AG172" s="143">
        <f t="shared" si="50"/>
        <v>0</v>
      </c>
    </row>
    <row r="173">
      <c r="A173" s="216" t="s">
        <v>528</v>
      </c>
      <c r="B173" s="176">
        <v>0.0</v>
      </c>
      <c r="C173" s="176">
        <v>0.0</v>
      </c>
      <c r="D173" s="176">
        <v>0.0</v>
      </c>
      <c r="E173" s="176">
        <v>0.0</v>
      </c>
      <c r="F173" s="176">
        <v>0.0</v>
      </c>
      <c r="G173" s="176">
        <v>0.0</v>
      </c>
      <c r="H173" s="176">
        <v>0.0</v>
      </c>
      <c r="I173" s="176">
        <v>0.0</v>
      </c>
      <c r="J173" s="176">
        <v>0.0</v>
      </c>
      <c r="K173" s="176">
        <v>0.0</v>
      </c>
      <c r="L173" s="176">
        <v>0.0</v>
      </c>
      <c r="M173" s="176">
        <v>0.0</v>
      </c>
      <c r="N173" s="176">
        <v>0.0</v>
      </c>
      <c r="O173" s="176">
        <v>0.0</v>
      </c>
      <c r="P173" s="176">
        <v>0.0</v>
      </c>
      <c r="Q173" s="83">
        <v>0.0</v>
      </c>
      <c r="R173" s="83">
        <v>0.0</v>
      </c>
      <c r="S173" s="83">
        <v>0.0</v>
      </c>
      <c r="T173" s="83">
        <v>0.0</v>
      </c>
      <c r="U173" s="83">
        <v>0.0</v>
      </c>
      <c r="V173" s="83">
        <v>0.0</v>
      </c>
      <c r="W173" s="83">
        <v>0.0</v>
      </c>
      <c r="X173" s="190">
        <v>0.0</v>
      </c>
      <c r="Y173" s="190">
        <v>0.0</v>
      </c>
      <c r="Z173" s="190">
        <v>0.0</v>
      </c>
      <c r="AA173" s="190">
        <v>0.0</v>
      </c>
      <c r="AB173" s="190">
        <v>0.0</v>
      </c>
      <c r="AC173" s="190">
        <v>0.0</v>
      </c>
      <c r="AD173" s="190">
        <v>0.0</v>
      </c>
      <c r="AE173" s="190">
        <v>0.0</v>
      </c>
      <c r="AF173" s="190">
        <v>0.0</v>
      </c>
      <c r="AG173" s="143">
        <f t="shared" si="50"/>
        <v>0</v>
      </c>
    </row>
    <row r="174">
      <c r="A174" s="216" t="s">
        <v>529</v>
      </c>
      <c r="B174" s="176">
        <v>0.0</v>
      </c>
      <c r="C174" s="176">
        <v>0.0</v>
      </c>
      <c r="D174" s="176">
        <v>0.0</v>
      </c>
      <c r="E174" s="176">
        <v>0.0</v>
      </c>
      <c r="F174" s="176">
        <v>0.0</v>
      </c>
      <c r="G174" s="176">
        <v>0.0</v>
      </c>
      <c r="H174" s="176">
        <v>0.0</v>
      </c>
      <c r="I174" s="176">
        <v>0.0</v>
      </c>
      <c r="J174" s="176">
        <v>0.0</v>
      </c>
      <c r="K174" s="176">
        <v>0.0</v>
      </c>
      <c r="L174" s="176">
        <v>0.0</v>
      </c>
      <c r="M174" s="176">
        <v>0.0</v>
      </c>
      <c r="N174" s="176">
        <v>0.0</v>
      </c>
      <c r="O174" s="176">
        <v>0.0</v>
      </c>
      <c r="P174" s="176">
        <v>0.0</v>
      </c>
      <c r="Q174" s="83">
        <v>0.0</v>
      </c>
      <c r="R174" s="83">
        <v>0.0</v>
      </c>
      <c r="S174" s="83">
        <v>0.0</v>
      </c>
      <c r="T174" s="83">
        <v>0.0</v>
      </c>
      <c r="U174" s="83">
        <v>0.0</v>
      </c>
      <c r="V174" s="83">
        <v>0.0</v>
      </c>
      <c r="W174" s="83">
        <v>0.0</v>
      </c>
      <c r="X174" s="190">
        <v>0.0</v>
      </c>
      <c r="Y174" s="190">
        <v>0.0</v>
      </c>
      <c r="Z174" s="190">
        <v>0.0</v>
      </c>
      <c r="AA174" s="190">
        <v>0.0</v>
      </c>
      <c r="AB174" s="190">
        <v>0.0</v>
      </c>
      <c r="AC174" s="190">
        <v>0.0</v>
      </c>
      <c r="AD174" s="190">
        <v>0.0</v>
      </c>
      <c r="AE174" s="190">
        <v>0.0</v>
      </c>
      <c r="AF174" s="190">
        <v>0.0</v>
      </c>
      <c r="AG174" s="143">
        <f t="shared" si="50"/>
        <v>0</v>
      </c>
    </row>
    <row r="175">
      <c r="A175" s="216" t="s">
        <v>530</v>
      </c>
      <c r="B175" s="176">
        <v>0.0</v>
      </c>
      <c r="C175" s="176">
        <v>0.0</v>
      </c>
      <c r="D175" s="176">
        <v>0.0</v>
      </c>
      <c r="E175" s="176">
        <v>0.0</v>
      </c>
      <c r="F175" s="176">
        <v>0.0</v>
      </c>
      <c r="G175" s="176">
        <v>0.0</v>
      </c>
      <c r="H175" s="176">
        <v>0.0</v>
      </c>
      <c r="I175" s="176">
        <v>0.0</v>
      </c>
      <c r="J175" s="176">
        <v>0.0</v>
      </c>
      <c r="K175" s="176">
        <v>0.0</v>
      </c>
      <c r="L175" s="176">
        <v>0.0</v>
      </c>
      <c r="M175" s="176">
        <v>0.0</v>
      </c>
      <c r="N175" s="176">
        <v>0.0</v>
      </c>
      <c r="O175" s="176">
        <v>0.0</v>
      </c>
      <c r="P175" s="176">
        <v>0.0</v>
      </c>
      <c r="Q175" s="83">
        <v>0.0</v>
      </c>
      <c r="R175" s="83">
        <v>0.0</v>
      </c>
      <c r="S175" s="83">
        <v>0.0</v>
      </c>
      <c r="T175" s="83">
        <v>0.0</v>
      </c>
      <c r="U175" s="83">
        <v>0.0</v>
      </c>
      <c r="V175" s="83">
        <v>0.0</v>
      </c>
      <c r="W175" s="83">
        <v>0.0</v>
      </c>
      <c r="X175" s="190">
        <v>0.0</v>
      </c>
      <c r="Y175" s="190">
        <v>0.0</v>
      </c>
      <c r="Z175" s="190">
        <v>0.0</v>
      </c>
      <c r="AA175" s="190">
        <v>0.0</v>
      </c>
      <c r="AB175" s="190">
        <v>0.0</v>
      </c>
      <c r="AC175" s="190">
        <v>0.0</v>
      </c>
      <c r="AD175" s="190">
        <v>0.0</v>
      </c>
      <c r="AE175" s="190">
        <v>0.0</v>
      </c>
      <c r="AF175" s="190">
        <v>0.0</v>
      </c>
      <c r="AG175" s="143">
        <f t="shared" si="50"/>
        <v>0</v>
      </c>
    </row>
    <row r="176">
      <c r="A176" s="216" t="s">
        <v>531</v>
      </c>
      <c r="B176" s="176">
        <v>0.0</v>
      </c>
      <c r="C176" s="176">
        <v>0.0</v>
      </c>
      <c r="D176" s="176">
        <v>0.0</v>
      </c>
      <c r="E176" s="176">
        <v>0.0</v>
      </c>
      <c r="F176" s="176">
        <v>0.0</v>
      </c>
      <c r="G176" s="176">
        <v>0.0</v>
      </c>
      <c r="H176" s="176">
        <v>0.0</v>
      </c>
      <c r="I176" s="176">
        <v>0.0</v>
      </c>
      <c r="J176" s="176">
        <v>0.0</v>
      </c>
      <c r="K176" s="176">
        <v>0.0</v>
      </c>
      <c r="L176" s="176">
        <v>0.0</v>
      </c>
      <c r="M176" s="176">
        <v>0.0</v>
      </c>
      <c r="N176" s="176">
        <v>0.0</v>
      </c>
      <c r="O176" s="176">
        <v>0.0</v>
      </c>
      <c r="P176" s="176">
        <v>0.0</v>
      </c>
      <c r="Q176" s="83">
        <v>0.0</v>
      </c>
      <c r="R176" s="83">
        <v>0.0</v>
      </c>
      <c r="S176" s="83">
        <v>0.0</v>
      </c>
      <c r="T176" s="83">
        <v>0.0</v>
      </c>
      <c r="U176" s="83">
        <v>0.0</v>
      </c>
      <c r="V176" s="83">
        <v>0.0</v>
      </c>
      <c r="W176" s="83">
        <v>0.0</v>
      </c>
      <c r="X176" s="190">
        <v>0.0</v>
      </c>
      <c r="Y176" s="190">
        <v>0.0</v>
      </c>
      <c r="Z176" s="190">
        <v>0.0</v>
      </c>
      <c r="AA176" s="190">
        <v>0.0</v>
      </c>
      <c r="AB176" s="190">
        <v>0.0</v>
      </c>
      <c r="AC176" s="190">
        <v>0.0</v>
      </c>
      <c r="AD176" s="190">
        <v>0.0</v>
      </c>
      <c r="AE176" s="190">
        <v>0.0</v>
      </c>
      <c r="AF176" s="190">
        <v>0.0</v>
      </c>
      <c r="AG176" s="143">
        <f t="shared" si="50"/>
        <v>0</v>
      </c>
    </row>
    <row r="177">
      <c r="A177" s="216" t="s">
        <v>532</v>
      </c>
      <c r="B177" s="176">
        <v>0.0</v>
      </c>
      <c r="C177" s="176">
        <v>0.0</v>
      </c>
      <c r="D177" s="176">
        <v>0.0</v>
      </c>
      <c r="E177" s="176">
        <v>0.0</v>
      </c>
      <c r="F177" s="176">
        <v>0.0</v>
      </c>
      <c r="G177" s="176">
        <v>0.0</v>
      </c>
      <c r="H177" s="176">
        <v>0.0</v>
      </c>
      <c r="I177" s="176">
        <v>0.0</v>
      </c>
      <c r="J177" s="176">
        <v>0.0</v>
      </c>
      <c r="K177" s="176">
        <v>0.0</v>
      </c>
      <c r="L177" s="176">
        <v>0.0</v>
      </c>
      <c r="M177" s="176">
        <v>0.0</v>
      </c>
      <c r="N177" s="176">
        <v>0.0</v>
      </c>
      <c r="O177" s="176">
        <v>0.0</v>
      </c>
      <c r="P177" s="176">
        <v>0.0</v>
      </c>
      <c r="Q177" s="83">
        <v>0.0</v>
      </c>
      <c r="R177" s="83">
        <v>0.0</v>
      </c>
      <c r="S177" s="83">
        <v>0.0</v>
      </c>
      <c r="T177" s="83">
        <v>0.0</v>
      </c>
      <c r="U177" s="83">
        <v>0.0</v>
      </c>
      <c r="V177" s="83">
        <v>0.0</v>
      </c>
      <c r="W177" s="83">
        <v>0.0</v>
      </c>
      <c r="X177" s="190">
        <v>0.0</v>
      </c>
      <c r="Y177" s="190">
        <v>0.0</v>
      </c>
      <c r="Z177" s="190">
        <v>0.0</v>
      </c>
      <c r="AA177" s="190">
        <v>0.0</v>
      </c>
      <c r="AB177" s="190">
        <v>0.0</v>
      </c>
      <c r="AC177" s="190">
        <v>0.0</v>
      </c>
      <c r="AD177" s="190">
        <v>0.0</v>
      </c>
      <c r="AE177" s="190">
        <v>0.0</v>
      </c>
      <c r="AF177" s="190">
        <v>0.0</v>
      </c>
      <c r="AG177" s="143">
        <f t="shared" si="50"/>
        <v>0</v>
      </c>
    </row>
    <row r="178">
      <c r="A178" s="220" t="s">
        <v>130</v>
      </c>
      <c r="B178" s="384">
        <f>SUM(B170:B177)</f>
        <v>0</v>
      </c>
      <c r="C178" s="384">
        <f t="shared" ref="C178:AF178" si="51">SUM(C170:C174)</f>
        <v>0</v>
      </c>
      <c r="D178" s="384">
        <f t="shared" si="51"/>
        <v>0</v>
      </c>
      <c r="E178" s="384">
        <f t="shared" si="51"/>
        <v>0</v>
      </c>
      <c r="F178" s="384">
        <f t="shared" si="51"/>
        <v>0</v>
      </c>
      <c r="G178" s="384">
        <f t="shared" si="51"/>
        <v>0</v>
      </c>
      <c r="H178" s="384">
        <f t="shared" si="51"/>
        <v>0</v>
      </c>
      <c r="I178" s="384">
        <f t="shared" si="51"/>
        <v>0</v>
      </c>
      <c r="J178" s="384">
        <f t="shared" si="51"/>
        <v>0</v>
      </c>
      <c r="K178" s="384">
        <f t="shared" si="51"/>
        <v>0</v>
      </c>
      <c r="L178" s="384">
        <f t="shared" si="51"/>
        <v>0</v>
      </c>
      <c r="M178" s="384">
        <f t="shared" si="51"/>
        <v>0</v>
      </c>
      <c r="N178" s="384">
        <f t="shared" si="51"/>
        <v>0</v>
      </c>
      <c r="O178" s="384">
        <f t="shared" si="51"/>
        <v>0</v>
      </c>
      <c r="P178" s="384">
        <f t="shared" si="51"/>
        <v>0</v>
      </c>
      <c r="Q178" s="384">
        <f t="shared" si="51"/>
        <v>0</v>
      </c>
      <c r="R178" s="384">
        <f t="shared" si="51"/>
        <v>0</v>
      </c>
      <c r="S178" s="384">
        <f t="shared" si="51"/>
        <v>0</v>
      </c>
      <c r="T178" s="384">
        <f t="shared" si="51"/>
        <v>0</v>
      </c>
      <c r="U178" s="384">
        <f t="shared" si="51"/>
        <v>0</v>
      </c>
      <c r="V178" s="384">
        <f t="shared" si="51"/>
        <v>0</v>
      </c>
      <c r="W178" s="384">
        <f t="shared" si="51"/>
        <v>0</v>
      </c>
      <c r="X178" s="384">
        <f t="shared" si="51"/>
        <v>0</v>
      </c>
      <c r="Y178" s="384">
        <f t="shared" si="51"/>
        <v>0</v>
      </c>
      <c r="Z178" s="384">
        <f t="shared" si="51"/>
        <v>0</v>
      </c>
      <c r="AA178" s="384">
        <f t="shared" si="51"/>
        <v>0</v>
      </c>
      <c r="AB178" s="384">
        <f t="shared" si="51"/>
        <v>0</v>
      </c>
      <c r="AC178" s="384">
        <f t="shared" si="51"/>
        <v>0</v>
      </c>
      <c r="AD178" s="384">
        <f t="shared" si="51"/>
        <v>0</v>
      </c>
      <c r="AE178" s="384">
        <f t="shared" si="51"/>
        <v>0</v>
      </c>
      <c r="AF178" s="384">
        <f t="shared" si="51"/>
        <v>0</v>
      </c>
      <c r="AG178" s="143">
        <f t="shared" si="50"/>
        <v>0</v>
      </c>
    </row>
    <row r="179">
      <c r="A179" s="385"/>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c r="AA179" s="176"/>
      <c r="AB179" s="176"/>
      <c r="AC179" s="176"/>
      <c r="AD179" s="176"/>
      <c r="AE179" s="176"/>
      <c r="AF179" s="176"/>
      <c r="AG179" s="143"/>
    </row>
    <row r="180">
      <c r="A180" s="220" t="s">
        <v>533</v>
      </c>
      <c r="B180" s="384"/>
      <c r="C180" s="384"/>
      <c r="D180" s="384"/>
      <c r="E180" s="384"/>
      <c r="F180" s="384"/>
      <c r="G180" s="384"/>
      <c r="H180" s="384"/>
      <c r="I180" s="384"/>
      <c r="J180" s="384"/>
      <c r="K180" s="384"/>
      <c r="L180" s="384"/>
      <c r="M180" s="384"/>
      <c r="N180" s="384"/>
      <c r="O180" s="384"/>
      <c r="P180" s="384"/>
      <c r="Q180" s="384"/>
      <c r="R180" s="384"/>
      <c r="S180" s="384"/>
      <c r="T180" s="384"/>
      <c r="U180" s="384"/>
      <c r="V180" s="384"/>
      <c r="W180" s="384"/>
      <c r="X180" s="384"/>
      <c r="Y180" s="384"/>
      <c r="Z180" s="384"/>
      <c r="AA180" s="384"/>
      <c r="AB180" s="384"/>
      <c r="AC180" s="384"/>
      <c r="AD180" s="384"/>
      <c r="AE180" s="384"/>
      <c r="AF180" s="384"/>
      <c r="AG180" s="143"/>
    </row>
    <row r="181">
      <c r="A181" s="216" t="s">
        <v>534</v>
      </c>
      <c r="B181" s="176">
        <v>0.0</v>
      </c>
      <c r="C181" s="176">
        <v>0.0</v>
      </c>
      <c r="D181" s="176">
        <v>0.0</v>
      </c>
      <c r="E181" s="176">
        <v>0.0</v>
      </c>
      <c r="F181" s="176">
        <v>0.0</v>
      </c>
      <c r="G181" s="176">
        <v>0.0</v>
      </c>
      <c r="H181" s="176">
        <v>0.0</v>
      </c>
      <c r="I181" s="176">
        <v>0.0</v>
      </c>
      <c r="J181" s="176">
        <v>0.0</v>
      </c>
      <c r="K181" s="176">
        <v>0.0</v>
      </c>
      <c r="L181" s="176">
        <v>0.0</v>
      </c>
      <c r="M181" s="176">
        <v>0.0</v>
      </c>
      <c r="N181" s="176">
        <v>0.0</v>
      </c>
      <c r="O181" s="176">
        <v>0.0</v>
      </c>
      <c r="P181" s="176">
        <v>0.0</v>
      </c>
      <c r="Q181" s="176">
        <v>0.0</v>
      </c>
      <c r="R181" s="176">
        <v>0.0</v>
      </c>
      <c r="S181" s="176">
        <v>0.0</v>
      </c>
      <c r="T181" s="176">
        <v>0.0</v>
      </c>
      <c r="U181" s="176">
        <v>0.0</v>
      </c>
      <c r="V181" s="176">
        <v>0.0</v>
      </c>
      <c r="W181" s="176">
        <v>0.0</v>
      </c>
      <c r="X181" s="190">
        <v>0.0</v>
      </c>
      <c r="Y181" s="190">
        <v>0.0</v>
      </c>
      <c r="Z181" s="190">
        <v>0.0</v>
      </c>
      <c r="AA181" s="190">
        <v>0.0</v>
      </c>
      <c r="AB181" s="190">
        <v>0.0</v>
      </c>
      <c r="AC181" s="190">
        <v>0.0</v>
      </c>
      <c r="AD181" s="190">
        <v>0.0</v>
      </c>
      <c r="AE181" s="190">
        <v>0.0</v>
      </c>
      <c r="AF181" s="190">
        <v>0.0</v>
      </c>
      <c r="AG181" s="143"/>
    </row>
    <row r="182">
      <c r="A182" s="216" t="s">
        <v>535</v>
      </c>
      <c r="B182" s="176">
        <v>0.0</v>
      </c>
      <c r="C182" s="176">
        <v>0.0</v>
      </c>
      <c r="D182" s="176">
        <v>0.0</v>
      </c>
      <c r="E182" s="176">
        <v>0.0</v>
      </c>
      <c r="F182" s="176">
        <v>0.0</v>
      </c>
      <c r="G182" s="176">
        <v>0.0</v>
      </c>
      <c r="H182" s="176">
        <v>0.0</v>
      </c>
      <c r="I182" s="176">
        <v>0.0</v>
      </c>
      <c r="J182" s="176">
        <v>0.0</v>
      </c>
      <c r="K182" s="176">
        <v>0.0</v>
      </c>
      <c r="L182" s="176">
        <v>0.0</v>
      </c>
      <c r="M182" s="176">
        <v>0.0</v>
      </c>
      <c r="N182" s="176">
        <v>0.0</v>
      </c>
      <c r="O182" s="176">
        <v>0.0</v>
      </c>
      <c r="P182" s="176">
        <v>0.0</v>
      </c>
      <c r="Q182" s="176">
        <v>0.0</v>
      </c>
      <c r="R182" s="176">
        <v>0.0</v>
      </c>
      <c r="S182" s="176">
        <v>0.0</v>
      </c>
      <c r="T182" s="176">
        <v>0.0</v>
      </c>
      <c r="U182" s="176">
        <v>0.0</v>
      </c>
      <c r="V182" s="176">
        <v>0.0</v>
      </c>
      <c r="W182" s="176">
        <v>0.0</v>
      </c>
      <c r="X182" s="190">
        <v>0.0</v>
      </c>
      <c r="Y182" s="190">
        <v>0.0</v>
      </c>
      <c r="Z182" s="190">
        <v>0.0</v>
      </c>
      <c r="AA182" s="190">
        <v>0.0</v>
      </c>
      <c r="AB182" s="190">
        <v>0.0</v>
      </c>
      <c r="AC182" s="190">
        <v>0.0</v>
      </c>
      <c r="AD182" s="190">
        <v>0.0</v>
      </c>
      <c r="AE182" s="190">
        <v>0.0</v>
      </c>
      <c r="AF182" s="190">
        <v>0.0</v>
      </c>
      <c r="AG182" s="143"/>
    </row>
    <row r="183">
      <c r="A183" s="216" t="s">
        <v>536</v>
      </c>
      <c r="B183" s="176">
        <v>0.0</v>
      </c>
      <c r="C183" s="176">
        <v>0.0</v>
      </c>
      <c r="D183" s="176">
        <v>0.0</v>
      </c>
      <c r="E183" s="176">
        <v>0.0</v>
      </c>
      <c r="F183" s="176">
        <v>0.0</v>
      </c>
      <c r="G183" s="176">
        <v>0.0</v>
      </c>
      <c r="H183" s="176">
        <v>0.0</v>
      </c>
      <c r="I183" s="176">
        <v>0.0</v>
      </c>
      <c r="J183" s="176">
        <v>0.0</v>
      </c>
      <c r="K183" s="176">
        <v>0.0</v>
      </c>
      <c r="L183" s="176">
        <v>0.0</v>
      </c>
      <c r="M183" s="176">
        <v>0.0</v>
      </c>
      <c r="N183" s="176">
        <v>0.0</v>
      </c>
      <c r="O183" s="176">
        <v>0.0</v>
      </c>
      <c r="P183" s="176">
        <v>0.0</v>
      </c>
      <c r="Q183" s="176">
        <v>1.0</v>
      </c>
      <c r="R183" s="176">
        <v>0.0</v>
      </c>
      <c r="S183" s="176">
        <v>0.0</v>
      </c>
      <c r="T183" s="176">
        <v>0.0</v>
      </c>
      <c r="U183" s="176">
        <v>0.0</v>
      </c>
      <c r="V183" s="176">
        <v>0.0</v>
      </c>
      <c r="W183" s="176">
        <v>0.0</v>
      </c>
      <c r="X183" s="190">
        <v>0.0</v>
      </c>
      <c r="Y183" s="190">
        <v>0.0</v>
      </c>
      <c r="Z183" s="190">
        <v>0.0</v>
      </c>
      <c r="AA183" s="190">
        <v>0.0</v>
      </c>
      <c r="AB183" s="190">
        <v>0.0</v>
      </c>
      <c r="AC183" s="190">
        <v>0.0</v>
      </c>
      <c r="AD183" s="190">
        <v>0.0</v>
      </c>
      <c r="AE183" s="190">
        <v>0.0</v>
      </c>
      <c r="AF183" s="190">
        <v>0.0</v>
      </c>
      <c r="AG183" s="143"/>
    </row>
    <row r="184">
      <c r="A184" s="38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c r="AA184" s="176"/>
      <c r="AB184" s="176"/>
      <c r="AC184" s="176"/>
      <c r="AD184" s="176"/>
      <c r="AE184" s="176"/>
      <c r="AF184" s="176"/>
      <c r="AG184" s="143"/>
    </row>
    <row r="185">
      <c r="A185" s="387" t="s">
        <v>537</v>
      </c>
      <c r="B185" s="384">
        <v>0.0</v>
      </c>
      <c r="C185" s="384">
        <v>2.0</v>
      </c>
      <c r="D185" s="384">
        <v>2.0</v>
      </c>
      <c r="E185" s="384">
        <v>0.0</v>
      </c>
      <c r="F185" s="384">
        <v>0.0</v>
      </c>
      <c r="G185" s="384">
        <v>0.0</v>
      </c>
      <c r="H185" s="384">
        <v>0.0</v>
      </c>
      <c r="I185" s="384">
        <v>0.0</v>
      </c>
      <c r="J185" s="384">
        <v>1.0</v>
      </c>
      <c r="K185" s="384">
        <v>3.0</v>
      </c>
      <c r="L185" s="384">
        <v>0.0</v>
      </c>
      <c r="M185" s="384">
        <v>1.0</v>
      </c>
      <c r="N185" s="384">
        <v>0.0</v>
      </c>
      <c r="O185" s="384">
        <v>0.0</v>
      </c>
      <c r="P185" s="384">
        <v>0.0</v>
      </c>
      <c r="Q185" s="384">
        <v>1.0</v>
      </c>
      <c r="R185" s="384">
        <v>2.0</v>
      </c>
      <c r="S185" s="384">
        <v>0.0</v>
      </c>
      <c r="T185" s="384">
        <v>1.0</v>
      </c>
      <c r="U185" s="384">
        <v>0.0</v>
      </c>
      <c r="V185" s="384">
        <v>0.0</v>
      </c>
      <c r="W185" s="384">
        <v>0.0</v>
      </c>
      <c r="X185" s="384">
        <v>0.0</v>
      </c>
      <c r="Y185" s="384">
        <v>0.0</v>
      </c>
      <c r="Z185" s="384">
        <v>0.0</v>
      </c>
      <c r="AA185" s="384">
        <v>0.0</v>
      </c>
      <c r="AB185" s="384">
        <v>0.0</v>
      </c>
      <c r="AC185" s="384">
        <v>0.0</v>
      </c>
      <c r="AD185" s="384">
        <v>1.0</v>
      </c>
      <c r="AE185" s="384">
        <v>0.0</v>
      </c>
      <c r="AF185" s="384">
        <v>1.0</v>
      </c>
      <c r="AG185" s="143">
        <f>SUM(B185:AF185)</f>
        <v>15</v>
      </c>
    </row>
    <row r="186">
      <c r="A186" s="177"/>
      <c r="AF186" s="288"/>
      <c r="AG186" s="209"/>
    </row>
    <row r="187">
      <c r="A187" s="147" t="s">
        <v>321</v>
      </c>
      <c r="AF187" s="288"/>
      <c r="AG187" s="209"/>
    </row>
    <row r="188">
      <c r="A188" s="220" t="s">
        <v>538</v>
      </c>
      <c r="B188" s="384">
        <v>0.0</v>
      </c>
      <c r="C188" s="384">
        <v>0.0</v>
      </c>
      <c r="D188" s="384">
        <v>0.0</v>
      </c>
      <c r="E188" s="384">
        <v>0.0</v>
      </c>
      <c r="F188" s="384">
        <v>0.0</v>
      </c>
      <c r="G188" s="384">
        <v>0.0</v>
      </c>
      <c r="H188" s="384">
        <v>0.0</v>
      </c>
      <c r="I188" s="384">
        <v>0.0</v>
      </c>
      <c r="J188" s="384">
        <v>0.0</v>
      </c>
      <c r="K188" s="384">
        <v>0.0</v>
      </c>
      <c r="L188" s="384">
        <v>0.0</v>
      </c>
      <c r="M188" s="384">
        <v>0.0</v>
      </c>
      <c r="N188" s="384">
        <v>0.0</v>
      </c>
      <c r="O188" s="384">
        <v>0.0</v>
      </c>
      <c r="P188" s="384"/>
      <c r="Q188" s="384"/>
      <c r="R188" s="384"/>
      <c r="S188" s="384"/>
      <c r="T188" s="384"/>
      <c r="U188" s="384"/>
      <c r="V188" s="384"/>
      <c r="W188" s="384"/>
      <c r="X188" s="384"/>
      <c r="Y188" s="384"/>
      <c r="Z188" s="384"/>
      <c r="AA188" s="384"/>
      <c r="AB188" s="384"/>
      <c r="AC188" s="384"/>
      <c r="AD188" s="384"/>
      <c r="AE188" s="384"/>
      <c r="AF188" s="384"/>
      <c r="AG188" s="143">
        <f>SUM(B188:AF188)</f>
        <v>0</v>
      </c>
    </row>
    <row r="189">
      <c r="A189" s="177"/>
      <c r="B189" s="374"/>
      <c r="AF189" s="339"/>
      <c r="AG189" s="143"/>
    </row>
    <row r="190">
      <c r="A190" s="127" t="s">
        <v>323</v>
      </c>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209"/>
    </row>
    <row r="191">
      <c r="A191" s="85" t="s">
        <v>324</v>
      </c>
      <c r="B191" s="388">
        <f t="shared" ref="B191:AF191" si="52">B13</f>
        <v>2390.92</v>
      </c>
      <c r="C191" s="388">
        <f t="shared" si="52"/>
        <v>2568.83</v>
      </c>
      <c r="D191" s="388">
        <f t="shared" si="52"/>
        <v>1913.96</v>
      </c>
      <c r="E191" s="388">
        <f t="shared" si="52"/>
        <v>1152.11</v>
      </c>
      <c r="F191" s="388">
        <f t="shared" si="52"/>
        <v>1392.03</v>
      </c>
      <c r="G191" s="388">
        <f t="shared" si="52"/>
        <v>0</v>
      </c>
      <c r="H191" s="388">
        <f t="shared" si="52"/>
        <v>0</v>
      </c>
      <c r="I191" s="388">
        <f t="shared" si="52"/>
        <v>341.24</v>
      </c>
      <c r="J191" s="388">
        <f t="shared" si="52"/>
        <v>892.25</v>
      </c>
      <c r="K191" s="388">
        <f t="shared" si="52"/>
        <v>857</v>
      </c>
      <c r="L191" s="388">
        <f t="shared" si="52"/>
        <v>986.01</v>
      </c>
      <c r="M191" s="388">
        <f t="shared" si="52"/>
        <v>1180.06</v>
      </c>
      <c r="N191" s="388">
        <f t="shared" si="52"/>
        <v>867.48</v>
      </c>
      <c r="O191" s="388">
        <f t="shared" si="52"/>
        <v>1071.76</v>
      </c>
      <c r="P191" s="388">
        <f t="shared" si="52"/>
        <v>1012.45</v>
      </c>
      <c r="Q191" s="388">
        <f t="shared" si="52"/>
        <v>977.04</v>
      </c>
      <c r="R191" s="388">
        <f t="shared" si="52"/>
        <v>936.82</v>
      </c>
      <c r="S191" s="388">
        <f t="shared" si="52"/>
        <v>995.13</v>
      </c>
      <c r="T191" s="388">
        <f t="shared" si="52"/>
        <v>1262.59</v>
      </c>
      <c r="U191" s="388">
        <f t="shared" si="52"/>
        <v>1408.85</v>
      </c>
      <c r="V191" s="388">
        <f t="shared" si="52"/>
        <v>1380.25</v>
      </c>
      <c r="W191" s="388">
        <f t="shared" si="52"/>
        <v>672.65</v>
      </c>
      <c r="X191" s="388">
        <f t="shared" si="52"/>
        <v>709.7</v>
      </c>
      <c r="Y191" s="388">
        <f t="shared" si="52"/>
        <v>737.2</v>
      </c>
      <c r="Z191" s="388">
        <f t="shared" si="52"/>
        <v>863.9</v>
      </c>
      <c r="AA191" s="388">
        <f t="shared" si="52"/>
        <v>1191.1</v>
      </c>
      <c r="AB191" s="388">
        <f t="shared" si="52"/>
        <v>1856.57</v>
      </c>
      <c r="AC191" s="388">
        <f t="shared" si="52"/>
        <v>2428.3</v>
      </c>
      <c r="AD191" s="388">
        <f t="shared" si="52"/>
        <v>1865.18</v>
      </c>
      <c r="AE191" s="388">
        <f t="shared" si="52"/>
        <v>1736.58</v>
      </c>
      <c r="AF191" s="388">
        <f t="shared" si="52"/>
        <v>1754.27</v>
      </c>
      <c r="AG191" s="126">
        <f t="shared" ref="AG191:AG207" si="54">SUM(B191:AF191)</f>
        <v>37402.23</v>
      </c>
    </row>
    <row r="192">
      <c r="A192" s="85" t="s">
        <v>539</v>
      </c>
      <c r="B192" s="142">
        <f t="shared" ref="B192:AF192" si="53">B14</f>
        <v>1238.895</v>
      </c>
      <c r="C192" s="142">
        <f t="shared" si="53"/>
        <v>1276.4535</v>
      </c>
      <c r="D192" s="142">
        <f t="shared" si="53"/>
        <v>1493.9985</v>
      </c>
      <c r="E192" s="142">
        <f t="shared" si="53"/>
        <v>1083.3885</v>
      </c>
      <c r="F192" s="142">
        <f t="shared" si="53"/>
        <v>1109.3595</v>
      </c>
      <c r="G192" s="142">
        <f t="shared" si="53"/>
        <v>939.3375</v>
      </c>
      <c r="H192" s="142">
        <f t="shared" si="53"/>
        <v>822.009</v>
      </c>
      <c r="I192" s="142">
        <f t="shared" si="53"/>
        <v>1332.4965</v>
      </c>
      <c r="J192" s="142">
        <f t="shared" si="53"/>
        <v>1153.785</v>
      </c>
      <c r="K192" s="142">
        <f t="shared" si="53"/>
        <v>901.365</v>
      </c>
      <c r="L192" s="142">
        <f t="shared" si="53"/>
        <v>1025.5365</v>
      </c>
      <c r="M192" s="142">
        <f t="shared" si="53"/>
        <v>1077.9225</v>
      </c>
      <c r="N192" s="142">
        <f t="shared" si="53"/>
        <v>1021.23</v>
      </c>
      <c r="O192" s="142">
        <f t="shared" si="53"/>
        <v>840.9975</v>
      </c>
      <c r="P192" s="142">
        <f t="shared" si="53"/>
        <v>967.1565</v>
      </c>
      <c r="Q192" s="142">
        <f t="shared" si="53"/>
        <v>766.1055</v>
      </c>
      <c r="R192" s="142">
        <f t="shared" si="53"/>
        <v>832.992</v>
      </c>
      <c r="S192" s="142">
        <f t="shared" si="53"/>
        <v>1094.964</v>
      </c>
      <c r="T192" s="142">
        <f t="shared" si="53"/>
        <v>1157.0595</v>
      </c>
      <c r="U192" s="142">
        <f t="shared" si="53"/>
        <v>1800.48</v>
      </c>
      <c r="V192" s="142">
        <f t="shared" si="53"/>
        <v>2208.7335</v>
      </c>
      <c r="W192" s="142">
        <f t="shared" si="53"/>
        <v>2145.546</v>
      </c>
      <c r="X192" s="142">
        <f t="shared" si="53"/>
        <v>1378.9245</v>
      </c>
      <c r="Y192" s="142">
        <f t="shared" si="53"/>
        <v>1738.362</v>
      </c>
      <c r="Z192" s="142">
        <f t="shared" si="53"/>
        <v>1146.7485</v>
      </c>
      <c r="AA192" s="142">
        <f t="shared" si="53"/>
        <v>1617.8205</v>
      </c>
      <c r="AB192" s="142">
        <f t="shared" si="53"/>
        <v>1553.634</v>
      </c>
      <c r="AC192" s="142">
        <f t="shared" si="53"/>
        <v>2364.465</v>
      </c>
      <c r="AD192" s="142">
        <f t="shared" si="53"/>
        <v>2555.526</v>
      </c>
      <c r="AE192" s="142">
        <f t="shared" si="53"/>
        <v>1686.474</v>
      </c>
      <c r="AF192" s="142">
        <f t="shared" si="53"/>
        <v>2200.1865</v>
      </c>
      <c r="AG192" s="126">
        <f t="shared" si="54"/>
        <v>42531.9525</v>
      </c>
    </row>
    <row r="193">
      <c r="A193" s="389" t="s">
        <v>352</v>
      </c>
      <c r="B193" s="142">
        <f>(B28+B29)*'Data - P&amp;L'!$C$3</f>
        <v>173.8</v>
      </c>
      <c r="C193" s="142">
        <f>(C28+C29)*'Data - P&amp;L'!$C$3</f>
        <v>608.3</v>
      </c>
      <c r="D193" s="142">
        <f>(D28+D29)*'Data - P&amp;L'!$C$3</f>
        <v>782.1</v>
      </c>
      <c r="E193" s="142">
        <f>(E28+E29)*'Data - P&amp;L'!$C$3</f>
        <v>521.4</v>
      </c>
      <c r="F193" s="142">
        <f>(F28+F29)*'Data - P&amp;L'!$C$3</f>
        <v>347.6</v>
      </c>
      <c r="G193" s="142">
        <f>(G28+G29)*'Data - P&amp;L'!$C$3</f>
        <v>86.9</v>
      </c>
      <c r="H193" s="142">
        <f>(H28+H29)*'Data - P&amp;L'!$C$3</f>
        <v>173.8</v>
      </c>
      <c r="I193" s="142">
        <f>(I28+I29)*'Data - P&amp;L'!$C$3</f>
        <v>347.6</v>
      </c>
      <c r="J193" s="142">
        <f>(J28+J29)*'Data - P&amp;L'!$C$3</f>
        <v>695.2</v>
      </c>
      <c r="K193" s="142">
        <f>(K28+K29)*'Data - P&amp;L'!$C$3</f>
        <v>608.3</v>
      </c>
      <c r="L193" s="142">
        <f>(L28+L29)*'Data - P&amp;L'!$C$3</f>
        <v>869</v>
      </c>
      <c r="M193" s="142">
        <f>(M28+M29)*'Data - P&amp;L'!$C$3</f>
        <v>1651.1</v>
      </c>
      <c r="N193" s="142">
        <f>(N28+N29)*'Data - P&amp;L'!$C$3</f>
        <v>1390.4</v>
      </c>
      <c r="O193" s="142">
        <f>(O28+O29)*'Data - P&amp;L'!$C$3</f>
        <v>869</v>
      </c>
      <c r="P193" s="142">
        <f>(P28+P29)*'Data - P&amp;L'!$C$3</f>
        <v>1042.8</v>
      </c>
      <c r="Q193" s="142">
        <f>(Q28+Q29)*'Data - P&amp;L'!$C$3</f>
        <v>1042.8</v>
      </c>
      <c r="R193" s="142">
        <f>(R28+R29)*'Data - P&amp;L'!$C$3</f>
        <v>1042.8</v>
      </c>
      <c r="S193" s="142">
        <f>(S28+S29)*'Data - P&amp;L'!$C$3</f>
        <v>1303.5</v>
      </c>
      <c r="T193" s="142">
        <f>(T28+T29)*'Data - P&amp;L'!$C$3</f>
        <v>955.9</v>
      </c>
      <c r="U193" s="142">
        <f>(U28+U29)*'Data - P&amp;L'!$C$3</f>
        <v>2172.5</v>
      </c>
      <c r="V193" s="142">
        <f>(V28+V29)*'Data - P&amp;L'!$C$3</f>
        <v>1564.2</v>
      </c>
      <c r="W193" s="142">
        <f>(W28+W29)*'Data - P&amp;L'!$C$3</f>
        <v>1129.7</v>
      </c>
      <c r="X193" s="142">
        <f>(X28+X29)*'Data - P&amp;L'!$C$3</f>
        <v>1129.7</v>
      </c>
      <c r="Y193" s="142">
        <f>(Y28+Y29)*'Data - P&amp;L'!$C$3</f>
        <v>347.6</v>
      </c>
      <c r="Z193" s="142">
        <f>(Z28+Z29)*'Data - P&amp;L'!$C$3</f>
        <v>521.4</v>
      </c>
      <c r="AA193" s="142">
        <f>(AA28+AA29)*'Data - P&amp;L'!$C$3</f>
        <v>86.9</v>
      </c>
      <c r="AB193" s="142">
        <f>(AB28+AB29)*'Data - P&amp;L'!$C$3</f>
        <v>86.9</v>
      </c>
      <c r="AC193" s="142">
        <f>(AC28+AC29)*'Data - P&amp;L'!$C$3</f>
        <v>695.2</v>
      </c>
      <c r="AD193" s="142">
        <f>(AD28+AD29)*'Data - P&amp;L'!$C$3</f>
        <v>86.9</v>
      </c>
      <c r="AE193" s="142">
        <f>(AE28+AE29)*'Data - P&amp;L'!$C$3</f>
        <v>173.8</v>
      </c>
      <c r="AF193" s="142">
        <f>(AF28+AF29)*'Data - P&amp;L'!$C$3</f>
        <v>434.5</v>
      </c>
      <c r="AG193" s="126">
        <f t="shared" si="54"/>
        <v>22941.6</v>
      </c>
    </row>
    <row r="194">
      <c r="A194" s="389" t="s">
        <v>353</v>
      </c>
      <c r="B194" s="142">
        <f>(B30+B31)*'Data - P&amp;L'!$C$4</f>
        <v>2245.03</v>
      </c>
      <c r="C194" s="142">
        <f>(C30+C31)*'Data - P&amp;L'!$C$4</f>
        <v>1854.59</v>
      </c>
      <c r="D194" s="142">
        <f>(D30+D31)*'Data - P&amp;L'!$C$4</f>
        <v>2245.03</v>
      </c>
      <c r="E194" s="142">
        <f>(E30+E31)*'Data - P&amp;L'!$C$4</f>
        <v>1659.37</v>
      </c>
      <c r="F194" s="142">
        <f>(F30+F31)*'Data - P&amp;L'!$C$4</f>
        <v>1854.59</v>
      </c>
      <c r="G194" s="142">
        <f>(G30+G31)*'Data - P&amp;L'!$C$4</f>
        <v>1756.98</v>
      </c>
      <c r="H194" s="142">
        <f>(H30+H31)*'Data - P&amp;L'!$C$4</f>
        <v>1464.15</v>
      </c>
      <c r="I194" s="142">
        <f>(I30+I31)*'Data - P&amp;L'!$C$4</f>
        <v>2342.64</v>
      </c>
      <c r="J194" s="142">
        <f>(J30+J31)*'Data - P&amp;L'!$C$4</f>
        <v>1659.37</v>
      </c>
      <c r="K194" s="142">
        <f>(K30+K31)*'Data - P&amp;L'!$C$4</f>
        <v>1268.93</v>
      </c>
      <c r="L194" s="142">
        <f>(L30+L31)*'Data - P&amp;L'!$C$4</f>
        <v>1268.93</v>
      </c>
      <c r="M194" s="142">
        <f>(M30+M31)*'Data - P&amp;L'!$C$4</f>
        <v>683.27</v>
      </c>
      <c r="N194" s="142">
        <f>(N30+N31)*'Data - P&amp;L'!$C$4</f>
        <v>780.88</v>
      </c>
      <c r="O194" s="142">
        <f>(O30+O31)*'Data - P&amp;L'!$C$4</f>
        <v>878.49</v>
      </c>
      <c r="P194" s="142">
        <f>(P30+P31)*'Data - P&amp;L'!$C$4</f>
        <v>976.1</v>
      </c>
      <c r="Q194" s="142">
        <f>(Q30+Q31)*'Data - P&amp;L'!$C$4</f>
        <v>585.66</v>
      </c>
      <c r="R194" s="142">
        <f>(R30+R31)*'Data - P&amp;L'!$C$4</f>
        <v>683.27</v>
      </c>
      <c r="S194" s="142">
        <f>(S30+S31)*'Data - P&amp;L'!$C$4</f>
        <v>976.1</v>
      </c>
      <c r="T194" s="142">
        <f>(T30+T31)*'Data - P&amp;L'!$C$4</f>
        <v>1464.15</v>
      </c>
      <c r="U194" s="142">
        <f>(U30+U31)*'Data - P&amp;L'!$C$4</f>
        <v>1561.76</v>
      </c>
      <c r="V194" s="142">
        <f>(V30+V31)*'Data - P&amp;L'!$C$4</f>
        <v>2928.3</v>
      </c>
      <c r="W194" s="142">
        <f>(W30+W31)*'Data - P&amp;L'!$C$4</f>
        <v>3221.13</v>
      </c>
      <c r="X194" s="142">
        <f>(X30+X31)*'Data - P&amp;L'!$C$4</f>
        <v>1659.37</v>
      </c>
      <c r="Y194" s="142">
        <f>(Y30+Y31)*'Data - P&amp;L'!$C$4</f>
        <v>3123.52</v>
      </c>
      <c r="Z194" s="142">
        <f>(Z30+Z31)*'Data - P&amp;L'!$C$4</f>
        <v>1756.98</v>
      </c>
      <c r="AA194" s="142">
        <f>(AA30+AA31)*'Data - P&amp;L'!$C$4</f>
        <v>3123.52</v>
      </c>
      <c r="AB194" s="142">
        <f>(AB30+AB31)*'Data - P&amp;L'!$C$4</f>
        <v>2928.3</v>
      </c>
      <c r="AC194" s="142">
        <f>(AC30+AC31)*'Data - P&amp;L'!$C$4</f>
        <v>3904.4</v>
      </c>
      <c r="AD194" s="142">
        <f>(AD30+AD31)*'Data - P&amp;L'!$C$4</f>
        <v>4978.11</v>
      </c>
      <c r="AE194" s="142">
        <f>(AE30+AE31)*'Data - P&amp;L'!$C$4</f>
        <v>3123.52</v>
      </c>
      <c r="AF194" s="142">
        <f>(AF30+AF31)*'Data - P&amp;L'!$C$4</f>
        <v>4002.01</v>
      </c>
      <c r="AG194" s="126">
        <f t="shared" si="54"/>
        <v>62958.45</v>
      </c>
    </row>
    <row r="195">
      <c r="A195" s="389" t="s">
        <v>354</v>
      </c>
      <c r="B195" s="142">
        <f>B34*'Data - P&amp;L'!$C$6</f>
        <v>43.92</v>
      </c>
      <c r="C195" s="142">
        <f>C34*'Data - P&amp;L'!$C$6</f>
        <v>16.47</v>
      </c>
      <c r="D195" s="142">
        <f>D34*'Data - P&amp;L'!$C$6</f>
        <v>0</v>
      </c>
      <c r="E195" s="142">
        <f>E34*'Data - P&amp;L'!$C$6</f>
        <v>0</v>
      </c>
      <c r="F195" s="142">
        <f>F34*'Data - P&amp;L'!$C$6</f>
        <v>0</v>
      </c>
      <c r="G195" s="142">
        <f>G34*'Data - P&amp;L'!$C$6</f>
        <v>0</v>
      </c>
      <c r="H195" s="142">
        <f>H34*'Data - P&amp;L'!$C$6</f>
        <v>10.98</v>
      </c>
      <c r="I195" s="142">
        <f>I34*'Data - P&amp;L'!$C$6</f>
        <v>21.96</v>
      </c>
      <c r="J195" s="142">
        <f>J34*'Data - P&amp;L'!$C$6</f>
        <v>21.96</v>
      </c>
      <c r="K195" s="142">
        <f>K34*'Data - P&amp;L'!$C$6</f>
        <v>0</v>
      </c>
      <c r="L195" s="142">
        <f>L34*'Data - P&amp;L'!$C$6</f>
        <v>5.49</v>
      </c>
      <c r="M195" s="142">
        <f>M34*'Data - P&amp;L'!$C$6</f>
        <v>32.94</v>
      </c>
      <c r="N195" s="142">
        <f>N34*'Data - P&amp;L'!$C$6</f>
        <v>0</v>
      </c>
      <c r="O195" s="142">
        <f>O34*'Data - P&amp;L'!$C$6</f>
        <v>5.49</v>
      </c>
      <c r="P195" s="142">
        <f>P34*'Data - P&amp;L'!$C$6</f>
        <v>5.49</v>
      </c>
      <c r="Q195" s="142">
        <f>Q34*'Data - P&amp;L'!$C$6</f>
        <v>0</v>
      </c>
      <c r="R195" s="142">
        <f>R34*'Data - P&amp;L'!$C$6</f>
        <v>16.47</v>
      </c>
      <c r="S195" s="142">
        <f>S34*'Data - P&amp;L'!$C$6</f>
        <v>16.47</v>
      </c>
      <c r="T195" s="142">
        <f>T34*'Data - P&amp;L'!$C$6</f>
        <v>0</v>
      </c>
      <c r="U195" s="142">
        <f>U34*'Data - P&amp;L'!$C$6</f>
        <v>32.94</v>
      </c>
      <c r="V195" s="142">
        <f>V34*'Data - P&amp;L'!$C$6</f>
        <v>54.9</v>
      </c>
      <c r="W195" s="142">
        <f>W34*'Data - P&amp;L'!$C$6</f>
        <v>38.43</v>
      </c>
      <c r="X195" s="142">
        <f>X34*'Data - P&amp;L'!$C$6</f>
        <v>43.92</v>
      </c>
      <c r="Y195" s="142">
        <f>Y34*'Data - P&amp;L'!$C$6</f>
        <v>49.41</v>
      </c>
      <c r="Z195" s="142">
        <f>Z34*'Data - P&amp;L'!$C$6</f>
        <v>43.92</v>
      </c>
      <c r="AA195" s="142">
        <f>AA34*'Data - P&amp;L'!$C$6</f>
        <v>49.41</v>
      </c>
      <c r="AB195" s="142">
        <f>AB34*'Data - P&amp;L'!$C$6</f>
        <v>82.35</v>
      </c>
      <c r="AC195" s="142">
        <f>AC34*'Data - P&amp;L'!$C$6</f>
        <v>142.74</v>
      </c>
      <c r="AD195" s="142">
        <f>AD34*'Data - P&amp;L'!$C$6</f>
        <v>76.86</v>
      </c>
      <c r="AE195" s="142">
        <f>AE34*'Data - P&amp;L'!$C$6</f>
        <v>87.84</v>
      </c>
      <c r="AF195" s="142">
        <f>AF34*'Data - P&amp;L'!$C$6</f>
        <v>49.41</v>
      </c>
      <c r="AG195" s="126">
        <f t="shared" si="54"/>
        <v>949.77</v>
      </c>
    </row>
    <row r="196">
      <c r="A196" s="389" t="s">
        <v>355</v>
      </c>
      <c r="B196" s="142">
        <f>B35*'Data - P&amp;L'!$C$8</f>
        <v>0</v>
      </c>
      <c r="C196" s="142">
        <f>C35*'Data - P&amp;L'!$C$8</f>
        <v>0</v>
      </c>
      <c r="D196" s="142">
        <f>D35*'Data - P&amp;L'!$C$8</f>
        <v>0</v>
      </c>
      <c r="E196" s="142">
        <f>E35*'Data - P&amp;L'!$C$8</f>
        <v>0</v>
      </c>
      <c r="F196" s="142">
        <f>F35*'Data - P&amp;L'!$C$8</f>
        <v>0</v>
      </c>
      <c r="G196" s="142">
        <f>G35*'Data - P&amp;L'!$C$8</f>
        <v>0</v>
      </c>
      <c r="H196" s="142">
        <f>H35*'Data - P&amp;L'!$C$8</f>
        <v>0</v>
      </c>
      <c r="I196" s="142">
        <f>I35*'Data - P&amp;L'!$C$8</f>
        <v>0</v>
      </c>
      <c r="J196" s="142">
        <f>J35*'Data - P&amp;L'!$C$8</f>
        <v>0</v>
      </c>
      <c r="K196" s="142">
        <f>K35*'Data - P&amp;L'!$C$8</f>
        <v>0</v>
      </c>
      <c r="L196" s="142">
        <f>L35*'Data - P&amp;L'!$C$8</f>
        <v>0</v>
      </c>
      <c r="M196" s="142">
        <f>M35*'Data - P&amp;L'!$C$8</f>
        <v>0</v>
      </c>
      <c r="N196" s="142">
        <f>N35*'Data - P&amp;L'!$C$8</f>
        <v>0</v>
      </c>
      <c r="O196" s="142">
        <f>O35*'Data - P&amp;L'!$C$8</f>
        <v>0</v>
      </c>
      <c r="P196" s="142">
        <f>P35*'Data - P&amp;L'!$C$8</f>
        <v>0</v>
      </c>
      <c r="Q196" s="142">
        <f>Q35*'Data - P&amp;L'!$C$8</f>
        <v>0</v>
      </c>
      <c r="R196" s="142">
        <f>R35*'Data - P&amp;L'!$C$8</f>
        <v>0</v>
      </c>
      <c r="S196" s="142">
        <f>S35*'Data - P&amp;L'!$C$8</f>
        <v>0</v>
      </c>
      <c r="T196" s="142">
        <f>T35*'Data - P&amp;L'!$C$8</f>
        <v>0</v>
      </c>
      <c r="U196" s="142">
        <f>U35*'Data - P&amp;L'!$C$8</f>
        <v>0</v>
      </c>
      <c r="V196" s="142">
        <f>V35*'Data - P&amp;L'!$C$8</f>
        <v>0</v>
      </c>
      <c r="W196" s="142">
        <f>W35*'Data - P&amp;L'!$C$8</f>
        <v>0</v>
      </c>
      <c r="X196" s="142">
        <f>X35*'Data - P&amp;L'!$C$8</f>
        <v>0</v>
      </c>
      <c r="Y196" s="142">
        <f>Y35*'Data - P&amp;L'!$C$8</f>
        <v>0</v>
      </c>
      <c r="Z196" s="142">
        <f>Z35*'Data - P&amp;L'!$C$8</f>
        <v>0</v>
      </c>
      <c r="AA196" s="142">
        <f>AA35*'Data - P&amp;L'!$C$8</f>
        <v>0</v>
      </c>
      <c r="AB196" s="142">
        <f>AB35*'Data - P&amp;L'!$C$8</f>
        <v>0</v>
      </c>
      <c r="AC196" s="142">
        <f>AC35*'Data - P&amp;L'!$C$8</f>
        <v>0</v>
      </c>
      <c r="AD196" s="142">
        <f>AD35*'Data - P&amp;L'!$C$8</f>
        <v>0</v>
      </c>
      <c r="AE196" s="142">
        <f>AE35*'Data - P&amp;L'!$C$8</f>
        <v>0</v>
      </c>
      <c r="AF196" s="142">
        <f>AF35*'Data - P&amp;L'!$C$8</f>
        <v>0</v>
      </c>
      <c r="AG196" s="126">
        <f t="shared" si="54"/>
        <v>0</v>
      </c>
    </row>
    <row r="197">
      <c r="A197" s="389" t="s">
        <v>356</v>
      </c>
      <c r="B197" s="142">
        <f>(B36+B37)*'Data - P&amp;L'!$C$9</f>
        <v>0</v>
      </c>
      <c r="C197" s="142">
        <f>(C36+C37)*'Data - P&amp;L'!$C$9</f>
        <v>0</v>
      </c>
      <c r="D197" s="142">
        <f>(D36+D37)*'Data - P&amp;L'!$C$9</f>
        <v>0</v>
      </c>
      <c r="E197" s="142">
        <f>(E36+E37)*'Data - P&amp;L'!$C$9</f>
        <v>0</v>
      </c>
      <c r="F197" s="142">
        <f>(F36+F37)*'Data - P&amp;L'!$C$9</f>
        <v>0</v>
      </c>
      <c r="G197" s="142">
        <f>(G36+G37)*'Data - P&amp;L'!$C$9</f>
        <v>0</v>
      </c>
      <c r="H197" s="142">
        <f>(H36+H37)*'Data - P&amp;L'!$C$9</f>
        <v>0</v>
      </c>
      <c r="I197" s="142">
        <f>(I36+I37)*'Data - P&amp;L'!$C$9</f>
        <v>0</v>
      </c>
      <c r="J197" s="142">
        <f>(J36+J37)*'Data - P&amp;L'!$C$9</f>
        <v>0</v>
      </c>
      <c r="K197" s="142">
        <f>(K36+K37)*'Data - P&amp;L'!$C$9</f>
        <v>0</v>
      </c>
      <c r="L197" s="142">
        <f>(L36+L37)*'Data - P&amp;L'!$C$9</f>
        <v>0</v>
      </c>
      <c r="M197" s="142">
        <f>(M36+M37)*'Data - P&amp;L'!$C$9</f>
        <v>0</v>
      </c>
      <c r="N197" s="142">
        <f>(N36+N37)*'Data - P&amp;L'!$C$9</f>
        <v>0</v>
      </c>
      <c r="O197" s="142">
        <f>(O36+O37)*'Data - P&amp;L'!$C$9</f>
        <v>0</v>
      </c>
      <c r="P197" s="142">
        <f>(P36+P37)*'Data - P&amp;L'!$C$9</f>
        <v>0</v>
      </c>
      <c r="Q197" s="142">
        <f>(Q36+Q37)*'Data - P&amp;L'!$C$9</f>
        <v>0</v>
      </c>
      <c r="R197" s="142">
        <f>(R36+R37)*'Data - P&amp;L'!$C$9</f>
        <v>0</v>
      </c>
      <c r="S197" s="142">
        <f>(S36+S37)*'Data - P&amp;L'!$C$9</f>
        <v>0</v>
      </c>
      <c r="T197" s="142">
        <f>(T36+T37)*'Data - P&amp;L'!$C$9</f>
        <v>0</v>
      </c>
      <c r="U197" s="142">
        <f>(U36+U37)*'Data - P&amp;L'!$C$9</f>
        <v>0</v>
      </c>
      <c r="V197" s="142">
        <f>(V36+V37)*'Data - P&amp;L'!$C$9</f>
        <v>0</v>
      </c>
      <c r="W197" s="142">
        <f>(W36+W37)*'Data - P&amp;L'!$C$9</f>
        <v>0</v>
      </c>
      <c r="X197" s="142">
        <f>(X36+X37)*'Data - P&amp;L'!$C$9</f>
        <v>0</v>
      </c>
      <c r="Y197" s="142">
        <f>(Y36+Y37)*'Data - P&amp;L'!$C$9</f>
        <v>0</v>
      </c>
      <c r="Z197" s="142">
        <f>(Z36+Z37)*'Data - P&amp;L'!$C$9</f>
        <v>0</v>
      </c>
      <c r="AA197" s="142">
        <f>(AA36+AA37)*'Data - P&amp;L'!$C$9</f>
        <v>0</v>
      </c>
      <c r="AB197" s="142">
        <f>(AB36+AB37)*'Data - P&amp;L'!$C$9</f>
        <v>0</v>
      </c>
      <c r="AC197" s="142">
        <f>(AC36+AC37)*'Data - P&amp;L'!$C$9</f>
        <v>0</v>
      </c>
      <c r="AD197" s="142">
        <f>(AD36+AD37)*'Data - P&amp;L'!$C$9</f>
        <v>0</v>
      </c>
      <c r="AE197" s="142">
        <f>(AE36+AE37)*'Data - P&amp;L'!$C$9</f>
        <v>0</v>
      </c>
      <c r="AF197" s="142">
        <f>(AF36+AF37)*'Data - P&amp;L'!$C$9</f>
        <v>0</v>
      </c>
      <c r="AG197" s="126">
        <f t="shared" si="54"/>
        <v>0</v>
      </c>
    </row>
    <row r="198">
      <c r="A198" s="389" t="s">
        <v>357</v>
      </c>
      <c r="B198" s="142">
        <f>(B38+B39)*'Data - P&amp;L'!$C$5</f>
        <v>0</v>
      </c>
      <c r="C198" s="142">
        <f>(C38+C39)*'Data - P&amp;L'!$C$5</f>
        <v>0</v>
      </c>
      <c r="D198" s="142">
        <f>(D38+D39)*'Data - P&amp;L'!$C$5</f>
        <v>0</v>
      </c>
      <c r="E198" s="142">
        <f>(E38+E39)*'Data - P&amp;L'!$C$5</f>
        <v>0</v>
      </c>
      <c r="F198" s="142">
        <f>(F38+F39)*'Data - P&amp;L'!$C$5</f>
        <v>0</v>
      </c>
      <c r="G198" s="142">
        <f>(G38+G39)*'Data - P&amp;L'!$C$5</f>
        <v>0</v>
      </c>
      <c r="H198" s="142">
        <f>(H38+H39)*'Data - P&amp;L'!$C$5</f>
        <v>0</v>
      </c>
      <c r="I198" s="142">
        <f>(I38+I39)*'Data - P&amp;L'!$C$5</f>
        <v>0</v>
      </c>
      <c r="J198" s="142">
        <f>(J38+J39)*'Data - P&amp;L'!$C$5</f>
        <v>0</v>
      </c>
      <c r="K198" s="142">
        <f>(K38+K39)*'Data - P&amp;L'!$C$5</f>
        <v>0</v>
      </c>
      <c r="L198" s="142">
        <f>(L38+L39)*'Data - P&amp;L'!$C$5</f>
        <v>0</v>
      </c>
      <c r="M198" s="142">
        <f>(M38+M39)*'Data - P&amp;L'!$C$5</f>
        <v>0</v>
      </c>
      <c r="N198" s="142">
        <f>(N38+N39)*'Data - P&amp;L'!$C$5</f>
        <v>0</v>
      </c>
      <c r="O198" s="142">
        <f>(O38+O39)*'Data - P&amp;L'!$C$5</f>
        <v>0</v>
      </c>
      <c r="P198" s="142">
        <f>(P38+P39)*'Data - P&amp;L'!$C$5</f>
        <v>0</v>
      </c>
      <c r="Q198" s="142">
        <f>(Q38+Q39)*'Data - P&amp;L'!$C$5</f>
        <v>0</v>
      </c>
      <c r="R198" s="142">
        <f>(R38+R39)*'Data - P&amp;L'!$C$5</f>
        <v>0</v>
      </c>
      <c r="S198" s="142">
        <f>(S38+S39)*'Data - P&amp;L'!$C$5</f>
        <v>0</v>
      </c>
      <c r="T198" s="142">
        <f>(T38+T39)*'Data - P&amp;L'!$C$5</f>
        <v>0</v>
      </c>
      <c r="U198" s="142">
        <f>(U38+U39)*'Data - P&amp;L'!$C$5</f>
        <v>0</v>
      </c>
      <c r="V198" s="142">
        <f>(V38+V39)*'Data - P&amp;L'!$C$5</f>
        <v>0</v>
      </c>
      <c r="W198" s="142">
        <f>(W38+W39)*'Data - P&amp;L'!$C$5</f>
        <v>0</v>
      </c>
      <c r="X198" s="142">
        <f>(X38+X39)*'Data - P&amp;L'!$C$5</f>
        <v>0</v>
      </c>
      <c r="Y198" s="142">
        <f>(Y38+Y39)*'Data - P&amp;L'!$C$5</f>
        <v>0</v>
      </c>
      <c r="Z198" s="142">
        <f>(Z38+Z39)*'Data - P&amp;L'!$C$5</f>
        <v>0</v>
      </c>
      <c r="AA198" s="142">
        <f>(AA38+AA39)*'Data - P&amp;L'!$C$5</f>
        <v>0</v>
      </c>
      <c r="AB198" s="142">
        <f>(AB38+AB39)*'Data - P&amp;L'!$C$5</f>
        <v>0</v>
      </c>
      <c r="AC198" s="142">
        <f>(AC38+AC39)*'Data - P&amp;L'!$C$5</f>
        <v>0</v>
      </c>
      <c r="AD198" s="142">
        <f>(AD38+AD39)*'Data - P&amp;L'!$C$5</f>
        <v>0</v>
      </c>
      <c r="AE198" s="142">
        <f>(AE38+AE39)*'Data - P&amp;L'!$C$5</f>
        <v>0</v>
      </c>
      <c r="AF198" s="142">
        <f>(AF38+AF39)*'Data - P&amp;L'!$C$5</f>
        <v>0</v>
      </c>
      <c r="AG198" s="126">
        <f t="shared" si="54"/>
        <v>0</v>
      </c>
    </row>
    <row r="199">
      <c r="A199" s="389" t="s">
        <v>358</v>
      </c>
      <c r="B199" s="245">
        <f>(B40+B41)*'Data - P&amp;L'!$C$10</f>
        <v>0</v>
      </c>
      <c r="C199" s="245">
        <f>(C40+C41)*'Data - P&amp;L'!$C$10</f>
        <v>0</v>
      </c>
      <c r="D199" s="245">
        <f>(D40+D41)*'Data - P&amp;L'!$C$10</f>
        <v>0</v>
      </c>
      <c r="E199" s="245">
        <f>(E40+E41)*'Data - P&amp;L'!$C$10</f>
        <v>0</v>
      </c>
      <c r="F199" s="245">
        <f>(F40+F41)*'Data - P&amp;L'!$C$10</f>
        <v>0</v>
      </c>
      <c r="G199" s="245">
        <f>(G40+G41)*'Data - P&amp;L'!$C$10</f>
        <v>0</v>
      </c>
      <c r="H199" s="245">
        <f>(H40+H41)*'Data - P&amp;L'!$C$10</f>
        <v>0</v>
      </c>
      <c r="I199" s="245">
        <f>(I40+I41)*'Data - P&amp;L'!$C$10</f>
        <v>0</v>
      </c>
      <c r="J199" s="245">
        <f>(J40+J41)*'Data - P&amp;L'!$C$10</f>
        <v>0</v>
      </c>
      <c r="K199" s="245">
        <f>(K40+K41)*'Data - P&amp;L'!$C$10</f>
        <v>0</v>
      </c>
      <c r="L199" s="245">
        <f>(L40+L41)*'Data - P&amp;L'!$C$10</f>
        <v>0</v>
      </c>
      <c r="M199" s="245">
        <f>(M40+M41)*'Data - P&amp;L'!$C$10</f>
        <v>0</v>
      </c>
      <c r="N199" s="245">
        <f>(N40+N41)*'Data - P&amp;L'!$C$10</f>
        <v>0</v>
      </c>
      <c r="O199" s="245">
        <f>(O40+O41)*'Data - P&amp;L'!$C$10</f>
        <v>0</v>
      </c>
      <c r="P199" s="245">
        <f>(P40+P41)*'Data - P&amp;L'!$C$10</f>
        <v>0</v>
      </c>
      <c r="Q199" s="245">
        <f>(Q40+Q41)*'Data - P&amp;L'!$C$10</f>
        <v>0</v>
      </c>
      <c r="R199" s="245">
        <f>(R40+R41)*'Data - P&amp;L'!$C$10</f>
        <v>0</v>
      </c>
      <c r="S199" s="245">
        <f>(S40+S41)*'Data - P&amp;L'!$C$10</f>
        <v>0</v>
      </c>
      <c r="T199" s="245">
        <f>(T40+T41)*'Data - P&amp;L'!$C$10</f>
        <v>0</v>
      </c>
      <c r="U199" s="245">
        <f>(U40+U41)*'Data - P&amp;L'!$C$10</f>
        <v>0</v>
      </c>
      <c r="V199" s="245">
        <f>(V40+V41)*'Data - P&amp;L'!$C$10</f>
        <v>0</v>
      </c>
      <c r="W199" s="245">
        <f>(W40+W41)*'Data - P&amp;L'!$C$10</f>
        <v>0</v>
      </c>
      <c r="X199" s="245">
        <f>(X40+X41)*'Data - P&amp;L'!$C$10</f>
        <v>0</v>
      </c>
      <c r="Y199" s="245">
        <f>(Y40+Y41)*'Data - P&amp;L'!$C$10</f>
        <v>0</v>
      </c>
      <c r="Z199" s="245">
        <f>(Z40+Z41)*'Data - P&amp;L'!$C$10</f>
        <v>0</v>
      </c>
      <c r="AA199" s="245">
        <f>(AA40+AA41)*'Data - P&amp;L'!$C$10</f>
        <v>0</v>
      </c>
      <c r="AB199" s="245">
        <f>(AB40+AB41)*'Data - P&amp;L'!$C$10</f>
        <v>0</v>
      </c>
      <c r="AC199" s="245">
        <f>(AC40+AC41)*'Data - P&amp;L'!$C$10</f>
        <v>0</v>
      </c>
      <c r="AD199" s="245">
        <f>(AD40+AD41)*'Data - P&amp;L'!$C$10</f>
        <v>0</v>
      </c>
      <c r="AE199" s="245">
        <f>(AE40+AE41)*'Data - P&amp;L'!$C$10</f>
        <v>0</v>
      </c>
      <c r="AF199" s="245">
        <f>(AF40+AF41)*'Data - P&amp;L'!$C$10</f>
        <v>0</v>
      </c>
      <c r="AG199" s="126">
        <f t="shared" si="54"/>
        <v>0</v>
      </c>
    </row>
    <row r="200">
      <c r="A200" s="390" t="s">
        <v>359</v>
      </c>
      <c r="B200" s="142">
        <f>B32*'Data - P&amp;L'!$C$43</f>
        <v>298.5</v>
      </c>
      <c r="C200" s="142">
        <f>C32*'Data - P&amp;L'!$C$43</f>
        <v>310.44</v>
      </c>
      <c r="D200" s="142">
        <f>D32*'Data - P&amp;L'!$C$43</f>
        <v>382.08</v>
      </c>
      <c r="E200" s="142">
        <f>E32*'Data - P&amp;L'!$C$43</f>
        <v>274.62</v>
      </c>
      <c r="F200" s="142">
        <f>F32*'Data - P&amp;L'!$C$43</f>
        <v>274.62</v>
      </c>
      <c r="G200" s="142">
        <f>G32*'Data - P&amp;L'!$C$43</f>
        <v>226.86</v>
      </c>
      <c r="H200" s="142">
        <f>H32*'Data - P&amp;L'!$C$43</f>
        <v>202.98</v>
      </c>
      <c r="I200" s="142">
        <f>I32*'Data - P&amp;L'!$C$43</f>
        <v>334.32</v>
      </c>
      <c r="J200" s="142">
        <f>J32*'Data - P&amp;L'!$C$43</f>
        <v>298.5</v>
      </c>
      <c r="K200" s="142">
        <f>K32*'Data - P&amp;L'!$C$43</f>
        <v>238.8</v>
      </c>
      <c r="L200" s="142">
        <f>L32*'Data - P&amp;L'!$C$43</f>
        <v>274.62</v>
      </c>
      <c r="M200" s="142">
        <f>M32*'Data - P&amp;L'!$C$43</f>
        <v>310.44</v>
      </c>
      <c r="N200" s="142">
        <f>N32*'Data - P&amp;L'!$C$43</f>
        <v>286.56</v>
      </c>
      <c r="O200" s="142">
        <f>O32*'Data - P&amp;L'!$C$43</f>
        <v>226.86</v>
      </c>
      <c r="P200" s="142">
        <f>P32*'Data - P&amp;L'!$C$43</f>
        <v>262.68</v>
      </c>
      <c r="Q200" s="142">
        <f>Q32*'Data - P&amp;L'!$C$43</f>
        <v>214.92</v>
      </c>
      <c r="R200" s="142">
        <f>R32*'Data - P&amp;L'!$C$43</f>
        <v>226.86</v>
      </c>
      <c r="S200" s="142">
        <f>S32*'Data - P&amp;L'!$C$43</f>
        <v>298.5</v>
      </c>
      <c r="T200" s="142">
        <f>T32*'Data - P&amp;L'!$C$43</f>
        <v>310.44</v>
      </c>
      <c r="U200" s="142">
        <f>U32*'Data - P&amp;L'!$C$43</f>
        <v>489.54</v>
      </c>
      <c r="V200" s="142">
        <f>V32*'Data - P&amp;L'!$C$43</f>
        <v>573.12</v>
      </c>
      <c r="W200" s="142">
        <f>W32*'Data - P&amp;L'!$C$43</f>
        <v>549.24</v>
      </c>
      <c r="X200" s="142">
        <f>X32*'Data - P&amp;L'!$C$43</f>
        <v>358.2</v>
      </c>
      <c r="Y200" s="142">
        <f>Y32*'Data - P&amp;L'!$C$43</f>
        <v>429.84</v>
      </c>
      <c r="Z200" s="142">
        <f>Z32*'Data - P&amp;L'!$C$43</f>
        <v>286.56</v>
      </c>
      <c r="AA200" s="142">
        <f>AA32*'Data - P&amp;L'!$C$43</f>
        <v>394.02</v>
      </c>
      <c r="AB200" s="142">
        <f>AB32*'Data - P&amp;L'!$C$43</f>
        <v>370.14</v>
      </c>
      <c r="AC200" s="142">
        <f>AC32*'Data - P&amp;L'!$C$43</f>
        <v>573.12</v>
      </c>
      <c r="AD200" s="142">
        <f>AD32*'Data - P&amp;L'!$C$43</f>
        <v>620.88</v>
      </c>
      <c r="AE200" s="142">
        <f>AE32*'Data - P&amp;L'!$C$43</f>
        <v>405.96</v>
      </c>
      <c r="AF200" s="142">
        <f>AF32*'Data - P&amp;L'!$C$43</f>
        <v>549.24</v>
      </c>
      <c r="AG200" s="126">
        <f t="shared" si="54"/>
        <v>10853.46</v>
      </c>
    </row>
    <row r="201">
      <c r="A201" s="210" t="s">
        <v>540</v>
      </c>
      <c r="B201" s="245">
        <f>(B32*'Data - P&amp;L'!$C$46)+(B32*'Data - P&amp;L'!$C$50)</f>
        <v>598.5</v>
      </c>
      <c r="C201" s="245">
        <f>(C32*'Data - P&amp;L'!$C$46)+(C32*'Data - P&amp;L'!$C$50)</f>
        <v>622.44</v>
      </c>
      <c r="D201" s="245">
        <f>(D32*'Data - P&amp;L'!$C$46)+(D32*'Data - P&amp;L'!$C$50)</f>
        <v>766.08</v>
      </c>
      <c r="E201" s="245">
        <f>(E32*'Data - P&amp;L'!$C$46)+(E32*'Data - P&amp;L'!$C$50)</f>
        <v>550.62</v>
      </c>
      <c r="F201" s="245">
        <f>(F32*'Data - P&amp;L'!$C$46)+(F32*'Data - P&amp;L'!$C$50)</f>
        <v>550.62</v>
      </c>
      <c r="G201" s="245">
        <f>(G32*'Data - P&amp;L'!$C$46)+(G32*'Data - P&amp;L'!$C$50)</f>
        <v>454.86</v>
      </c>
      <c r="H201" s="245">
        <f>(H32*'Data - P&amp;L'!$C$46)+(H32*'Data - P&amp;L'!$C$50)</f>
        <v>406.98</v>
      </c>
      <c r="I201" s="245">
        <f>(I32*'Data - P&amp;L'!$C$46)+(I32*'Data - P&amp;L'!$C$50)</f>
        <v>670.32</v>
      </c>
      <c r="J201" s="245">
        <f>(J32*'Data - P&amp;L'!$C$46)+(J32*'Data - P&amp;L'!$C$50)</f>
        <v>598.5</v>
      </c>
      <c r="K201" s="245">
        <f>(K32*'Data - P&amp;L'!$C$46)+(K32*'Data - P&amp;L'!$C$50)</f>
        <v>478.8</v>
      </c>
      <c r="L201" s="245">
        <f>(L32*'Data - P&amp;L'!$C$46)+(L32*'Data - P&amp;L'!$C$50)</f>
        <v>550.62</v>
      </c>
      <c r="M201" s="245">
        <f>(M32*'Data - P&amp;L'!$C$46)+(M32*'Data - P&amp;L'!$C$50)</f>
        <v>622.44</v>
      </c>
      <c r="N201" s="245">
        <f>(N32*'Data - P&amp;L'!$C$46)+(N32*'Data - P&amp;L'!$C$50)</f>
        <v>574.56</v>
      </c>
      <c r="O201" s="245">
        <f>(O32*'Data - P&amp;L'!$C$46)+(O32*'Data - P&amp;L'!$C$50)</f>
        <v>454.86</v>
      </c>
      <c r="P201" s="245">
        <f>(P32*'Data - P&amp;L'!$C$46)+(P32*'Data - P&amp;L'!$C$50)</f>
        <v>526.68</v>
      </c>
      <c r="Q201" s="245">
        <f>(Q32*'Data - P&amp;L'!$C$46)+(Q32*'Data - P&amp;L'!$C$50)</f>
        <v>430.92</v>
      </c>
      <c r="R201" s="245">
        <f>(R32*'Data - P&amp;L'!$C$46)+(R32*'Data - P&amp;L'!$C$50)</f>
        <v>454.86</v>
      </c>
      <c r="S201" s="245">
        <f>(S32*'Data - P&amp;L'!$C$46)+(S32*'Data - P&amp;L'!$C$50)</f>
        <v>598.5</v>
      </c>
      <c r="T201" s="245">
        <f>(T32*'Data - P&amp;L'!$C$46)+(T32*'Data - P&amp;L'!$C$50)</f>
        <v>622.44</v>
      </c>
      <c r="U201" s="245">
        <f>(U32*'Data - P&amp;L'!$C$46)+(U32*'Data - P&amp;L'!$C$50)</f>
        <v>981.54</v>
      </c>
      <c r="V201" s="245">
        <f>(V32*'Data - P&amp;L'!$C$46)+(V32*'Data - P&amp;L'!$C$50)</f>
        <v>1149.12</v>
      </c>
      <c r="W201" s="245">
        <f>(W32*'Data - P&amp;L'!$C$46)+(W32*'Data - P&amp;L'!$C$50)</f>
        <v>1101.24</v>
      </c>
      <c r="X201" s="245">
        <f>(X32*'Data - P&amp;L'!$C$46)+(X32*'Data - P&amp;L'!$C$50)</f>
        <v>718.2</v>
      </c>
      <c r="Y201" s="245">
        <f>(Y32*'Data - P&amp;L'!$C$46)+(Y32*'Data - P&amp;L'!$C$50)</f>
        <v>861.84</v>
      </c>
      <c r="Z201" s="245">
        <f>(Z32*'Data - P&amp;L'!$C$46)+(Z32*'Data - P&amp;L'!$C$50)</f>
        <v>574.56</v>
      </c>
      <c r="AA201" s="245">
        <f>(AA32*'Data - P&amp;L'!$C$46)+(AA32*'Data - P&amp;L'!$C$50)</f>
        <v>790.02</v>
      </c>
      <c r="AB201" s="245">
        <f>(AB32*'Data - P&amp;L'!$C$46)+(AB32*'Data - P&amp;L'!$C$50)</f>
        <v>742.14</v>
      </c>
      <c r="AC201" s="245">
        <f>(AC32*'Data - P&amp;L'!$C$46)+(AC32*'Data - P&amp;L'!$C$50)</f>
        <v>1149.12</v>
      </c>
      <c r="AD201" s="245">
        <f>(AD32*'Data - P&amp;L'!$C$46)+(AD32*'Data - P&amp;L'!$C$50)</f>
        <v>1244.88</v>
      </c>
      <c r="AE201" s="245">
        <f>(AE32*'Data - P&amp;L'!$C$46)+(AE32*'Data - P&amp;L'!$C$50)</f>
        <v>813.96</v>
      </c>
      <c r="AF201" s="245">
        <f>(AF32*'Data - P&amp;L'!$C$46)+(AF32*'Data - P&amp;L'!$C$50)</f>
        <v>1101.24</v>
      </c>
      <c r="AG201" s="126">
        <f t="shared" si="54"/>
        <v>21761.46</v>
      </c>
    </row>
    <row r="202">
      <c r="A202" s="210" t="s">
        <v>541</v>
      </c>
      <c r="B202" s="252">
        <f>B42*'Data - P&amp;L'!$D$43</f>
        <v>11.48</v>
      </c>
      <c r="C202" s="252">
        <f>C42*'Data - P&amp;L'!$D$43</f>
        <v>4.305</v>
      </c>
      <c r="D202" s="252">
        <f>D42*'Data - P&amp;L'!$D$43</f>
        <v>0</v>
      </c>
      <c r="E202" s="252">
        <f>E42*'Data - P&amp;L'!$D$43</f>
        <v>0</v>
      </c>
      <c r="F202" s="252">
        <f>F42*'Data - P&amp;L'!$D$43</f>
        <v>0</v>
      </c>
      <c r="G202" s="252">
        <f>G42*'Data - P&amp;L'!$D$43</f>
        <v>0</v>
      </c>
      <c r="H202" s="252">
        <f>H42*'Data - P&amp;L'!$D$43</f>
        <v>2.87</v>
      </c>
      <c r="I202" s="252">
        <f>I42*'Data - P&amp;L'!$D$43</f>
        <v>5.74</v>
      </c>
      <c r="J202" s="252">
        <f>J42*'Data - P&amp;L'!$D$43</f>
        <v>5.74</v>
      </c>
      <c r="K202" s="252">
        <f>K42*'Data - P&amp;L'!$D$43</f>
        <v>0</v>
      </c>
      <c r="L202" s="252">
        <f>L42*'Data - P&amp;L'!$D$43</f>
        <v>1.435</v>
      </c>
      <c r="M202" s="252">
        <f>M42*'Data - P&amp;L'!$D$43</f>
        <v>8.61</v>
      </c>
      <c r="N202" s="252">
        <f>N42*'Data - P&amp;L'!$D$43</f>
        <v>0</v>
      </c>
      <c r="O202" s="252">
        <f>O42*'Data - P&amp;L'!$D$43</f>
        <v>1.435</v>
      </c>
      <c r="P202" s="252">
        <f>P42*'Data - P&amp;L'!$D$43</f>
        <v>1.435</v>
      </c>
      <c r="Q202" s="252">
        <f>Q42*'Data - P&amp;L'!$D$43</f>
        <v>0</v>
      </c>
      <c r="R202" s="252">
        <f>R42*'Data - P&amp;L'!$D$43</f>
        <v>4.305</v>
      </c>
      <c r="S202" s="252">
        <f>S42*'Data - P&amp;L'!$D$43</f>
        <v>4.305</v>
      </c>
      <c r="T202" s="252">
        <f>T42*'Data - P&amp;L'!$D$43</f>
        <v>0</v>
      </c>
      <c r="U202" s="252">
        <f>U42*'Data - P&amp;L'!$D$43</f>
        <v>8.61</v>
      </c>
      <c r="V202" s="252">
        <f>V42*'Data - P&amp;L'!$D$43</f>
        <v>14.35</v>
      </c>
      <c r="W202" s="252">
        <f>W42*'Data - P&amp;L'!$D$43</f>
        <v>10.045</v>
      </c>
      <c r="X202" s="252">
        <f>X42*'Data - P&amp;L'!$D$43</f>
        <v>11.48</v>
      </c>
      <c r="Y202" s="252">
        <f>Y42*'Data - P&amp;L'!$D$43</f>
        <v>12.915</v>
      </c>
      <c r="Z202" s="252">
        <f>Z42*'Data - P&amp;L'!$D$43</f>
        <v>11.48</v>
      </c>
      <c r="AA202" s="252">
        <f>AA42*'Data - P&amp;L'!$D$43</f>
        <v>12.915</v>
      </c>
      <c r="AB202" s="252">
        <f>AB42*'Data - P&amp;L'!$D$43</f>
        <v>21.525</v>
      </c>
      <c r="AC202" s="252">
        <f>AC42*'Data - P&amp;L'!$D$43</f>
        <v>37.31</v>
      </c>
      <c r="AD202" s="252">
        <f>AD42*'Data - P&amp;L'!$D$43</f>
        <v>20.09</v>
      </c>
      <c r="AE202" s="252">
        <f>AE42*'Data - P&amp;L'!$D$43</f>
        <v>22.96</v>
      </c>
      <c r="AF202" s="252">
        <f>AF42*'Data - P&amp;L'!$D$43</f>
        <v>12.915</v>
      </c>
      <c r="AG202" s="126">
        <f t="shared" si="54"/>
        <v>248.255</v>
      </c>
    </row>
    <row r="203">
      <c r="A203" s="210" t="s">
        <v>542</v>
      </c>
      <c r="B203" s="252">
        <f>(B42*'Data - P&amp;L'!$C$47)+(B42*'Data - P&amp;L'!$C$51)</f>
        <v>94.84</v>
      </c>
      <c r="C203" s="252">
        <f>(C42*'Data - P&amp;L'!$C$47)+(C42*'Data - P&amp;L'!$C$51)</f>
        <v>35.565</v>
      </c>
      <c r="D203" s="252">
        <f>(D42*'Data - P&amp;L'!$C$47)+(D42*'Data - P&amp;L'!$C$51)</f>
        <v>0</v>
      </c>
      <c r="E203" s="252">
        <f>(E42*'Data - P&amp;L'!$C$47)+(E42*'Data - P&amp;L'!$C$51)</f>
        <v>0</v>
      </c>
      <c r="F203" s="252">
        <f>(F42*'Data - P&amp;L'!$C$47)+(F42*'Data - P&amp;L'!$C$51)</f>
        <v>0</v>
      </c>
      <c r="G203" s="252">
        <f>(G42*'Data - P&amp;L'!$C$47)+(G42*'Data - P&amp;L'!$C$51)</f>
        <v>0</v>
      </c>
      <c r="H203" s="252">
        <f>(H42*'Data - P&amp;L'!$C$47)+(H42*'Data - P&amp;L'!$C$51)</f>
        <v>23.71</v>
      </c>
      <c r="I203" s="252">
        <f>(I42*'Data - P&amp;L'!$C$47)+(I42*'Data - P&amp;L'!$C$51)</f>
        <v>47.42</v>
      </c>
      <c r="J203" s="252">
        <f>(J42*'Data - P&amp;L'!$C$47)+(J42*'Data - P&amp;L'!$C$51)</f>
        <v>47.42</v>
      </c>
      <c r="K203" s="252">
        <f>(K42*'Data - P&amp;L'!$C$47)+(K42*'Data - P&amp;L'!$C$51)</f>
        <v>0</v>
      </c>
      <c r="L203" s="252">
        <f>(L42*'Data - P&amp;L'!$C$47)+(L42*'Data - P&amp;L'!$C$51)</f>
        <v>11.855</v>
      </c>
      <c r="M203" s="252">
        <f>(M42*'Data - P&amp;L'!$C$47)+(M42*'Data - P&amp;L'!$C$51)</f>
        <v>71.13</v>
      </c>
      <c r="N203" s="252">
        <f>(N42*'Data - P&amp;L'!$C$47)+(N42*'Data - P&amp;L'!$C$51)</f>
        <v>0</v>
      </c>
      <c r="O203" s="252">
        <f>(O42*'Data - P&amp;L'!$C$47)+(O42*'Data - P&amp;L'!$C$51)</f>
        <v>11.855</v>
      </c>
      <c r="P203" s="252">
        <f>(P42*'Data - P&amp;L'!$C$47)+(P42*'Data - P&amp;L'!$C$51)</f>
        <v>11.855</v>
      </c>
      <c r="Q203" s="252">
        <f>(Q42*'Data - P&amp;L'!$C$47)+(Q42*'Data - P&amp;L'!$C$51)</f>
        <v>0</v>
      </c>
      <c r="R203" s="252">
        <f>(R42*'Data - P&amp;L'!$C$47)+(R42*'Data - P&amp;L'!$C$51)</f>
        <v>35.565</v>
      </c>
      <c r="S203" s="252">
        <f>(S42*'Data - P&amp;L'!$C$47)+(S42*'Data - P&amp;L'!$C$51)</f>
        <v>35.565</v>
      </c>
      <c r="T203" s="252">
        <f>(T42*'Data - P&amp;L'!$C$47)+(T42*'Data - P&amp;L'!$C$51)</f>
        <v>0</v>
      </c>
      <c r="U203" s="252">
        <f>(U42*'Data - P&amp;L'!$C$47)+(U42*'Data - P&amp;L'!$C$51)</f>
        <v>71.13</v>
      </c>
      <c r="V203" s="252">
        <f>(V42*'Data - P&amp;L'!$C$47)+(V42*'Data - P&amp;L'!$C$51)</f>
        <v>118.55</v>
      </c>
      <c r="W203" s="252">
        <f>(W42*'Data - P&amp;L'!$C$47)+(W42*'Data - P&amp;L'!$C$51)</f>
        <v>82.985</v>
      </c>
      <c r="X203" s="252">
        <f>(X42*'Data - P&amp;L'!$C$47)+(X42*'Data - P&amp;L'!$C$51)</f>
        <v>94.84</v>
      </c>
      <c r="Y203" s="252">
        <f>(Y42*'Data - P&amp;L'!$C$47)+(Y42*'Data - P&amp;L'!$C$51)</f>
        <v>106.695</v>
      </c>
      <c r="Z203" s="252">
        <f>(Z42*'Data - P&amp;L'!$C$47)+(Z42*'Data - P&amp;L'!$C$51)</f>
        <v>94.84</v>
      </c>
      <c r="AA203" s="252">
        <f>(AA42*'Data - P&amp;L'!$C$47)+(AA42*'Data - P&amp;L'!$C$51)</f>
        <v>106.695</v>
      </c>
      <c r="AB203" s="252">
        <f>(AB42*'Data - P&amp;L'!$C$47)+(AB42*'Data - P&amp;L'!$C$51)</f>
        <v>177.825</v>
      </c>
      <c r="AC203" s="252">
        <f>(AC42*'Data - P&amp;L'!$C$47)+(AC42*'Data - P&amp;L'!$C$51)</f>
        <v>308.23</v>
      </c>
      <c r="AD203" s="252">
        <f>(AD42*'Data - P&amp;L'!$C$47)+(AD42*'Data - P&amp;L'!$C$51)</f>
        <v>165.97</v>
      </c>
      <c r="AE203" s="252">
        <f>(AE42*'Data - P&amp;L'!$C$47)+(AE42*'Data - P&amp;L'!$C$51)</f>
        <v>189.68</v>
      </c>
      <c r="AF203" s="252">
        <f>(AF42*'Data - P&amp;L'!$C$47)+(AF42*'Data - P&amp;L'!$C$51)</f>
        <v>106.695</v>
      </c>
      <c r="AG203" s="126">
        <f t="shared" si="54"/>
        <v>2050.915</v>
      </c>
    </row>
    <row r="204">
      <c r="A204" s="210" t="s">
        <v>543</v>
      </c>
      <c r="B204" s="252">
        <f>(B32*'Data - P&amp;L'!$C$44)+(B42*'Data - P&amp;L'!$D$44)</f>
        <v>7.92</v>
      </c>
      <c r="C204" s="252">
        <f>(C32*'Data - P&amp;L'!$C$44)+(C42*'Data - P&amp;L'!$D$44)</f>
        <v>6.96</v>
      </c>
      <c r="D204" s="252">
        <f>(D32*'Data - P&amp;L'!$C$44)+(D42*'Data - P&amp;L'!$D$44)</f>
        <v>7.68</v>
      </c>
      <c r="E204" s="252">
        <f>(E32*'Data - P&amp;L'!$C$44)+(E42*'Data - P&amp;L'!$D$44)</f>
        <v>5.52</v>
      </c>
      <c r="F204" s="252">
        <f>(F32*'Data - P&amp;L'!$C$44)+(F42*'Data - P&amp;L'!$D$44)</f>
        <v>5.52</v>
      </c>
      <c r="G204" s="252">
        <f>(G32*'Data - P&amp;L'!$C$44)+(G42*'Data - P&amp;L'!$D$44)</f>
        <v>4.56</v>
      </c>
      <c r="H204" s="252">
        <f>(H32*'Data - P&amp;L'!$C$44)+(H42*'Data - P&amp;L'!$D$44)</f>
        <v>4.56</v>
      </c>
      <c r="I204" s="252">
        <f>(I32*'Data - P&amp;L'!$C$44)+(I42*'Data - P&amp;L'!$D$44)</f>
        <v>7.68</v>
      </c>
      <c r="J204" s="252">
        <f>(J32*'Data - P&amp;L'!$C$44)+(J42*'Data - P&amp;L'!$D$44)</f>
        <v>6.96</v>
      </c>
      <c r="K204" s="252">
        <f>(K32*'Data - P&amp;L'!$C$44)+(K42*'Data - P&amp;L'!$D$44)</f>
        <v>4.8</v>
      </c>
      <c r="L204" s="252">
        <f>(L32*'Data - P&amp;L'!$C$44)+(L42*'Data - P&amp;L'!$D$44)</f>
        <v>5.76</v>
      </c>
      <c r="M204" s="252">
        <f>(M32*'Data - P&amp;L'!$C$44)+(M42*'Data - P&amp;L'!$D$44)</f>
        <v>7.68</v>
      </c>
      <c r="N204" s="252">
        <f>(N32*'Data - P&amp;L'!$C$44)+(N42*'Data - P&amp;L'!$D$44)</f>
        <v>5.76</v>
      </c>
      <c r="O204" s="252">
        <f>(O32*'Data - P&amp;L'!$C$44)+(O42*'Data - P&amp;L'!$D$44)</f>
        <v>4.8</v>
      </c>
      <c r="P204" s="252">
        <f>(P32*'Data - P&amp;L'!$C$44)+(P42*'Data - P&amp;L'!$D$44)</f>
        <v>5.52</v>
      </c>
      <c r="Q204" s="252">
        <f>(Q32*'Data - P&amp;L'!$C$44)+(Q42*'Data - P&amp;L'!$D$44)</f>
        <v>4.32</v>
      </c>
      <c r="R204" s="252">
        <f>(R32*'Data - P&amp;L'!$C$44)+(R42*'Data - P&amp;L'!$D$44)</f>
        <v>5.28</v>
      </c>
      <c r="S204" s="252">
        <f>(S32*'Data - P&amp;L'!$C$44)+(S42*'Data - P&amp;L'!$D$44)</f>
        <v>6.72</v>
      </c>
      <c r="T204" s="252">
        <f>(T32*'Data - P&amp;L'!$C$44)+(T42*'Data - P&amp;L'!$D$44)</f>
        <v>6.24</v>
      </c>
      <c r="U204" s="252">
        <f>(U32*'Data - P&amp;L'!$C$44)+(U42*'Data - P&amp;L'!$D$44)</f>
        <v>11.28</v>
      </c>
      <c r="V204" s="252">
        <f>(V32*'Data - P&amp;L'!$C$44)+(V42*'Data - P&amp;L'!$D$44)</f>
        <v>13.92</v>
      </c>
      <c r="W204" s="252">
        <f>(W32*'Data - P&amp;L'!$C$44)+(W42*'Data - P&amp;L'!$D$44)</f>
        <v>12.72</v>
      </c>
      <c r="X204" s="252">
        <f>(X32*'Data - P&amp;L'!$C$44)+(X42*'Data - P&amp;L'!$D$44)</f>
        <v>9.12</v>
      </c>
      <c r="Y204" s="252">
        <f>(Y32*'Data - P&amp;L'!$C$44)+(Y42*'Data - P&amp;L'!$D$44)</f>
        <v>10.8</v>
      </c>
      <c r="Z204" s="252">
        <f>(Z32*'Data - P&amp;L'!$C$44)+(Z42*'Data - P&amp;L'!$D$44)</f>
        <v>7.68</v>
      </c>
      <c r="AA204" s="252">
        <f>(AA32*'Data - P&amp;L'!$C$44)+(AA42*'Data - P&amp;L'!$D$44)</f>
        <v>10.08</v>
      </c>
      <c r="AB204" s="252">
        <f>(AB32*'Data - P&amp;L'!$C$44)+(AB42*'Data - P&amp;L'!$D$44)</f>
        <v>11.04</v>
      </c>
      <c r="AC204" s="252">
        <f>(AC32*'Data - P&amp;L'!$C$44)+(AC42*'Data - P&amp;L'!$D$44)</f>
        <v>17.76</v>
      </c>
      <c r="AD204" s="252">
        <f>(AD32*'Data - P&amp;L'!$C$44)+(AD42*'Data - P&amp;L'!$D$44)</f>
        <v>15.84</v>
      </c>
      <c r="AE204" s="252">
        <f>(AE32*'Data - P&amp;L'!$C$44)+(AE42*'Data - P&amp;L'!$D$44)</f>
        <v>12</v>
      </c>
      <c r="AF204" s="252">
        <f>(AF32*'Data - P&amp;L'!$C$44)+(AF42*'Data - P&amp;L'!$D$44)</f>
        <v>13.2</v>
      </c>
      <c r="AG204" s="126">
        <f t="shared" si="54"/>
        <v>259.68</v>
      </c>
    </row>
    <row r="205">
      <c r="A205" s="391" t="s">
        <v>544</v>
      </c>
      <c r="B205" s="252">
        <f t="shared" ref="B205:AF205" si="55">B22</f>
        <v>503.88</v>
      </c>
      <c r="C205" s="252">
        <f t="shared" si="55"/>
        <v>523.33</v>
      </c>
      <c r="D205" s="252">
        <f t="shared" si="55"/>
        <v>567.45</v>
      </c>
      <c r="E205" s="252">
        <f t="shared" si="55"/>
        <v>424.6</v>
      </c>
      <c r="F205" s="252">
        <f t="shared" si="55"/>
        <v>520.47</v>
      </c>
      <c r="G205" s="252">
        <f t="shared" si="55"/>
        <v>398.03</v>
      </c>
      <c r="H205" s="252">
        <f t="shared" si="55"/>
        <v>325.29</v>
      </c>
      <c r="I205" s="252">
        <f t="shared" si="55"/>
        <v>562.31</v>
      </c>
      <c r="J205" s="252">
        <f t="shared" si="55"/>
        <v>476.34</v>
      </c>
      <c r="K205" s="252">
        <f t="shared" si="55"/>
        <v>374.44</v>
      </c>
      <c r="L205" s="252">
        <f t="shared" si="55"/>
        <v>442.43</v>
      </c>
      <c r="M205" s="252">
        <f t="shared" si="55"/>
        <v>440.97</v>
      </c>
      <c r="N205" s="252">
        <f t="shared" si="55"/>
        <v>434.23</v>
      </c>
      <c r="O205" s="252">
        <f t="shared" si="55"/>
        <v>392.69</v>
      </c>
      <c r="P205" s="252">
        <f t="shared" si="55"/>
        <v>413.92</v>
      </c>
      <c r="Q205" s="252">
        <f t="shared" si="55"/>
        <v>341.09</v>
      </c>
      <c r="R205" s="252">
        <f t="shared" si="55"/>
        <v>378.35</v>
      </c>
      <c r="S205" s="252">
        <f t="shared" si="55"/>
        <v>492.53</v>
      </c>
      <c r="T205" s="252">
        <f t="shared" si="55"/>
        <v>474.88</v>
      </c>
      <c r="U205" s="252">
        <f t="shared" si="55"/>
        <v>805.87</v>
      </c>
      <c r="V205" s="252">
        <f t="shared" si="55"/>
        <v>979.14</v>
      </c>
      <c r="W205" s="252">
        <f t="shared" si="55"/>
        <v>980.73</v>
      </c>
      <c r="X205" s="252">
        <f t="shared" si="55"/>
        <v>627.12</v>
      </c>
      <c r="Y205" s="252">
        <f t="shared" si="55"/>
        <v>737.77</v>
      </c>
      <c r="Z205" s="252">
        <f t="shared" si="55"/>
        <v>475.86</v>
      </c>
      <c r="AA205" s="252">
        <f t="shared" si="55"/>
        <v>680.01</v>
      </c>
      <c r="AB205" s="252">
        <f t="shared" si="55"/>
        <v>681.78</v>
      </c>
      <c r="AC205" s="252">
        <f t="shared" si="55"/>
        <v>1027.38</v>
      </c>
      <c r="AD205" s="252">
        <f t="shared" si="55"/>
        <v>1041.16</v>
      </c>
      <c r="AE205" s="252">
        <f t="shared" si="55"/>
        <v>700.87</v>
      </c>
      <c r="AF205" s="252">
        <f t="shared" si="55"/>
        <v>917.39</v>
      </c>
      <c r="AG205" s="126">
        <f t="shared" si="54"/>
        <v>18142.31</v>
      </c>
    </row>
    <row r="206">
      <c r="A206" s="85" t="s">
        <v>545</v>
      </c>
      <c r="B206" s="255">
        <f t="shared" ref="B206:AF206" si="56">B23</f>
        <v>0.5</v>
      </c>
      <c r="C206" s="255">
        <f t="shared" si="56"/>
        <v>11.87</v>
      </c>
      <c r="D206" s="255">
        <f t="shared" si="56"/>
        <v>0.5</v>
      </c>
      <c r="E206" s="255">
        <f t="shared" si="56"/>
        <v>0</v>
      </c>
      <c r="F206" s="255">
        <f t="shared" si="56"/>
        <v>0.25</v>
      </c>
      <c r="G206" s="255">
        <f t="shared" si="56"/>
        <v>5.21</v>
      </c>
      <c r="H206" s="255">
        <f t="shared" si="56"/>
        <v>0.25</v>
      </c>
      <c r="I206" s="255">
        <f t="shared" si="56"/>
        <v>1</v>
      </c>
      <c r="J206" s="255">
        <f t="shared" si="56"/>
        <v>21.15</v>
      </c>
      <c r="K206" s="255">
        <f t="shared" si="56"/>
        <v>0.25</v>
      </c>
      <c r="L206" s="255">
        <f t="shared" si="56"/>
        <v>1</v>
      </c>
      <c r="M206" s="255">
        <f t="shared" si="56"/>
        <v>14.64</v>
      </c>
      <c r="N206" s="255">
        <f t="shared" si="56"/>
        <v>0.5</v>
      </c>
      <c r="O206" s="255">
        <f t="shared" si="56"/>
        <v>0</v>
      </c>
      <c r="P206" s="255">
        <f t="shared" si="56"/>
        <v>6.4</v>
      </c>
      <c r="Q206" s="255">
        <f t="shared" si="56"/>
        <v>0.75</v>
      </c>
      <c r="R206" s="255">
        <f t="shared" si="56"/>
        <v>0</v>
      </c>
      <c r="S206" s="255">
        <f t="shared" si="56"/>
        <v>7.74</v>
      </c>
      <c r="T206" s="255">
        <f t="shared" si="56"/>
        <v>0</v>
      </c>
      <c r="U206" s="255">
        <f t="shared" si="56"/>
        <v>11.83</v>
      </c>
      <c r="V206" s="255">
        <f t="shared" si="56"/>
        <v>7.74</v>
      </c>
      <c r="W206" s="255">
        <f t="shared" si="56"/>
        <v>0</v>
      </c>
      <c r="X206" s="255">
        <f t="shared" si="56"/>
        <v>0.25</v>
      </c>
      <c r="Y206" s="255">
        <f t="shared" si="56"/>
        <v>17.49</v>
      </c>
      <c r="Z206" s="255">
        <f t="shared" si="56"/>
        <v>25.82</v>
      </c>
      <c r="AA206" s="255">
        <f t="shared" si="56"/>
        <v>12.16</v>
      </c>
      <c r="AB206" s="255">
        <f t="shared" si="56"/>
        <v>0</v>
      </c>
      <c r="AC206" s="255">
        <f t="shared" si="56"/>
        <v>0.5</v>
      </c>
      <c r="AD206" s="255">
        <f t="shared" si="56"/>
        <v>30.14</v>
      </c>
      <c r="AE206" s="255">
        <f t="shared" si="56"/>
        <v>0.5</v>
      </c>
      <c r="AF206" s="255">
        <f t="shared" si="56"/>
        <v>8.35</v>
      </c>
      <c r="AG206" s="126">
        <f t="shared" si="54"/>
        <v>186.79</v>
      </c>
    </row>
    <row r="207">
      <c r="A207" s="85" t="s">
        <v>546</v>
      </c>
      <c r="B207" s="255">
        <f t="shared" ref="B207:AF207" si="57">B24</f>
        <v>9.28</v>
      </c>
      <c r="C207" s="255">
        <f t="shared" si="57"/>
        <v>9.13</v>
      </c>
      <c r="D207" s="255">
        <f t="shared" si="57"/>
        <v>9.28</v>
      </c>
      <c r="E207" s="255">
        <f t="shared" si="57"/>
        <v>0</v>
      </c>
      <c r="F207" s="255">
        <f t="shared" si="57"/>
        <v>4.64</v>
      </c>
      <c r="G207" s="255">
        <f t="shared" si="57"/>
        <v>4.64</v>
      </c>
      <c r="H207" s="255">
        <f t="shared" si="57"/>
        <v>0.15</v>
      </c>
      <c r="I207" s="255">
        <f t="shared" si="57"/>
        <v>0.6</v>
      </c>
      <c r="J207" s="255">
        <f t="shared" si="57"/>
        <v>4.79</v>
      </c>
      <c r="K207" s="255">
        <f t="shared" si="57"/>
        <v>0.15</v>
      </c>
      <c r="L207" s="255">
        <f t="shared" si="57"/>
        <v>5.09</v>
      </c>
      <c r="M207" s="255">
        <f t="shared" si="57"/>
        <v>5.09</v>
      </c>
      <c r="N207" s="255">
        <f t="shared" si="57"/>
        <v>4.79</v>
      </c>
      <c r="O207" s="255">
        <f t="shared" si="57"/>
        <v>0</v>
      </c>
      <c r="P207" s="255">
        <f t="shared" si="57"/>
        <v>18.11</v>
      </c>
      <c r="Q207" s="255">
        <f t="shared" si="57"/>
        <v>0.45</v>
      </c>
      <c r="R207" s="255">
        <f t="shared" si="57"/>
        <v>0</v>
      </c>
      <c r="S207" s="255">
        <f t="shared" si="57"/>
        <v>0.45</v>
      </c>
      <c r="T207" s="255">
        <f t="shared" si="57"/>
        <v>0</v>
      </c>
      <c r="U207" s="255">
        <f t="shared" si="57"/>
        <v>9.13</v>
      </c>
      <c r="V207" s="255">
        <f t="shared" si="57"/>
        <v>13.92</v>
      </c>
      <c r="W207" s="255">
        <f t="shared" si="57"/>
        <v>8.98</v>
      </c>
      <c r="X207" s="255">
        <f t="shared" si="57"/>
        <v>18.11</v>
      </c>
      <c r="Y207" s="255">
        <f t="shared" si="57"/>
        <v>0.3</v>
      </c>
      <c r="Z207" s="255">
        <f t="shared" si="57"/>
        <v>27.09</v>
      </c>
      <c r="AA207" s="255">
        <f t="shared" si="57"/>
        <v>0.15</v>
      </c>
      <c r="AB207" s="255">
        <f t="shared" si="57"/>
        <v>0</v>
      </c>
      <c r="AC207" s="255">
        <f t="shared" si="57"/>
        <v>13.77</v>
      </c>
      <c r="AD207" s="255">
        <f t="shared" si="57"/>
        <v>26.59</v>
      </c>
      <c r="AE207" s="255">
        <f t="shared" si="57"/>
        <v>0.3</v>
      </c>
      <c r="AF207" s="255">
        <f t="shared" si="57"/>
        <v>9.13</v>
      </c>
      <c r="AG207" s="126">
        <f t="shared" si="54"/>
        <v>204.11</v>
      </c>
    </row>
    <row r="208">
      <c r="A208" s="85"/>
      <c r="B208" s="255"/>
      <c r="C208" s="255"/>
      <c r="D208" s="255"/>
      <c r="E208" s="255"/>
      <c r="F208" s="255"/>
      <c r="G208" s="255"/>
      <c r="H208" s="255"/>
      <c r="I208" s="255"/>
      <c r="J208" s="255"/>
      <c r="K208" s="255"/>
      <c r="L208" s="255"/>
      <c r="M208" s="255"/>
      <c r="N208" s="255"/>
      <c r="O208" s="255"/>
      <c r="P208" s="255"/>
      <c r="Q208" s="255"/>
      <c r="R208" s="255"/>
      <c r="S208" s="255"/>
      <c r="T208" s="255"/>
      <c r="U208" s="255"/>
      <c r="V208" s="255"/>
      <c r="W208" s="255"/>
      <c r="X208" s="255"/>
      <c r="Y208" s="255"/>
      <c r="Z208" s="255"/>
      <c r="AA208" s="255"/>
      <c r="AB208" s="255"/>
      <c r="AC208" s="255"/>
      <c r="AD208" s="255"/>
      <c r="AE208" s="255"/>
      <c r="AF208" s="255"/>
      <c r="AG208" s="126"/>
    </row>
    <row r="209">
      <c r="A209" s="104" t="s">
        <v>547</v>
      </c>
      <c r="B209" s="255">
        <f t="shared" ref="B209:AF209" si="58">SUM(B191:B207)</f>
        <v>7617.465</v>
      </c>
      <c r="C209" s="255">
        <f t="shared" si="58"/>
        <v>7848.6835</v>
      </c>
      <c r="D209" s="255">
        <f t="shared" si="58"/>
        <v>8168.1585</v>
      </c>
      <c r="E209" s="255">
        <f t="shared" si="58"/>
        <v>5671.6285</v>
      </c>
      <c r="F209" s="255">
        <f t="shared" si="58"/>
        <v>6059.6995</v>
      </c>
      <c r="G209" s="255">
        <f t="shared" si="58"/>
        <v>3877.3775</v>
      </c>
      <c r="H209" s="255">
        <f t="shared" si="58"/>
        <v>3437.729</v>
      </c>
      <c r="I209" s="255">
        <f t="shared" si="58"/>
        <v>6015.3265</v>
      </c>
      <c r="J209" s="255">
        <f t="shared" si="58"/>
        <v>5881.965</v>
      </c>
      <c r="K209" s="255">
        <f t="shared" si="58"/>
        <v>4732.835</v>
      </c>
      <c r="L209" s="255">
        <f t="shared" si="58"/>
        <v>5447.7765</v>
      </c>
      <c r="M209" s="255">
        <f t="shared" si="58"/>
        <v>6106.2925</v>
      </c>
      <c r="N209" s="255">
        <f t="shared" si="58"/>
        <v>5366.39</v>
      </c>
      <c r="O209" s="255">
        <f t="shared" si="58"/>
        <v>4758.2375</v>
      </c>
      <c r="P209" s="255">
        <f t="shared" si="58"/>
        <v>5250.5965</v>
      </c>
      <c r="Q209" s="255">
        <f t="shared" si="58"/>
        <v>4364.0555</v>
      </c>
      <c r="R209" s="255">
        <f t="shared" si="58"/>
        <v>4617.572</v>
      </c>
      <c r="S209" s="255">
        <f t="shared" si="58"/>
        <v>5830.474</v>
      </c>
      <c r="T209" s="255">
        <f t="shared" si="58"/>
        <v>6253.6995</v>
      </c>
      <c r="U209" s="255">
        <f t="shared" si="58"/>
        <v>9365.46</v>
      </c>
      <c r="V209" s="255">
        <f t="shared" si="58"/>
        <v>11006.2435</v>
      </c>
      <c r="W209" s="255">
        <f t="shared" si="58"/>
        <v>9953.396</v>
      </c>
      <c r="X209" s="255">
        <f t="shared" si="58"/>
        <v>6758.9345</v>
      </c>
      <c r="Y209" s="255">
        <f t="shared" si="58"/>
        <v>8173.742</v>
      </c>
      <c r="Z209" s="255">
        <f t="shared" si="58"/>
        <v>5836.8385</v>
      </c>
      <c r="AA209" s="255">
        <f t="shared" si="58"/>
        <v>8074.8005</v>
      </c>
      <c r="AB209" s="255">
        <f t="shared" si="58"/>
        <v>8512.204</v>
      </c>
      <c r="AC209" s="255">
        <f t="shared" si="58"/>
        <v>12662.295</v>
      </c>
      <c r="AD209" s="255">
        <f t="shared" si="58"/>
        <v>12728.126</v>
      </c>
      <c r="AE209" s="255">
        <f t="shared" si="58"/>
        <v>8954.444</v>
      </c>
      <c r="AF209" s="255">
        <f t="shared" si="58"/>
        <v>11158.5365</v>
      </c>
      <c r="AG209" s="126">
        <f>SUM(B209:AF209)</f>
        <v>220490.9825</v>
      </c>
    </row>
    <row r="210">
      <c r="A210" s="85"/>
      <c r="B210" s="255"/>
      <c r="C210" s="255"/>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c r="AA210" s="255"/>
      <c r="AB210" s="255"/>
      <c r="AC210" s="255"/>
      <c r="AD210" s="255"/>
      <c r="AE210" s="255"/>
      <c r="AF210" s="255"/>
      <c r="AG210" s="126"/>
    </row>
    <row r="211">
      <c r="A211" s="280" t="s">
        <v>346</v>
      </c>
      <c r="B211" s="255"/>
      <c r="C211" s="255"/>
      <c r="D211" s="255"/>
      <c r="E211" s="255"/>
      <c r="F211" s="255"/>
      <c r="G211" s="255"/>
      <c r="H211" s="255"/>
      <c r="I211" s="255"/>
      <c r="J211" s="255"/>
      <c r="K211" s="255"/>
      <c r="L211" s="255"/>
      <c r="M211" s="255"/>
      <c r="N211" s="255"/>
      <c r="O211" s="255"/>
      <c r="P211" s="255"/>
      <c r="Q211" s="255"/>
      <c r="R211" s="255"/>
      <c r="S211" s="255"/>
      <c r="T211" s="255"/>
      <c r="U211" s="255"/>
      <c r="V211" s="255"/>
      <c r="W211" s="255"/>
      <c r="X211" s="255"/>
      <c r="Y211" s="255"/>
      <c r="Z211" s="255"/>
      <c r="AA211" s="255"/>
      <c r="AB211" s="255"/>
      <c r="AC211" s="255"/>
      <c r="AD211" s="255"/>
      <c r="AE211" s="255"/>
      <c r="AF211" s="255"/>
      <c r="AG211" s="126"/>
    </row>
    <row r="212">
      <c r="A212" s="392">
        <f>AG25</f>
        <v>283546.35</v>
      </c>
      <c r="B212" s="255"/>
      <c r="C212" s="255"/>
      <c r="D212" s="255"/>
      <c r="E212" s="255"/>
      <c r="F212" s="255"/>
      <c r="G212" s="255"/>
      <c r="H212" s="255"/>
      <c r="I212" s="255"/>
      <c r="J212" s="255"/>
      <c r="K212" s="255"/>
      <c r="L212" s="255"/>
      <c r="M212" s="255"/>
      <c r="N212" s="255"/>
      <c r="O212" s="255"/>
      <c r="P212" s="255"/>
      <c r="Q212" s="255"/>
      <c r="R212" s="255"/>
      <c r="S212" s="255"/>
      <c r="T212" s="255"/>
      <c r="U212" s="255"/>
      <c r="V212" s="255"/>
      <c r="W212" s="255"/>
      <c r="X212" s="255"/>
      <c r="Y212" s="255"/>
      <c r="Z212" s="255"/>
      <c r="AA212" s="255"/>
      <c r="AB212" s="255"/>
      <c r="AC212" s="255"/>
      <c r="AD212" s="255"/>
      <c r="AE212" s="255"/>
      <c r="AF212" s="255"/>
      <c r="AG212" s="126"/>
    </row>
    <row r="213">
      <c r="A213" s="85"/>
      <c r="B213" s="255"/>
      <c r="C213" s="255"/>
      <c r="D213" s="255"/>
      <c r="E213" s="255"/>
      <c r="F213" s="255"/>
      <c r="G213" s="255"/>
      <c r="H213" s="255"/>
      <c r="I213" s="255"/>
      <c r="J213" s="255"/>
      <c r="K213" s="255"/>
      <c r="L213" s="255"/>
      <c r="M213" s="255"/>
      <c r="N213" s="255"/>
      <c r="O213" s="255"/>
      <c r="P213" s="255"/>
      <c r="Q213" s="255"/>
      <c r="R213" s="255"/>
      <c r="S213" s="255"/>
      <c r="T213" s="255"/>
      <c r="U213" s="255"/>
      <c r="V213" s="255"/>
      <c r="W213" s="255"/>
      <c r="X213" s="255"/>
      <c r="Y213" s="255"/>
      <c r="Z213" s="255"/>
      <c r="AA213" s="255"/>
      <c r="AB213" s="255"/>
      <c r="AC213" s="255"/>
      <c r="AD213" s="255"/>
      <c r="AE213" s="255"/>
      <c r="AF213" s="255"/>
      <c r="AG213" s="126"/>
    </row>
    <row r="214">
      <c r="A214" s="264" t="s">
        <v>347</v>
      </c>
      <c r="B214" s="255">
        <f t="shared" ref="B214:AF214" si="59">B25-B209</f>
        <v>641.835</v>
      </c>
      <c r="C214" s="255">
        <f t="shared" si="59"/>
        <v>661.0065</v>
      </c>
      <c r="D214" s="255">
        <f t="shared" si="59"/>
        <v>1791.8315</v>
      </c>
      <c r="E214" s="255">
        <f t="shared" si="59"/>
        <v>1550.9615</v>
      </c>
      <c r="F214" s="255">
        <f t="shared" si="59"/>
        <v>1336.0305</v>
      </c>
      <c r="G214" s="255">
        <f t="shared" si="59"/>
        <v>2384.8725</v>
      </c>
      <c r="H214" s="255">
        <f t="shared" si="59"/>
        <v>2042.331</v>
      </c>
      <c r="I214" s="255">
        <f t="shared" si="59"/>
        <v>2867.9835</v>
      </c>
      <c r="J214" s="255">
        <f t="shared" si="59"/>
        <v>1809.935</v>
      </c>
      <c r="K214" s="255">
        <f t="shared" si="59"/>
        <v>1276.265</v>
      </c>
      <c r="L214" s="255">
        <f t="shared" si="59"/>
        <v>1389.1335</v>
      </c>
      <c r="M214" s="255">
        <f t="shared" si="59"/>
        <v>1079.8575</v>
      </c>
      <c r="N214" s="255">
        <f t="shared" si="59"/>
        <v>1441.81</v>
      </c>
      <c r="O214" s="255">
        <f t="shared" si="59"/>
        <v>848.4125</v>
      </c>
      <c r="P214" s="255">
        <f t="shared" si="59"/>
        <v>1197.1135</v>
      </c>
      <c r="Q214" s="255">
        <f t="shared" si="59"/>
        <v>743.3145</v>
      </c>
      <c r="R214" s="255">
        <f t="shared" si="59"/>
        <v>935.708</v>
      </c>
      <c r="S214" s="255">
        <f t="shared" si="59"/>
        <v>1469.286</v>
      </c>
      <c r="T214" s="255">
        <f t="shared" si="59"/>
        <v>1460.0305</v>
      </c>
      <c r="U214" s="255">
        <f t="shared" si="59"/>
        <v>2637.74</v>
      </c>
      <c r="V214" s="255">
        <f t="shared" si="59"/>
        <v>3718.6465</v>
      </c>
      <c r="W214" s="255">
        <f t="shared" si="59"/>
        <v>4350.244</v>
      </c>
      <c r="X214" s="255">
        <f t="shared" si="59"/>
        <v>2433.8955</v>
      </c>
      <c r="Y214" s="255">
        <f t="shared" si="59"/>
        <v>3415.338</v>
      </c>
      <c r="Z214" s="255">
        <f t="shared" si="59"/>
        <v>1808.1515</v>
      </c>
      <c r="AA214" s="255">
        <f t="shared" si="59"/>
        <v>2710.6695</v>
      </c>
      <c r="AB214" s="255">
        <f t="shared" si="59"/>
        <v>1845.356</v>
      </c>
      <c r="AC214" s="255">
        <f t="shared" si="59"/>
        <v>3100.805</v>
      </c>
      <c r="AD214" s="255">
        <f t="shared" si="59"/>
        <v>4308.714</v>
      </c>
      <c r="AE214" s="255">
        <f t="shared" si="59"/>
        <v>2288.716</v>
      </c>
      <c r="AF214" s="255">
        <f t="shared" si="59"/>
        <v>3509.3735</v>
      </c>
      <c r="AG214" s="126">
        <f>SUM(B214:AF214)</f>
        <v>63055.3675</v>
      </c>
    </row>
    <row r="215">
      <c r="A215" s="393">
        <f>SUM(B214:AF214)</f>
        <v>63055.3675</v>
      </c>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c r="AD215" s="266"/>
      <c r="AE215" s="266"/>
      <c r="AF215" s="266"/>
      <c r="AG215" s="126"/>
    </row>
    <row r="216">
      <c r="A216" s="264" t="s">
        <v>348</v>
      </c>
      <c r="B216" s="266">
        <f t="shared" ref="B216:AF216" si="60">B214/B25</f>
        <v>0.0777105808</v>
      </c>
      <c r="C216" s="266">
        <f t="shared" si="60"/>
        <v>0.0776769189</v>
      </c>
      <c r="D216" s="266">
        <f t="shared" si="60"/>
        <v>0.1799029417</v>
      </c>
      <c r="E216" s="266">
        <f t="shared" si="60"/>
        <v>0.2147375803</v>
      </c>
      <c r="F216" s="266">
        <f t="shared" si="60"/>
        <v>0.1806489015</v>
      </c>
      <c r="G216" s="266">
        <f t="shared" si="60"/>
        <v>0.380833167</v>
      </c>
      <c r="H216" s="266">
        <f t="shared" si="60"/>
        <v>0.3726840582</v>
      </c>
      <c r="I216" s="266">
        <f t="shared" si="60"/>
        <v>0.322850773</v>
      </c>
      <c r="J216" s="266">
        <f t="shared" si="60"/>
        <v>0.2353040211</v>
      </c>
      <c r="K216" s="266">
        <f t="shared" si="60"/>
        <v>0.2123887105</v>
      </c>
      <c r="L216" s="266">
        <f t="shared" si="60"/>
        <v>0.2031814811</v>
      </c>
      <c r="M216" s="266">
        <f t="shared" si="60"/>
        <v>0.150269268</v>
      </c>
      <c r="N216" s="266">
        <f t="shared" si="60"/>
        <v>0.211775506</v>
      </c>
      <c r="O216" s="266">
        <f t="shared" si="60"/>
        <v>0.1513225366</v>
      </c>
      <c r="P216" s="266">
        <f t="shared" si="60"/>
        <v>0.1856649105</v>
      </c>
      <c r="Q216" s="266">
        <f t="shared" si="60"/>
        <v>0.145537625</v>
      </c>
      <c r="R216" s="266">
        <f t="shared" si="60"/>
        <v>0.1684964561</v>
      </c>
      <c r="S216" s="266">
        <f t="shared" si="60"/>
        <v>0.2012786722</v>
      </c>
      <c r="T216" s="266">
        <f t="shared" si="60"/>
        <v>0.1892768479</v>
      </c>
      <c r="U216" s="266">
        <f t="shared" si="60"/>
        <v>0.2197530658</v>
      </c>
      <c r="V216" s="266">
        <f t="shared" si="60"/>
        <v>0.252541547</v>
      </c>
      <c r="W216" s="266">
        <f t="shared" si="60"/>
        <v>0.3041354508</v>
      </c>
      <c r="X216" s="266">
        <f t="shared" si="60"/>
        <v>0.264760199</v>
      </c>
      <c r="Y216" s="266">
        <f t="shared" si="60"/>
        <v>0.2947031171</v>
      </c>
      <c r="Z216" s="266">
        <f t="shared" si="60"/>
        <v>0.2365145671</v>
      </c>
      <c r="AA216" s="266">
        <f t="shared" si="60"/>
        <v>0.2513260433</v>
      </c>
      <c r="AB216" s="266">
        <f t="shared" si="60"/>
        <v>0.1781651277</v>
      </c>
      <c r="AC216" s="266">
        <f t="shared" si="60"/>
        <v>0.1967128928</v>
      </c>
      <c r="AD216" s="266">
        <f t="shared" si="60"/>
        <v>0.2529057032</v>
      </c>
      <c r="AE216" s="266">
        <f t="shared" si="60"/>
        <v>0.2035651899</v>
      </c>
      <c r="AF216" s="266">
        <f t="shared" si="60"/>
        <v>0.2392551836</v>
      </c>
      <c r="AG216" s="126"/>
    </row>
    <row r="217">
      <c r="A217" s="267">
        <f>A215/A212</f>
        <v>0.2223811645</v>
      </c>
      <c r="B217" s="255"/>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c r="AD217" s="255"/>
      <c r="AE217" s="255"/>
      <c r="AF217" s="255"/>
      <c r="AG217" s="126"/>
    </row>
    <row r="218">
      <c r="A218" s="264" t="s">
        <v>349</v>
      </c>
      <c r="B218" s="394">
        <f>Summary!B94</f>
        <v>3.454444314</v>
      </c>
      <c r="C218" s="394">
        <f>Summary!C94</f>
        <v>3.312671528</v>
      </c>
      <c r="D218" s="394">
        <f>Summary!D94</f>
        <v>5.203865285</v>
      </c>
      <c r="E218" s="394">
        <f>Summary!E94</f>
        <v>6.269010772</v>
      </c>
      <c r="F218" s="394">
        <f>Summary!F94</f>
        <v>5.312909923</v>
      </c>
      <c r="G218" s="394" t="str">
        <f>Summary!G94</f>
        <v>#DIV/0!</v>
      </c>
      <c r="H218" s="394" t="str">
        <f>Summary!H94</f>
        <v>#DIV/0!</v>
      </c>
      <c r="I218" s="394">
        <f>Summary!I94</f>
        <v>26.03244051</v>
      </c>
      <c r="J218" s="394">
        <f>Summary!J94</f>
        <v>8.620790137</v>
      </c>
      <c r="K218" s="394">
        <f>Summary!K94</f>
        <v>7.011785298</v>
      </c>
      <c r="L218" s="394">
        <f>Summary!L94</f>
        <v>6.933915478</v>
      </c>
      <c r="M218" s="394">
        <f>Summary!M94</f>
        <v>6.089647984</v>
      </c>
      <c r="N218" s="394">
        <f>Summary!N94</f>
        <v>7.848250104</v>
      </c>
      <c r="O218" s="394">
        <f>Summary!O94</f>
        <v>5.231255132</v>
      </c>
      <c r="P218" s="394">
        <f>Summary!P94</f>
        <v>6.368423132</v>
      </c>
      <c r="Q218" s="394">
        <f>Summary!Q94</f>
        <v>5.227390895</v>
      </c>
      <c r="R218" s="394">
        <f>Summary!R94</f>
        <v>5.927798296</v>
      </c>
      <c r="S218" s="394">
        <f>Summary!S94</f>
        <v>7.335483806</v>
      </c>
      <c r="T218" s="394">
        <f>Summary!T94</f>
        <v>6.109449623</v>
      </c>
      <c r="U218" s="394">
        <f>Summary!U94</f>
        <v>8.519856621</v>
      </c>
      <c r="V218" s="394">
        <f>Summary!V94</f>
        <v>10.66827749</v>
      </c>
      <c r="W218" s="394">
        <f>Summary!W94</f>
        <v>21.26461012</v>
      </c>
      <c r="X218" s="394">
        <f>Summary!X94</f>
        <v>12.95312104</v>
      </c>
      <c r="Y218" s="394">
        <f>Summary!Y94</f>
        <v>15.72040152</v>
      </c>
      <c r="Z218" s="394">
        <f>Summary!Z94</f>
        <v>8.849392291</v>
      </c>
      <c r="AA218" s="394">
        <f>Summary!AA94</f>
        <v>9.055049954</v>
      </c>
      <c r="AB218" s="394">
        <f>Summary!AB94</f>
        <v>5.578868559</v>
      </c>
      <c r="AC218" s="394">
        <f>Summary!AC94</f>
        <v>6.491413746</v>
      </c>
      <c r="AD218" s="394">
        <f>Summary!AD94</f>
        <v>9.134153272</v>
      </c>
      <c r="AE218" s="394">
        <f>Summary!AE94</f>
        <v>6.474311578</v>
      </c>
      <c r="AF218" s="394">
        <f>Summary!AF94</f>
        <v>8.361261379</v>
      </c>
      <c r="AG218" s="126"/>
    </row>
    <row r="219">
      <c r="A219" s="85"/>
      <c r="B219" s="255"/>
      <c r="C219" s="255"/>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c r="AA219" s="255"/>
      <c r="AB219" s="255"/>
      <c r="AC219" s="255"/>
      <c r="AD219" s="255"/>
      <c r="AE219" s="255"/>
      <c r="AF219" s="255"/>
      <c r="AG219" s="126"/>
    </row>
    <row r="220">
      <c r="A220" s="85"/>
      <c r="B220" s="255"/>
      <c r="C220" s="255"/>
      <c r="D220" s="255"/>
      <c r="E220" s="255"/>
      <c r="F220" s="255"/>
      <c r="G220" s="255"/>
      <c r="H220" s="255"/>
      <c r="I220" s="255"/>
      <c r="J220" s="255"/>
      <c r="K220" s="255"/>
      <c r="L220" s="255"/>
      <c r="M220" s="255"/>
      <c r="N220" s="255"/>
      <c r="O220" s="255"/>
      <c r="P220" s="255"/>
      <c r="Q220" s="255"/>
      <c r="R220" s="255"/>
      <c r="S220" s="255"/>
      <c r="T220" s="255"/>
      <c r="U220" s="255"/>
      <c r="V220" s="255"/>
      <c r="W220" s="255"/>
      <c r="X220" s="255"/>
      <c r="Y220" s="255"/>
      <c r="Z220" s="255"/>
      <c r="AA220" s="255"/>
      <c r="AB220" s="255"/>
      <c r="AC220" s="255"/>
      <c r="AD220" s="255"/>
      <c r="AE220" s="255"/>
      <c r="AF220" s="255"/>
      <c r="AG220" s="126"/>
    </row>
    <row r="221">
      <c r="A221" s="395" t="s">
        <v>548</v>
      </c>
      <c r="B221" s="254" t="str">
        <f t="shared" ref="B221:AF221" si="61">iferror(#REF!+#REF!+#REF!+#REF!+#REF!,"")</f>
        <v/>
      </c>
      <c r="C221" s="254" t="str">
        <f t="shared" si="61"/>
        <v/>
      </c>
      <c r="D221" s="254" t="str">
        <f t="shared" si="61"/>
        <v/>
      </c>
      <c r="E221" s="254" t="str">
        <f t="shared" si="61"/>
        <v/>
      </c>
      <c r="F221" s="254" t="str">
        <f t="shared" si="61"/>
        <v/>
      </c>
      <c r="G221" s="254" t="str">
        <f t="shared" si="61"/>
        <v/>
      </c>
      <c r="H221" s="254" t="str">
        <f t="shared" si="61"/>
        <v/>
      </c>
      <c r="I221" s="254" t="str">
        <f t="shared" si="61"/>
        <v/>
      </c>
      <c r="J221" s="254" t="str">
        <f t="shared" si="61"/>
        <v/>
      </c>
      <c r="K221" s="254" t="str">
        <f t="shared" si="61"/>
        <v/>
      </c>
      <c r="L221" s="254" t="str">
        <f t="shared" si="61"/>
        <v/>
      </c>
      <c r="M221" s="254" t="str">
        <f t="shared" si="61"/>
        <v/>
      </c>
      <c r="N221" s="254" t="str">
        <f t="shared" si="61"/>
        <v/>
      </c>
      <c r="O221" s="254" t="str">
        <f t="shared" si="61"/>
        <v/>
      </c>
      <c r="P221" s="254" t="str">
        <f t="shared" si="61"/>
        <v/>
      </c>
      <c r="Q221" s="254" t="str">
        <f t="shared" si="61"/>
        <v/>
      </c>
      <c r="R221" s="254" t="str">
        <f t="shared" si="61"/>
        <v/>
      </c>
      <c r="S221" s="254" t="str">
        <f t="shared" si="61"/>
        <v/>
      </c>
      <c r="T221" s="254" t="str">
        <f t="shared" si="61"/>
        <v/>
      </c>
      <c r="U221" s="254" t="str">
        <f t="shared" si="61"/>
        <v/>
      </c>
      <c r="V221" s="254" t="str">
        <f t="shared" si="61"/>
        <v/>
      </c>
      <c r="W221" s="254" t="str">
        <f t="shared" si="61"/>
        <v/>
      </c>
      <c r="X221" s="254" t="str">
        <f t="shared" si="61"/>
        <v/>
      </c>
      <c r="Y221" s="254" t="str">
        <f t="shared" si="61"/>
        <v/>
      </c>
      <c r="Z221" s="254" t="str">
        <f t="shared" si="61"/>
        <v/>
      </c>
      <c r="AA221" s="254" t="str">
        <f t="shared" si="61"/>
        <v/>
      </c>
      <c r="AB221" s="254" t="str">
        <f t="shared" si="61"/>
        <v/>
      </c>
      <c r="AC221" s="254" t="str">
        <f t="shared" si="61"/>
        <v/>
      </c>
      <c r="AD221" s="254" t="str">
        <f t="shared" si="61"/>
        <v/>
      </c>
      <c r="AE221" s="254" t="str">
        <f t="shared" si="61"/>
        <v/>
      </c>
      <c r="AF221" s="254" t="str">
        <f t="shared" si="61"/>
        <v/>
      </c>
      <c r="AG221" s="126">
        <f t="shared" ref="AG221:AG255" si="63">SUM(B221:AF221)</f>
        <v>0</v>
      </c>
    </row>
    <row r="222">
      <c r="A222" s="237" t="s">
        <v>549</v>
      </c>
      <c r="B222" s="271">
        <f t="shared" ref="B222:AF222" si="62">SUM(B223:B231)-B232</f>
        <v>0</v>
      </c>
      <c r="C222" s="271">
        <f t="shared" si="62"/>
        <v>-189.45</v>
      </c>
      <c r="D222" s="271">
        <f t="shared" si="62"/>
        <v>-369.61</v>
      </c>
      <c r="E222" s="271">
        <f t="shared" si="62"/>
        <v>0</v>
      </c>
      <c r="F222" s="271">
        <f t="shared" si="62"/>
        <v>-180.16</v>
      </c>
      <c r="G222" s="271">
        <f t="shared" si="62"/>
        <v>0</v>
      </c>
      <c r="H222" s="271">
        <f t="shared" si="62"/>
        <v>-478.9</v>
      </c>
      <c r="I222" s="271">
        <f t="shared" si="62"/>
        <v>-529.06</v>
      </c>
      <c r="J222" s="271">
        <f t="shared" si="62"/>
        <v>-351.18</v>
      </c>
      <c r="K222" s="271">
        <f t="shared" si="62"/>
        <v>-190.44</v>
      </c>
      <c r="L222" s="271">
        <f t="shared" si="62"/>
        <v>-761.76</v>
      </c>
      <c r="M222" s="271">
        <f t="shared" si="62"/>
        <v>-542.61</v>
      </c>
      <c r="N222" s="271">
        <f t="shared" si="62"/>
        <v>-380.88</v>
      </c>
      <c r="O222" s="271">
        <f t="shared" si="62"/>
        <v>0</v>
      </c>
      <c r="P222" s="271">
        <f t="shared" si="62"/>
        <v>-190.44</v>
      </c>
      <c r="Q222" s="271">
        <f t="shared" si="62"/>
        <v>-571.32</v>
      </c>
      <c r="R222" s="271">
        <f t="shared" si="62"/>
        <v>0</v>
      </c>
      <c r="S222" s="271">
        <f t="shared" si="62"/>
        <v>-531.04</v>
      </c>
      <c r="T222" s="271">
        <f t="shared" si="62"/>
        <v>0</v>
      </c>
      <c r="U222" s="271">
        <f t="shared" si="62"/>
        <v>-11.57</v>
      </c>
      <c r="V222" s="271">
        <f t="shared" si="62"/>
        <v>-529.06</v>
      </c>
      <c r="W222" s="271">
        <f t="shared" si="62"/>
        <v>0</v>
      </c>
      <c r="X222" s="271">
        <f t="shared" si="62"/>
        <v>-189.45</v>
      </c>
      <c r="Y222" s="271">
        <f t="shared" si="62"/>
        <v>-379.89</v>
      </c>
      <c r="Z222" s="271">
        <f t="shared" si="62"/>
        <v>-189.45</v>
      </c>
      <c r="AA222" s="271">
        <f t="shared" si="62"/>
        <v>-189.45</v>
      </c>
      <c r="AB222" s="271">
        <f t="shared" si="62"/>
        <v>0</v>
      </c>
      <c r="AC222" s="271">
        <f t="shared" si="62"/>
        <v>-339.61</v>
      </c>
      <c r="AD222" s="271">
        <f t="shared" si="62"/>
        <v>-189.45</v>
      </c>
      <c r="AE222" s="271">
        <f t="shared" si="62"/>
        <v>-23.14</v>
      </c>
      <c r="AF222" s="271">
        <f t="shared" si="62"/>
        <v>-190.44</v>
      </c>
      <c r="AG222" s="126">
        <f t="shared" si="63"/>
        <v>-7498.36</v>
      </c>
    </row>
    <row r="223">
      <c r="A223" s="216" t="s">
        <v>352</v>
      </c>
      <c r="B223" s="255">
        <f>(B111+B112)*'Data - P&amp;L'!$C$3</f>
        <v>0</v>
      </c>
      <c r="C223" s="255">
        <f>(C111+C112)*'Data - P&amp;L'!$C$3</f>
        <v>0</v>
      </c>
      <c r="D223" s="255">
        <f>(D111+D112)*'Data - P&amp;L'!$C$3</f>
        <v>86.9</v>
      </c>
      <c r="E223" s="255">
        <f>(E111+E112)*'Data - P&amp;L'!$C$3</f>
        <v>0</v>
      </c>
      <c r="F223" s="255">
        <f>(F111+F112)*'Data - P&amp;L'!$C$3</f>
        <v>86.9</v>
      </c>
      <c r="G223" s="255">
        <f>(G111+G112)*'Data - P&amp;L'!$C$3</f>
        <v>0</v>
      </c>
      <c r="H223" s="255">
        <f>(H111+H112)*'Data - P&amp;L'!$C$3</f>
        <v>0</v>
      </c>
      <c r="I223" s="255">
        <f>(I111+I112)*'Data - P&amp;L'!$C$3</f>
        <v>86.9</v>
      </c>
      <c r="J223" s="255">
        <f>(J111+J112)*'Data - P&amp;L'!$C$3</f>
        <v>86.9</v>
      </c>
      <c r="K223" s="255">
        <f>(K111+K112)*'Data - P&amp;L'!$C$3</f>
        <v>0</v>
      </c>
      <c r="L223" s="255">
        <f>(L111+L112)*'Data - P&amp;L'!$C$3</f>
        <v>0</v>
      </c>
      <c r="M223" s="255">
        <f>(M111+M112)*'Data - P&amp;L'!$C$3</f>
        <v>86.9</v>
      </c>
      <c r="N223" s="255">
        <f>(N111+N112)*'Data - P&amp;L'!$C$3</f>
        <v>0</v>
      </c>
      <c r="O223" s="255">
        <f>(O111+O112)*'Data - P&amp;L'!$C$3</f>
        <v>0</v>
      </c>
      <c r="P223" s="255">
        <f>(P111+P112)*'Data - P&amp;L'!$C$3</f>
        <v>0</v>
      </c>
      <c r="Q223" s="255">
        <f>(Q111+Q112)*'Data - P&amp;L'!$C$3</f>
        <v>0</v>
      </c>
      <c r="R223" s="255">
        <f>(R111+R112)*'Data - P&amp;L'!$C$3</f>
        <v>0</v>
      </c>
      <c r="S223" s="255">
        <f>(S111+S112)*'Data - P&amp;L'!$C$3</f>
        <v>86.9</v>
      </c>
      <c r="T223" s="255">
        <f>(T111+T112)*'Data - P&amp;L'!$C$3</f>
        <v>0</v>
      </c>
      <c r="U223" s="255">
        <f>(U111+U112)*'Data - P&amp;L'!$C$3</f>
        <v>0</v>
      </c>
      <c r="V223" s="255">
        <f>(V111+V112)*'Data - P&amp;L'!$C$3</f>
        <v>86.9</v>
      </c>
      <c r="W223" s="255">
        <f>(W111+W112)*'Data - P&amp;L'!$C$3</f>
        <v>0</v>
      </c>
      <c r="X223" s="255">
        <f>(X111+X112)*'Data - P&amp;L'!$C$3</f>
        <v>0</v>
      </c>
      <c r="Y223" s="255">
        <f>(Y111+Y112)*'Data - P&amp;L'!$C$3</f>
        <v>0</v>
      </c>
      <c r="Z223" s="255">
        <f>(Z111+Z112)*'Data - P&amp;L'!$C$3</f>
        <v>0</v>
      </c>
      <c r="AA223" s="255">
        <f>(AA111+AA112)*'Data - P&amp;L'!$C$3</f>
        <v>0</v>
      </c>
      <c r="AB223" s="255">
        <f>(AB111+AB112)*'Data - P&amp;L'!$C$3</f>
        <v>0</v>
      </c>
      <c r="AC223" s="255">
        <f>(AC111+AC112)*'Data - P&amp;L'!$C$3</f>
        <v>86.9</v>
      </c>
      <c r="AD223" s="255">
        <f>(AD111+AD112)*'Data - P&amp;L'!$C$3</f>
        <v>0</v>
      </c>
      <c r="AE223" s="255">
        <f>(AE111+AE112)*'Data - P&amp;L'!$C$3</f>
        <v>0</v>
      </c>
      <c r="AF223" s="255">
        <f>(AF111+AF112)*'Data - P&amp;L'!$C$3</f>
        <v>0</v>
      </c>
      <c r="AG223" s="126">
        <f t="shared" si="63"/>
        <v>695.2</v>
      </c>
    </row>
    <row r="224">
      <c r="A224" s="216" t="s">
        <v>353</v>
      </c>
      <c r="B224" s="255">
        <f>(B113+B114)*'Data - P&amp;L'!$C$4</f>
        <v>0</v>
      </c>
      <c r="C224" s="255">
        <f>(C113+C114)*'Data - P&amp;L'!$C$4</f>
        <v>97.61</v>
      </c>
      <c r="D224" s="255">
        <f>(D113+D114)*'Data - P&amp;L'!$C$4</f>
        <v>97.61</v>
      </c>
      <c r="E224" s="255">
        <f>(E113+E114)*'Data - P&amp;L'!$C$4</f>
        <v>0</v>
      </c>
      <c r="F224" s="255">
        <f>(F113+F114)*'Data - P&amp;L'!$C$4</f>
        <v>0</v>
      </c>
      <c r="G224" s="255">
        <f>(G113+G114)*'Data - P&amp;L'!$C$4</f>
        <v>0</v>
      </c>
      <c r="H224" s="255">
        <f>(H113+H114)*'Data - P&amp;L'!$C$4</f>
        <v>195.22</v>
      </c>
      <c r="I224" s="255">
        <f>(I113+I114)*'Data - P&amp;L'!$C$4</f>
        <v>195.22</v>
      </c>
      <c r="J224" s="255">
        <f>(J113+J114)*'Data - P&amp;L'!$C$4</f>
        <v>97.61</v>
      </c>
      <c r="K224" s="255">
        <f>(K113+K114)*'Data - P&amp;L'!$C$4</f>
        <v>97.61</v>
      </c>
      <c r="L224" s="255">
        <f>(L113+L114)*'Data - P&amp;L'!$C$4</f>
        <v>390.44</v>
      </c>
      <c r="M224" s="255">
        <f>(M113+M114)*'Data - P&amp;L'!$C$4</f>
        <v>195.22</v>
      </c>
      <c r="N224" s="255">
        <f>(N113+N114)*'Data - P&amp;L'!$C$4</f>
        <v>195.22</v>
      </c>
      <c r="O224" s="255">
        <f>(O113+O114)*'Data - P&amp;L'!$C$4</f>
        <v>0</v>
      </c>
      <c r="P224" s="255">
        <f>(P113+P114)*'Data - P&amp;L'!$C$4</f>
        <v>97.61</v>
      </c>
      <c r="Q224" s="255">
        <f>(Q113+Q114)*'Data - P&amp;L'!$C$4</f>
        <v>292.83</v>
      </c>
      <c r="R224" s="255">
        <f>(R113+R114)*'Data - P&amp;L'!$C$4</f>
        <v>0</v>
      </c>
      <c r="S224" s="255">
        <f>(S113+S114)*'Data - P&amp;L'!$C$4</f>
        <v>195.22</v>
      </c>
      <c r="T224" s="255">
        <f>(T113+T114)*'Data - P&amp;L'!$C$4</f>
        <v>0</v>
      </c>
      <c r="U224" s="255">
        <f>(U113+U114)*'Data - P&amp;L'!$C$4</f>
        <v>0</v>
      </c>
      <c r="V224" s="255">
        <f>(V113+V114)*'Data - P&amp;L'!$C$4</f>
        <v>195.22</v>
      </c>
      <c r="W224" s="255">
        <f>(W113+W114)*'Data - P&amp;L'!$C$4</f>
        <v>0</v>
      </c>
      <c r="X224" s="255">
        <f>(X113+X114)*'Data - P&amp;L'!$C$4</f>
        <v>97.61</v>
      </c>
      <c r="Y224" s="255">
        <f>(Y113+Y114)*'Data - P&amp;L'!$C$4</f>
        <v>195.22</v>
      </c>
      <c r="Z224" s="255">
        <f>(Z113+Z114)*'Data - P&amp;L'!$C$4</f>
        <v>97.61</v>
      </c>
      <c r="AA224" s="255">
        <f>(AA113+AA114)*'Data - P&amp;L'!$C$4</f>
        <v>97.61</v>
      </c>
      <c r="AB224" s="255">
        <f>(AB113+AB114)*'Data - P&amp;L'!$C$4</f>
        <v>0</v>
      </c>
      <c r="AC224" s="255">
        <f>(AC113+AC114)*'Data - P&amp;L'!$C$4</f>
        <v>97.61</v>
      </c>
      <c r="AD224" s="255">
        <f>(AD113+AD114)*'Data - P&amp;L'!$C$4</f>
        <v>97.61</v>
      </c>
      <c r="AE224" s="255">
        <f>(AE113+AE114)*'Data - P&amp;L'!$C$4</f>
        <v>0</v>
      </c>
      <c r="AF224" s="255">
        <f>(AF113+AF114)*'Data - P&amp;L'!$C$4</f>
        <v>97.61</v>
      </c>
      <c r="AG224" s="126">
        <f t="shared" si="63"/>
        <v>3123.52</v>
      </c>
    </row>
    <row r="225">
      <c r="A225" s="216" t="s">
        <v>354</v>
      </c>
      <c r="B225" s="255">
        <f>(B118)*'Data - P&amp;L'!$C$6</f>
        <v>0</v>
      </c>
      <c r="C225" s="255">
        <f>(C118)*'Data - P&amp;L'!$C$6</f>
        <v>0</v>
      </c>
      <c r="D225" s="255">
        <f>(D118)*'Data - P&amp;L'!$C$6</f>
        <v>0</v>
      </c>
      <c r="E225" s="255">
        <f>(E118)*'Data - P&amp;L'!$C$6</f>
        <v>0</v>
      </c>
      <c r="F225" s="255">
        <f>(F118)*'Data - P&amp;L'!$C$6</f>
        <v>0</v>
      </c>
      <c r="G225" s="255">
        <f>(G118)*'Data - P&amp;L'!$C$6</f>
        <v>0</v>
      </c>
      <c r="H225" s="255">
        <f>(H118)*'Data - P&amp;L'!$C$6</f>
        <v>0</v>
      </c>
      <c r="I225" s="255">
        <f>(I118)*'Data - P&amp;L'!$C$6</f>
        <v>0</v>
      </c>
      <c r="J225" s="255">
        <f>(J118)*'Data - P&amp;L'!$C$6</f>
        <v>5.49</v>
      </c>
      <c r="K225" s="255">
        <f>(K118)*'Data - P&amp;L'!$C$6</f>
        <v>0</v>
      </c>
      <c r="L225" s="255">
        <f>(L118)*'Data - P&amp;L'!$C$6</f>
        <v>0</v>
      </c>
      <c r="M225" s="255">
        <f>(M118)*'Data - P&amp;L'!$C$6</f>
        <v>5.49</v>
      </c>
      <c r="N225" s="255">
        <f>(N118)*'Data - P&amp;L'!$C$6</f>
        <v>0</v>
      </c>
      <c r="O225" s="255">
        <f>(O118)*'Data - P&amp;L'!$C$6</f>
        <v>0</v>
      </c>
      <c r="P225" s="255">
        <f>(P118)*'Data - P&amp;L'!$C$6</f>
        <v>0</v>
      </c>
      <c r="Q225" s="255">
        <f>(Q118)*'Data - P&amp;L'!$C$6</f>
        <v>0</v>
      </c>
      <c r="R225" s="255">
        <f>(R118)*'Data - P&amp;L'!$C$6</f>
        <v>0</v>
      </c>
      <c r="S225" s="255">
        <f>(S118)*'Data - P&amp;L'!$C$6</f>
        <v>0</v>
      </c>
      <c r="T225" s="255">
        <f>(T118)*'Data - P&amp;L'!$C$6</f>
        <v>0</v>
      </c>
      <c r="U225" s="255">
        <f>(U118)*'Data - P&amp;L'!$C$6</f>
        <v>5.49</v>
      </c>
      <c r="V225" s="255">
        <f>(V118)*'Data - P&amp;L'!$C$6</f>
        <v>0</v>
      </c>
      <c r="W225" s="255">
        <f>(W118)*'Data - P&amp;L'!$C$6</f>
        <v>0</v>
      </c>
      <c r="X225" s="255">
        <f>(X118)*'Data - P&amp;L'!$C$6</f>
        <v>0</v>
      </c>
      <c r="Y225" s="255">
        <f>(Y118)*'Data - P&amp;L'!$C$6</f>
        <v>0</v>
      </c>
      <c r="Z225" s="255">
        <f>(Z118)*'Data - P&amp;L'!$C$6</f>
        <v>0</v>
      </c>
      <c r="AA225" s="255">
        <f>(AA118)*'Data - P&amp;L'!$C$6</f>
        <v>0</v>
      </c>
      <c r="AB225" s="255">
        <f>(AB118)*'Data - P&amp;L'!$C$6</f>
        <v>0</v>
      </c>
      <c r="AC225" s="255">
        <f>(AC118)*'Data - P&amp;L'!$C$6</f>
        <v>0</v>
      </c>
      <c r="AD225" s="255">
        <f>(AD118)*'Data - P&amp;L'!$C$6</f>
        <v>0</v>
      </c>
      <c r="AE225" s="255">
        <f>(AE118)*'Data - P&amp;L'!$C$6</f>
        <v>10.98</v>
      </c>
      <c r="AF225" s="255">
        <f>(AF118)*'Data - P&amp;L'!$C$6</f>
        <v>0</v>
      </c>
      <c r="AG225" s="126">
        <f t="shared" si="63"/>
        <v>27.45</v>
      </c>
    </row>
    <row r="226">
      <c r="A226" s="216" t="s">
        <v>355</v>
      </c>
      <c r="B226" s="255">
        <f>(B119)*'Data - P&amp;L'!$C$8</f>
        <v>0</v>
      </c>
      <c r="C226" s="255">
        <f>(C119)*'Data - P&amp;L'!$C$8</f>
        <v>0</v>
      </c>
      <c r="D226" s="255">
        <f>(D119)*'Data - P&amp;L'!$C$8</f>
        <v>0</v>
      </c>
      <c r="E226" s="255">
        <f>(E119)*'Data - P&amp;L'!$C$8</f>
        <v>0</v>
      </c>
      <c r="F226" s="255">
        <f>(F119)*'Data - P&amp;L'!$C$8</f>
        <v>0</v>
      </c>
      <c r="G226" s="255">
        <f>(G119)*'Data - P&amp;L'!$C$8</f>
        <v>0</v>
      </c>
      <c r="H226" s="255">
        <f>(H119)*'Data - P&amp;L'!$C$8</f>
        <v>0</v>
      </c>
      <c r="I226" s="255">
        <f>(I119)*'Data - P&amp;L'!$C$8</f>
        <v>0</v>
      </c>
      <c r="J226" s="255">
        <f>(J119)*'Data - P&amp;L'!$C$8</f>
        <v>0</v>
      </c>
      <c r="K226" s="255">
        <f>(K119)*'Data - P&amp;L'!$C$8</f>
        <v>0</v>
      </c>
      <c r="L226" s="255">
        <f>(L119)*'Data - P&amp;L'!$C$8</f>
        <v>0</v>
      </c>
      <c r="M226" s="255">
        <f>(M119)*'Data - P&amp;L'!$C$8</f>
        <v>0</v>
      </c>
      <c r="N226" s="255">
        <f>(N119)*'Data - P&amp;L'!$C$8</f>
        <v>0</v>
      </c>
      <c r="O226" s="255">
        <f>(O119)*'Data - P&amp;L'!$C$8</f>
        <v>0</v>
      </c>
      <c r="P226" s="255">
        <f>(P119)*'Data - P&amp;L'!$C$8</f>
        <v>0</v>
      </c>
      <c r="Q226" s="255">
        <f>(Q119)*'Data - P&amp;L'!$C$8</f>
        <v>0</v>
      </c>
      <c r="R226" s="255">
        <f>(R119)*'Data - P&amp;L'!$C$8</f>
        <v>0</v>
      </c>
      <c r="S226" s="255">
        <f>(S119)*'Data - P&amp;L'!$C$8</f>
        <v>0</v>
      </c>
      <c r="T226" s="255">
        <f>(T119)*'Data - P&amp;L'!$C$8</f>
        <v>0</v>
      </c>
      <c r="U226" s="255">
        <f>(U119)*'Data - P&amp;L'!$C$8</f>
        <v>0</v>
      </c>
      <c r="V226" s="255">
        <f>(V119)*'Data - P&amp;L'!$C$8</f>
        <v>0</v>
      </c>
      <c r="W226" s="255">
        <f>(W119)*'Data - P&amp;L'!$C$8</f>
        <v>0</v>
      </c>
      <c r="X226" s="255">
        <f>(X119)*'Data - P&amp;L'!$C$8</f>
        <v>0</v>
      </c>
      <c r="Y226" s="255">
        <f>(Y119)*'Data - P&amp;L'!$C$8</f>
        <v>0</v>
      </c>
      <c r="Z226" s="255">
        <f>(Z119)*'Data - P&amp;L'!$C$8</f>
        <v>0</v>
      </c>
      <c r="AA226" s="255">
        <f>(AA119)*'Data - P&amp;L'!$C$8</f>
        <v>0</v>
      </c>
      <c r="AB226" s="255">
        <f>(AB119)*'Data - P&amp;L'!$C$8</f>
        <v>0</v>
      </c>
      <c r="AC226" s="255">
        <f>(AC119)*'Data - P&amp;L'!$C$8</f>
        <v>0</v>
      </c>
      <c r="AD226" s="255">
        <f>(AD119)*'Data - P&amp;L'!$C$8</f>
        <v>0</v>
      </c>
      <c r="AE226" s="255">
        <f>(AE119)*'Data - P&amp;L'!$C$8</f>
        <v>0</v>
      </c>
      <c r="AF226" s="255">
        <f>(AF119)*'Data - P&amp;L'!$C$8</f>
        <v>0</v>
      </c>
      <c r="AG226" s="126">
        <f t="shared" si="63"/>
        <v>0</v>
      </c>
    </row>
    <row r="227">
      <c r="A227" s="216" t="s">
        <v>356</v>
      </c>
      <c r="B227" s="255">
        <f>(B120+B121)*'Data - P&amp;L'!$C$9</f>
        <v>0</v>
      </c>
      <c r="C227" s="255">
        <f>(C120+C121)*'Data - P&amp;L'!$C$9</f>
        <v>0</v>
      </c>
      <c r="D227" s="255">
        <f>(D120+D121)*'Data - P&amp;L'!$C$9</f>
        <v>0</v>
      </c>
      <c r="E227" s="255">
        <f>(E120+E121)*'Data - P&amp;L'!$C$9</f>
        <v>0</v>
      </c>
      <c r="F227" s="255">
        <f>(F120+F121)*'Data - P&amp;L'!$C$9</f>
        <v>0</v>
      </c>
      <c r="G227" s="255">
        <f>(G120+G121)*'Data - P&amp;L'!$C$9</f>
        <v>0</v>
      </c>
      <c r="H227" s="255">
        <f>(H120+H121)*'Data - P&amp;L'!$C$9</f>
        <v>0</v>
      </c>
      <c r="I227" s="255">
        <f>(I120+I121)*'Data - P&amp;L'!$C$9</f>
        <v>0</v>
      </c>
      <c r="J227" s="255">
        <f>(J120+J121)*'Data - P&amp;L'!$C$9</f>
        <v>0</v>
      </c>
      <c r="K227" s="255">
        <f>(K120+K121)*'Data - P&amp;L'!$C$9</f>
        <v>0</v>
      </c>
      <c r="L227" s="255">
        <f>(L120+L121)*'Data - P&amp;L'!$C$9</f>
        <v>0</v>
      </c>
      <c r="M227" s="255">
        <f>(M120+M121)*'Data - P&amp;L'!$C$9</f>
        <v>0</v>
      </c>
      <c r="N227" s="255">
        <f>(N120+N121)*'Data - P&amp;L'!$C$9</f>
        <v>0</v>
      </c>
      <c r="O227" s="255">
        <f>(O120+O121)*'Data - P&amp;L'!$C$9</f>
        <v>0</v>
      </c>
      <c r="P227" s="255">
        <f>(P120+P121)*'Data - P&amp;L'!$C$9</f>
        <v>0</v>
      </c>
      <c r="Q227" s="255">
        <f>(Q120+Q121)*'Data - P&amp;L'!$C$9</f>
        <v>0</v>
      </c>
      <c r="R227" s="255">
        <f>(R120+R121)*'Data - P&amp;L'!$C$9</f>
        <v>0</v>
      </c>
      <c r="S227" s="255">
        <f>(S120+S121)*'Data - P&amp;L'!$C$9</f>
        <v>0</v>
      </c>
      <c r="T227" s="255">
        <f>(T120+T121)*'Data - P&amp;L'!$C$9</f>
        <v>0</v>
      </c>
      <c r="U227" s="255">
        <f>(U120+U121)*'Data - P&amp;L'!$C$9</f>
        <v>0</v>
      </c>
      <c r="V227" s="255">
        <f>(V120+V121)*'Data - P&amp;L'!$C$9</f>
        <v>0</v>
      </c>
      <c r="W227" s="255">
        <f>(W120+W121)*'Data - P&amp;L'!$C$9</f>
        <v>0</v>
      </c>
      <c r="X227" s="255">
        <f>(X120+X121)*'Data - P&amp;L'!$C$9</f>
        <v>0</v>
      </c>
      <c r="Y227" s="255">
        <f>(Y120+Y121)*'Data - P&amp;L'!$C$9</f>
        <v>0</v>
      </c>
      <c r="Z227" s="255">
        <f>(Z120+Z121)*'Data - P&amp;L'!$C$9</f>
        <v>0</v>
      </c>
      <c r="AA227" s="255">
        <f>(AA120+AA121)*'Data - P&amp;L'!$C$9</f>
        <v>0</v>
      </c>
      <c r="AB227" s="255">
        <f>(AB120+AB121)*'Data - P&amp;L'!$C$9</f>
        <v>0</v>
      </c>
      <c r="AC227" s="255">
        <f>(AC120+AC121)*'Data - P&amp;L'!$C$9</f>
        <v>0</v>
      </c>
      <c r="AD227" s="255">
        <f>(AD120+AD121)*'Data - P&amp;L'!$C$9</f>
        <v>0</v>
      </c>
      <c r="AE227" s="255">
        <f>(AE120+AE121)*'Data - P&amp;L'!$C$9</f>
        <v>0</v>
      </c>
      <c r="AF227" s="255">
        <f>(AF120+AF121)*'Data - P&amp;L'!$C$9</f>
        <v>0</v>
      </c>
      <c r="AG227" s="126">
        <f t="shared" si="63"/>
        <v>0</v>
      </c>
    </row>
    <row r="228">
      <c r="A228" s="216" t="s">
        <v>357</v>
      </c>
      <c r="B228" s="255">
        <f>(B122+B1570)*'Data - P&amp;L'!$C$5</f>
        <v>0</v>
      </c>
      <c r="C228" s="255">
        <f>(C122+C1570)*'Data - P&amp;L'!$C$5</f>
        <v>0</v>
      </c>
      <c r="D228" s="255">
        <f>(D122+D1570)*'Data - P&amp;L'!$C$5</f>
        <v>0</v>
      </c>
      <c r="E228" s="255">
        <f>(E122+E1570)*'Data - P&amp;L'!$C$5</f>
        <v>0</v>
      </c>
      <c r="F228" s="255">
        <f>(F122+F1570)*'Data - P&amp;L'!$C$5</f>
        <v>0</v>
      </c>
      <c r="G228" s="255">
        <f>(G122+G1570)*'Data - P&amp;L'!$C$5</f>
        <v>0</v>
      </c>
      <c r="H228" s="255">
        <f>(H122+H1570)*'Data - P&amp;L'!$C$5</f>
        <v>0</v>
      </c>
      <c r="I228" s="255">
        <f>(I122+I1570)*'Data - P&amp;L'!$C$5</f>
        <v>0</v>
      </c>
      <c r="J228" s="255">
        <f>(J122+J1570)*'Data - P&amp;L'!$C$5</f>
        <v>0</v>
      </c>
      <c r="K228" s="255">
        <f>(K122+K1570)*'Data - P&amp;L'!$C$5</f>
        <v>0</v>
      </c>
      <c r="L228" s="255">
        <f>(L122+L1570)*'Data - P&amp;L'!$C$5</f>
        <v>0</v>
      </c>
      <c r="M228" s="255">
        <f>(M122+M1570)*'Data - P&amp;L'!$C$5</f>
        <v>0</v>
      </c>
      <c r="N228" s="255">
        <f>(N122+N1570)*'Data - P&amp;L'!$C$5</f>
        <v>0</v>
      </c>
      <c r="O228" s="255">
        <f>(O122+O1570)*'Data - P&amp;L'!$C$5</f>
        <v>0</v>
      </c>
      <c r="P228" s="255">
        <f>(P122+P1570)*'Data - P&amp;L'!$C$5</f>
        <v>0</v>
      </c>
      <c r="Q228" s="255">
        <f>(Q122+Q1570)*'Data - P&amp;L'!$C$5</f>
        <v>0</v>
      </c>
      <c r="R228" s="255">
        <f>(R122+R1570)*'Data - P&amp;L'!$C$5</f>
        <v>0</v>
      </c>
      <c r="S228" s="255">
        <f>(S122+S1570)*'Data - P&amp;L'!$C$5</f>
        <v>0</v>
      </c>
      <c r="T228" s="255">
        <f>(T122+T1570)*'Data - P&amp;L'!$C$5</f>
        <v>0</v>
      </c>
      <c r="U228" s="255">
        <f>(U122+U1570)*'Data - P&amp;L'!$C$5</f>
        <v>0</v>
      </c>
      <c r="V228" s="255">
        <f>(V122+V1570)*'Data - P&amp;L'!$C$5</f>
        <v>0</v>
      </c>
      <c r="W228" s="255">
        <f>(W122+W1570)*'Data - P&amp;L'!$C$5</f>
        <v>0</v>
      </c>
      <c r="X228" s="255">
        <f>(X122+X1570)*'Data - P&amp;L'!$C$5</f>
        <v>0</v>
      </c>
      <c r="Y228" s="255">
        <f>(Y122+Y1570)*'Data - P&amp;L'!$C$5</f>
        <v>0</v>
      </c>
      <c r="Z228" s="255">
        <f>(Z122+Z1570)*'Data - P&amp;L'!$C$5</f>
        <v>0</v>
      </c>
      <c r="AA228" s="255">
        <f>(AA122+AA1570)*'Data - P&amp;L'!$C$5</f>
        <v>0</v>
      </c>
      <c r="AB228" s="255">
        <f>(AB122+AB1570)*'Data - P&amp;L'!$C$5</f>
        <v>0</v>
      </c>
      <c r="AC228" s="255">
        <f>(AC122+AC1570)*'Data - P&amp;L'!$C$5</f>
        <v>0</v>
      </c>
      <c r="AD228" s="255">
        <f>(AD122+AD1570)*'Data - P&amp;L'!$C$5</f>
        <v>0</v>
      </c>
      <c r="AE228" s="255">
        <f>(AE122+AE1570)*'Data - P&amp;L'!$C$5</f>
        <v>0</v>
      </c>
      <c r="AF228" s="255">
        <f>(AF122+AF1570)*'Data - P&amp;L'!$C$5</f>
        <v>0</v>
      </c>
      <c r="AG228" s="126">
        <f t="shared" si="63"/>
        <v>0</v>
      </c>
    </row>
    <row r="229">
      <c r="A229" s="216" t="s">
        <v>358</v>
      </c>
      <c r="B229" s="255">
        <f>(B124+B125)*'Data - P&amp;L'!$C$10</f>
        <v>0</v>
      </c>
      <c r="C229" s="255">
        <f>(C124+C125)*'Data - P&amp;L'!$C$10</f>
        <v>0</v>
      </c>
      <c r="D229" s="255">
        <f>(D124+D125)*'Data - P&amp;L'!$C$10</f>
        <v>0</v>
      </c>
      <c r="E229" s="255">
        <f>(E124+E125)*'Data - P&amp;L'!$C$10</f>
        <v>0</v>
      </c>
      <c r="F229" s="255">
        <f>(F124+F125)*'Data - P&amp;L'!$C$10</f>
        <v>0</v>
      </c>
      <c r="G229" s="255">
        <f>(G124+G125)*'Data - P&amp;L'!$C$10</f>
        <v>0</v>
      </c>
      <c r="H229" s="255">
        <f>(H124+H125)*'Data - P&amp;L'!$C$10</f>
        <v>0</v>
      </c>
      <c r="I229" s="255">
        <f>(I124+I125)*'Data - P&amp;L'!$C$10</f>
        <v>0</v>
      </c>
      <c r="J229" s="255">
        <f>(J124+J125)*'Data - P&amp;L'!$C$10</f>
        <v>0</v>
      </c>
      <c r="K229" s="255">
        <f>(K124+K125)*'Data - P&amp;L'!$C$10</f>
        <v>0</v>
      </c>
      <c r="L229" s="255">
        <f>(L124+L125)*'Data - P&amp;L'!$C$10</f>
        <v>0</v>
      </c>
      <c r="M229" s="255">
        <f>(M124+M125)*'Data - P&amp;L'!$C$10</f>
        <v>0</v>
      </c>
      <c r="N229" s="255">
        <f>(N124+N125)*'Data - P&amp;L'!$C$10</f>
        <v>0</v>
      </c>
      <c r="O229" s="255">
        <f>(O124+O125)*'Data - P&amp;L'!$C$10</f>
        <v>0</v>
      </c>
      <c r="P229" s="255">
        <f>(P124+P125)*'Data - P&amp;L'!$C$10</f>
        <v>0</v>
      </c>
      <c r="Q229" s="255">
        <f>(Q124+Q125)*'Data - P&amp;L'!$C$10</f>
        <v>0</v>
      </c>
      <c r="R229" s="255">
        <f>(R124+R125)*'Data - P&amp;L'!$C$10</f>
        <v>0</v>
      </c>
      <c r="S229" s="255">
        <f>(S124+S125)*'Data - P&amp;L'!$C$10</f>
        <v>0</v>
      </c>
      <c r="T229" s="255">
        <f>(T124+T125)*'Data - P&amp;L'!$C$10</f>
        <v>0</v>
      </c>
      <c r="U229" s="255">
        <f>(U124+U125)*'Data - P&amp;L'!$C$10</f>
        <v>0</v>
      </c>
      <c r="V229" s="255">
        <f>(V124+V125)*'Data - P&amp;L'!$C$10</f>
        <v>0</v>
      </c>
      <c r="W229" s="255">
        <f>(W124+W125)*'Data - P&amp;L'!$C$10</f>
        <v>0</v>
      </c>
      <c r="X229" s="255">
        <f>(X124+X125)*'Data - P&amp;L'!$C$10</f>
        <v>0</v>
      </c>
      <c r="Y229" s="255">
        <f>(Y124+Y125)*'Data - P&amp;L'!$C$10</f>
        <v>0</v>
      </c>
      <c r="Z229" s="255">
        <f>(Z124+Z125)*'Data - P&amp;L'!$C$10</f>
        <v>0</v>
      </c>
      <c r="AA229" s="255">
        <f>(AA124+AA125)*'Data - P&amp;L'!$C$10</f>
        <v>0</v>
      </c>
      <c r="AB229" s="255">
        <f>(AB124+AB125)*'Data - P&amp;L'!$C$10</f>
        <v>0</v>
      </c>
      <c r="AC229" s="255">
        <f>(AC124+AC125)*'Data - P&amp;L'!$C$10</f>
        <v>0</v>
      </c>
      <c r="AD229" s="255">
        <f>(AD124+AD125)*'Data - P&amp;L'!$C$10</f>
        <v>0</v>
      </c>
      <c r="AE229" s="255">
        <f>(AE124+AE125)*'Data - P&amp;L'!$C$10</f>
        <v>0</v>
      </c>
      <c r="AF229" s="255">
        <f>(AF124+AF125)*'Data - P&amp;L'!$C$10</f>
        <v>0</v>
      </c>
      <c r="AG229" s="126">
        <f t="shared" si="63"/>
        <v>0</v>
      </c>
    </row>
    <row r="230">
      <c r="A230" s="216" t="s">
        <v>359</v>
      </c>
      <c r="B230" s="255">
        <f>(B115+B116)*'Data - P&amp;L'!$C$43</f>
        <v>0</v>
      </c>
      <c r="C230" s="255">
        <f>(C115+C116)*'Data - P&amp;L'!$C$43</f>
        <v>11.94</v>
      </c>
      <c r="D230" s="255">
        <f>(D115+D116)*'Data - P&amp;L'!$C$43</f>
        <v>23.88</v>
      </c>
      <c r="E230" s="255">
        <f>(E115+E116)*'Data - P&amp;L'!$C$43</f>
        <v>0</v>
      </c>
      <c r="F230" s="255">
        <f>(F115+F116)*'Data - P&amp;L'!$C$43</f>
        <v>11.94</v>
      </c>
      <c r="G230" s="255">
        <f>(G115+G116)*'Data - P&amp;L'!$C$43</f>
        <v>0</v>
      </c>
      <c r="H230" s="255">
        <f>(H115+H116)*'Data - P&amp;L'!$C$43</f>
        <v>23.88</v>
      </c>
      <c r="I230" s="255">
        <f>(I115+I116)*'Data - P&amp;L'!$C$43</f>
        <v>35.82</v>
      </c>
      <c r="J230" s="255">
        <f>(J115+J116)*'Data - P&amp;L'!$C$43</f>
        <v>23.88</v>
      </c>
      <c r="K230" s="255">
        <f>(K115+K116)*'Data - P&amp;L'!$C$43</f>
        <v>11.94</v>
      </c>
      <c r="L230" s="255">
        <f>(L115+L116)*'Data - P&amp;L'!$C$43</f>
        <v>47.76</v>
      </c>
      <c r="M230" s="255">
        <f>(M115+M116)*'Data - P&amp;L'!$C$43</f>
        <v>35.82</v>
      </c>
      <c r="N230" s="255">
        <f>(N115+N116)*'Data - P&amp;L'!$C$43</f>
        <v>23.88</v>
      </c>
      <c r="O230" s="255">
        <f>(O115+O116)*'Data - P&amp;L'!$C$43</f>
        <v>0</v>
      </c>
      <c r="P230" s="255">
        <f>(P115+P116)*'Data - P&amp;L'!$C$43</f>
        <v>11.94</v>
      </c>
      <c r="Q230" s="255">
        <f>(Q115+Q116)*'Data - P&amp;L'!$C$43</f>
        <v>35.82</v>
      </c>
      <c r="R230" s="255">
        <f>(R115+R116)*'Data - P&amp;L'!$C$43</f>
        <v>0</v>
      </c>
      <c r="S230" s="255">
        <f>(S115+S116)*'Data - P&amp;L'!$C$43</f>
        <v>35.82</v>
      </c>
      <c r="T230" s="255">
        <f>(T115+T116)*'Data - P&amp;L'!$C$43</f>
        <v>0</v>
      </c>
      <c r="U230" s="255">
        <f>(U115+U116)*'Data - P&amp;L'!$C$43</f>
        <v>0</v>
      </c>
      <c r="V230" s="255">
        <f>(V115+V116)*'Data - P&amp;L'!$C$43</f>
        <v>35.82</v>
      </c>
      <c r="W230" s="255">
        <f>(W115+W116)*'Data - P&amp;L'!$C$43</f>
        <v>0</v>
      </c>
      <c r="X230" s="255">
        <f>(X115+X116)*'Data - P&amp;L'!$C$43</f>
        <v>11.94</v>
      </c>
      <c r="Y230" s="255">
        <f>(Y115+Y116)*'Data - P&amp;L'!$C$43</f>
        <v>23.88</v>
      </c>
      <c r="Z230" s="255">
        <f>(Z115+Z116)*'Data - P&amp;L'!$C$43</f>
        <v>11.94</v>
      </c>
      <c r="AA230" s="255">
        <f>(AA115+AA116)*'Data - P&amp;L'!$C$43</f>
        <v>11.94</v>
      </c>
      <c r="AB230" s="255">
        <f>(AB115+AB116)*'Data - P&amp;L'!$C$43</f>
        <v>0</v>
      </c>
      <c r="AC230" s="255">
        <f>(AC115+AC116)*'Data - P&amp;L'!$C$43</f>
        <v>23.88</v>
      </c>
      <c r="AD230" s="255">
        <f>(AD115+AD116)*'Data - P&amp;L'!$C$43</f>
        <v>11.94</v>
      </c>
      <c r="AE230" s="255">
        <f>(AE115+AE116)*'Data - P&amp;L'!$C$43</f>
        <v>0</v>
      </c>
      <c r="AF230" s="255">
        <f>(AF115+AF116)*'Data - P&amp;L'!$C$43</f>
        <v>11.94</v>
      </c>
      <c r="AG230" s="126">
        <f t="shared" si="63"/>
        <v>477.6</v>
      </c>
    </row>
    <row r="231">
      <c r="A231" s="216" t="s">
        <v>361</v>
      </c>
      <c r="B231" s="255">
        <f>B126*'Data - P&amp;L'!$C$43</f>
        <v>0</v>
      </c>
      <c r="C231" s="255">
        <f>C126*'Data - P&amp;L'!$C$43</f>
        <v>0</v>
      </c>
      <c r="D231" s="255">
        <f>D126*'Data - P&amp;L'!$C$43</f>
        <v>0</v>
      </c>
      <c r="E231" s="255">
        <f>E126*'Data - P&amp;L'!$C$43</f>
        <v>0</v>
      </c>
      <c r="F231" s="255">
        <f>F126*'Data - P&amp;L'!$C$43</f>
        <v>0</v>
      </c>
      <c r="G231" s="255">
        <f>G126*'Data - P&amp;L'!$C$43</f>
        <v>0</v>
      </c>
      <c r="H231" s="255">
        <f>H126*'Data - P&amp;L'!$C$43</f>
        <v>0</v>
      </c>
      <c r="I231" s="255">
        <f>I126*'Data - P&amp;L'!$C$43</f>
        <v>0</v>
      </c>
      <c r="J231" s="255">
        <f>J126*'Data - P&amp;L'!$C$43</f>
        <v>11.94</v>
      </c>
      <c r="K231" s="255">
        <f>K126*'Data - P&amp;L'!$C$43</f>
        <v>0</v>
      </c>
      <c r="L231" s="255">
        <f>L126*'Data - P&amp;L'!$C$43</f>
        <v>0</v>
      </c>
      <c r="M231" s="255">
        <f>M126*'Data - P&amp;L'!$C$43</f>
        <v>11.94</v>
      </c>
      <c r="N231" s="255">
        <f>N126*'Data - P&amp;L'!$C$43</f>
        <v>0</v>
      </c>
      <c r="O231" s="255">
        <f>O126*'Data - P&amp;L'!$C$43</f>
        <v>0</v>
      </c>
      <c r="P231" s="255">
        <f>P126*'Data - P&amp;L'!$C$43</f>
        <v>0</v>
      </c>
      <c r="Q231" s="255">
        <f>Q126*'Data - P&amp;L'!$C$43</f>
        <v>0</v>
      </c>
      <c r="R231" s="255">
        <f>R126*'Data - P&amp;L'!$C$43</f>
        <v>0</v>
      </c>
      <c r="S231" s="255">
        <f>S126*'Data - P&amp;L'!$C$43</f>
        <v>0</v>
      </c>
      <c r="T231" s="255">
        <f>T126*'Data - P&amp;L'!$C$43</f>
        <v>0</v>
      </c>
      <c r="U231" s="255">
        <f>U126*'Data - P&amp;L'!$C$43</f>
        <v>11.94</v>
      </c>
      <c r="V231" s="255">
        <f>V126*'Data - P&amp;L'!$C$43</f>
        <v>0</v>
      </c>
      <c r="W231" s="255">
        <f>W126*'Data - P&amp;L'!$C$43</f>
        <v>0</v>
      </c>
      <c r="X231" s="255">
        <f>X126*'Data - P&amp;L'!$C$43</f>
        <v>0</v>
      </c>
      <c r="Y231" s="255">
        <f>Y126*'Data - P&amp;L'!$C$43</f>
        <v>0</v>
      </c>
      <c r="Z231" s="255">
        <f>Z126*'Data - P&amp;L'!$C$43</f>
        <v>0</v>
      </c>
      <c r="AA231" s="255">
        <f>AA126*'Data - P&amp;L'!$C$43</f>
        <v>0</v>
      </c>
      <c r="AB231" s="255">
        <f>AB126*'Data - P&amp;L'!$C$43</f>
        <v>0</v>
      </c>
      <c r="AC231" s="255">
        <f>AC126*'Data - P&amp;L'!$C$43</f>
        <v>0</v>
      </c>
      <c r="AD231" s="255">
        <f>AD126*'Data - P&amp;L'!$C$43</f>
        <v>0</v>
      </c>
      <c r="AE231" s="255">
        <f>AE126*'Data - P&amp;L'!$C$43</f>
        <v>23.88</v>
      </c>
      <c r="AF231" s="255">
        <f>AF126*'Data - P&amp;L'!$C$43</f>
        <v>0</v>
      </c>
      <c r="AG231" s="126">
        <f t="shared" si="63"/>
        <v>59.7</v>
      </c>
    </row>
    <row r="232">
      <c r="A232" s="216" t="s">
        <v>363</v>
      </c>
      <c r="B232" s="255">
        <f t="shared" ref="B232:AF232" si="64">B148</f>
        <v>0</v>
      </c>
      <c r="C232" s="255">
        <f t="shared" si="64"/>
        <v>299</v>
      </c>
      <c r="D232" s="255">
        <f t="shared" si="64"/>
        <v>578</v>
      </c>
      <c r="E232" s="255">
        <f t="shared" si="64"/>
        <v>0</v>
      </c>
      <c r="F232" s="255">
        <f t="shared" si="64"/>
        <v>279</v>
      </c>
      <c r="G232" s="255">
        <f t="shared" si="64"/>
        <v>0</v>
      </c>
      <c r="H232" s="255">
        <f t="shared" si="64"/>
        <v>698</v>
      </c>
      <c r="I232" s="255">
        <f t="shared" si="64"/>
        <v>847</v>
      </c>
      <c r="J232" s="255">
        <f t="shared" si="64"/>
        <v>577</v>
      </c>
      <c r="K232" s="255">
        <f t="shared" si="64"/>
        <v>299.99</v>
      </c>
      <c r="L232" s="255">
        <f t="shared" si="64"/>
        <v>1199.96</v>
      </c>
      <c r="M232" s="255">
        <f t="shared" si="64"/>
        <v>877.98</v>
      </c>
      <c r="N232" s="255">
        <f t="shared" si="64"/>
        <v>599.98</v>
      </c>
      <c r="O232" s="255">
        <f t="shared" si="64"/>
        <v>0</v>
      </c>
      <c r="P232" s="255">
        <f t="shared" si="64"/>
        <v>299.99</v>
      </c>
      <c r="Q232" s="255">
        <f t="shared" si="64"/>
        <v>899.97</v>
      </c>
      <c r="R232" s="255">
        <f t="shared" si="64"/>
        <v>0</v>
      </c>
      <c r="S232" s="255">
        <f t="shared" si="64"/>
        <v>848.98</v>
      </c>
      <c r="T232" s="255">
        <f t="shared" si="64"/>
        <v>0</v>
      </c>
      <c r="U232" s="255">
        <f t="shared" si="64"/>
        <v>29</v>
      </c>
      <c r="V232" s="255">
        <f t="shared" si="64"/>
        <v>847</v>
      </c>
      <c r="W232" s="255">
        <f t="shared" si="64"/>
        <v>0</v>
      </c>
      <c r="X232" s="255">
        <f t="shared" si="64"/>
        <v>299</v>
      </c>
      <c r="Y232" s="255">
        <f t="shared" si="64"/>
        <v>598.99</v>
      </c>
      <c r="Z232" s="255">
        <f t="shared" si="64"/>
        <v>299</v>
      </c>
      <c r="AA232" s="255">
        <f t="shared" si="64"/>
        <v>299</v>
      </c>
      <c r="AB232" s="255">
        <f t="shared" si="64"/>
        <v>0</v>
      </c>
      <c r="AC232" s="255">
        <f t="shared" si="64"/>
        <v>548</v>
      </c>
      <c r="AD232" s="255">
        <f t="shared" si="64"/>
        <v>299</v>
      </c>
      <c r="AE232" s="255">
        <f t="shared" si="64"/>
        <v>58</v>
      </c>
      <c r="AF232" s="255">
        <f t="shared" si="64"/>
        <v>299.99</v>
      </c>
      <c r="AG232" s="126">
        <f t="shared" si="63"/>
        <v>11881.83</v>
      </c>
    </row>
    <row r="233">
      <c r="A233" s="237" t="s">
        <v>550</v>
      </c>
      <c r="B233" s="271">
        <f t="shared" ref="B233:AF233" si="65">SUM(B234:B242)-B243-B244</f>
        <v>-1669.094436</v>
      </c>
      <c r="C233" s="271">
        <f t="shared" si="65"/>
        <v>-4526.746616</v>
      </c>
      <c r="D233" s="271">
        <f t="shared" si="65"/>
        <v>-6441.168476</v>
      </c>
      <c r="E233" s="271">
        <f t="shared" si="65"/>
        <v>-4545.276296</v>
      </c>
      <c r="F233" s="271">
        <f t="shared" si="65"/>
        <v>-2905.90518</v>
      </c>
      <c r="G233" s="271">
        <f t="shared" si="65"/>
        <v>-3026.228488</v>
      </c>
      <c r="H233" s="271">
        <f t="shared" si="65"/>
        <v>-2827.489588</v>
      </c>
      <c r="I233" s="271">
        <f t="shared" si="65"/>
        <v>-2083.493896</v>
      </c>
      <c r="J233" s="271">
        <f t="shared" si="65"/>
        <v>-3066.343488</v>
      </c>
      <c r="K233" s="271">
        <f t="shared" si="65"/>
        <v>-3189.301988</v>
      </c>
      <c r="L233" s="271">
        <f t="shared" si="65"/>
        <v>-1869.113936</v>
      </c>
      <c r="M233" s="271">
        <f t="shared" si="65"/>
        <v>-1975.534564</v>
      </c>
      <c r="N233" s="271">
        <f t="shared" si="65"/>
        <v>-1224.005384</v>
      </c>
      <c r="O233" s="271">
        <f t="shared" si="65"/>
        <v>-1386.96704</v>
      </c>
      <c r="P233" s="271">
        <f t="shared" si="65"/>
        <v>-2508.31404</v>
      </c>
      <c r="Q233" s="271">
        <f t="shared" si="65"/>
        <v>-808.19954</v>
      </c>
      <c r="R233" s="271">
        <f t="shared" si="65"/>
        <v>-1230.705872</v>
      </c>
      <c r="S233" s="271">
        <f t="shared" si="65"/>
        <v>-1174.920936</v>
      </c>
      <c r="T233" s="271">
        <f t="shared" si="65"/>
        <v>-2898.071488</v>
      </c>
      <c r="U233" s="271">
        <f t="shared" si="65"/>
        <v>-1769.87436</v>
      </c>
      <c r="V233" s="271">
        <f t="shared" si="65"/>
        <v>-1666.767116</v>
      </c>
      <c r="W233" s="271">
        <f t="shared" si="65"/>
        <v>-1330.241244</v>
      </c>
      <c r="X233" s="271">
        <f t="shared" si="65"/>
        <v>-1608.92432</v>
      </c>
      <c r="Y233" s="271">
        <f t="shared" si="65"/>
        <v>-1564.809616</v>
      </c>
      <c r="Z233" s="271">
        <f t="shared" si="65"/>
        <v>-2181.13486</v>
      </c>
      <c r="AA233" s="271">
        <f t="shared" si="65"/>
        <v>-1127.988256</v>
      </c>
      <c r="AB233" s="271">
        <f t="shared" si="65"/>
        <v>-3222.081232</v>
      </c>
      <c r="AC233" s="271">
        <f t="shared" si="65"/>
        <v>-2232.962692</v>
      </c>
      <c r="AD233" s="271">
        <f t="shared" si="65"/>
        <v>-1153.121308</v>
      </c>
      <c r="AE233" s="271">
        <f t="shared" si="65"/>
        <v>-4122.113232</v>
      </c>
      <c r="AF233" s="271">
        <f t="shared" si="65"/>
        <v>-2386.00154</v>
      </c>
      <c r="AG233" s="126">
        <f t="shared" si="63"/>
        <v>-73722.90103</v>
      </c>
    </row>
    <row r="234">
      <c r="A234" s="216" t="s">
        <v>365</v>
      </c>
      <c r="B234" s="255">
        <f>((B129+B130)*'Data - P&amp;L'!$C$3)*'Data - P&amp;L'!$C$54</f>
        <v>0</v>
      </c>
      <c r="C234" s="255">
        <f>((C129+C130)*'Data - P&amp;L'!$C$3)*'Data - P&amp;L'!$C$54</f>
        <v>0</v>
      </c>
      <c r="D234" s="255">
        <f>((D129+D130)*'Data - P&amp;L'!$C$3)*'Data - P&amp;L'!$C$54</f>
        <v>21.725</v>
      </c>
      <c r="E234" s="255">
        <f>((E129+E130)*'Data - P&amp;L'!$C$3)*'Data - P&amp;L'!$C$54</f>
        <v>21.725</v>
      </c>
      <c r="F234" s="255">
        <f>((F129+F130)*'Data - P&amp;L'!$C$3)*'Data - P&amp;L'!$C$54</f>
        <v>0</v>
      </c>
      <c r="G234" s="255">
        <f>((G129+G130)*'Data - P&amp;L'!$C$3)*'Data - P&amp;L'!$C$54</f>
        <v>0</v>
      </c>
      <c r="H234" s="255">
        <f>((H129+H130)*'Data - P&amp;L'!$C$3)*'Data - P&amp;L'!$C$54</f>
        <v>0</v>
      </c>
      <c r="I234" s="255">
        <f>((I129+I130)*'Data - P&amp;L'!$C$3)*'Data - P&amp;L'!$C$54</f>
        <v>43.45</v>
      </c>
      <c r="J234" s="255">
        <f>((J129+J130)*'Data - P&amp;L'!$C$3)*'Data - P&amp;L'!$C$54</f>
        <v>43.45</v>
      </c>
      <c r="K234" s="255">
        <f>((K129+K130)*'Data - P&amp;L'!$C$3)*'Data - P&amp;L'!$C$54</f>
        <v>21.725</v>
      </c>
      <c r="L234" s="255">
        <f>((L129+L130)*'Data - P&amp;L'!$C$3)*'Data - P&amp;L'!$C$54</f>
        <v>21.725</v>
      </c>
      <c r="M234" s="255">
        <f>((M129+M130)*'Data - P&amp;L'!$C$3)*'Data - P&amp;L'!$C$54</f>
        <v>0</v>
      </c>
      <c r="N234" s="255">
        <f>((N129+N130)*'Data - P&amp;L'!$C$3)*'Data - P&amp;L'!$C$54</f>
        <v>0</v>
      </c>
      <c r="O234" s="255">
        <f>((O129+O130)*'Data - P&amp;L'!$C$3)*'Data - P&amp;L'!$C$54</f>
        <v>21.725</v>
      </c>
      <c r="P234" s="255">
        <f>((P129+P130)*'Data - P&amp;L'!$C$3)*'Data - P&amp;L'!$C$54</f>
        <v>21.725</v>
      </c>
      <c r="Q234" s="255">
        <f>((Q129+Q130)*'Data - P&amp;L'!$C$3)*'Data - P&amp;L'!$C$54</f>
        <v>0</v>
      </c>
      <c r="R234" s="255">
        <f>((R129+R130)*'Data - P&amp;L'!$C$3)*'Data - P&amp;L'!$C$54</f>
        <v>43.45</v>
      </c>
      <c r="S234" s="255">
        <f>((S129+S130)*'Data - P&amp;L'!$C$3)*'Data - P&amp;L'!$C$54</f>
        <v>21.725</v>
      </c>
      <c r="T234" s="255">
        <f>((T129+T130)*'Data - P&amp;L'!$C$3)*'Data - P&amp;L'!$C$54</f>
        <v>0</v>
      </c>
      <c r="U234" s="255">
        <f>((U129+U130)*'Data - P&amp;L'!$C$3)*'Data - P&amp;L'!$C$54</f>
        <v>0</v>
      </c>
      <c r="V234" s="255">
        <f>((V129+V130)*'Data - P&amp;L'!$C$3)*'Data - P&amp;L'!$C$54</f>
        <v>21.725</v>
      </c>
      <c r="W234" s="255">
        <f>((W129+W130)*'Data - P&amp;L'!$C$3)*'Data - P&amp;L'!$C$54</f>
        <v>21.725</v>
      </c>
      <c r="X234" s="255">
        <f>((X129+X130)*'Data - P&amp;L'!$C$3)*'Data - P&amp;L'!$C$54</f>
        <v>21.725</v>
      </c>
      <c r="Y234" s="255">
        <f>((Y129+Y130)*'Data - P&amp;L'!$C$3)*'Data - P&amp;L'!$C$54</f>
        <v>0</v>
      </c>
      <c r="Z234" s="255">
        <f>((Z129+Z130)*'Data - P&amp;L'!$C$3)*'Data - P&amp;L'!$C$54</f>
        <v>21.725</v>
      </c>
      <c r="AA234" s="255">
        <f>((AA129+AA130)*'Data - P&amp;L'!$C$3)*'Data - P&amp;L'!$C$54</f>
        <v>0</v>
      </c>
      <c r="AB234" s="255">
        <f>((AB129+AB130)*'Data - P&amp;L'!$C$3)*'Data - P&amp;L'!$C$54</f>
        <v>43.45</v>
      </c>
      <c r="AC234" s="255">
        <f>((AC129+AC130)*'Data - P&amp;L'!$C$3)*'Data - P&amp;L'!$C$54</f>
        <v>0</v>
      </c>
      <c r="AD234" s="255">
        <f>((AD129+AD130)*'Data - P&amp;L'!$C$3)*'Data - P&amp;L'!$C$54</f>
        <v>43.45</v>
      </c>
      <c r="AE234" s="255">
        <f>((AE129+AE130)*'Data - P&amp;L'!$C$3)*'Data - P&amp;L'!$C$54</f>
        <v>0</v>
      </c>
      <c r="AF234" s="255">
        <f>((AF129+AF130)*'Data - P&amp;L'!$C$3)*'Data - P&amp;L'!$C$54</f>
        <v>43.45</v>
      </c>
      <c r="AG234" s="126">
        <f t="shared" si="63"/>
        <v>499.675</v>
      </c>
    </row>
    <row r="235">
      <c r="A235" s="216" t="s">
        <v>366</v>
      </c>
      <c r="B235" s="255">
        <f>(B131+B132)*'Data - P&amp;L'!$C$4*'Data - P&amp;L'!$C$54</f>
        <v>24.4025</v>
      </c>
      <c r="C235" s="255">
        <f>(C131+C132)*'Data - P&amp;L'!$C$4*'Data - P&amp;L'!$C$54</f>
        <v>146.415</v>
      </c>
      <c r="D235" s="255">
        <f>(D131+D132)*'Data - P&amp;L'!$C$4*'Data - P&amp;L'!$C$54</f>
        <v>366.0375</v>
      </c>
      <c r="E235" s="255">
        <f>(E131+E132)*'Data - P&amp;L'!$C$4*'Data - P&amp;L'!$C$54</f>
        <v>244.025</v>
      </c>
      <c r="F235" s="255">
        <f>(F131+F132)*'Data - P&amp;L'!$C$4*'Data - P&amp;L'!$C$54</f>
        <v>244.025</v>
      </c>
      <c r="G235" s="255">
        <f>(G131+G132)*'Data - P&amp;L'!$C$4*'Data - P&amp;L'!$C$54</f>
        <v>317.2325</v>
      </c>
      <c r="H235" s="255">
        <f>(H131+H132)*'Data - P&amp;L'!$C$4*'Data - P&amp;L'!$C$54</f>
        <v>195.22</v>
      </c>
      <c r="I235" s="255">
        <f>(I131+I132)*'Data - P&amp;L'!$C$4*'Data - P&amp;L'!$C$54</f>
        <v>463.6475</v>
      </c>
      <c r="J235" s="255">
        <f>(J131+J132)*'Data - P&amp;L'!$C$4*'Data - P&amp;L'!$C$54</f>
        <v>268.4275</v>
      </c>
      <c r="K235" s="255">
        <f>(K131+K132)*'Data - P&amp;L'!$C$4*'Data - P&amp;L'!$C$54</f>
        <v>536.855</v>
      </c>
      <c r="L235" s="255">
        <f>(L131+L132)*'Data - P&amp;L'!$C$4*'Data - P&amp;L'!$C$54</f>
        <v>488.05</v>
      </c>
      <c r="M235" s="255">
        <f>(M131+M132)*'Data - P&amp;L'!$C$4*'Data - P&amp;L'!$C$54</f>
        <v>341.635</v>
      </c>
      <c r="N235" s="255">
        <f>(N131+N132)*'Data - P&amp;L'!$C$4*'Data - P&amp;L'!$C$54</f>
        <v>341.635</v>
      </c>
      <c r="O235" s="255">
        <f>(O131+O132)*'Data - P&amp;L'!$C$4*'Data - P&amp;L'!$C$54</f>
        <v>463.6475</v>
      </c>
      <c r="P235" s="255">
        <f>(P131+P132)*'Data - P&amp;L'!$C$4*'Data - P&amp;L'!$C$54</f>
        <v>341.635</v>
      </c>
      <c r="Q235" s="255">
        <f>(Q131+Q132)*'Data - P&amp;L'!$C$4*'Data - P&amp;L'!$C$54</f>
        <v>488.05</v>
      </c>
      <c r="R235" s="255">
        <f>(R131+R132)*'Data - P&amp;L'!$C$4*'Data - P&amp;L'!$C$54</f>
        <v>488.05</v>
      </c>
      <c r="S235" s="255">
        <f>(S131+S132)*'Data - P&amp;L'!$C$4*'Data - P&amp;L'!$C$54</f>
        <v>366.0375</v>
      </c>
      <c r="T235" s="255">
        <f>(T131+T132)*'Data - P&amp;L'!$C$4*'Data - P&amp;L'!$C$54</f>
        <v>439.245</v>
      </c>
      <c r="U235" s="255">
        <f>(U131+U132)*'Data - P&amp;L'!$C$4*'Data - P&amp;L'!$C$54</f>
        <v>244.025</v>
      </c>
      <c r="V235" s="255">
        <f>(V131+V132)*'Data - P&amp;L'!$C$4*'Data - P&amp;L'!$C$54</f>
        <v>244.025</v>
      </c>
      <c r="W235" s="255">
        <f>(W131+W132)*'Data - P&amp;L'!$C$4*'Data - P&amp;L'!$C$54</f>
        <v>317.2325</v>
      </c>
      <c r="X235" s="255">
        <f>(X131+X132)*'Data - P&amp;L'!$C$4*'Data - P&amp;L'!$C$54</f>
        <v>219.6225</v>
      </c>
      <c r="Y235" s="255">
        <f>(Y131+Y132)*'Data - P&amp;L'!$C$4*'Data - P&amp;L'!$C$54</f>
        <v>268.4275</v>
      </c>
      <c r="Z235" s="255">
        <f>(Z131+Z132)*'Data - P&amp;L'!$C$4*'Data - P&amp;L'!$C$54</f>
        <v>341.635</v>
      </c>
      <c r="AA235" s="255">
        <f>(AA131+AA132)*'Data - P&amp;L'!$C$4*'Data - P&amp;L'!$C$54</f>
        <v>146.415</v>
      </c>
      <c r="AB235" s="255">
        <f>(AB131+AB132)*'Data - P&amp;L'!$C$4*'Data - P&amp;L'!$C$54</f>
        <v>366.0375</v>
      </c>
      <c r="AC235" s="255">
        <f>(AC131+AC132)*'Data - P&amp;L'!$C$4*'Data - P&amp;L'!$C$54</f>
        <v>170.8175</v>
      </c>
      <c r="AD235" s="255">
        <f>(AD131+AD132)*'Data - P&amp;L'!$C$4*'Data - P&amp;L'!$C$54</f>
        <v>146.415</v>
      </c>
      <c r="AE235" s="255">
        <f>(AE131+AE132)*'Data - P&amp;L'!$C$4*'Data - P&amp;L'!$C$54</f>
        <v>292.83</v>
      </c>
      <c r="AF235" s="255">
        <f>(AF131+AF132)*'Data - P&amp;L'!$C$4*'Data - P&amp;L'!$C$54</f>
        <v>317.2325</v>
      </c>
      <c r="AG235" s="126">
        <f t="shared" si="63"/>
        <v>9638.9875</v>
      </c>
    </row>
    <row r="236">
      <c r="A236" s="216" t="s">
        <v>367</v>
      </c>
      <c r="B236" s="255">
        <f>B136*'Data - P&amp;L'!$C$6*'Data - P&amp;L'!$C$54</f>
        <v>0</v>
      </c>
      <c r="C236" s="255">
        <f>C136*'Data - P&amp;L'!$C$6*'Data - P&amp;L'!$C$54</f>
        <v>0</v>
      </c>
      <c r="D236" s="255">
        <f>D136*'Data - P&amp;L'!$C$6*'Data - P&amp;L'!$C$54</f>
        <v>0</v>
      </c>
      <c r="E236" s="255">
        <f>E136*'Data - P&amp;L'!$C$6*'Data - P&amp;L'!$C$54</f>
        <v>0</v>
      </c>
      <c r="F236" s="255">
        <f>F136*'Data - P&amp;L'!$C$6*'Data - P&amp;L'!$C$54</f>
        <v>1.3725</v>
      </c>
      <c r="G236" s="255">
        <f>G136*'Data - P&amp;L'!$C$6*'Data - P&amp;L'!$C$54</f>
        <v>1.3725</v>
      </c>
      <c r="H236" s="255">
        <f>H136*'Data - P&amp;L'!$C$6*'Data - P&amp;L'!$C$54</f>
        <v>6.8625</v>
      </c>
      <c r="I236" s="255">
        <f>I136*'Data - P&amp;L'!$C$6*'Data - P&amp;L'!$C$54</f>
        <v>9.6075</v>
      </c>
      <c r="J236" s="255">
        <f>J136*'Data - P&amp;L'!$C$6*'Data - P&amp;L'!$C$54</f>
        <v>1.3725</v>
      </c>
      <c r="K236" s="255">
        <f>K136*'Data - P&amp;L'!$C$6*'Data - P&amp;L'!$C$54</f>
        <v>4.1175</v>
      </c>
      <c r="L236" s="255">
        <f>L136*'Data - P&amp;L'!$C$6*'Data - P&amp;L'!$C$54</f>
        <v>5.49</v>
      </c>
      <c r="M236" s="255">
        <f>M136*'Data - P&amp;L'!$C$6*'Data - P&amp;L'!$C$54</f>
        <v>4.1175</v>
      </c>
      <c r="N236" s="255">
        <f>N136*'Data - P&amp;L'!$C$6*'Data - P&amp;L'!$C$54</f>
        <v>5.49</v>
      </c>
      <c r="O236" s="255">
        <f>O136*'Data - P&amp;L'!$C$6*'Data - P&amp;L'!$C$54</f>
        <v>1.3725</v>
      </c>
      <c r="P236" s="255">
        <f>P136*'Data - P&amp;L'!$C$6*'Data - P&amp;L'!$C$54</f>
        <v>0</v>
      </c>
      <c r="Q236" s="255">
        <f>Q136*'Data - P&amp;L'!$C$6*'Data - P&amp;L'!$C$54</f>
        <v>1.3725</v>
      </c>
      <c r="R236" s="255">
        <f>R136*'Data - P&amp;L'!$C$6*'Data - P&amp;L'!$C$54</f>
        <v>5.49</v>
      </c>
      <c r="S236" s="255">
        <f>S136*'Data - P&amp;L'!$C$6*'Data - P&amp;L'!$C$54</f>
        <v>4.1175</v>
      </c>
      <c r="T236" s="255">
        <f>T136*'Data - P&amp;L'!$C$6*'Data - P&amp;L'!$C$54</f>
        <v>2.745</v>
      </c>
      <c r="U236" s="255">
        <f>U136*'Data - P&amp;L'!$C$6*'Data - P&amp;L'!$C$54</f>
        <v>0</v>
      </c>
      <c r="V236" s="255">
        <f>V136*'Data - P&amp;L'!$C$6*'Data - P&amp;L'!$C$54</f>
        <v>1.3725</v>
      </c>
      <c r="W236" s="255">
        <f>W136*'Data - P&amp;L'!$C$6*'Data - P&amp;L'!$C$54</f>
        <v>2.745</v>
      </c>
      <c r="X236" s="255">
        <f>X136*'Data - P&amp;L'!$C$6*'Data - P&amp;L'!$C$54</f>
        <v>4.1175</v>
      </c>
      <c r="Y236" s="255">
        <f>Y136*'Data - P&amp;L'!$C$6*'Data - P&amp;L'!$C$54</f>
        <v>1.3725</v>
      </c>
      <c r="Z236" s="255">
        <f>Z136*'Data - P&amp;L'!$C$6*'Data - P&amp;L'!$C$54</f>
        <v>1.3725</v>
      </c>
      <c r="AA236" s="255">
        <f>AA136*'Data - P&amp;L'!$C$6*'Data - P&amp;L'!$C$54</f>
        <v>2.745</v>
      </c>
      <c r="AB236" s="255">
        <f>AB136*'Data - P&amp;L'!$C$6*'Data - P&amp;L'!$C$54</f>
        <v>1.3725</v>
      </c>
      <c r="AC236" s="255">
        <f>AC136*'Data - P&amp;L'!$C$6*'Data - P&amp;L'!$C$54</f>
        <v>2.745</v>
      </c>
      <c r="AD236" s="255">
        <f>AD136*'Data - P&amp;L'!$C$6*'Data - P&amp;L'!$C$54</f>
        <v>1.3725</v>
      </c>
      <c r="AE236" s="255">
        <f>AE136*'Data - P&amp;L'!$C$6*'Data - P&amp;L'!$C$54</f>
        <v>0</v>
      </c>
      <c r="AF236" s="255">
        <f>AF136*'Data - P&amp;L'!$C$6*'Data - P&amp;L'!$C$54</f>
        <v>0</v>
      </c>
      <c r="AG236" s="126">
        <f t="shared" si="63"/>
        <v>74.115</v>
      </c>
    </row>
    <row r="237">
      <c r="A237" s="216" t="s">
        <v>368</v>
      </c>
      <c r="B237" s="255">
        <f>B137*'Data - P&amp;L'!$C$8*'Data - P&amp;L'!$C$54</f>
        <v>0</v>
      </c>
      <c r="C237" s="255">
        <f>C137*'Data - P&amp;L'!$C$8*'Data - P&amp;L'!$C$54</f>
        <v>0</v>
      </c>
      <c r="D237" s="255">
        <f>D137*'Data - P&amp;L'!$C$8*'Data - P&amp;L'!$C$54</f>
        <v>0</v>
      </c>
      <c r="E237" s="255">
        <f>E137*'Data - P&amp;L'!$C$8*'Data - P&amp;L'!$C$54</f>
        <v>0</v>
      </c>
      <c r="F237" s="255">
        <f>F137*'Data - P&amp;L'!$C$8*'Data - P&amp;L'!$C$54</f>
        <v>0</v>
      </c>
      <c r="G237" s="255">
        <f>G137*'Data - P&amp;L'!$C$8*'Data - P&amp;L'!$C$54</f>
        <v>0</v>
      </c>
      <c r="H237" s="255">
        <f>H137*'Data - P&amp;L'!$C$8*'Data - P&amp;L'!$C$54</f>
        <v>0</v>
      </c>
      <c r="I237" s="255">
        <f>I137*'Data - P&amp;L'!$C$8*'Data - P&amp;L'!$C$54</f>
        <v>0</v>
      </c>
      <c r="J237" s="255">
        <f>J137*'Data - P&amp;L'!$C$8*'Data - P&amp;L'!$C$54</f>
        <v>0</v>
      </c>
      <c r="K237" s="255">
        <f>K137*'Data - P&amp;L'!$C$8*'Data - P&amp;L'!$C$54</f>
        <v>0</v>
      </c>
      <c r="L237" s="255">
        <f>L137*'Data - P&amp;L'!$C$8*'Data - P&amp;L'!$C$54</f>
        <v>0</v>
      </c>
      <c r="M237" s="255">
        <f>M137*'Data - P&amp;L'!$C$8*'Data - P&amp;L'!$C$54</f>
        <v>0</v>
      </c>
      <c r="N237" s="255">
        <f>N137*'Data - P&amp;L'!$C$8*'Data - P&amp;L'!$C$54</f>
        <v>0</v>
      </c>
      <c r="O237" s="255">
        <f>O137*'Data - P&amp;L'!$C$8*'Data - P&amp;L'!$C$54</f>
        <v>0</v>
      </c>
      <c r="P237" s="255">
        <f>P137*'Data - P&amp;L'!$C$8*'Data - P&amp;L'!$C$54</f>
        <v>0</v>
      </c>
      <c r="Q237" s="255">
        <f>Q137*'Data - P&amp;L'!$C$8*'Data - P&amp;L'!$C$54</f>
        <v>0</v>
      </c>
      <c r="R237" s="255">
        <f>R137*'Data - P&amp;L'!$C$8*'Data - P&amp;L'!$C$54</f>
        <v>0</v>
      </c>
      <c r="S237" s="255">
        <f>S137*'Data - P&amp;L'!$C$8*'Data - P&amp;L'!$C$54</f>
        <v>0</v>
      </c>
      <c r="T237" s="255">
        <f>T137*'Data - P&amp;L'!$C$8*'Data - P&amp;L'!$C$54</f>
        <v>0</v>
      </c>
      <c r="U237" s="255">
        <f>U137*'Data - P&amp;L'!$C$8*'Data - P&amp;L'!$C$54</f>
        <v>0</v>
      </c>
      <c r="V237" s="255">
        <f>V137*'Data - P&amp;L'!$C$8*'Data - P&amp;L'!$C$54</f>
        <v>0</v>
      </c>
      <c r="W237" s="255">
        <f>W137*'Data - P&amp;L'!$C$8*'Data - P&amp;L'!$C$54</f>
        <v>0</v>
      </c>
      <c r="X237" s="255">
        <f>X137*'Data - P&amp;L'!$C$8*'Data - P&amp;L'!$C$54</f>
        <v>0</v>
      </c>
      <c r="Y237" s="255">
        <f>Y137*'Data - P&amp;L'!$C$8*'Data - P&amp;L'!$C$54</f>
        <v>0</v>
      </c>
      <c r="Z237" s="255">
        <f>Z137*'Data - P&amp;L'!$C$8*'Data - P&amp;L'!$C$54</f>
        <v>0</v>
      </c>
      <c r="AA237" s="255">
        <f>AA137*'Data - P&amp;L'!$C$8*'Data - P&amp;L'!$C$54</f>
        <v>0</v>
      </c>
      <c r="AB237" s="255">
        <f>AB137*'Data - P&amp;L'!$C$8*'Data - P&amp;L'!$C$54</f>
        <v>0</v>
      </c>
      <c r="AC237" s="255">
        <f>AC137*'Data - P&amp;L'!$C$8*'Data - P&amp;L'!$C$54</f>
        <v>0</v>
      </c>
      <c r="AD237" s="255">
        <f>AD137*'Data - P&amp;L'!$C$8*'Data - P&amp;L'!$C$54</f>
        <v>0</v>
      </c>
      <c r="AE237" s="255">
        <f>AE137*'Data - P&amp;L'!$C$8*'Data - P&amp;L'!$C$54</f>
        <v>0</v>
      </c>
      <c r="AF237" s="255">
        <f>AF137*'Data - P&amp;L'!$C$8*'Data - P&amp;L'!$C$54</f>
        <v>0</v>
      </c>
      <c r="AG237" s="126">
        <f t="shared" si="63"/>
        <v>0</v>
      </c>
    </row>
    <row r="238">
      <c r="A238" s="216" t="s">
        <v>356</v>
      </c>
      <c r="B238" s="255">
        <f>(B138+B139)*'Data - P&amp;L'!$C$9*'Data - P&amp;L'!$C$54</f>
        <v>0</v>
      </c>
      <c r="C238" s="255">
        <f>(C138+C139)*'Data - P&amp;L'!$C$9*'Data - P&amp;L'!$C$54</f>
        <v>0</v>
      </c>
      <c r="D238" s="255">
        <f>(D138+D139)*'Data - P&amp;L'!$C$9*'Data - P&amp;L'!$C$54</f>
        <v>0</v>
      </c>
      <c r="E238" s="255">
        <f>(E138+E139)*'Data - P&amp;L'!$C$9*'Data - P&amp;L'!$C$54</f>
        <v>0</v>
      </c>
      <c r="F238" s="255">
        <f>(F138+F139)*'Data - P&amp;L'!$C$9*'Data - P&amp;L'!$C$54</f>
        <v>0</v>
      </c>
      <c r="G238" s="255">
        <f>(G138+G139)*'Data - P&amp;L'!$C$9*'Data - P&amp;L'!$C$54</f>
        <v>0</v>
      </c>
      <c r="H238" s="255">
        <f>(H138+H139)*'Data - P&amp;L'!$C$9*'Data - P&amp;L'!$C$54</f>
        <v>0</v>
      </c>
      <c r="I238" s="255">
        <f>(I138+I139)*'Data - P&amp;L'!$C$9*'Data - P&amp;L'!$C$54</f>
        <v>0</v>
      </c>
      <c r="J238" s="255">
        <f>(J138+J139)*'Data - P&amp;L'!$C$9*'Data - P&amp;L'!$C$54</f>
        <v>0</v>
      </c>
      <c r="K238" s="255">
        <f>(K138+K139)*'Data - P&amp;L'!$C$9*'Data - P&amp;L'!$C$54</f>
        <v>0</v>
      </c>
      <c r="L238" s="255">
        <f>(L138+L139)*'Data - P&amp;L'!$C$9*'Data - P&amp;L'!$C$54</f>
        <v>0</v>
      </c>
      <c r="M238" s="255">
        <f>(M138+M139)*'Data - P&amp;L'!$C$9*'Data - P&amp;L'!$C$54</f>
        <v>0</v>
      </c>
      <c r="N238" s="255">
        <f>(N138+N139)*'Data - P&amp;L'!$C$9*'Data - P&amp;L'!$C$54</f>
        <v>0</v>
      </c>
      <c r="O238" s="255">
        <f>(O138+O139)*'Data - P&amp;L'!$C$9*'Data - P&amp;L'!$C$54</f>
        <v>0</v>
      </c>
      <c r="P238" s="255">
        <f>(P138+P139)*'Data - P&amp;L'!$C$9*'Data - P&amp;L'!$C$54</f>
        <v>0</v>
      </c>
      <c r="Q238" s="255">
        <f>(Q138+Q139)*'Data - P&amp;L'!$C$9*'Data - P&amp;L'!$C$54</f>
        <v>0</v>
      </c>
      <c r="R238" s="255">
        <f>(R138+R139)*'Data - P&amp;L'!$C$9*'Data - P&amp;L'!$C$54</f>
        <v>0</v>
      </c>
      <c r="S238" s="255">
        <f>(S138+S139)*'Data - P&amp;L'!$C$9*'Data - P&amp;L'!$C$54</f>
        <v>0</v>
      </c>
      <c r="T238" s="255">
        <f>(T138+T139)*'Data - P&amp;L'!$C$9*'Data - P&amp;L'!$C$54</f>
        <v>0</v>
      </c>
      <c r="U238" s="255">
        <f>(U138+U139)*'Data - P&amp;L'!$C$9*'Data - P&amp;L'!$C$54</f>
        <v>0</v>
      </c>
      <c r="V238" s="255">
        <f>(V138+V139)*'Data - P&amp;L'!$C$9*'Data - P&amp;L'!$C$54</f>
        <v>0</v>
      </c>
      <c r="W238" s="255">
        <f>(W138+W139)*'Data - P&amp;L'!$C$9*'Data - P&amp;L'!$C$54</f>
        <v>0</v>
      </c>
      <c r="X238" s="255">
        <f>(X138+X139)*'Data - P&amp;L'!$C$9*'Data - P&amp;L'!$C$54</f>
        <v>0</v>
      </c>
      <c r="Y238" s="255">
        <f>(Y138+Y139)*'Data - P&amp;L'!$C$9*'Data - P&amp;L'!$C$54</f>
        <v>0</v>
      </c>
      <c r="Z238" s="255">
        <f>(Z138+Z139)*'Data - P&amp;L'!$C$9*'Data - P&amp;L'!$C$54</f>
        <v>0</v>
      </c>
      <c r="AA238" s="255">
        <f>(AA138+AA139)*'Data - P&amp;L'!$C$9*'Data - P&amp;L'!$C$54</f>
        <v>0</v>
      </c>
      <c r="AB238" s="255">
        <f>(AB138+AB139)*'Data - P&amp;L'!$C$9*'Data - P&amp;L'!$C$54</f>
        <v>0</v>
      </c>
      <c r="AC238" s="255">
        <f>(AC138+AC139)*'Data - P&amp;L'!$C$9*'Data - P&amp;L'!$C$54</f>
        <v>0</v>
      </c>
      <c r="AD238" s="255">
        <f>(AD138+AD139)*'Data - P&amp;L'!$C$9*'Data - P&amp;L'!$C$54</f>
        <v>0</v>
      </c>
      <c r="AE238" s="255">
        <f>(AE138+AE139)*'Data - P&amp;L'!$C$9*'Data - P&amp;L'!$C$54</f>
        <v>0</v>
      </c>
      <c r="AF238" s="255">
        <f>(AF138+AF139)*'Data - P&amp;L'!$C$9*'Data - P&amp;L'!$C$54</f>
        <v>0</v>
      </c>
      <c r="AG238" s="126">
        <f t="shared" si="63"/>
        <v>0</v>
      </c>
    </row>
    <row r="239">
      <c r="A239" s="216" t="s">
        <v>357</v>
      </c>
      <c r="B239" s="255">
        <f>(B140+B141)*'Data - P&amp;L'!$C$5*'Data - P&amp;L'!$C$54</f>
        <v>0</v>
      </c>
      <c r="C239" s="255">
        <f>(C140+C141)*'Data - P&amp;L'!$C$5*'Data - P&amp;L'!$C$54</f>
        <v>0</v>
      </c>
      <c r="D239" s="255">
        <f>(D140+D141)*'Data - P&amp;L'!$C$5*'Data - P&amp;L'!$C$54</f>
        <v>0</v>
      </c>
      <c r="E239" s="255">
        <f>(E140+E141)*'Data - P&amp;L'!$C$5*'Data - P&amp;L'!$C$54</f>
        <v>0</v>
      </c>
      <c r="F239" s="255">
        <f>(F140+F141)*'Data - P&amp;L'!$C$5*'Data - P&amp;L'!$C$54</f>
        <v>0</v>
      </c>
      <c r="G239" s="255">
        <f>(G140+G141)*'Data - P&amp;L'!$C$5*'Data - P&amp;L'!$C$54</f>
        <v>0</v>
      </c>
      <c r="H239" s="255">
        <f>(H140+H141)*'Data - P&amp;L'!$C$5*'Data - P&amp;L'!$C$54</f>
        <v>0</v>
      </c>
      <c r="I239" s="255">
        <f>(I140+I141)*'Data - P&amp;L'!$C$5*'Data - P&amp;L'!$C$54</f>
        <v>0</v>
      </c>
      <c r="J239" s="255">
        <f>(J140+J141)*'Data - P&amp;L'!$C$5*'Data - P&amp;L'!$C$54</f>
        <v>0</v>
      </c>
      <c r="K239" s="255">
        <f>(K140+K141)*'Data - P&amp;L'!$C$5*'Data - P&amp;L'!$C$54</f>
        <v>0</v>
      </c>
      <c r="L239" s="255">
        <f>(L140+L141)*'Data - P&amp;L'!$C$5*'Data - P&amp;L'!$C$54</f>
        <v>0</v>
      </c>
      <c r="M239" s="255">
        <f>(M140+M141)*'Data - P&amp;L'!$C$5*'Data - P&amp;L'!$C$54</f>
        <v>0</v>
      </c>
      <c r="N239" s="255">
        <f>(N140+N141)*'Data - P&amp;L'!$C$5*'Data - P&amp;L'!$C$54</f>
        <v>0</v>
      </c>
      <c r="O239" s="255">
        <f>(O140+O141)*'Data - P&amp;L'!$C$5*'Data - P&amp;L'!$C$54</f>
        <v>0</v>
      </c>
      <c r="P239" s="255">
        <f>(P140+P141)*'Data - P&amp;L'!$C$5*'Data - P&amp;L'!$C$54</f>
        <v>0</v>
      </c>
      <c r="Q239" s="255">
        <f>(Q140+Q141)*'Data - P&amp;L'!$C$5*'Data - P&amp;L'!$C$54</f>
        <v>0</v>
      </c>
      <c r="R239" s="255">
        <f>(R140+R141)*'Data - P&amp;L'!$C$5*'Data - P&amp;L'!$C$54</f>
        <v>0</v>
      </c>
      <c r="S239" s="255">
        <f>(S140+S141)*'Data - P&amp;L'!$C$5*'Data - P&amp;L'!$C$54</f>
        <v>0</v>
      </c>
      <c r="T239" s="255">
        <f>(T140+T141)*'Data - P&amp;L'!$C$5*'Data - P&amp;L'!$C$54</f>
        <v>0</v>
      </c>
      <c r="U239" s="255">
        <f>(U140+U141)*'Data - P&amp;L'!$C$5*'Data - P&amp;L'!$C$54</f>
        <v>0</v>
      </c>
      <c r="V239" s="255">
        <f>(V140+V141)*'Data - P&amp;L'!$C$5*'Data - P&amp;L'!$C$54</f>
        <v>0</v>
      </c>
      <c r="W239" s="255">
        <f>(W140+W141)*'Data - P&amp;L'!$C$5*'Data - P&amp;L'!$C$54</f>
        <v>0</v>
      </c>
      <c r="X239" s="255">
        <f>(X140+X141)*'Data - P&amp;L'!$C$5*'Data - P&amp;L'!$C$54</f>
        <v>0</v>
      </c>
      <c r="Y239" s="255">
        <f>(Y140+Y141)*'Data - P&amp;L'!$C$5*'Data - P&amp;L'!$C$54</f>
        <v>0</v>
      </c>
      <c r="Z239" s="255">
        <f>(Z140+Z141)*'Data - P&amp;L'!$C$5*'Data - P&amp;L'!$C$54</f>
        <v>0</v>
      </c>
      <c r="AA239" s="255">
        <f>(AA140+AA141)*'Data - P&amp;L'!$C$5*'Data - P&amp;L'!$C$54</f>
        <v>0</v>
      </c>
      <c r="AB239" s="255">
        <f>(AB140+AB141)*'Data - P&amp;L'!$C$5*'Data - P&amp;L'!$C$54</f>
        <v>0</v>
      </c>
      <c r="AC239" s="255">
        <f>(AC140+AC141)*'Data - P&amp;L'!$C$5*'Data - P&amp;L'!$C$54</f>
        <v>0</v>
      </c>
      <c r="AD239" s="255">
        <f>(AD140+AD141)*'Data - P&amp;L'!$C$5*'Data - P&amp;L'!$C$54</f>
        <v>0</v>
      </c>
      <c r="AE239" s="255">
        <f>(AE140+AE141)*'Data - P&amp;L'!$C$5*'Data - P&amp;L'!$C$54</f>
        <v>0</v>
      </c>
      <c r="AF239" s="255">
        <f>(AF140+AF141)*'Data - P&amp;L'!$C$5*'Data - P&amp;L'!$C$54</f>
        <v>0</v>
      </c>
      <c r="AG239" s="126">
        <f t="shared" si="63"/>
        <v>0</v>
      </c>
    </row>
    <row r="240">
      <c r="A240" s="216" t="s">
        <v>358</v>
      </c>
      <c r="B240" s="255">
        <f>(B142+B143)*'Data - P&amp;L'!$C$10*'Data - P&amp;L'!$C$54</f>
        <v>0</v>
      </c>
      <c r="C240" s="255">
        <f>(C142+C143)*'Data - P&amp;L'!$C$10*'Data - P&amp;L'!$C$54</f>
        <v>0</v>
      </c>
      <c r="D240" s="255">
        <f>(D142+D143)*'Data - P&amp;L'!$C$10*'Data - P&amp;L'!$C$54</f>
        <v>0</v>
      </c>
      <c r="E240" s="255">
        <f>(E142+E143)*'Data - P&amp;L'!$C$10*'Data - P&amp;L'!$C$54</f>
        <v>0</v>
      </c>
      <c r="F240" s="255">
        <f>(F142+F143)*'Data - P&amp;L'!$C$10*'Data - P&amp;L'!$C$54</f>
        <v>0</v>
      </c>
      <c r="G240" s="255">
        <f>(G142+G143)*'Data - P&amp;L'!$C$10*'Data - P&amp;L'!$C$54</f>
        <v>0</v>
      </c>
      <c r="H240" s="255">
        <f>(H142+H143)*'Data - P&amp;L'!$C$10*'Data - P&amp;L'!$C$54</f>
        <v>0</v>
      </c>
      <c r="I240" s="255">
        <f>(I142+I143)*'Data - P&amp;L'!$C$10*'Data - P&amp;L'!$C$54</f>
        <v>0</v>
      </c>
      <c r="J240" s="255">
        <f>(J142+J143)*'Data - P&amp;L'!$C$10*'Data - P&amp;L'!$C$54</f>
        <v>0</v>
      </c>
      <c r="K240" s="255">
        <f>(K142+K143)*'Data - P&amp;L'!$C$10*'Data - P&amp;L'!$C$54</f>
        <v>0</v>
      </c>
      <c r="L240" s="255">
        <f>(L142+L143)*'Data - P&amp;L'!$C$10*'Data - P&amp;L'!$C$54</f>
        <v>0</v>
      </c>
      <c r="M240" s="255">
        <f>(M142+M143)*'Data - P&amp;L'!$C$10*'Data - P&amp;L'!$C$54</f>
        <v>0</v>
      </c>
      <c r="N240" s="255">
        <f>(N142+N143)*'Data - P&amp;L'!$C$10*'Data - P&amp;L'!$C$54</f>
        <v>0</v>
      </c>
      <c r="O240" s="255">
        <f>(O142+O143)*'Data - P&amp;L'!$C$10*'Data - P&amp;L'!$C$54</f>
        <v>0</v>
      </c>
      <c r="P240" s="255">
        <f>(P142+P143)*'Data - P&amp;L'!$C$10*'Data - P&amp;L'!$C$54</f>
        <v>0</v>
      </c>
      <c r="Q240" s="255">
        <f>(Q142+Q143)*'Data - P&amp;L'!$C$10*'Data - P&amp;L'!$C$54</f>
        <v>0</v>
      </c>
      <c r="R240" s="255">
        <f>(R142+R143)*'Data - P&amp;L'!$C$10*'Data - P&amp;L'!$C$54</f>
        <v>0</v>
      </c>
      <c r="S240" s="255">
        <f>(S142+S143)*'Data - P&amp;L'!$C$10*'Data - P&amp;L'!$C$54</f>
        <v>0</v>
      </c>
      <c r="T240" s="255">
        <f>(T142+T143)*'Data - P&amp;L'!$C$10*'Data - P&amp;L'!$C$54</f>
        <v>0</v>
      </c>
      <c r="U240" s="255">
        <f>(U142+U143)*'Data - P&amp;L'!$C$10*'Data - P&amp;L'!$C$54</f>
        <v>0</v>
      </c>
      <c r="V240" s="255">
        <f>(V142+V143)*'Data - P&amp;L'!$C$10*'Data - P&amp;L'!$C$54</f>
        <v>0</v>
      </c>
      <c r="W240" s="255">
        <f>(W142+W143)*'Data - P&amp;L'!$C$10*'Data - P&amp;L'!$C$54</f>
        <v>0</v>
      </c>
      <c r="X240" s="255">
        <f>(X142+X143)*'Data - P&amp;L'!$C$10*'Data - P&amp;L'!$C$54</f>
        <v>0</v>
      </c>
      <c r="Y240" s="255">
        <f>(Y142+Y143)*'Data - P&amp;L'!$C$10*'Data - P&amp;L'!$C$54</f>
        <v>0</v>
      </c>
      <c r="Z240" s="255">
        <f>(Z142+Z143)*'Data - P&amp;L'!$C$10*'Data - P&amp;L'!$C$54</f>
        <v>0</v>
      </c>
      <c r="AA240" s="255">
        <f>(AA142+AA143)*'Data - P&amp;L'!$C$10*'Data - P&amp;L'!$C$54</f>
        <v>0</v>
      </c>
      <c r="AB240" s="255">
        <f>(AB142+AB143)*'Data - P&amp;L'!$C$10*'Data - P&amp;L'!$C$54</f>
        <v>0</v>
      </c>
      <c r="AC240" s="255">
        <f>(AC142+AC143)*'Data - P&amp;L'!$C$10*'Data - P&amp;L'!$C$54</f>
        <v>0</v>
      </c>
      <c r="AD240" s="255">
        <f>(AD142+AD143)*'Data - P&amp;L'!$C$10*'Data - P&amp;L'!$C$54</f>
        <v>0</v>
      </c>
      <c r="AE240" s="255">
        <f>(AE142+AE143)*'Data - P&amp;L'!$C$10*'Data - P&amp;L'!$C$54</f>
        <v>0</v>
      </c>
      <c r="AF240" s="255">
        <f>(AF142+AF143)*'Data - P&amp;L'!$C$10*'Data - P&amp;L'!$C$54</f>
        <v>0</v>
      </c>
      <c r="AG240" s="126">
        <f t="shared" si="63"/>
        <v>0</v>
      </c>
    </row>
    <row r="241">
      <c r="A241" s="396" t="s">
        <v>359</v>
      </c>
      <c r="B241" s="255">
        <f>(B133+B134)*'Data - P&amp;L'!$C$43*'Data - P&amp;L'!$C$54</f>
        <v>2.985</v>
      </c>
      <c r="C241" s="255">
        <f>(C133+C134)*'Data - P&amp;L'!$C$43*'Data - P&amp;L'!$C$54</f>
        <v>17.91</v>
      </c>
      <c r="D241" s="255">
        <f>(D133+D134)*'Data - P&amp;L'!$C$43*'Data - P&amp;L'!$C$54</f>
        <v>47.76</v>
      </c>
      <c r="E241" s="255">
        <f>(E133+E134)*'Data - P&amp;L'!$C$43*'Data - P&amp;L'!$C$54</f>
        <v>32.835</v>
      </c>
      <c r="F241" s="255">
        <f>(F133+F134)*'Data - P&amp;L'!$C$43*'Data - P&amp;L'!$C$54</f>
        <v>29.85</v>
      </c>
      <c r="G241" s="255">
        <f>(G133+G134)*'Data - P&amp;L'!$C$43*'Data - P&amp;L'!$C$54</f>
        <v>38.805</v>
      </c>
      <c r="H241" s="255">
        <f>(H133+H134)*'Data - P&amp;L'!$C$43*'Data - P&amp;L'!$C$54</f>
        <v>23.88</v>
      </c>
      <c r="I241" s="255">
        <f>(I133+I134)*'Data - P&amp;L'!$C$43*'Data - P&amp;L'!$C$54</f>
        <v>62.685</v>
      </c>
      <c r="J241" s="255">
        <f>(J133+J134)*'Data - P&amp;L'!$C$43*'Data - P&amp;L'!$C$54</f>
        <v>38.805</v>
      </c>
      <c r="K241" s="255">
        <f>(K133+K134)*'Data - P&amp;L'!$C$43*'Data - P&amp;L'!$C$54</f>
        <v>68.655</v>
      </c>
      <c r="L241" s="255">
        <f>(L133+L134)*'Data - P&amp;L'!$C$43*'Data - P&amp;L'!$C$54</f>
        <v>62.685</v>
      </c>
      <c r="M241" s="255">
        <f>(M133+M134)*'Data - P&amp;L'!$C$43*'Data - P&amp;L'!$C$54</f>
        <v>41.79</v>
      </c>
      <c r="N241" s="255">
        <f>(N133+N134)*'Data - P&amp;L'!$C$43*'Data - P&amp;L'!$C$54</f>
        <v>41.79</v>
      </c>
      <c r="O241" s="255">
        <f>(O133+O134)*'Data - P&amp;L'!$C$43*'Data - P&amp;L'!$C$54</f>
        <v>59.7</v>
      </c>
      <c r="P241" s="255">
        <f>(P133+P134)*'Data - P&amp;L'!$C$43*'Data - P&amp;L'!$C$54</f>
        <v>44.775</v>
      </c>
      <c r="Q241" s="255">
        <f>(Q133+Q134)*'Data - P&amp;L'!$C$43*'Data - P&amp;L'!$C$54</f>
        <v>59.7</v>
      </c>
      <c r="R241" s="255">
        <f>(R133+R134)*'Data - P&amp;L'!$C$43*'Data - P&amp;L'!$C$54</f>
        <v>65.67</v>
      </c>
      <c r="S241" s="255">
        <f>(S133+S134)*'Data - P&amp;L'!$C$43*'Data - P&amp;L'!$C$54</f>
        <v>47.76</v>
      </c>
      <c r="T241" s="255">
        <f>(T133+T134)*'Data - P&amp;L'!$C$43*'Data - P&amp;L'!$C$54</f>
        <v>53.73</v>
      </c>
      <c r="U241" s="255">
        <f>(U133+U134)*'Data - P&amp;L'!$C$43*'Data - P&amp;L'!$C$54</f>
        <v>29.85</v>
      </c>
      <c r="V241" s="255">
        <f>(V133+V134)*'Data - P&amp;L'!$C$43*'Data - P&amp;L'!$C$54</f>
        <v>32.835</v>
      </c>
      <c r="W241" s="255">
        <f>(W133+W134)*'Data - P&amp;L'!$C$43*'Data - P&amp;L'!$C$54</f>
        <v>41.79</v>
      </c>
      <c r="X241" s="255">
        <f>(X133+X134)*'Data - P&amp;L'!$C$43*'Data - P&amp;L'!$C$54</f>
        <v>29.85</v>
      </c>
      <c r="Y241" s="255">
        <f>(Y133+Y134)*'Data - P&amp;L'!$C$43*'Data - P&amp;L'!$C$54</f>
        <v>32.835</v>
      </c>
      <c r="Z241" s="255">
        <f>(Z133+Z134)*'Data - P&amp;L'!$C$43*'Data - P&amp;L'!$C$54</f>
        <v>44.775</v>
      </c>
      <c r="AA241" s="255">
        <f>(AA133+AA134)*'Data - P&amp;L'!$C$43*'Data - P&amp;L'!$C$54</f>
        <v>17.91</v>
      </c>
      <c r="AB241" s="255">
        <f>(AB133+AB134)*'Data - P&amp;L'!$C$43*'Data - P&amp;L'!$C$54</f>
        <v>50.745</v>
      </c>
      <c r="AC241" s="255">
        <f>(AC133+AC134)*'Data - P&amp;L'!$C$43*'Data - P&amp;L'!$C$54</f>
        <v>20.895</v>
      </c>
      <c r="AD241" s="255">
        <f>(AD133+AD134)*'Data - P&amp;L'!$C$43*'Data - P&amp;L'!$C$54</f>
        <v>23.88</v>
      </c>
      <c r="AE241" s="255">
        <f>(AE133+AE134)*'Data - P&amp;L'!$C$43*'Data - P&amp;L'!$C$54</f>
        <v>35.82</v>
      </c>
      <c r="AF241" s="255">
        <f>(AF133+AF134)*'Data - P&amp;L'!$C$43*'Data - P&amp;L'!$C$54</f>
        <v>44.775</v>
      </c>
      <c r="AG241" s="126">
        <f t="shared" si="63"/>
        <v>1247.73</v>
      </c>
    </row>
    <row r="242">
      <c r="A242" s="396" t="s">
        <v>361</v>
      </c>
      <c r="B242" s="255">
        <f>(B144)*'Data - P&amp;L'!$C$43*'Data - P&amp;L'!$C$54</f>
        <v>0</v>
      </c>
      <c r="C242" s="255">
        <f>(C144)*'Data - P&amp;L'!$C$43*'Data - P&amp;L'!$C$54</f>
        <v>0</v>
      </c>
      <c r="D242" s="255">
        <f>(D144)*'Data - P&amp;L'!$C$43*'Data - P&amp;L'!$C$54</f>
        <v>0</v>
      </c>
      <c r="E242" s="255">
        <f>(E144)*'Data - P&amp;L'!$C$43*'Data - P&amp;L'!$C$54</f>
        <v>0</v>
      </c>
      <c r="F242" s="255">
        <f>(F144)*'Data - P&amp;L'!$C$43*'Data - P&amp;L'!$C$54</f>
        <v>2.985</v>
      </c>
      <c r="G242" s="255">
        <f>(G144)*'Data - P&amp;L'!$C$43*'Data - P&amp;L'!$C$54</f>
        <v>2.985</v>
      </c>
      <c r="H242" s="255">
        <f>(H144)*'Data - P&amp;L'!$C$43*'Data - P&amp;L'!$C$54</f>
        <v>14.925</v>
      </c>
      <c r="I242" s="255">
        <f>(I144)*'Data - P&amp;L'!$C$43*'Data - P&amp;L'!$C$54</f>
        <v>20.895</v>
      </c>
      <c r="J242" s="255">
        <f>(J144)*'Data - P&amp;L'!$C$43*'Data - P&amp;L'!$C$54</f>
        <v>2.985</v>
      </c>
      <c r="K242" s="255">
        <f>(K144)*'Data - P&amp;L'!$C$43*'Data - P&amp;L'!$C$54</f>
        <v>8.955</v>
      </c>
      <c r="L242" s="255">
        <f>(L144)*'Data - P&amp;L'!$C$43*'Data - P&amp;L'!$C$54</f>
        <v>11.94</v>
      </c>
      <c r="M242" s="255">
        <f>(M144)*'Data - P&amp;L'!$C$43*'Data - P&amp;L'!$C$54</f>
        <v>8.955</v>
      </c>
      <c r="N242" s="255">
        <f>(N144)*'Data - P&amp;L'!$C$43*'Data - P&amp;L'!$C$54</f>
        <v>11.94</v>
      </c>
      <c r="O242" s="255">
        <f>(O144)*'Data - P&amp;L'!$C$43*'Data - P&amp;L'!$C$54</f>
        <v>2.985</v>
      </c>
      <c r="P242" s="255">
        <f>(P144)*'Data - P&amp;L'!$C$43*'Data - P&amp;L'!$C$54</f>
        <v>0</v>
      </c>
      <c r="Q242" s="255">
        <f>(Q144)*'Data - P&amp;L'!$C$43*'Data - P&amp;L'!$C$54</f>
        <v>2.985</v>
      </c>
      <c r="R242" s="255">
        <f>(R144)*'Data - P&amp;L'!$C$43*'Data - P&amp;L'!$C$54</f>
        <v>11.94</v>
      </c>
      <c r="S242" s="255">
        <f>(S144)*'Data - P&amp;L'!$C$43*'Data - P&amp;L'!$C$54</f>
        <v>8.955</v>
      </c>
      <c r="T242" s="255">
        <f>(T144)*'Data - P&amp;L'!$C$43*'Data - P&amp;L'!$C$54</f>
        <v>5.97</v>
      </c>
      <c r="U242" s="255">
        <f>(U144)*'Data - P&amp;L'!$C$43*'Data - P&amp;L'!$C$54</f>
        <v>0</v>
      </c>
      <c r="V242" s="255">
        <f>(V144)*'Data - P&amp;L'!$C$43*'Data - P&amp;L'!$C$54</f>
        <v>2.985</v>
      </c>
      <c r="W242" s="255">
        <f>(W144)*'Data - P&amp;L'!$C$43*'Data - P&amp;L'!$C$54</f>
        <v>5.97</v>
      </c>
      <c r="X242" s="255">
        <f>(X144)*'Data - P&amp;L'!$C$43*'Data - P&amp;L'!$C$54</f>
        <v>8.955</v>
      </c>
      <c r="Y242" s="255">
        <f>(Y144)*'Data - P&amp;L'!$C$43*'Data - P&amp;L'!$C$54</f>
        <v>2.985</v>
      </c>
      <c r="Z242" s="255">
        <f>(Z144)*'Data - P&amp;L'!$C$43*'Data - P&amp;L'!$C$54</f>
        <v>2.985</v>
      </c>
      <c r="AA242" s="255">
        <f>(AA144)*'Data - P&amp;L'!$C$43*'Data - P&amp;L'!$C$54</f>
        <v>5.97</v>
      </c>
      <c r="AB242" s="255">
        <f>(AB144)*'Data - P&amp;L'!$C$43*'Data - P&amp;L'!$C$54</f>
        <v>2.985</v>
      </c>
      <c r="AC242" s="255">
        <f>(AC144)*'Data - P&amp;L'!$C$43*'Data - P&amp;L'!$C$54</f>
        <v>5.97</v>
      </c>
      <c r="AD242" s="255">
        <f>(AD144)*'Data - P&amp;L'!$C$43*'Data - P&amp;L'!$C$54</f>
        <v>2.985</v>
      </c>
      <c r="AE242" s="255">
        <f>(AE144)*'Data - P&amp;L'!$C$43*'Data - P&amp;L'!$C$54</f>
        <v>0</v>
      </c>
      <c r="AF242" s="255">
        <f>(AF144)*'Data - P&amp;L'!$C$43*'Data - P&amp;L'!$C$54</f>
        <v>0</v>
      </c>
      <c r="AG242" s="126">
        <f t="shared" si="63"/>
        <v>161.19</v>
      </c>
    </row>
    <row r="243">
      <c r="A243" s="397" t="s">
        <v>551</v>
      </c>
      <c r="B243" s="255">
        <f>(((B133+B134)*'Data - P&amp;L'!$C$62)*(1-'Data - P&amp;L'!$C$58))+((B144*'Data - P&amp;L'!$C$63)*(1-'Data - P&amp;L'!$C$58))</f>
        <v>2.421936</v>
      </c>
      <c r="C243" s="255">
        <f>(((C133+C134)*'Data - P&amp;L'!$C$62)*(1-'Data - P&amp;L'!$C$58))+((C144*'Data - P&amp;L'!$C$63)*(1-'Data - P&amp;L'!$C$58))</f>
        <v>14.531616</v>
      </c>
      <c r="D243" s="255">
        <f>(((D133+D134)*'Data - P&amp;L'!$C$62)*(1-'Data - P&amp;L'!$C$58))+((D144*'Data - P&amp;L'!$C$63)*(1-'Data - P&amp;L'!$C$58))</f>
        <v>38.750976</v>
      </c>
      <c r="E243" s="255">
        <f>(((E133+E134)*'Data - P&amp;L'!$C$62)*(1-'Data - P&amp;L'!$C$58))+((E144*'Data - P&amp;L'!$C$63)*(1-'Data - P&amp;L'!$C$58))</f>
        <v>26.641296</v>
      </c>
      <c r="F243" s="255">
        <f>(((F133+F134)*'Data - P&amp;L'!$C$62)*(1-'Data - P&amp;L'!$C$58))+((F144*'Data - P&amp;L'!$C$63)*(1-'Data - P&amp;L'!$C$58))</f>
        <v>25.17768</v>
      </c>
      <c r="G243" s="255">
        <f>(((G133+G134)*'Data - P&amp;L'!$C$62)*(1-'Data - P&amp;L'!$C$58))+((G144*'Data - P&amp;L'!$C$63)*(1-'Data - P&amp;L'!$C$58))</f>
        <v>32.443488</v>
      </c>
      <c r="H243" s="255">
        <f>(((H133+H134)*'Data - P&amp;L'!$C$62)*(1-'Data - P&amp;L'!$C$58))+((H144*'Data - P&amp;L'!$C$63)*(1-'Data - P&amp;L'!$C$58))</f>
        <v>24.167088</v>
      </c>
      <c r="I243" s="255">
        <f>(((I133+I134)*'Data - P&amp;L'!$C$62)*(1-'Data - P&amp;L'!$C$58))+((I144*'Data - P&amp;L'!$C$63)*(1-'Data - P&amp;L'!$C$58))</f>
        <v>57.568896</v>
      </c>
      <c r="J243" s="255">
        <f>(((J133+J134)*'Data - P&amp;L'!$C$62)*(1-'Data - P&amp;L'!$C$58))+((J144*'Data - P&amp;L'!$C$63)*(1-'Data - P&amp;L'!$C$58))</f>
        <v>32.443488</v>
      </c>
      <c r="K243" s="255">
        <f>(((K133+K134)*'Data - P&amp;L'!$C$62)*(1-'Data - P&amp;L'!$C$58))+((K144*'Data - P&amp;L'!$C$63)*(1-'Data - P&amp;L'!$C$58))</f>
        <v>58.579488</v>
      </c>
      <c r="L243" s="255">
        <f>(((L133+L134)*'Data - P&amp;L'!$C$62)*(1-'Data - P&amp;L'!$C$58))+((L144*'Data - P&amp;L'!$C$63)*(1-'Data - P&amp;L'!$C$58))</f>
        <v>54.693936</v>
      </c>
      <c r="M243" s="255">
        <f>(((M133+M134)*'Data - P&amp;L'!$C$62)*(1-'Data - P&amp;L'!$C$58))+((M144*'Data - P&amp;L'!$C$63)*(1-'Data - P&amp;L'!$C$58))</f>
        <v>36.782064</v>
      </c>
      <c r="N243" s="255">
        <f>(((N133+N134)*'Data - P&amp;L'!$C$62)*(1-'Data - P&amp;L'!$C$58))+((N144*'Data - P&amp;L'!$C$63)*(1-'Data - P&amp;L'!$C$58))</f>
        <v>37.740384</v>
      </c>
      <c r="O243" s="255">
        <f>(((O133+O134)*'Data - P&amp;L'!$C$62)*(1-'Data - P&amp;L'!$C$58))+((O144*'Data - P&amp;L'!$C$63)*(1-'Data - P&amp;L'!$C$58))</f>
        <v>49.39704</v>
      </c>
      <c r="P243" s="255">
        <f>(((P133+P134)*'Data - P&amp;L'!$C$62)*(1-'Data - P&amp;L'!$C$58))+((P144*'Data - P&amp;L'!$C$63)*(1-'Data - P&amp;L'!$C$58))</f>
        <v>36.32904</v>
      </c>
      <c r="Q243" s="255">
        <f>(((Q133+Q134)*'Data - P&amp;L'!$C$62)*(1-'Data - P&amp;L'!$C$58))+((Q144*'Data - P&amp;L'!$C$63)*(1-'Data - P&amp;L'!$C$58))</f>
        <v>49.39704</v>
      </c>
      <c r="R243" s="255">
        <f>(((R133+R134)*'Data - P&amp;L'!$C$62)*(1-'Data - P&amp;L'!$C$58))+((R144*'Data - P&amp;L'!$C$63)*(1-'Data - P&amp;L'!$C$58))</f>
        <v>57.115872</v>
      </c>
      <c r="S243" s="255">
        <f>(((S133+S134)*'Data - P&amp;L'!$C$62)*(1-'Data - P&amp;L'!$C$58))+((S144*'Data - P&amp;L'!$C$63)*(1-'Data - P&amp;L'!$C$58))</f>
        <v>41.625936</v>
      </c>
      <c r="T243" s="255">
        <f>(((T133+T134)*'Data - P&amp;L'!$C$62)*(1-'Data - P&amp;L'!$C$58))+((T144*'Data - P&amp;L'!$C$63)*(1-'Data - P&amp;L'!$C$58))</f>
        <v>45.511488</v>
      </c>
      <c r="U243" s="255">
        <f>(((U133+U134)*'Data - P&amp;L'!$C$62)*(1-'Data - P&amp;L'!$C$58))+((U144*'Data - P&amp;L'!$C$63)*(1-'Data - P&amp;L'!$C$58))</f>
        <v>24.21936</v>
      </c>
      <c r="V243" s="255">
        <f>(((V133+V134)*'Data - P&amp;L'!$C$62)*(1-'Data - P&amp;L'!$C$58))+((V144*'Data - P&amp;L'!$C$63)*(1-'Data - P&amp;L'!$C$58))</f>
        <v>27.599616</v>
      </c>
      <c r="W243" s="255">
        <f>(((W133+W134)*'Data - P&amp;L'!$C$62)*(1-'Data - P&amp;L'!$C$58))+((W144*'Data - P&amp;L'!$C$63)*(1-'Data - P&amp;L'!$C$58))</f>
        <v>35.823744</v>
      </c>
      <c r="X243" s="255">
        <f>(((X133+X134)*'Data - P&amp;L'!$C$62)*(1-'Data - P&amp;L'!$C$58))+((X144*'Data - P&amp;L'!$C$63)*(1-'Data - P&amp;L'!$C$58))</f>
        <v>27.09432</v>
      </c>
      <c r="Y243" s="255">
        <f>(((Y133+Y134)*'Data - P&amp;L'!$C$62)*(1-'Data - P&amp;L'!$C$58))+((Y144*'Data - P&amp;L'!$C$63)*(1-'Data - P&amp;L'!$C$58))</f>
        <v>27.599616</v>
      </c>
      <c r="Z243" s="255">
        <f>(((Z133+Z134)*'Data - P&amp;L'!$C$62)*(1-'Data - P&amp;L'!$C$58))+((Z144*'Data - P&amp;L'!$C$63)*(1-'Data - P&amp;L'!$C$58))</f>
        <v>37.28736</v>
      </c>
      <c r="AA243" s="255">
        <f>(((AA133+AA134)*'Data - P&amp;L'!$C$62)*(1-'Data - P&amp;L'!$C$58))+((AA144*'Data - P&amp;L'!$C$63)*(1-'Data - P&amp;L'!$C$58))</f>
        <v>16.448256</v>
      </c>
      <c r="AB243" s="255">
        <f>(((AB133+AB134)*'Data - P&amp;L'!$C$62)*(1-'Data - P&amp;L'!$C$58))+((AB144*'Data - P&amp;L'!$C$63)*(1-'Data - P&amp;L'!$C$58))</f>
        <v>42.131232</v>
      </c>
      <c r="AC243" s="255">
        <f>(((AC133+AC134)*'Data - P&amp;L'!$C$62)*(1-'Data - P&amp;L'!$C$58))+((AC144*'Data - P&amp;L'!$C$63)*(1-'Data - P&amp;L'!$C$58))</f>
        <v>18.870192</v>
      </c>
      <c r="AD243" s="255">
        <f>(((AD133+AD134)*'Data - P&amp;L'!$C$62)*(1-'Data - P&amp;L'!$C$58))+((AD144*'Data - P&amp;L'!$C$63)*(1-'Data - P&amp;L'!$C$58))</f>
        <v>20.333808</v>
      </c>
      <c r="AE243" s="255">
        <f>(((AE133+AE134)*'Data - P&amp;L'!$C$62)*(1-'Data - P&amp;L'!$C$58))+((AE144*'Data - P&amp;L'!$C$63)*(1-'Data - P&amp;L'!$C$58))</f>
        <v>29.063232</v>
      </c>
      <c r="AF243" s="255">
        <f>(((AF133+AF134)*'Data - P&amp;L'!$C$62)*(1-'Data - P&amp;L'!$C$58))+((AF144*'Data - P&amp;L'!$C$63)*(1-'Data - P&amp;L'!$C$58))</f>
        <v>36.32904</v>
      </c>
      <c r="AG243" s="126">
        <f t="shared" si="63"/>
        <v>1064.118528</v>
      </c>
    </row>
    <row r="244">
      <c r="A244" s="397" t="s">
        <v>370</v>
      </c>
      <c r="B244" s="255">
        <f t="shared" ref="B244:AF244" si="66">B155</f>
        <v>1694.06</v>
      </c>
      <c r="C244" s="255">
        <f t="shared" si="66"/>
        <v>4676.54</v>
      </c>
      <c r="D244" s="255">
        <f t="shared" si="66"/>
        <v>6837.94</v>
      </c>
      <c r="E244" s="255">
        <f t="shared" si="66"/>
        <v>4817.22</v>
      </c>
      <c r="F244" s="255">
        <f t="shared" si="66"/>
        <v>3158.96</v>
      </c>
      <c r="G244" s="255">
        <f t="shared" si="66"/>
        <v>3354.18</v>
      </c>
      <c r="H244" s="255">
        <f t="shared" si="66"/>
        <v>3044.21</v>
      </c>
      <c r="I244" s="255">
        <f t="shared" si="66"/>
        <v>2626.21</v>
      </c>
      <c r="J244" s="255">
        <f t="shared" si="66"/>
        <v>3388.94</v>
      </c>
      <c r="K244" s="255">
        <f t="shared" si="66"/>
        <v>3771.03</v>
      </c>
      <c r="L244" s="255">
        <f t="shared" si="66"/>
        <v>2404.31</v>
      </c>
      <c r="M244" s="255">
        <f t="shared" si="66"/>
        <v>2335.25</v>
      </c>
      <c r="N244" s="255">
        <f t="shared" si="66"/>
        <v>1587.12</v>
      </c>
      <c r="O244" s="255">
        <f t="shared" si="66"/>
        <v>1887</v>
      </c>
      <c r="P244" s="255">
        <f t="shared" si="66"/>
        <v>2880.12</v>
      </c>
      <c r="Q244" s="255">
        <f t="shared" si="66"/>
        <v>1310.91</v>
      </c>
      <c r="R244" s="255">
        <f t="shared" si="66"/>
        <v>1788.19</v>
      </c>
      <c r="S244" s="255">
        <f t="shared" si="66"/>
        <v>1581.89</v>
      </c>
      <c r="T244" s="255">
        <f t="shared" si="66"/>
        <v>3354.25</v>
      </c>
      <c r="U244" s="255">
        <f t="shared" si="66"/>
        <v>2019.53</v>
      </c>
      <c r="V244" s="255">
        <f t="shared" si="66"/>
        <v>1942.11</v>
      </c>
      <c r="W244" s="255">
        <f t="shared" si="66"/>
        <v>1683.88</v>
      </c>
      <c r="X244" s="255">
        <f t="shared" si="66"/>
        <v>1866.1</v>
      </c>
      <c r="Y244" s="255">
        <f t="shared" si="66"/>
        <v>1842.83</v>
      </c>
      <c r="Z244" s="255">
        <f t="shared" si="66"/>
        <v>2556.34</v>
      </c>
      <c r="AA244" s="255">
        <f t="shared" si="66"/>
        <v>1284.58</v>
      </c>
      <c r="AB244" s="255">
        <f t="shared" si="66"/>
        <v>3644.54</v>
      </c>
      <c r="AC244" s="255">
        <f t="shared" si="66"/>
        <v>2414.52</v>
      </c>
      <c r="AD244" s="255">
        <f t="shared" si="66"/>
        <v>1350.89</v>
      </c>
      <c r="AE244" s="255">
        <f t="shared" si="66"/>
        <v>4421.7</v>
      </c>
      <c r="AF244" s="255">
        <f t="shared" si="66"/>
        <v>2755.13</v>
      </c>
      <c r="AG244" s="126">
        <f t="shared" si="63"/>
        <v>84280.48</v>
      </c>
    </row>
    <row r="245">
      <c r="A245" s="237" t="s">
        <v>552</v>
      </c>
      <c r="B245" s="271">
        <f t="shared" ref="B245:AF245" si="67">sum(B246:B254)-B255</f>
        <v>0</v>
      </c>
      <c r="C245" s="271">
        <f t="shared" si="67"/>
        <v>0</v>
      </c>
      <c r="D245" s="271">
        <f t="shared" si="67"/>
        <v>0</v>
      </c>
      <c r="E245" s="271">
        <f t="shared" si="67"/>
        <v>0</v>
      </c>
      <c r="F245" s="271">
        <f t="shared" si="67"/>
        <v>0</v>
      </c>
      <c r="G245" s="271">
        <f t="shared" si="67"/>
        <v>0</v>
      </c>
      <c r="H245" s="271">
        <f t="shared" si="67"/>
        <v>0</v>
      </c>
      <c r="I245" s="271">
        <f t="shared" si="67"/>
        <v>0</v>
      </c>
      <c r="J245" s="271">
        <f t="shared" si="67"/>
        <v>0</v>
      </c>
      <c r="K245" s="271">
        <f t="shared" si="67"/>
        <v>7.954268</v>
      </c>
      <c r="L245" s="271">
        <f t="shared" si="67"/>
        <v>0</v>
      </c>
      <c r="M245" s="271">
        <f t="shared" si="67"/>
        <v>0</v>
      </c>
      <c r="N245" s="271">
        <f t="shared" si="67"/>
        <v>0</v>
      </c>
      <c r="O245" s="271">
        <f t="shared" si="67"/>
        <v>0</v>
      </c>
      <c r="P245" s="271">
        <f t="shared" si="67"/>
        <v>0</v>
      </c>
      <c r="Q245" s="271">
        <f t="shared" si="67"/>
        <v>0</v>
      </c>
      <c r="R245" s="271">
        <f t="shared" si="67"/>
        <v>0</v>
      </c>
      <c r="S245" s="271">
        <f t="shared" si="67"/>
        <v>0</v>
      </c>
      <c r="T245" s="271">
        <f t="shared" si="67"/>
        <v>0</v>
      </c>
      <c r="U245" s="271">
        <f t="shared" si="67"/>
        <v>0</v>
      </c>
      <c r="V245" s="271">
        <f t="shared" si="67"/>
        <v>0</v>
      </c>
      <c r="W245" s="271">
        <f t="shared" si="67"/>
        <v>0</v>
      </c>
      <c r="X245" s="271">
        <f t="shared" si="67"/>
        <v>0</v>
      </c>
      <c r="Y245" s="271">
        <f t="shared" si="67"/>
        <v>0</v>
      </c>
      <c r="Z245" s="271">
        <f t="shared" si="67"/>
        <v>0</v>
      </c>
      <c r="AA245" s="271">
        <f t="shared" si="67"/>
        <v>0</v>
      </c>
      <c r="AB245" s="271">
        <f t="shared" si="67"/>
        <v>0</v>
      </c>
      <c r="AC245" s="271">
        <f t="shared" si="67"/>
        <v>0</v>
      </c>
      <c r="AD245" s="271">
        <f t="shared" si="67"/>
        <v>7.954268</v>
      </c>
      <c r="AE245" s="271">
        <f t="shared" si="67"/>
        <v>0</v>
      </c>
      <c r="AF245" s="271">
        <f t="shared" si="67"/>
        <v>0</v>
      </c>
      <c r="AG245" s="126">
        <f t="shared" si="63"/>
        <v>15.908536</v>
      </c>
    </row>
    <row r="246">
      <c r="A246" s="216" t="s">
        <v>352</v>
      </c>
      <c r="B246" s="255">
        <f>B167*'Data - P&amp;L'!$C$3*'Data - P&amp;L'!$C$55</f>
        <v>0</v>
      </c>
      <c r="C246" s="255">
        <f>C167*'Data - P&amp;L'!$C$3*'Data - P&amp;L'!$C$55</f>
        <v>0</v>
      </c>
      <c r="D246" s="255">
        <f>D167*'Data - P&amp;L'!$C$3*'Data - P&amp;L'!$C$55</f>
        <v>0</v>
      </c>
      <c r="E246" s="255">
        <f>E167*'Data - P&amp;L'!$C$3*'Data - P&amp;L'!$C$55</f>
        <v>0</v>
      </c>
      <c r="F246" s="255">
        <f>F167*'Data - P&amp;L'!$C$3*'Data - P&amp;L'!$C$55</f>
        <v>0</v>
      </c>
      <c r="G246" s="255">
        <f>G167*'Data - P&amp;L'!$C$3*'Data - P&amp;L'!$C$55</f>
        <v>0</v>
      </c>
      <c r="H246" s="255">
        <f>H167*'Data - P&amp;L'!$C$3*'Data - P&amp;L'!$C$55</f>
        <v>0</v>
      </c>
      <c r="I246" s="255">
        <f>I167*'Data - P&amp;L'!$C$3*'Data - P&amp;L'!$C$55</f>
        <v>0</v>
      </c>
      <c r="J246" s="255">
        <f>J167*'Data - P&amp;L'!$C$3*'Data - P&amp;L'!$C$55</f>
        <v>0</v>
      </c>
      <c r="K246" s="255">
        <f>K167*'Data - P&amp;L'!$C$3*'Data - P&amp;L'!$C$55</f>
        <v>0</v>
      </c>
      <c r="L246" s="255">
        <f>L167*'Data - P&amp;L'!$C$3*'Data - P&amp;L'!$C$55</f>
        <v>0</v>
      </c>
      <c r="M246" s="255">
        <f>M167*'Data - P&amp;L'!$C$3*'Data - P&amp;L'!$C$55</f>
        <v>0</v>
      </c>
      <c r="N246" s="255">
        <f>N167*'Data - P&amp;L'!$C$3*'Data - P&amp;L'!$C$55</f>
        <v>0</v>
      </c>
      <c r="O246" s="255">
        <f>O167*'Data - P&amp;L'!$C$3*'Data - P&amp;L'!$C$55</f>
        <v>0</v>
      </c>
      <c r="P246" s="255">
        <f>P167*'Data - P&amp;L'!$C$3*'Data - P&amp;L'!$C$55</f>
        <v>0</v>
      </c>
      <c r="Q246" s="255">
        <f>Q167*'Data - P&amp;L'!$C$3*'Data - P&amp;L'!$C$55</f>
        <v>0</v>
      </c>
      <c r="R246" s="255">
        <f>R167*'Data - P&amp;L'!$C$3*'Data - P&amp;L'!$C$55</f>
        <v>0</v>
      </c>
      <c r="S246" s="255">
        <f>S167*'Data - P&amp;L'!$C$3*'Data - P&amp;L'!$C$55</f>
        <v>0</v>
      </c>
      <c r="T246" s="255">
        <f>T167*'Data - P&amp;L'!$C$3*'Data - P&amp;L'!$C$55</f>
        <v>0</v>
      </c>
      <c r="U246" s="255">
        <f>U167*'Data - P&amp;L'!$C$3*'Data - P&amp;L'!$C$55</f>
        <v>0</v>
      </c>
      <c r="V246" s="255">
        <f>V167*'Data - P&amp;L'!$C$3*'Data - P&amp;L'!$C$55</f>
        <v>0</v>
      </c>
      <c r="W246" s="255">
        <f>W167*'Data - P&amp;L'!$C$3*'Data - P&amp;L'!$C$55</f>
        <v>0</v>
      </c>
      <c r="X246" s="255">
        <f>X167*'Data - P&amp;L'!$C$3*'Data - P&amp;L'!$C$55</f>
        <v>0</v>
      </c>
      <c r="Y246" s="255">
        <f>Y167*'Data - P&amp;L'!$C$3*'Data - P&amp;L'!$C$55</f>
        <v>0</v>
      </c>
      <c r="Z246" s="255">
        <f>Z167*'Data - P&amp;L'!$C$3*'Data - P&amp;L'!$C$55</f>
        <v>0</v>
      </c>
      <c r="AA246" s="255">
        <f>AA167*'Data - P&amp;L'!$C$3*'Data - P&amp;L'!$C$55</f>
        <v>0</v>
      </c>
      <c r="AB246" s="255">
        <f>AB167*'Data - P&amp;L'!$C$3*'Data - P&amp;L'!$C$55</f>
        <v>0</v>
      </c>
      <c r="AC246" s="255">
        <f>AC167*'Data - P&amp;L'!$C$3*'Data - P&amp;L'!$C$55</f>
        <v>0</v>
      </c>
      <c r="AD246" s="255">
        <f>AD167*'Data - P&amp;L'!$C$3*'Data - P&amp;L'!$C$55</f>
        <v>0</v>
      </c>
      <c r="AE246" s="255">
        <f>AE167*'Data - P&amp;L'!$C$3*'Data - P&amp;L'!$C$55</f>
        <v>0</v>
      </c>
      <c r="AF246" s="255">
        <f>AF167*'Data - P&amp;L'!$C$3*'Data - P&amp;L'!$C$55</f>
        <v>0</v>
      </c>
      <c r="AG246" s="126">
        <f t="shared" si="63"/>
        <v>0</v>
      </c>
    </row>
    <row r="247">
      <c r="A247" s="216" t="s">
        <v>353</v>
      </c>
      <c r="B247" s="255">
        <f>B168*'Data - P&amp;L'!$C$4*'Data - P&amp;L'!$C$55</f>
        <v>0</v>
      </c>
      <c r="C247" s="255">
        <f>C168*'Data - P&amp;L'!$C$4*'Data - P&amp;L'!$C$55</f>
        <v>0</v>
      </c>
      <c r="D247" s="255">
        <f>D168*'Data - P&amp;L'!$C$4*'Data - P&amp;L'!$C$55</f>
        <v>0</v>
      </c>
      <c r="E247" s="255">
        <f>E168*'Data - P&amp;L'!$C$4*'Data - P&amp;L'!$C$55</f>
        <v>0</v>
      </c>
      <c r="F247" s="255">
        <f>F168*'Data - P&amp;L'!$C$4*'Data - P&amp;L'!$C$55</f>
        <v>0</v>
      </c>
      <c r="G247" s="255">
        <f>G168*'Data - P&amp;L'!$C$4*'Data - P&amp;L'!$C$55</f>
        <v>0</v>
      </c>
      <c r="H247" s="255">
        <f>H168*'Data - P&amp;L'!$C$4*'Data - P&amp;L'!$C$55</f>
        <v>0</v>
      </c>
      <c r="I247" s="255">
        <f>I168*'Data - P&amp;L'!$C$4*'Data - P&amp;L'!$C$55</f>
        <v>0</v>
      </c>
      <c r="J247" s="255">
        <f>J168*'Data - P&amp;L'!$C$4*'Data - P&amp;L'!$C$55</f>
        <v>0</v>
      </c>
      <c r="K247" s="255">
        <f>K168*'Data - P&amp;L'!$C$4*'Data - P&amp;L'!$C$55</f>
        <v>9.761</v>
      </c>
      <c r="L247" s="255">
        <f>L168*'Data - P&amp;L'!$C$4*'Data - P&amp;L'!$C$55</f>
        <v>0</v>
      </c>
      <c r="M247" s="255">
        <f>M168*'Data - P&amp;L'!$C$4*'Data - P&amp;L'!$C$55</f>
        <v>0</v>
      </c>
      <c r="N247" s="255">
        <f>N168*'Data - P&amp;L'!$C$4*'Data - P&amp;L'!$C$55</f>
        <v>0</v>
      </c>
      <c r="O247" s="255">
        <f>O168*'Data - P&amp;L'!$C$4*'Data - P&amp;L'!$C$55</f>
        <v>0</v>
      </c>
      <c r="P247" s="255">
        <f>P168*'Data - P&amp;L'!$C$4*'Data - P&amp;L'!$C$55</f>
        <v>0</v>
      </c>
      <c r="Q247" s="255">
        <f>Q168*'Data - P&amp;L'!$C$4*'Data - P&amp;L'!$C$55</f>
        <v>0</v>
      </c>
      <c r="R247" s="255">
        <f>R168*'Data - P&amp;L'!$C$4*'Data - P&amp;L'!$C$55</f>
        <v>0</v>
      </c>
      <c r="S247" s="255">
        <f>S168*'Data - P&amp;L'!$C$4*'Data - P&amp;L'!$C$55</f>
        <v>0</v>
      </c>
      <c r="T247" s="255">
        <f>T168*'Data - P&amp;L'!$C$4*'Data - P&amp;L'!$C$55</f>
        <v>0</v>
      </c>
      <c r="U247" s="255">
        <f>U168*'Data - P&amp;L'!$C$4*'Data - P&amp;L'!$C$55</f>
        <v>0</v>
      </c>
      <c r="V247" s="255">
        <f>V168*'Data - P&amp;L'!$C$4*'Data - P&amp;L'!$C$55</f>
        <v>0</v>
      </c>
      <c r="W247" s="255">
        <f>W168*'Data - P&amp;L'!$C$4*'Data - P&amp;L'!$C$55</f>
        <v>0</v>
      </c>
      <c r="X247" s="255">
        <f>X168*'Data - P&amp;L'!$C$4*'Data - P&amp;L'!$C$55</f>
        <v>0</v>
      </c>
      <c r="Y247" s="255">
        <f>Y168*'Data - P&amp;L'!$C$4*'Data - P&amp;L'!$C$55</f>
        <v>0</v>
      </c>
      <c r="Z247" s="255">
        <f>Z168*'Data - P&amp;L'!$C$4*'Data - P&amp;L'!$C$55</f>
        <v>0</v>
      </c>
      <c r="AA247" s="255">
        <f>AA168*'Data - P&amp;L'!$C$4*'Data - P&amp;L'!$C$55</f>
        <v>0</v>
      </c>
      <c r="AB247" s="255">
        <f>AB168*'Data - P&amp;L'!$C$4*'Data - P&amp;L'!$C$55</f>
        <v>0</v>
      </c>
      <c r="AC247" s="255">
        <f>AC168*'Data - P&amp;L'!$C$4*'Data - P&amp;L'!$C$55</f>
        <v>0</v>
      </c>
      <c r="AD247" s="255">
        <f>AD168*'Data - P&amp;L'!$C$4*'Data - P&amp;L'!$C$55</f>
        <v>9.761</v>
      </c>
      <c r="AE247" s="255">
        <f>AE168*'Data - P&amp;L'!$C$4*'Data - P&amp;L'!$C$55</f>
        <v>0</v>
      </c>
      <c r="AF247" s="255">
        <f>AF168*'Data - P&amp;L'!$C$4*'Data - P&amp;L'!$C$55</f>
        <v>0</v>
      </c>
      <c r="AG247" s="126">
        <f t="shared" si="63"/>
        <v>19.522</v>
      </c>
    </row>
    <row r="248">
      <c r="A248" s="216" t="s">
        <v>354</v>
      </c>
      <c r="B248" s="255">
        <f>B170*'Data - P&amp;L'!$C$6*'Data - P&amp;L'!$C$55</f>
        <v>0</v>
      </c>
      <c r="C248" s="255">
        <f>C170*'Data - P&amp;L'!$C$6*'Data - P&amp;L'!$C$55</f>
        <v>0</v>
      </c>
      <c r="D248" s="255">
        <f>D170*'Data - P&amp;L'!$C$6*'Data - P&amp;L'!$C$55</f>
        <v>0</v>
      </c>
      <c r="E248" s="255">
        <f>E170*'Data - P&amp;L'!$C$6*'Data - P&amp;L'!$C$55</f>
        <v>0</v>
      </c>
      <c r="F248" s="255">
        <f>F170*'Data - P&amp;L'!$C$6*'Data - P&amp;L'!$C$55</f>
        <v>0</v>
      </c>
      <c r="G248" s="255">
        <f>G170*'Data - P&amp;L'!$C$6*'Data - P&amp;L'!$C$55</f>
        <v>0</v>
      </c>
      <c r="H248" s="255">
        <f>H170*'Data - P&amp;L'!$C$6*'Data - P&amp;L'!$C$55</f>
        <v>0</v>
      </c>
      <c r="I248" s="255">
        <f>I170*'Data - P&amp;L'!$C$6*'Data - P&amp;L'!$C$55</f>
        <v>0</v>
      </c>
      <c r="J248" s="255">
        <f>J170*'Data - P&amp;L'!$C$6*'Data - P&amp;L'!$C$55</f>
        <v>0</v>
      </c>
      <c r="K248" s="255">
        <f>K170*'Data - P&amp;L'!$C$6*'Data - P&amp;L'!$C$55</f>
        <v>0</v>
      </c>
      <c r="L248" s="255">
        <f>L170*'Data - P&amp;L'!$C$6*'Data - P&amp;L'!$C$55</f>
        <v>0</v>
      </c>
      <c r="M248" s="255">
        <f>M170*'Data - P&amp;L'!$C$6*'Data - P&amp;L'!$C$55</f>
        <v>0</v>
      </c>
      <c r="N248" s="255">
        <f>N170*'Data - P&amp;L'!$C$6*'Data - P&amp;L'!$C$55</f>
        <v>0</v>
      </c>
      <c r="O248" s="255">
        <f>O170*'Data - P&amp;L'!$C$6*'Data - P&amp;L'!$C$55</f>
        <v>0</v>
      </c>
      <c r="P248" s="255">
        <f>P170*'Data - P&amp;L'!$C$6*'Data - P&amp;L'!$C$55</f>
        <v>0</v>
      </c>
      <c r="Q248" s="255">
        <f>Q170*'Data - P&amp;L'!$C$6*'Data - P&amp;L'!$C$55</f>
        <v>0</v>
      </c>
      <c r="R248" s="255">
        <f>R170*'Data - P&amp;L'!$C$6*'Data - P&amp;L'!$C$55</f>
        <v>0</v>
      </c>
      <c r="S248" s="255">
        <f>S170*'Data - P&amp;L'!$C$6*'Data - P&amp;L'!$C$55</f>
        <v>0</v>
      </c>
      <c r="T248" s="255">
        <f>T170*'Data - P&amp;L'!$C$6*'Data - P&amp;L'!$C$55</f>
        <v>0</v>
      </c>
      <c r="U248" s="255">
        <f>U170*'Data - P&amp;L'!$C$6*'Data - P&amp;L'!$C$55</f>
        <v>0</v>
      </c>
      <c r="V248" s="255">
        <f>V170*'Data - P&amp;L'!$C$6*'Data - P&amp;L'!$C$55</f>
        <v>0</v>
      </c>
      <c r="W248" s="255">
        <f>W170*'Data - P&amp;L'!$C$6*'Data - P&amp;L'!$C$55</f>
        <v>0</v>
      </c>
      <c r="X248" s="255">
        <f>X170*'Data - P&amp;L'!$C$6*'Data - P&amp;L'!$C$55</f>
        <v>0</v>
      </c>
      <c r="Y248" s="255">
        <f>Y170*'Data - P&amp;L'!$C$6*'Data - P&amp;L'!$C$55</f>
        <v>0</v>
      </c>
      <c r="Z248" s="255">
        <f>Z170*'Data - P&amp;L'!$C$6*'Data - P&amp;L'!$C$55</f>
        <v>0</v>
      </c>
      <c r="AA248" s="255">
        <f>AA170*'Data - P&amp;L'!$C$6*'Data - P&amp;L'!$C$55</f>
        <v>0</v>
      </c>
      <c r="AB248" s="255">
        <f>AB170*'Data - P&amp;L'!$C$6*'Data - P&amp;L'!$C$55</f>
        <v>0</v>
      </c>
      <c r="AC248" s="255">
        <f>AC170*'Data - P&amp;L'!$C$6*'Data - P&amp;L'!$C$55</f>
        <v>0</v>
      </c>
      <c r="AD248" s="255">
        <f>AD170*'Data - P&amp;L'!$C$6*'Data - P&amp;L'!$C$55</f>
        <v>0</v>
      </c>
      <c r="AE248" s="255">
        <f>AE170*'Data - P&amp;L'!$C$6*'Data - P&amp;L'!$C$55</f>
        <v>0</v>
      </c>
      <c r="AF248" s="255">
        <f>AF170*'Data - P&amp;L'!$C$6*'Data - P&amp;L'!$C$55</f>
        <v>0</v>
      </c>
      <c r="AG248" s="126">
        <f t="shared" si="63"/>
        <v>0</v>
      </c>
    </row>
    <row r="249">
      <c r="A249" s="216" t="s">
        <v>355</v>
      </c>
      <c r="B249" s="255">
        <f>B171*'Data - P&amp;L'!$C$8*'Data - P&amp;L'!$C$55</f>
        <v>0</v>
      </c>
      <c r="C249" s="255">
        <f>C171*'Data - P&amp;L'!$C$8*'Data - P&amp;L'!$C$55</f>
        <v>0</v>
      </c>
      <c r="D249" s="255">
        <f>D171*'Data - P&amp;L'!$C$8*'Data - P&amp;L'!$C$55</f>
        <v>0</v>
      </c>
      <c r="E249" s="255">
        <f>E171*'Data - P&amp;L'!$C$8*'Data - P&amp;L'!$C$55</f>
        <v>0</v>
      </c>
      <c r="F249" s="255">
        <f>F171*'Data - P&amp;L'!$C$8*'Data - P&amp;L'!$C$55</f>
        <v>0</v>
      </c>
      <c r="G249" s="255">
        <f>G171*'Data - P&amp;L'!$C$8*'Data - P&amp;L'!$C$55</f>
        <v>0</v>
      </c>
      <c r="H249" s="255">
        <f>H171*'Data - P&amp;L'!$C$8*'Data - P&amp;L'!$C$55</f>
        <v>0</v>
      </c>
      <c r="I249" s="255">
        <f>I171*'Data - P&amp;L'!$C$8*'Data - P&amp;L'!$C$55</f>
        <v>0</v>
      </c>
      <c r="J249" s="255">
        <f>J171*'Data - P&amp;L'!$C$8*'Data - P&amp;L'!$C$55</f>
        <v>0</v>
      </c>
      <c r="K249" s="255">
        <f>K171*'Data - P&amp;L'!$C$8*'Data - P&amp;L'!$C$55</f>
        <v>0</v>
      </c>
      <c r="L249" s="255">
        <f>L171*'Data - P&amp;L'!$C$8*'Data - P&amp;L'!$C$55</f>
        <v>0</v>
      </c>
      <c r="M249" s="255">
        <f>M171*'Data - P&amp;L'!$C$8*'Data - P&amp;L'!$C$55</f>
        <v>0</v>
      </c>
      <c r="N249" s="255">
        <f>N171*'Data - P&amp;L'!$C$8*'Data - P&amp;L'!$C$55</f>
        <v>0</v>
      </c>
      <c r="O249" s="255">
        <f>O171*'Data - P&amp;L'!$C$8*'Data - P&amp;L'!$C$55</f>
        <v>0</v>
      </c>
      <c r="P249" s="255">
        <f>P171*'Data - P&amp;L'!$C$8*'Data - P&amp;L'!$C$55</f>
        <v>0</v>
      </c>
      <c r="Q249" s="255">
        <f>Q171*'Data - P&amp;L'!$C$8*'Data - P&amp;L'!$C$55</f>
        <v>0</v>
      </c>
      <c r="R249" s="255">
        <f>R171*'Data - P&amp;L'!$C$8*'Data - P&amp;L'!$C$55</f>
        <v>0</v>
      </c>
      <c r="S249" s="255">
        <f>S171*'Data - P&amp;L'!$C$8*'Data - P&amp;L'!$C$55</f>
        <v>0</v>
      </c>
      <c r="T249" s="255">
        <f>T171*'Data - P&amp;L'!$C$8*'Data - P&amp;L'!$C$55</f>
        <v>0</v>
      </c>
      <c r="U249" s="255">
        <f>U171*'Data - P&amp;L'!$C$8*'Data - P&amp;L'!$C$55</f>
        <v>0</v>
      </c>
      <c r="V249" s="255">
        <f>V171*'Data - P&amp;L'!$C$8*'Data - P&amp;L'!$C$55</f>
        <v>0</v>
      </c>
      <c r="W249" s="255">
        <f>W171*'Data - P&amp;L'!$C$8*'Data - P&amp;L'!$C$55</f>
        <v>0</v>
      </c>
      <c r="X249" s="255">
        <f>X171*'Data - P&amp;L'!$C$8*'Data - P&amp;L'!$C$55</f>
        <v>0</v>
      </c>
      <c r="Y249" s="255">
        <f>Y171*'Data - P&amp;L'!$C$8*'Data - P&amp;L'!$C$55</f>
        <v>0</v>
      </c>
      <c r="Z249" s="255">
        <f>Z171*'Data - P&amp;L'!$C$8*'Data - P&amp;L'!$C$55</f>
        <v>0</v>
      </c>
      <c r="AA249" s="255">
        <f>AA171*'Data - P&amp;L'!$C$8*'Data - P&amp;L'!$C$55</f>
        <v>0</v>
      </c>
      <c r="AB249" s="255">
        <f>AB171*'Data - P&amp;L'!$C$8*'Data - P&amp;L'!$C$55</f>
        <v>0</v>
      </c>
      <c r="AC249" s="255">
        <f>AC171*'Data - P&amp;L'!$C$8*'Data - P&amp;L'!$C$55</f>
        <v>0</v>
      </c>
      <c r="AD249" s="255">
        <f>AD171*'Data - P&amp;L'!$C$8*'Data - P&amp;L'!$C$55</f>
        <v>0</v>
      </c>
      <c r="AE249" s="255">
        <f>AE171*'Data - P&amp;L'!$C$8*'Data - P&amp;L'!$C$55</f>
        <v>0</v>
      </c>
      <c r="AF249" s="255">
        <f>AF171*'Data - P&amp;L'!$C$8*'Data - P&amp;L'!$C$55</f>
        <v>0</v>
      </c>
      <c r="AG249" s="126">
        <f t="shared" si="63"/>
        <v>0</v>
      </c>
    </row>
    <row r="250">
      <c r="A250" s="216" t="s">
        <v>356</v>
      </c>
      <c r="B250" s="255">
        <f>(B172+B173)*'Data - P&amp;L'!$C$9*'Data - P&amp;L'!$C$55</f>
        <v>0</v>
      </c>
      <c r="C250" s="255">
        <f>(C172+C173)*'Data - P&amp;L'!$C$9*'Data - P&amp;L'!$C$55</f>
        <v>0</v>
      </c>
      <c r="D250" s="255">
        <f>(D172+D173)*'Data - P&amp;L'!$C$9*'Data - P&amp;L'!$C$55</f>
        <v>0</v>
      </c>
      <c r="E250" s="255">
        <f>(E172+E173)*'Data - P&amp;L'!$C$9*'Data - P&amp;L'!$C$55</f>
        <v>0</v>
      </c>
      <c r="F250" s="255">
        <f>(F172+F173)*'Data - P&amp;L'!$C$9*'Data - P&amp;L'!$C$55</f>
        <v>0</v>
      </c>
      <c r="G250" s="255">
        <f>(G172+G173)*'Data - P&amp;L'!$C$9*'Data - P&amp;L'!$C$55</f>
        <v>0</v>
      </c>
      <c r="H250" s="255">
        <f>(H172+H173)*'Data - P&amp;L'!$C$9*'Data - P&amp;L'!$C$55</f>
        <v>0</v>
      </c>
      <c r="I250" s="255">
        <f>(I172+I173)*'Data - P&amp;L'!$C$9*'Data - P&amp;L'!$C$55</f>
        <v>0</v>
      </c>
      <c r="J250" s="255">
        <f>(J172+J173)*'Data - P&amp;L'!$C$9*'Data - P&amp;L'!$C$55</f>
        <v>0</v>
      </c>
      <c r="K250" s="255">
        <f>(K172+K173)*'Data - P&amp;L'!$C$9*'Data - P&amp;L'!$C$55</f>
        <v>0</v>
      </c>
      <c r="L250" s="255">
        <f>(L172+L173)*'Data - P&amp;L'!$C$9*'Data - P&amp;L'!$C$55</f>
        <v>0</v>
      </c>
      <c r="M250" s="255">
        <f>(M172+M173)*'Data - P&amp;L'!$C$9*'Data - P&amp;L'!$C$55</f>
        <v>0</v>
      </c>
      <c r="N250" s="255">
        <f>(N172+N173)*'Data - P&amp;L'!$C$9*'Data - P&amp;L'!$C$55</f>
        <v>0</v>
      </c>
      <c r="O250" s="255">
        <f>(O172+O173)*'Data - P&amp;L'!$C$9*'Data - P&amp;L'!$C$55</f>
        <v>0</v>
      </c>
      <c r="P250" s="255">
        <f>(P172+P173)*'Data - P&amp;L'!$C$9*'Data - P&amp;L'!$C$55</f>
        <v>0</v>
      </c>
      <c r="Q250" s="255">
        <f>(Q172+Q173)*'Data - P&amp;L'!$C$9*'Data - P&amp;L'!$C$55</f>
        <v>0</v>
      </c>
      <c r="R250" s="255">
        <f>(R172+R173)*'Data - P&amp;L'!$C$9*'Data - P&amp;L'!$C$55</f>
        <v>0</v>
      </c>
      <c r="S250" s="255">
        <f>(S172+S173)*'Data - P&amp;L'!$C$9*'Data - P&amp;L'!$C$55</f>
        <v>0</v>
      </c>
      <c r="T250" s="255">
        <f>(T172+T173)*'Data - P&amp;L'!$C$9*'Data - P&amp;L'!$C$55</f>
        <v>0</v>
      </c>
      <c r="U250" s="255">
        <f>(U172+U173)*'Data - P&amp;L'!$C$9*'Data - P&amp;L'!$C$55</f>
        <v>0</v>
      </c>
      <c r="V250" s="255">
        <f>(V172+V173)*'Data - P&amp;L'!$C$9*'Data - P&amp;L'!$C$55</f>
        <v>0</v>
      </c>
      <c r="W250" s="255">
        <f>(W172+W173)*'Data - P&amp;L'!$C$9*'Data - P&amp;L'!$C$55</f>
        <v>0</v>
      </c>
      <c r="X250" s="255">
        <f>(X172+X173)*'Data - P&amp;L'!$C$9*'Data - P&amp;L'!$C$55</f>
        <v>0</v>
      </c>
      <c r="Y250" s="255">
        <f>(Y172+Y173)*'Data - P&amp;L'!$C$9*'Data - P&amp;L'!$C$55</f>
        <v>0</v>
      </c>
      <c r="Z250" s="255">
        <f>(Z172+Z173)*'Data - P&amp;L'!$C$9*'Data - P&amp;L'!$C$55</f>
        <v>0</v>
      </c>
      <c r="AA250" s="255">
        <f>(AA172+AA173)*'Data - P&amp;L'!$C$9*'Data - P&amp;L'!$C$55</f>
        <v>0</v>
      </c>
      <c r="AB250" s="255">
        <f>(AB172+AB173)*'Data - P&amp;L'!$C$9*'Data - P&amp;L'!$C$55</f>
        <v>0</v>
      </c>
      <c r="AC250" s="255">
        <f>(AC172+AC173)*'Data - P&amp;L'!$C$9*'Data - P&amp;L'!$C$55</f>
        <v>0</v>
      </c>
      <c r="AD250" s="255">
        <f>(AD172+AD173)*'Data - P&amp;L'!$C$9*'Data - P&amp;L'!$C$55</f>
        <v>0</v>
      </c>
      <c r="AE250" s="255">
        <f>(AE172+AE173)*'Data - P&amp;L'!$C$9*'Data - P&amp;L'!$C$55</f>
        <v>0</v>
      </c>
      <c r="AF250" s="255">
        <f>(AF172+AF173)*'Data - P&amp;L'!$C$9*'Data - P&amp;L'!$C$55</f>
        <v>0</v>
      </c>
      <c r="AG250" s="126">
        <f t="shared" si="63"/>
        <v>0</v>
      </c>
    </row>
    <row r="251">
      <c r="A251" s="216" t="s">
        <v>357</v>
      </c>
      <c r="B251" s="255">
        <f>(B174+B175)*'Data - P&amp;L'!$C$5*'Data - P&amp;L'!$C$55</f>
        <v>0</v>
      </c>
      <c r="C251" s="255">
        <f>(C174+C175)*'Data - P&amp;L'!$C$5*'Data - P&amp;L'!$C$55</f>
        <v>0</v>
      </c>
      <c r="D251" s="255">
        <f>(D174+D175)*'Data - P&amp;L'!$C$5*'Data - P&amp;L'!$C$55</f>
        <v>0</v>
      </c>
      <c r="E251" s="255">
        <f>(E174+E175)*'Data - P&amp;L'!$C$5*'Data - P&amp;L'!$C$55</f>
        <v>0</v>
      </c>
      <c r="F251" s="255">
        <f>(F174+F175)*'Data - P&amp;L'!$C$5*'Data - P&amp;L'!$C$55</f>
        <v>0</v>
      </c>
      <c r="G251" s="255">
        <f>(G174+G175)*'Data - P&amp;L'!$C$5*'Data - P&amp;L'!$C$55</f>
        <v>0</v>
      </c>
      <c r="H251" s="255">
        <f>(H174+H175)*'Data - P&amp;L'!$C$5*'Data - P&amp;L'!$C$55</f>
        <v>0</v>
      </c>
      <c r="I251" s="255">
        <f>(I174+I175)*'Data - P&amp;L'!$C$5*'Data - P&amp;L'!$C$55</f>
        <v>0</v>
      </c>
      <c r="J251" s="255">
        <f>(J174+J175)*'Data - P&amp;L'!$C$5*'Data - P&amp;L'!$C$55</f>
        <v>0</v>
      </c>
      <c r="K251" s="255">
        <f>(K174+K175)*'Data - P&amp;L'!$C$5*'Data - P&amp;L'!$C$55</f>
        <v>0</v>
      </c>
      <c r="L251" s="255">
        <f>(L174+L175)*'Data - P&amp;L'!$C$5*'Data - P&amp;L'!$C$55</f>
        <v>0</v>
      </c>
      <c r="M251" s="255">
        <f>(M174+M175)*'Data - P&amp;L'!$C$5*'Data - P&amp;L'!$C$55</f>
        <v>0</v>
      </c>
      <c r="N251" s="255">
        <f>(N174+N175)*'Data - P&amp;L'!$C$5*'Data - P&amp;L'!$C$55</f>
        <v>0</v>
      </c>
      <c r="O251" s="255">
        <f>(O174+O175)*'Data - P&amp;L'!$C$5*'Data - P&amp;L'!$C$55</f>
        <v>0</v>
      </c>
      <c r="P251" s="255">
        <f>(P174+P175)*'Data - P&amp;L'!$C$5*'Data - P&amp;L'!$C$55</f>
        <v>0</v>
      </c>
      <c r="Q251" s="255">
        <f>(Q174+Q175)*'Data - P&amp;L'!$C$5*'Data - P&amp;L'!$C$55</f>
        <v>0</v>
      </c>
      <c r="R251" s="255">
        <f>(R174+R175)*'Data - P&amp;L'!$C$5*'Data - P&amp;L'!$C$55</f>
        <v>0</v>
      </c>
      <c r="S251" s="255">
        <f>(S174+S175)*'Data - P&amp;L'!$C$5*'Data - P&amp;L'!$C$55</f>
        <v>0</v>
      </c>
      <c r="T251" s="255">
        <f>(T174+T175)*'Data - P&amp;L'!$C$5*'Data - P&amp;L'!$C$55</f>
        <v>0</v>
      </c>
      <c r="U251" s="255">
        <f>(U174+U175)*'Data - P&amp;L'!$C$5*'Data - P&amp;L'!$C$55</f>
        <v>0</v>
      </c>
      <c r="V251" s="255">
        <f>(V174+V175)*'Data - P&amp;L'!$C$5*'Data - P&amp;L'!$C$55</f>
        <v>0</v>
      </c>
      <c r="W251" s="255">
        <f>(W174+W175)*'Data - P&amp;L'!$C$5*'Data - P&amp;L'!$C$55</f>
        <v>0</v>
      </c>
      <c r="X251" s="255">
        <f>(X174+X175)*'Data - P&amp;L'!$C$5*'Data - P&amp;L'!$C$55</f>
        <v>0</v>
      </c>
      <c r="Y251" s="255">
        <f>(Y174+Y175)*'Data - P&amp;L'!$C$5*'Data - P&amp;L'!$C$55</f>
        <v>0</v>
      </c>
      <c r="Z251" s="255">
        <f>(Z174+Z175)*'Data - P&amp;L'!$C$5*'Data - P&amp;L'!$C$55</f>
        <v>0</v>
      </c>
      <c r="AA251" s="255">
        <f>(AA174+AA175)*'Data - P&amp;L'!$C$5*'Data - P&amp;L'!$C$55</f>
        <v>0</v>
      </c>
      <c r="AB251" s="255">
        <f>(AB174+AB175)*'Data - P&amp;L'!$C$5*'Data - P&amp;L'!$C$55</f>
        <v>0</v>
      </c>
      <c r="AC251" s="255">
        <f>(AC174+AC175)*'Data - P&amp;L'!$C$5*'Data - P&amp;L'!$C$55</f>
        <v>0</v>
      </c>
      <c r="AD251" s="255">
        <f>(AD174+AD175)*'Data - P&amp;L'!$C$5*'Data - P&amp;L'!$C$55</f>
        <v>0</v>
      </c>
      <c r="AE251" s="255">
        <f>(AE174+AE175)*'Data - P&amp;L'!$C$5*'Data - P&amp;L'!$C$55</f>
        <v>0</v>
      </c>
      <c r="AF251" s="255">
        <f>(AF174+AF175)*'Data - P&amp;L'!$C$5*'Data - P&amp;L'!$C$55</f>
        <v>0</v>
      </c>
      <c r="AG251" s="126">
        <f t="shared" si="63"/>
        <v>0</v>
      </c>
    </row>
    <row r="252">
      <c r="A252" s="216" t="s">
        <v>358</v>
      </c>
      <c r="B252" s="255">
        <f>(B176+B177)*'Data - P&amp;L'!$C$10*'Data - P&amp;L'!$C$55</f>
        <v>0</v>
      </c>
      <c r="C252" s="255">
        <f>(C176+C177)*'Data - P&amp;L'!$C$10*'Data - P&amp;L'!$C$55</f>
        <v>0</v>
      </c>
      <c r="D252" s="255">
        <f>(D176+D177)*'Data - P&amp;L'!$C$10*'Data - P&amp;L'!$C$55</f>
        <v>0</v>
      </c>
      <c r="E252" s="255">
        <f>(E176+E177)*'Data - P&amp;L'!$C$10*'Data - P&amp;L'!$C$55</f>
        <v>0</v>
      </c>
      <c r="F252" s="255">
        <f>(F176+F177)*'Data - P&amp;L'!$C$10*'Data - P&amp;L'!$C$55</f>
        <v>0</v>
      </c>
      <c r="G252" s="255">
        <f>(G176+G177)*'Data - P&amp;L'!$C$10*'Data - P&amp;L'!$C$55</f>
        <v>0</v>
      </c>
      <c r="H252" s="255">
        <f>(H176+H177)*'Data - P&amp;L'!$C$10*'Data - P&amp;L'!$C$55</f>
        <v>0</v>
      </c>
      <c r="I252" s="255">
        <f>(I176+I177)*'Data - P&amp;L'!$C$10*'Data - P&amp;L'!$C$55</f>
        <v>0</v>
      </c>
      <c r="J252" s="255">
        <f>(J176+J177)*'Data - P&amp;L'!$C$10*'Data - P&amp;L'!$C$55</f>
        <v>0</v>
      </c>
      <c r="K252" s="255">
        <f>(K176+K177)*'Data - P&amp;L'!$C$10*'Data - P&amp;L'!$C$55</f>
        <v>0</v>
      </c>
      <c r="L252" s="255">
        <f>(L176+L177)*'Data - P&amp;L'!$C$10*'Data - P&amp;L'!$C$55</f>
        <v>0</v>
      </c>
      <c r="M252" s="255">
        <f>(M176+M177)*'Data - P&amp;L'!$C$10*'Data - P&amp;L'!$C$55</f>
        <v>0</v>
      </c>
      <c r="N252" s="255">
        <f>(N176+N177)*'Data - P&amp;L'!$C$10*'Data - P&amp;L'!$C$55</f>
        <v>0</v>
      </c>
      <c r="O252" s="255">
        <f>(O176+O177)*'Data - P&amp;L'!$C$10*'Data - P&amp;L'!$C$55</f>
        <v>0</v>
      </c>
      <c r="P252" s="255">
        <f>(P176+P177)*'Data - P&amp;L'!$C$10*'Data - P&amp;L'!$C$55</f>
        <v>0</v>
      </c>
      <c r="Q252" s="255">
        <f>(Q176+Q177)*'Data - P&amp;L'!$C$10*'Data - P&amp;L'!$C$55</f>
        <v>0</v>
      </c>
      <c r="R252" s="255">
        <f>(R176+R177)*'Data - P&amp;L'!$C$10*'Data - P&amp;L'!$C$55</f>
        <v>0</v>
      </c>
      <c r="S252" s="255">
        <f>(S176+S177)*'Data - P&amp;L'!$C$10*'Data - P&amp;L'!$C$55</f>
        <v>0</v>
      </c>
      <c r="T252" s="255">
        <f>(T176+T177)*'Data - P&amp;L'!$C$10*'Data - P&amp;L'!$C$55</f>
        <v>0</v>
      </c>
      <c r="U252" s="255">
        <f>(U176+U177)*'Data - P&amp;L'!$C$10*'Data - P&amp;L'!$C$55</f>
        <v>0</v>
      </c>
      <c r="V252" s="255">
        <f>(V176+V177)*'Data - P&amp;L'!$C$10*'Data - P&amp;L'!$C$55</f>
        <v>0</v>
      </c>
      <c r="W252" s="255">
        <f>(W176+W177)*'Data - P&amp;L'!$C$10*'Data - P&amp;L'!$C$55</f>
        <v>0</v>
      </c>
      <c r="X252" s="255">
        <f>(X176+X177)*'Data - P&amp;L'!$C$10*'Data - P&amp;L'!$C$55</f>
        <v>0</v>
      </c>
      <c r="Y252" s="255">
        <f>(Y176+Y177)*'Data - P&amp;L'!$C$10*'Data - P&amp;L'!$C$55</f>
        <v>0</v>
      </c>
      <c r="Z252" s="255">
        <f>(Z176+Z177)*'Data - P&amp;L'!$C$10*'Data - P&amp;L'!$C$55</f>
        <v>0</v>
      </c>
      <c r="AA252" s="255">
        <f>(AA176+AA177)*'Data - P&amp;L'!$C$10*'Data - P&amp;L'!$C$55</f>
        <v>0</v>
      </c>
      <c r="AB252" s="255">
        <f>(AB176+AB177)*'Data - P&amp;L'!$C$10*'Data - P&amp;L'!$C$55</f>
        <v>0</v>
      </c>
      <c r="AC252" s="255">
        <f>(AC176+AC177)*'Data - P&amp;L'!$C$10*'Data - P&amp;L'!$C$55</f>
        <v>0</v>
      </c>
      <c r="AD252" s="255">
        <f>(AD176+AD177)*'Data - P&amp;L'!$C$10*'Data - P&amp;L'!$C$55</f>
        <v>0</v>
      </c>
      <c r="AE252" s="255">
        <f>(AE176+AE177)*'Data - P&amp;L'!$C$10*'Data - P&amp;L'!$C$55</f>
        <v>0</v>
      </c>
      <c r="AF252" s="255">
        <f>(AF176+AF177)*'Data - P&amp;L'!$C$10*'Data - P&amp;L'!$C$55</f>
        <v>0</v>
      </c>
      <c r="AG252" s="126">
        <f t="shared" si="63"/>
        <v>0</v>
      </c>
    </row>
    <row r="253">
      <c r="A253" s="396" t="s">
        <v>359</v>
      </c>
      <c r="B253" s="255">
        <f>(B167+B168)*'Data - P&amp;L'!$C$43*'Data - P&amp;L'!$C$55</f>
        <v>0</v>
      </c>
      <c r="C253" s="255">
        <f>(C167+C168)*'Data - P&amp;L'!$C$43*'Data - P&amp;L'!$C$55</f>
        <v>0</v>
      </c>
      <c r="D253" s="255">
        <f>(D167+D168)*'Data - P&amp;L'!$C$43*'Data - P&amp;L'!$C$55</f>
        <v>0</v>
      </c>
      <c r="E253" s="255">
        <f>(E167+E168)*'Data - P&amp;L'!$C$43*'Data - P&amp;L'!$C$55</f>
        <v>0</v>
      </c>
      <c r="F253" s="255">
        <f>(F167+F168)*'Data - P&amp;L'!$C$43*'Data - P&amp;L'!$C$55</f>
        <v>0</v>
      </c>
      <c r="G253" s="255">
        <f>(G167+G168)*'Data - P&amp;L'!$C$43*'Data - P&amp;L'!$C$55</f>
        <v>0</v>
      </c>
      <c r="H253" s="255">
        <f>(H167+H168)*'Data - P&amp;L'!$C$43*'Data - P&amp;L'!$C$55</f>
        <v>0</v>
      </c>
      <c r="I253" s="255">
        <f>(I167+I168)*'Data - P&amp;L'!$C$43*'Data - P&amp;L'!$C$55</f>
        <v>0</v>
      </c>
      <c r="J253" s="255">
        <f>(J167+J168)*'Data - P&amp;L'!$C$43*'Data - P&amp;L'!$C$55</f>
        <v>0</v>
      </c>
      <c r="K253" s="255">
        <f>(K167+K168)*'Data - P&amp;L'!$C$43*'Data - P&amp;L'!$C$55</f>
        <v>1.194</v>
      </c>
      <c r="L253" s="255">
        <f>(L167+L168)*'Data - P&amp;L'!$C$43*'Data - P&amp;L'!$C$55</f>
        <v>0</v>
      </c>
      <c r="M253" s="255">
        <f>(M167+M168)*'Data - P&amp;L'!$C$43*'Data - P&amp;L'!$C$55</f>
        <v>0</v>
      </c>
      <c r="N253" s="255">
        <f>(N167+N168)*'Data - P&amp;L'!$C$43*'Data - P&amp;L'!$C$55</f>
        <v>0</v>
      </c>
      <c r="O253" s="255">
        <f>(O167+O168)*'Data - P&amp;L'!$C$43*'Data - P&amp;L'!$C$55</f>
        <v>0</v>
      </c>
      <c r="P253" s="255">
        <f>(P167+P168)*'Data - P&amp;L'!$C$43*'Data - P&amp;L'!$C$55</f>
        <v>0</v>
      </c>
      <c r="Q253" s="255">
        <f>(Q167+Q168)*'Data - P&amp;L'!$C$43*'Data - P&amp;L'!$C$55</f>
        <v>0</v>
      </c>
      <c r="R253" s="255">
        <f>(R167+R168)*'Data - P&amp;L'!$C$43*'Data - P&amp;L'!$C$55</f>
        <v>0</v>
      </c>
      <c r="S253" s="255">
        <f>(S167+S168)*'Data - P&amp;L'!$C$43*'Data - P&amp;L'!$C$55</f>
        <v>0</v>
      </c>
      <c r="T253" s="255">
        <f>(T167+T168)*'Data - P&amp;L'!$C$43*'Data - P&amp;L'!$C$55</f>
        <v>0</v>
      </c>
      <c r="U253" s="255">
        <f>(U167+U168)*'Data - P&amp;L'!$C$43*'Data - P&amp;L'!$C$55</f>
        <v>0</v>
      </c>
      <c r="V253" s="255">
        <f>(V167+V168)*'Data - P&amp;L'!$C$43*'Data - P&amp;L'!$C$55</f>
        <v>0</v>
      </c>
      <c r="W253" s="255">
        <f>(W167+W168)*'Data - P&amp;L'!$C$43*'Data - P&amp;L'!$C$55</f>
        <v>0</v>
      </c>
      <c r="X253" s="255">
        <f>(X167+X168)*'Data - P&amp;L'!$C$43*'Data - P&amp;L'!$C$55</f>
        <v>0</v>
      </c>
      <c r="Y253" s="255">
        <f>(Y167+Y168)*'Data - P&amp;L'!$C$43*'Data - P&amp;L'!$C$55</f>
        <v>0</v>
      </c>
      <c r="Z253" s="255">
        <f>(Z167+Z168)*'Data - P&amp;L'!$C$43*'Data - P&amp;L'!$C$55</f>
        <v>0</v>
      </c>
      <c r="AA253" s="255">
        <f>(AA167+AA168)*'Data - P&amp;L'!$C$43*'Data - P&amp;L'!$C$55</f>
        <v>0</v>
      </c>
      <c r="AB253" s="255">
        <f>(AB167+AB168)*'Data - P&amp;L'!$C$43*'Data - P&amp;L'!$C$55</f>
        <v>0</v>
      </c>
      <c r="AC253" s="255">
        <f>(AC167+AC168)*'Data - P&amp;L'!$C$43*'Data - P&amp;L'!$C$55</f>
        <v>0</v>
      </c>
      <c r="AD253" s="255">
        <f>(AD167+AD168)*'Data - P&amp;L'!$C$43*'Data - P&amp;L'!$C$55</f>
        <v>1.194</v>
      </c>
      <c r="AE253" s="255">
        <f>(AE167+AE168)*'Data - P&amp;L'!$C$43*'Data - P&amp;L'!$C$55</f>
        <v>0</v>
      </c>
      <c r="AF253" s="255">
        <f>(AF167+AF168)*'Data - P&amp;L'!$C$43*'Data - P&amp;L'!$C$55</f>
        <v>0</v>
      </c>
      <c r="AG253" s="126">
        <f t="shared" si="63"/>
        <v>2.388</v>
      </c>
    </row>
    <row r="254">
      <c r="A254" s="396" t="s">
        <v>361</v>
      </c>
      <c r="B254" s="255">
        <f>B178*'Data - P&amp;L'!$C$43*'Data - P&amp;L'!$C$55</f>
        <v>0</v>
      </c>
      <c r="C254" s="255">
        <f>C178*'Data - P&amp;L'!$C$43*'Data - P&amp;L'!$C$55</f>
        <v>0</v>
      </c>
      <c r="D254" s="255">
        <f>D178*'Data - P&amp;L'!$C$43*'Data - P&amp;L'!$C$55</f>
        <v>0</v>
      </c>
      <c r="E254" s="255">
        <f>E178*'Data - P&amp;L'!$C$43*'Data - P&amp;L'!$C$55</f>
        <v>0</v>
      </c>
      <c r="F254" s="255">
        <f>F178*'Data - P&amp;L'!$C$43*'Data - P&amp;L'!$C$55</f>
        <v>0</v>
      </c>
      <c r="G254" s="255">
        <f>G178*'Data - P&amp;L'!$C$43*'Data - P&amp;L'!$C$55</f>
        <v>0</v>
      </c>
      <c r="H254" s="255">
        <f>H178*'Data - P&amp;L'!$C$43*'Data - P&amp;L'!$C$55</f>
        <v>0</v>
      </c>
      <c r="I254" s="255">
        <f>I178*'Data - P&amp;L'!$C$43*'Data - P&amp;L'!$C$55</f>
        <v>0</v>
      </c>
      <c r="J254" s="255">
        <f>J178*'Data - P&amp;L'!$C$43*'Data - P&amp;L'!$C$55</f>
        <v>0</v>
      </c>
      <c r="K254" s="255">
        <f>K178*'Data - P&amp;L'!$C$43*'Data - P&amp;L'!$C$55</f>
        <v>0</v>
      </c>
      <c r="L254" s="255">
        <f>L178*'Data - P&amp;L'!$C$43*'Data - P&amp;L'!$C$55</f>
        <v>0</v>
      </c>
      <c r="M254" s="255">
        <f>M178*'Data - P&amp;L'!$C$43*'Data - P&amp;L'!$C$55</f>
        <v>0</v>
      </c>
      <c r="N254" s="255">
        <f>N178*'Data - P&amp;L'!$C$43*'Data - P&amp;L'!$C$55</f>
        <v>0</v>
      </c>
      <c r="O254" s="255">
        <f>O178*'Data - P&amp;L'!$C$43*'Data - P&amp;L'!$C$55</f>
        <v>0</v>
      </c>
      <c r="P254" s="255">
        <f>P178*'Data - P&amp;L'!$C$43*'Data - P&amp;L'!$C$55</f>
        <v>0</v>
      </c>
      <c r="Q254" s="255">
        <f>Q178*'Data - P&amp;L'!$C$43*'Data - P&amp;L'!$C$55</f>
        <v>0</v>
      </c>
      <c r="R254" s="255">
        <f>R178*'Data - P&amp;L'!$C$43*'Data - P&amp;L'!$C$55</f>
        <v>0</v>
      </c>
      <c r="S254" s="255">
        <f>S178*'Data - P&amp;L'!$C$43*'Data - P&amp;L'!$C$55</f>
        <v>0</v>
      </c>
      <c r="T254" s="255">
        <f>T178*'Data - P&amp;L'!$C$43*'Data - P&amp;L'!$C$55</f>
        <v>0</v>
      </c>
      <c r="U254" s="255">
        <f>U178*'Data - P&amp;L'!$C$43*'Data - P&amp;L'!$C$55</f>
        <v>0</v>
      </c>
      <c r="V254" s="255">
        <f>V178*'Data - P&amp;L'!$C$43*'Data - P&amp;L'!$C$55</f>
        <v>0</v>
      </c>
      <c r="W254" s="255">
        <f>W178*'Data - P&amp;L'!$C$43*'Data - P&amp;L'!$C$55</f>
        <v>0</v>
      </c>
      <c r="X254" s="255">
        <f>X178*'Data - P&amp;L'!$C$43*'Data - P&amp;L'!$C$55</f>
        <v>0</v>
      </c>
      <c r="Y254" s="255">
        <f>Y178*'Data - P&amp;L'!$C$43*'Data - P&amp;L'!$C$55</f>
        <v>0</v>
      </c>
      <c r="Z254" s="255">
        <f>Z178*'Data - P&amp;L'!$C$43*'Data - P&amp;L'!$C$55</f>
        <v>0</v>
      </c>
      <c r="AA254" s="255">
        <f>AA178*'Data - P&amp;L'!$C$43*'Data - P&amp;L'!$C$55</f>
        <v>0</v>
      </c>
      <c r="AB254" s="255">
        <f>AB178*'Data - P&amp;L'!$C$43*'Data - P&amp;L'!$C$55</f>
        <v>0</v>
      </c>
      <c r="AC254" s="255">
        <f>AC178*'Data - P&amp;L'!$C$43*'Data - P&amp;L'!$C$55</f>
        <v>0</v>
      </c>
      <c r="AD254" s="255">
        <f>AD178*'Data - P&amp;L'!$C$43*'Data - P&amp;L'!$C$55</f>
        <v>0</v>
      </c>
      <c r="AE254" s="255">
        <f>AE178*'Data - P&amp;L'!$C$43*'Data - P&amp;L'!$C$55</f>
        <v>0</v>
      </c>
      <c r="AF254" s="255">
        <f>AF178*'Data - P&amp;L'!$C$43*'Data - P&amp;L'!$C$55</f>
        <v>0</v>
      </c>
      <c r="AG254" s="126">
        <f t="shared" si="63"/>
        <v>0</v>
      </c>
    </row>
    <row r="255">
      <c r="A255" s="216" t="s">
        <v>551</v>
      </c>
      <c r="B255" s="255">
        <f>(((B167+B168)*'Data - P&amp;L'!$C$62)*(1-'Data - P&amp;L'!$C$59))+((B178*'Data - P&amp;L'!$C$63)*(1-'Data - P&amp;L'!$C$59))</f>
        <v>0</v>
      </c>
      <c r="C255" s="255">
        <f>(((C167+C168)*'Data - P&amp;L'!$C$62)*(1-'Data - P&amp;L'!$C$59))+((C178*'Data - P&amp;L'!$C$63)*(1-'Data - P&amp;L'!$C$59))</f>
        <v>0</v>
      </c>
      <c r="D255" s="255">
        <f>(((D167+D168)*'Data - P&amp;L'!$C$62)*(1-'Data - P&amp;L'!$C$59))+((D178*'Data - P&amp;L'!$C$63)*(1-'Data - P&amp;L'!$C$59))</f>
        <v>0</v>
      </c>
      <c r="E255" s="255">
        <f>(((E167+E168)*'Data - P&amp;L'!$C$62)*(1-'Data - P&amp;L'!$C$59))+((E178*'Data - P&amp;L'!$C$63)*(1-'Data - P&amp;L'!$C$59))</f>
        <v>0</v>
      </c>
      <c r="F255" s="255">
        <f>(((F167+F168)*'Data - P&amp;L'!$C$62)*(1-'Data - P&amp;L'!$C$59))+((F178*'Data - P&amp;L'!$C$63)*(1-'Data - P&amp;L'!$C$59))</f>
        <v>0</v>
      </c>
      <c r="G255" s="255">
        <f>(((G167+G168)*'Data - P&amp;L'!$C$62)*(1-'Data - P&amp;L'!$C$59))+((G178*'Data - P&amp;L'!$C$63)*(1-'Data - P&amp;L'!$C$59))</f>
        <v>0</v>
      </c>
      <c r="H255" s="255">
        <f>(((H167+H168)*'Data - P&amp;L'!$C$62)*(1-'Data - P&amp;L'!$C$59))+((H178*'Data - P&amp;L'!$C$63)*(1-'Data - P&amp;L'!$C$59))</f>
        <v>0</v>
      </c>
      <c r="I255" s="255">
        <f>(((I167+I168)*'Data - P&amp;L'!$C$62)*(1-'Data - P&amp;L'!$C$59))+((I178*'Data - P&amp;L'!$C$63)*(1-'Data - P&amp;L'!$C$59))</f>
        <v>0</v>
      </c>
      <c r="J255" s="255">
        <f>(((J167+J168)*'Data - P&amp;L'!$C$62)*(1-'Data - P&amp;L'!$C$59))+((J178*'Data - P&amp;L'!$C$63)*(1-'Data - P&amp;L'!$C$59))</f>
        <v>0</v>
      </c>
      <c r="K255" s="255">
        <f>(((K167+K168)*'Data - P&amp;L'!$C$62)*(1-'Data - P&amp;L'!$C$59))+((K178*'Data - P&amp;L'!$C$63)*(1-'Data - P&amp;L'!$C$59))</f>
        <v>3.000732</v>
      </c>
      <c r="L255" s="255">
        <f>(((L167+L168)*'Data - P&amp;L'!$C$62)*(1-'Data - P&amp;L'!$C$59))+((L178*'Data - P&amp;L'!$C$63)*(1-'Data - P&amp;L'!$C$59))</f>
        <v>0</v>
      </c>
      <c r="M255" s="255">
        <f>(((M167+M168)*'Data - P&amp;L'!$C$62)*(1-'Data - P&amp;L'!$C$59))+((M178*'Data - P&amp;L'!$C$63)*(1-'Data - P&amp;L'!$C$59))</f>
        <v>0</v>
      </c>
      <c r="N255" s="255">
        <f>(((N167+N168)*'Data - P&amp;L'!$C$62)*(1-'Data - P&amp;L'!$C$59))+((N178*'Data - P&amp;L'!$C$63)*(1-'Data - P&amp;L'!$C$59))</f>
        <v>0</v>
      </c>
      <c r="O255" s="255">
        <f>(((O167+O168)*'Data - P&amp;L'!$C$62)*(1-'Data - P&amp;L'!$C$59))+((O178*'Data - P&amp;L'!$C$63)*(1-'Data - P&amp;L'!$C$59))</f>
        <v>0</v>
      </c>
      <c r="P255" s="255">
        <f>(((P167+P168)*'Data - P&amp;L'!$C$62)*(1-'Data - P&amp;L'!$C$59))+((P178*'Data - P&amp;L'!$C$63)*(1-'Data - P&amp;L'!$C$59))</f>
        <v>0</v>
      </c>
      <c r="Q255" s="255">
        <f>(((Q167+Q168)*'Data - P&amp;L'!$C$62)*(1-'Data - P&amp;L'!$C$59))+((Q178*'Data - P&amp;L'!$C$63)*(1-'Data - P&amp;L'!$C$59))</f>
        <v>0</v>
      </c>
      <c r="R255" s="255">
        <f>(((R167+R168)*'Data - P&amp;L'!$C$62)*(1-'Data - P&amp;L'!$C$59))+((R178*'Data - P&amp;L'!$C$63)*(1-'Data - P&amp;L'!$C$59))</f>
        <v>0</v>
      </c>
      <c r="S255" s="255">
        <f>(((S167+S168)*'Data - P&amp;L'!$C$62)*(1-'Data - P&amp;L'!$C$59))+((S178*'Data - P&amp;L'!$C$63)*(1-'Data - P&amp;L'!$C$59))</f>
        <v>0</v>
      </c>
      <c r="T255" s="255">
        <f>(((T167+T168)*'Data - P&amp;L'!$C$62)*(1-'Data - P&amp;L'!$C$59))+((T178*'Data - P&amp;L'!$C$63)*(1-'Data - P&amp;L'!$C$59))</f>
        <v>0</v>
      </c>
      <c r="U255" s="255">
        <f>(((U167+U168)*'Data - P&amp;L'!$C$62)*(1-'Data - P&amp;L'!$C$59))+((U178*'Data - P&amp;L'!$C$63)*(1-'Data - P&amp;L'!$C$59))</f>
        <v>0</v>
      </c>
      <c r="V255" s="255">
        <f>(((V167+V168)*'Data - P&amp;L'!$C$62)*(1-'Data - P&amp;L'!$C$59))+((V178*'Data - P&amp;L'!$C$63)*(1-'Data - P&amp;L'!$C$59))</f>
        <v>0</v>
      </c>
      <c r="W255" s="255">
        <f>(((W167+W168)*'Data - P&amp;L'!$C$62)*(1-'Data - P&amp;L'!$C$59))+((W178*'Data - P&amp;L'!$C$63)*(1-'Data - P&amp;L'!$C$59))</f>
        <v>0</v>
      </c>
      <c r="X255" s="255">
        <f>(((X167+X168)*'Data - P&amp;L'!$C$62)*(1-'Data - P&amp;L'!$C$59))+((X178*'Data - P&amp;L'!$C$63)*(1-'Data - P&amp;L'!$C$59))</f>
        <v>0</v>
      </c>
      <c r="Y255" s="255">
        <f>(((Y167+Y168)*'Data - P&amp;L'!$C$62)*(1-'Data - P&amp;L'!$C$59))+((Y178*'Data - P&amp;L'!$C$63)*(1-'Data - P&amp;L'!$C$59))</f>
        <v>0</v>
      </c>
      <c r="Z255" s="255">
        <f>(((Z167+Z168)*'Data - P&amp;L'!$C$62)*(1-'Data - P&amp;L'!$C$59))+((Z178*'Data - P&amp;L'!$C$63)*(1-'Data - P&amp;L'!$C$59))</f>
        <v>0</v>
      </c>
      <c r="AA255" s="255">
        <f>(((AA167+AA168)*'Data - P&amp;L'!$C$62)*(1-'Data - P&amp;L'!$C$59))+((AA178*'Data - P&amp;L'!$C$63)*(1-'Data - P&amp;L'!$C$59))</f>
        <v>0</v>
      </c>
      <c r="AB255" s="255">
        <f>(((AB167+AB168)*'Data - P&amp;L'!$C$62)*(1-'Data - P&amp;L'!$C$59))+((AB178*'Data - P&amp;L'!$C$63)*(1-'Data - P&amp;L'!$C$59))</f>
        <v>0</v>
      </c>
      <c r="AC255" s="255">
        <f>(((AC167+AC168)*'Data - P&amp;L'!$C$62)*(1-'Data - P&amp;L'!$C$59))+((AC178*'Data - P&amp;L'!$C$63)*(1-'Data - P&amp;L'!$C$59))</f>
        <v>0</v>
      </c>
      <c r="AD255" s="255">
        <f>(((AD167+AD168)*'Data - P&amp;L'!$C$62)*(1-'Data - P&amp;L'!$C$59))+((AD178*'Data - P&amp;L'!$C$63)*(1-'Data - P&amp;L'!$C$59))</f>
        <v>3.000732</v>
      </c>
      <c r="AE255" s="255">
        <f>(((AE167+AE168)*'Data - P&amp;L'!$C$62)*(1-'Data - P&amp;L'!$C$59))+((AE178*'Data - P&amp;L'!$C$63)*(1-'Data - P&amp;L'!$C$59))</f>
        <v>0</v>
      </c>
      <c r="AF255" s="255">
        <f>(((AF167+AF168)*'Data - P&amp;L'!$C$62)*(1-'Data - P&amp;L'!$C$59))+((AF178*'Data - P&amp;L'!$C$63)*(1-'Data - P&amp;L'!$C$59))</f>
        <v>0</v>
      </c>
      <c r="AG255" s="126">
        <f t="shared" si="63"/>
        <v>6.001464</v>
      </c>
    </row>
    <row r="256">
      <c r="A256" s="237" t="s">
        <v>553</v>
      </c>
      <c r="B256" s="271">
        <f t="shared" ref="B256:AF256" si="68">sum(B257:B265)</f>
        <v>0</v>
      </c>
      <c r="C256" s="271">
        <f t="shared" si="68"/>
        <v>0</v>
      </c>
      <c r="D256" s="271">
        <f t="shared" si="68"/>
        <v>0</v>
      </c>
      <c r="E256" s="271">
        <f t="shared" si="68"/>
        <v>0</v>
      </c>
      <c r="F256" s="271">
        <f t="shared" si="68"/>
        <v>0</v>
      </c>
      <c r="G256" s="271">
        <f t="shared" si="68"/>
        <v>0</v>
      </c>
      <c r="H256" s="271">
        <f t="shared" si="68"/>
        <v>0</v>
      </c>
      <c r="I256" s="271">
        <f t="shared" si="68"/>
        <v>0</v>
      </c>
      <c r="J256" s="271">
        <f t="shared" si="68"/>
        <v>0</v>
      </c>
      <c r="K256" s="271">
        <f t="shared" si="68"/>
        <v>98.804</v>
      </c>
      <c r="L256" s="271">
        <f t="shared" si="68"/>
        <v>0</v>
      </c>
      <c r="M256" s="271">
        <f t="shared" si="68"/>
        <v>0</v>
      </c>
      <c r="N256" s="271">
        <f t="shared" si="68"/>
        <v>0</v>
      </c>
      <c r="O256" s="271">
        <f t="shared" si="68"/>
        <v>0</v>
      </c>
      <c r="P256" s="271">
        <f t="shared" si="68"/>
        <v>0</v>
      </c>
      <c r="Q256" s="271">
        <f t="shared" si="68"/>
        <v>0</v>
      </c>
      <c r="R256" s="271">
        <f t="shared" si="68"/>
        <v>0</v>
      </c>
      <c r="S256" s="271">
        <f t="shared" si="68"/>
        <v>0</v>
      </c>
      <c r="T256" s="271">
        <f t="shared" si="68"/>
        <v>0</v>
      </c>
      <c r="U256" s="271">
        <f t="shared" si="68"/>
        <v>0</v>
      </c>
      <c r="V256" s="271">
        <f t="shared" si="68"/>
        <v>0</v>
      </c>
      <c r="W256" s="271">
        <f t="shared" si="68"/>
        <v>0</v>
      </c>
      <c r="X256" s="271">
        <f t="shared" si="68"/>
        <v>0</v>
      </c>
      <c r="Y256" s="271">
        <f t="shared" si="68"/>
        <v>0</v>
      </c>
      <c r="Z256" s="271">
        <f t="shared" si="68"/>
        <v>0</v>
      </c>
      <c r="AA256" s="271">
        <f t="shared" si="68"/>
        <v>0</v>
      </c>
      <c r="AB256" s="271">
        <f t="shared" si="68"/>
        <v>0</v>
      </c>
      <c r="AC256" s="271">
        <f t="shared" si="68"/>
        <v>0</v>
      </c>
      <c r="AD256" s="271">
        <f t="shared" si="68"/>
        <v>98.804</v>
      </c>
      <c r="AE256" s="271">
        <f t="shared" si="68"/>
        <v>0</v>
      </c>
      <c r="AF256" s="271">
        <f t="shared" si="68"/>
        <v>0</v>
      </c>
      <c r="AG256" s="126">
        <f>SUM(AG246:AG255)</f>
        <v>27.911464</v>
      </c>
    </row>
    <row r="257">
      <c r="A257" s="216" t="s">
        <v>352</v>
      </c>
      <c r="B257" s="255">
        <f>B167*'Data - P&amp;L'!$C$3</f>
        <v>0</v>
      </c>
      <c r="C257" s="255">
        <f>C167*'Data - P&amp;L'!$C$3</f>
        <v>0</v>
      </c>
      <c r="D257" s="255">
        <f>D167*'Data - P&amp;L'!$C$3</f>
        <v>0</v>
      </c>
      <c r="E257" s="255">
        <f>E167*'Data - P&amp;L'!$C$3</f>
        <v>0</v>
      </c>
      <c r="F257" s="255">
        <f>F167*'Data - P&amp;L'!$C$3</f>
        <v>0</v>
      </c>
      <c r="G257" s="255">
        <f>G167*'Data - P&amp;L'!$C$3</f>
        <v>0</v>
      </c>
      <c r="H257" s="255">
        <f>H167*'Data - P&amp;L'!$C$3</f>
        <v>0</v>
      </c>
      <c r="I257" s="255">
        <f>I167*'Data - P&amp;L'!$C$3</f>
        <v>0</v>
      </c>
      <c r="J257" s="255">
        <f>J167*'Data - P&amp;L'!$C$3</f>
        <v>0</v>
      </c>
      <c r="K257" s="255">
        <f>K167*'Data - P&amp;L'!$C$3</f>
        <v>0</v>
      </c>
      <c r="L257" s="255">
        <f>L167*'Data - P&amp;L'!$C$3</f>
        <v>0</v>
      </c>
      <c r="M257" s="255">
        <f>M167*'Data - P&amp;L'!$C$3</f>
        <v>0</v>
      </c>
      <c r="N257" s="255">
        <f>N167*'Data - P&amp;L'!$C$3</f>
        <v>0</v>
      </c>
      <c r="O257" s="255">
        <f>O167*'Data - P&amp;L'!$C$3</f>
        <v>0</v>
      </c>
      <c r="P257" s="255">
        <f>P167*'Data - P&amp;L'!$C$3</f>
        <v>0</v>
      </c>
      <c r="Q257" s="255">
        <f>Q167*'Data - P&amp;L'!$C$3</f>
        <v>0</v>
      </c>
      <c r="R257" s="255">
        <f>R167*'Data - P&amp;L'!$C$3</f>
        <v>0</v>
      </c>
      <c r="S257" s="255">
        <f>S167*'Data - P&amp;L'!$C$3</f>
        <v>0</v>
      </c>
      <c r="T257" s="255">
        <f>T167*'Data - P&amp;L'!$C$3</f>
        <v>0</v>
      </c>
      <c r="U257" s="255">
        <f>U167*'Data - P&amp;L'!$C$3</f>
        <v>0</v>
      </c>
      <c r="V257" s="255">
        <f>V167*'Data - P&amp;L'!$C$3</f>
        <v>0</v>
      </c>
      <c r="W257" s="255">
        <f>W167*'Data - P&amp;L'!$C$3</f>
        <v>0</v>
      </c>
      <c r="X257" s="255">
        <f>X167*'Data - P&amp;L'!$C$3</f>
        <v>0</v>
      </c>
      <c r="Y257" s="255">
        <f>Y167*'Data - P&amp;L'!$C$3</f>
        <v>0</v>
      </c>
      <c r="Z257" s="255">
        <f>Z167*'Data - P&amp;L'!$C$3</f>
        <v>0</v>
      </c>
      <c r="AA257" s="255">
        <f>AA167*'Data - P&amp;L'!$C$3</f>
        <v>0</v>
      </c>
      <c r="AB257" s="255">
        <f>AB167*'Data - P&amp;L'!$C$3</f>
        <v>0</v>
      </c>
      <c r="AC257" s="255">
        <f>AC167*'Data - P&amp;L'!$C$3</f>
        <v>0</v>
      </c>
      <c r="AD257" s="255">
        <f>AD167*'Data - P&amp;L'!$C$3</f>
        <v>0</v>
      </c>
      <c r="AE257" s="255">
        <f>AE167*'Data - P&amp;L'!$C$3</f>
        <v>0</v>
      </c>
      <c r="AF257" s="255">
        <f>AF167*'Data - P&amp;L'!$C$3</f>
        <v>0</v>
      </c>
      <c r="AG257" s="126">
        <f t="shared" ref="AG257:AG268" si="69">SUM(B257:AF257)</f>
        <v>0</v>
      </c>
    </row>
    <row r="258">
      <c r="A258" s="216" t="s">
        <v>353</v>
      </c>
      <c r="B258" s="255">
        <f>B168*'Data - P&amp;L'!$C$4</f>
        <v>0</v>
      </c>
      <c r="C258" s="255">
        <f>C168*'Data - P&amp;L'!$C$4</f>
        <v>0</v>
      </c>
      <c r="D258" s="255">
        <f>D168*'Data - P&amp;L'!$C$4</f>
        <v>0</v>
      </c>
      <c r="E258" s="255">
        <f>E168*'Data - P&amp;L'!$C$4</f>
        <v>0</v>
      </c>
      <c r="F258" s="255">
        <f>F168*'Data - P&amp;L'!$C$4</f>
        <v>0</v>
      </c>
      <c r="G258" s="255">
        <f>G168*'Data - P&amp;L'!$C$4</f>
        <v>0</v>
      </c>
      <c r="H258" s="255">
        <f>H168*'Data - P&amp;L'!$C$4</f>
        <v>0</v>
      </c>
      <c r="I258" s="255">
        <f>I168*'Data - P&amp;L'!$C$4</f>
        <v>0</v>
      </c>
      <c r="J258" s="255">
        <f>J168*'Data - P&amp;L'!$C$4</f>
        <v>0</v>
      </c>
      <c r="K258" s="255">
        <f>K168*'Data - P&amp;L'!$C$4</f>
        <v>97.61</v>
      </c>
      <c r="L258" s="255">
        <f>L168*'Data - P&amp;L'!$C$4</f>
        <v>0</v>
      </c>
      <c r="M258" s="255">
        <f>M168*'Data - P&amp;L'!$C$4</f>
        <v>0</v>
      </c>
      <c r="N258" s="255">
        <f>N168*'Data - P&amp;L'!$C$4</f>
        <v>0</v>
      </c>
      <c r="O258" s="255">
        <f>O168*'Data - P&amp;L'!$C$4</f>
        <v>0</v>
      </c>
      <c r="P258" s="255">
        <f>P168*'Data - P&amp;L'!$C$4</f>
        <v>0</v>
      </c>
      <c r="Q258" s="255">
        <f>Q168*'Data - P&amp;L'!$C$4</f>
        <v>0</v>
      </c>
      <c r="R258" s="255">
        <f>R168*'Data - P&amp;L'!$C$4</f>
        <v>0</v>
      </c>
      <c r="S258" s="255">
        <f>S168*'Data - P&amp;L'!$C$4</f>
        <v>0</v>
      </c>
      <c r="T258" s="255">
        <f>T168*'Data - P&amp;L'!$C$4</f>
        <v>0</v>
      </c>
      <c r="U258" s="255">
        <f>U168*'Data - P&amp;L'!$C$4</f>
        <v>0</v>
      </c>
      <c r="V258" s="255">
        <f>V168*'Data - P&amp;L'!$C$4</f>
        <v>0</v>
      </c>
      <c r="W258" s="255">
        <f>W168*'Data - P&amp;L'!$C$4</f>
        <v>0</v>
      </c>
      <c r="X258" s="255">
        <f>X168*'Data - P&amp;L'!$C$4</f>
        <v>0</v>
      </c>
      <c r="Y258" s="255">
        <f>Y168*'Data - P&amp;L'!$C$4</f>
        <v>0</v>
      </c>
      <c r="Z258" s="255">
        <f>Z168*'Data - P&amp;L'!$C$4</f>
        <v>0</v>
      </c>
      <c r="AA258" s="255">
        <f>AA168*'Data - P&amp;L'!$C$4</f>
        <v>0</v>
      </c>
      <c r="AB258" s="255">
        <f>AB168*'Data - P&amp;L'!$C$4</f>
        <v>0</v>
      </c>
      <c r="AC258" s="255">
        <f>AC168*'Data - P&amp;L'!$C$4</f>
        <v>0</v>
      </c>
      <c r="AD258" s="255">
        <f>AD168*'Data - P&amp;L'!$C$4</f>
        <v>97.61</v>
      </c>
      <c r="AE258" s="255">
        <f>AE168*'Data - P&amp;L'!$C$4</f>
        <v>0</v>
      </c>
      <c r="AF258" s="255">
        <f>AF168*'Data - P&amp;L'!$C$4</f>
        <v>0</v>
      </c>
      <c r="AG258" s="126">
        <f t="shared" si="69"/>
        <v>195.22</v>
      </c>
    </row>
    <row r="259">
      <c r="A259" s="216" t="s">
        <v>354</v>
      </c>
      <c r="B259" s="255">
        <f>B170*'Data - P&amp;L'!$C$6</f>
        <v>0</v>
      </c>
      <c r="C259" s="255">
        <f>C170*'Data - P&amp;L'!$C$6</f>
        <v>0</v>
      </c>
      <c r="D259" s="255">
        <f>D170*'Data - P&amp;L'!$C$6</f>
        <v>0</v>
      </c>
      <c r="E259" s="255">
        <f>E170*'Data - P&amp;L'!$C$6</f>
        <v>0</v>
      </c>
      <c r="F259" s="255">
        <f>F170*'Data - P&amp;L'!$C$6</f>
        <v>0</v>
      </c>
      <c r="G259" s="255">
        <f>G170*'Data - P&amp;L'!$C$6</f>
        <v>0</v>
      </c>
      <c r="H259" s="255">
        <f>H170*'Data - P&amp;L'!$C$6</f>
        <v>0</v>
      </c>
      <c r="I259" s="255">
        <f>I170*'Data - P&amp;L'!$C$6</f>
        <v>0</v>
      </c>
      <c r="J259" s="255">
        <f>J170*'Data - P&amp;L'!$C$6</f>
        <v>0</v>
      </c>
      <c r="K259" s="255">
        <f>K170*'Data - P&amp;L'!$C$6</f>
        <v>0</v>
      </c>
      <c r="L259" s="255">
        <f>L170*'Data - P&amp;L'!$C$6</f>
        <v>0</v>
      </c>
      <c r="M259" s="255">
        <f>M170*'Data - P&amp;L'!$C$6</f>
        <v>0</v>
      </c>
      <c r="N259" s="255">
        <f>N170*'Data - P&amp;L'!$C$6</f>
        <v>0</v>
      </c>
      <c r="O259" s="255">
        <f>O170*'Data - P&amp;L'!$C$6</f>
        <v>0</v>
      </c>
      <c r="P259" s="255">
        <f>P170*'Data - P&amp;L'!$C$6</f>
        <v>0</v>
      </c>
      <c r="Q259" s="255">
        <f>Q170*'Data - P&amp;L'!$C$6</f>
        <v>0</v>
      </c>
      <c r="R259" s="255">
        <f>R170*'Data - P&amp;L'!$C$6</f>
        <v>0</v>
      </c>
      <c r="S259" s="255">
        <f>S170*'Data - P&amp;L'!$C$6</f>
        <v>0</v>
      </c>
      <c r="T259" s="255">
        <f>T170*'Data - P&amp;L'!$C$6</f>
        <v>0</v>
      </c>
      <c r="U259" s="255">
        <f>U170*'Data - P&amp;L'!$C$6</f>
        <v>0</v>
      </c>
      <c r="V259" s="255">
        <f>V170*'Data - P&amp;L'!$C$6</f>
        <v>0</v>
      </c>
      <c r="W259" s="255">
        <f>W170*'Data - P&amp;L'!$C$6</f>
        <v>0</v>
      </c>
      <c r="X259" s="255">
        <f>X170*'Data - P&amp;L'!$C$6</f>
        <v>0</v>
      </c>
      <c r="Y259" s="255">
        <f>Y170*'Data - P&amp;L'!$C$6</f>
        <v>0</v>
      </c>
      <c r="Z259" s="255">
        <f>Z170*'Data - P&amp;L'!$C$6</f>
        <v>0</v>
      </c>
      <c r="AA259" s="255">
        <f>AA170*'Data - P&amp;L'!$C$6</f>
        <v>0</v>
      </c>
      <c r="AB259" s="255">
        <f>AB170*'Data - P&amp;L'!$C$6</f>
        <v>0</v>
      </c>
      <c r="AC259" s="255">
        <f>AC170*'Data - P&amp;L'!$C$6</f>
        <v>0</v>
      </c>
      <c r="AD259" s="255">
        <f>AD170*'Data - P&amp;L'!$C$6</f>
        <v>0</v>
      </c>
      <c r="AE259" s="255">
        <f>AE170*'Data - P&amp;L'!$C$6</f>
        <v>0</v>
      </c>
      <c r="AF259" s="255">
        <f>AF170*'Data - P&amp;L'!$C$6</f>
        <v>0</v>
      </c>
      <c r="AG259" s="126">
        <f t="shared" si="69"/>
        <v>0</v>
      </c>
    </row>
    <row r="260">
      <c r="A260" s="216" t="s">
        <v>355</v>
      </c>
      <c r="B260" s="255">
        <f>B171*'Data - P&amp;L'!$C$8</f>
        <v>0</v>
      </c>
      <c r="C260" s="255">
        <f>C171*'Data - P&amp;L'!$C$8</f>
        <v>0</v>
      </c>
      <c r="D260" s="255">
        <f>D171*'Data - P&amp;L'!$C$8</f>
        <v>0</v>
      </c>
      <c r="E260" s="255">
        <f>E171*'Data - P&amp;L'!$C$8</f>
        <v>0</v>
      </c>
      <c r="F260" s="255">
        <f>F171*'Data - P&amp;L'!$C$8</f>
        <v>0</v>
      </c>
      <c r="G260" s="255">
        <f>G171*'Data - P&amp;L'!$C$8</f>
        <v>0</v>
      </c>
      <c r="H260" s="255">
        <f>H171*'Data - P&amp;L'!$C$8</f>
        <v>0</v>
      </c>
      <c r="I260" s="255">
        <f>I171*'Data - P&amp;L'!$C$8</f>
        <v>0</v>
      </c>
      <c r="J260" s="255">
        <f>J171*'Data - P&amp;L'!$C$8</f>
        <v>0</v>
      </c>
      <c r="K260" s="255">
        <f>K171*'Data - P&amp;L'!$C$8</f>
        <v>0</v>
      </c>
      <c r="L260" s="255">
        <f>L171*'Data - P&amp;L'!$C$8</f>
        <v>0</v>
      </c>
      <c r="M260" s="255">
        <f>M171*'Data - P&amp;L'!$C$8</f>
        <v>0</v>
      </c>
      <c r="N260" s="255">
        <f>N171*'Data - P&amp;L'!$C$8</f>
        <v>0</v>
      </c>
      <c r="O260" s="255">
        <f>O171*'Data - P&amp;L'!$C$8</f>
        <v>0</v>
      </c>
      <c r="P260" s="255">
        <f>P171*'Data - P&amp;L'!$C$8</f>
        <v>0</v>
      </c>
      <c r="Q260" s="255">
        <f>Q171*'Data - P&amp;L'!$C$8</f>
        <v>0</v>
      </c>
      <c r="R260" s="255">
        <f>R171*'Data - P&amp;L'!$C$8</f>
        <v>0</v>
      </c>
      <c r="S260" s="255">
        <f>S171*'Data - P&amp;L'!$C$8</f>
        <v>0</v>
      </c>
      <c r="T260" s="255">
        <f>T171*'Data - P&amp;L'!$C$8</f>
        <v>0</v>
      </c>
      <c r="U260" s="255">
        <f>U171*'Data - P&amp;L'!$C$8</f>
        <v>0</v>
      </c>
      <c r="V260" s="255">
        <f>V171*'Data - P&amp;L'!$C$8</f>
        <v>0</v>
      </c>
      <c r="W260" s="255">
        <f>W171*'Data - P&amp;L'!$C$8</f>
        <v>0</v>
      </c>
      <c r="X260" s="255">
        <f>X171*'Data - P&amp;L'!$C$8</f>
        <v>0</v>
      </c>
      <c r="Y260" s="255">
        <f>Y171*'Data - P&amp;L'!$C$8</f>
        <v>0</v>
      </c>
      <c r="Z260" s="255">
        <f>Z171*'Data - P&amp;L'!$C$8</f>
        <v>0</v>
      </c>
      <c r="AA260" s="255">
        <f>AA171*'Data - P&amp;L'!$C$8</f>
        <v>0</v>
      </c>
      <c r="AB260" s="255">
        <f>AB171*'Data - P&amp;L'!$C$8</f>
        <v>0</v>
      </c>
      <c r="AC260" s="255">
        <f>AC171*'Data - P&amp;L'!$C$8</f>
        <v>0</v>
      </c>
      <c r="AD260" s="255">
        <f>AD171*'Data - P&amp;L'!$C$8</f>
        <v>0</v>
      </c>
      <c r="AE260" s="255">
        <f>AE171*'Data - P&amp;L'!$C$8</f>
        <v>0</v>
      </c>
      <c r="AF260" s="255">
        <f>AF171*'Data - P&amp;L'!$C$8</f>
        <v>0</v>
      </c>
      <c r="AG260" s="126">
        <f t="shared" si="69"/>
        <v>0</v>
      </c>
    </row>
    <row r="261">
      <c r="A261" s="216" t="s">
        <v>356</v>
      </c>
      <c r="B261" s="255">
        <f>(B172+B173)*'Data - P&amp;L'!$C$9</f>
        <v>0</v>
      </c>
      <c r="C261" s="255">
        <f>(C172+C173)*'Data - P&amp;L'!$C$9</f>
        <v>0</v>
      </c>
      <c r="D261" s="255">
        <f>(D172+D173)*'Data - P&amp;L'!$C$9</f>
        <v>0</v>
      </c>
      <c r="E261" s="255">
        <f>(E172+E173)*'Data - P&amp;L'!$C$9</f>
        <v>0</v>
      </c>
      <c r="F261" s="255">
        <f>(F172+F173)*'Data - P&amp;L'!$C$9</f>
        <v>0</v>
      </c>
      <c r="G261" s="255">
        <f>(G172+G173)*'Data - P&amp;L'!$C$9</f>
        <v>0</v>
      </c>
      <c r="H261" s="255">
        <f>(H172+H173)*'Data - P&amp;L'!$C$9</f>
        <v>0</v>
      </c>
      <c r="I261" s="255">
        <f>(I172+I173)*'Data - P&amp;L'!$C$9</f>
        <v>0</v>
      </c>
      <c r="J261" s="255">
        <f>(J172+J173)*'Data - P&amp;L'!$C$9</f>
        <v>0</v>
      </c>
      <c r="K261" s="255">
        <f>(K172+K173)*'Data - P&amp;L'!$C$9</f>
        <v>0</v>
      </c>
      <c r="L261" s="255">
        <f>(L172+L173)*'Data - P&amp;L'!$C$9</f>
        <v>0</v>
      </c>
      <c r="M261" s="255">
        <f>(M172+M173)*'Data - P&amp;L'!$C$9</f>
        <v>0</v>
      </c>
      <c r="N261" s="255">
        <f>(N172+N173)*'Data - P&amp;L'!$C$9</f>
        <v>0</v>
      </c>
      <c r="O261" s="255">
        <f>(O172+O173)*'Data - P&amp;L'!$C$9</f>
        <v>0</v>
      </c>
      <c r="P261" s="255">
        <f>(P172+P173)*'Data - P&amp;L'!$C$9</f>
        <v>0</v>
      </c>
      <c r="Q261" s="255">
        <f>(Q172+Q173)*'Data - P&amp;L'!$C$9</f>
        <v>0</v>
      </c>
      <c r="R261" s="255">
        <f>(R172+R173)*'Data - P&amp;L'!$C$9</f>
        <v>0</v>
      </c>
      <c r="S261" s="255">
        <f>(S172+S173)*'Data - P&amp;L'!$C$9</f>
        <v>0</v>
      </c>
      <c r="T261" s="255">
        <f>(T172+T173)*'Data - P&amp;L'!$C$9</f>
        <v>0</v>
      </c>
      <c r="U261" s="255">
        <f>(U172+U173)*'Data - P&amp;L'!$C$9</f>
        <v>0</v>
      </c>
      <c r="V261" s="255">
        <f>(V172+V173)*'Data - P&amp;L'!$C$9</f>
        <v>0</v>
      </c>
      <c r="W261" s="255">
        <f>(W172+W173)*'Data - P&amp;L'!$C$9</f>
        <v>0</v>
      </c>
      <c r="X261" s="255">
        <f>(X172+X173)*'Data - P&amp;L'!$C$9</f>
        <v>0</v>
      </c>
      <c r="Y261" s="255">
        <f>(Y172+Y173)*'Data - P&amp;L'!$C$9</f>
        <v>0</v>
      </c>
      <c r="Z261" s="255">
        <f>(Z172+Z173)*'Data - P&amp;L'!$C$9</f>
        <v>0</v>
      </c>
      <c r="AA261" s="255">
        <f>(AA172+AA173)*'Data - P&amp;L'!$C$9</f>
        <v>0</v>
      </c>
      <c r="AB261" s="255">
        <f>(AB172+AB173)*'Data - P&amp;L'!$C$9</f>
        <v>0</v>
      </c>
      <c r="AC261" s="255">
        <f>(AC172+AC173)*'Data - P&amp;L'!$C$9</f>
        <v>0</v>
      </c>
      <c r="AD261" s="255">
        <f>(AD172+AD173)*'Data - P&amp;L'!$C$9</f>
        <v>0</v>
      </c>
      <c r="AE261" s="255">
        <f>(AE172+AE173)*'Data - P&amp;L'!$C$9</f>
        <v>0</v>
      </c>
      <c r="AF261" s="255">
        <f>(AF172+AF173)*'Data - P&amp;L'!$C$9</f>
        <v>0</v>
      </c>
      <c r="AG261" s="126">
        <f t="shared" si="69"/>
        <v>0</v>
      </c>
    </row>
    <row r="262">
      <c r="A262" s="216" t="s">
        <v>357</v>
      </c>
      <c r="B262" s="255">
        <f>(B174+B175)*'Data - P&amp;L'!$C$5</f>
        <v>0</v>
      </c>
      <c r="C262" s="255">
        <f>(C174+C175)*'Data - P&amp;L'!$C$5</f>
        <v>0</v>
      </c>
      <c r="D262" s="255">
        <f>(D174+D175)*'Data - P&amp;L'!$C$5</f>
        <v>0</v>
      </c>
      <c r="E262" s="255">
        <f>(E174+E175)*'Data - P&amp;L'!$C$5</f>
        <v>0</v>
      </c>
      <c r="F262" s="255">
        <f>(F174+F175)*'Data - P&amp;L'!$C$5</f>
        <v>0</v>
      </c>
      <c r="G262" s="255">
        <f>(G174+G175)*'Data - P&amp;L'!$C$5</f>
        <v>0</v>
      </c>
      <c r="H262" s="255">
        <f>(H174+H175)*'Data - P&amp;L'!$C$5</f>
        <v>0</v>
      </c>
      <c r="I262" s="255">
        <f>(I174+I175)*'Data - P&amp;L'!$C$5</f>
        <v>0</v>
      </c>
      <c r="J262" s="255">
        <f>(J174+J175)*'Data - P&amp;L'!$C$5</f>
        <v>0</v>
      </c>
      <c r="K262" s="255">
        <f>(K174+K175)*'Data - P&amp;L'!$C$5</f>
        <v>0</v>
      </c>
      <c r="L262" s="255">
        <f>(L174+L175)*'Data - P&amp;L'!$C$5</f>
        <v>0</v>
      </c>
      <c r="M262" s="255">
        <f>(M174+M175)*'Data - P&amp;L'!$C$5</f>
        <v>0</v>
      </c>
      <c r="N262" s="255">
        <f>(N174+N175)*'Data - P&amp;L'!$C$5</f>
        <v>0</v>
      </c>
      <c r="O262" s="255">
        <f>(O174+O175)*'Data - P&amp;L'!$C$5</f>
        <v>0</v>
      </c>
      <c r="P262" s="255">
        <f>(P174+P175)*'Data - P&amp;L'!$C$5</f>
        <v>0</v>
      </c>
      <c r="Q262" s="255">
        <f>(Q174+Q175)*'Data - P&amp;L'!$C$5</f>
        <v>0</v>
      </c>
      <c r="R262" s="255">
        <f>(R174+R175)*'Data - P&amp;L'!$C$5</f>
        <v>0</v>
      </c>
      <c r="S262" s="255">
        <f>(S174+S175)*'Data - P&amp;L'!$C$5</f>
        <v>0</v>
      </c>
      <c r="T262" s="255">
        <f>(T174+T175)*'Data - P&amp;L'!$C$5</f>
        <v>0</v>
      </c>
      <c r="U262" s="255">
        <f>(U174+U175)*'Data - P&amp;L'!$C$5</f>
        <v>0</v>
      </c>
      <c r="V262" s="255">
        <f>(V174+V175)*'Data - P&amp;L'!$C$5</f>
        <v>0</v>
      </c>
      <c r="W262" s="255">
        <f>(W174+W175)*'Data - P&amp;L'!$C$5</f>
        <v>0</v>
      </c>
      <c r="X262" s="255">
        <f>(X174+X175)*'Data - P&amp;L'!$C$5</f>
        <v>0</v>
      </c>
      <c r="Y262" s="255">
        <f>(Y174+Y175)*'Data - P&amp;L'!$C$5</f>
        <v>0</v>
      </c>
      <c r="Z262" s="255">
        <f>(Z174+Z175)*'Data - P&amp;L'!$C$5</f>
        <v>0</v>
      </c>
      <c r="AA262" s="255">
        <f>(AA174+AA175)*'Data - P&amp;L'!$C$5</f>
        <v>0</v>
      </c>
      <c r="AB262" s="255">
        <f>(AB174+AB175)*'Data - P&amp;L'!$C$5</f>
        <v>0</v>
      </c>
      <c r="AC262" s="255">
        <f>(AC174+AC175)*'Data - P&amp;L'!$C$5</f>
        <v>0</v>
      </c>
      <c r="AD262" s="255">
        <f>(AD174+AD175)*'Data - P&amp;L'!$C$5</f>
        <v>0</v>
      </c>
      <c r="AE262" s="255">
        <f>(AE174+AE175)*'Data - P&amp;L'!$C$5</f>
        <v>0</v>
      </c>
      <c r="AF262" s="255">
        <f>(AF174+AF175)*'Data - P&amp;L'!$C$5</f>
        <v>0</v>
      </c>
      <c r="AG262" s="126">
        <f t="shared" si="69"/>
        <v>0</v>
      </c>
    </row>
    <row r="263">
      <c r="A263" s="216" t="s">
        <v>358</v>
      </c>
      <c r="B263" s="255">
        <f>(B176+B177)*'Data - P&amp;L'!$C$10</f>
        <v>0</v>
      </c>
      <c r="C263" s="255">
        <f>(C176+C177)*'Data - P&amp;L'!$C$10</f>
        <v>0</v>
      </c>
      <c r="D263" s="255">
        <f>(D176+D177)*'Data - P&amp;L'!$C$10</f>
        <v>0</v>
      </c>
      <c r="E263" s="255">
        <f>(E176+E177)*'Data - P&amp;L'!$C$10</f>
        <v>0</v>
      </c>
      <c r="F263" s="255">
        <f>(F176+F177)*'Data - P&amp;L'!$C$10</f>
        <v>0</v>
      </c>
      <c r="G263" s="255">
        <f>(G176+G177)*'Data - P&amp;L'!$C$10</f>
        <v>0</v>
      </c>
      <c r="H263" s="255">
        <f>(H176+H177)*'Data - P&amp;L'!$C$10</f>
        <v>0</v>
      </c>
      <c r="I263" s="255">
        <f>(I176+I177)*'Data - P&amp;L'!$C$10</f>
        <v>0</v>
      </c>
      <c r="J263" s="255">
        <f>(J176+J177)*'Data - P&amp;L'!$C$10</f>
        <v>0</v>
      </c>
      <c r="K263" s="255">
        <f>(K176+K177)*'Data - P&amp;L'!$C$10</f>
        <v>0</v>
      </c>
      <c r="L263" s="255">
        <f>(L176+L177)*'Data - P&amp;L'!$C$10</f>
        <v>0</v>
      </c>
      <c r="M263" s="255">
        <f>(M176+M177)*'Data - P&amp;L'!$C$10</f>
        <v>0</v>
      </c>
      <c r="N263" s="255">
        <f>(N176+N177)*'Data - P&amp;L'!$C$10</f>
        <v>0</v>
      </c>
      <c r="O263" s="255">
        <f>(O176+O177)*'Data - P&amp;L'!$C$10</f>
        <v>0</v>
      </c>
      <c r="P263" s="255">
        <f>(P176+P177)*'Data - P&amp;L'!$C$10</f>
        <v>0</v>
      </c>
      <c r="Q263" s="255">
        <f>(Q176+Q177)*'Data - P&amp;L'!$C$10</f>
        <v>0</v>
      </c>
      <c r="R263" s="255">
        <f>(R176+R177)*'Data - P&amp;L'!$C$10</f>
        <v>0</v>
      </c>
      <c r="S263" s="255">
        <f>(S176+S177)*'Data - P&amp;L'!$C$10</f>
        <v>0</v>
      </c>
      <c r="T263" s="255">
        <f>(T176+T177)*'Data - P&amp;L'!$C$10</f>
        <v>0</v>
      </c>
      <c r="U263" s="255">
        <f>(U176+U177)*'Data - P&amp;L'!$C$10</f>
        <v>0</v>
      </c>
      <c r="V263" s="255">
        <f>(V176+V177)*'Data - P&amp;L'!$C$10</f>
        <v>0</v>
      </c>
      <c r="W263" s="255">
        <f>(W176+W177)*'Data - P&amp;L'!$C$10</f>
        <v>0</v>
      </c>
      <c r="X263" s="255">
        <f>(X176+X177)*'Data - P&amp;L'!$C$10</f>
        <v>0</v>
      </c>
      <c r="Y263" s="255">
        <f>(Y176+Y177)*'Data - P&amp;L'!$C$10</f>
        <v>0</v>
      </c>
      <c r="Z263" s="255">
        <f>(Z176+Z177)*'Data - P&amp;L'!$C$10</f>
        <v>0</v>
      </c>
      <c r="AA263" s="255">
        <f>(AA176+AA177)*'Data - P&amp;L'!$C$10</f>
        <v>0</v>
      </c>
      <c r="AB263" s="255">
        <f>(AB176+AB177)*'Data - P&amp;L'!$C$10</f>
        <v>0</v>
      </c>
      <c r="AC263" s="255">
        <f>(AC176+AC177)*'Data - P&amp;L'!$C$10</f>
        <v>0</v>
      </c>
      <c r="AD263" s="255">
        <f>(AD176+AD177)*'Data - P&amp;L'!$C$10</f>
        <v>0</v>
      </c>
      <c r="AE263" s="255">
        <f>(AE176+AE177)*'Data - P&amp;L'!$C$10</f>
        <v>0</v>
      </c>
      <c r="AF263" s="255">
        <f>(AF176+AF177)*'Data - P&amp;L'!$C$10</f>
        <v>0</v>
      </c>
      <c r="AG263" s="126">
        <f t="shared" si="69"/>
        <v>0</v>
      </c>
    </row>
    <row r="264">
      <c r="A264" s="216" t="s">
        <v>359</v>
      </c>
      <c r="B264" s="255">
        <f>(B167+B168)*'Data - P&amp;L'!$C$43*'Data - P&amp;L'!$C$55</f>
        <v>0</v>
      </c>
      <c r="C264" s="255">
        <f>(C167+C168)*'Data - P&amp;L'!$C$43*'Data - P&amp;L'!$C$55</f>
        <v>0</v>
      </c>
      <c r="D264" s="255">
        <f>(D167+D168)*'Data - P&amp;L'!$C$43*'Data - P&amp;L'!$C$55</f>
        <v>0</v>
      </c>
      <c r="E264" s="255">
        <f>(E167+E168)*'Data - P&amp;L'!$C$43*'Data - P&amp;L'!$C$55</f>
        <v>0</v>
      </c>
      <c r="F264" s="255">
        <f>(F167+F168)*'Data - P&amp;L'!$C$43*'Data - P&amp;L'!$C$55</f>
        <v>0</v>
      </c>
      <c r="G264" s="255">
        <f>(G167+G168)*'Data - P&amp;L'!$C$43*'Data - P&amp;L'!$C$55</f>
        <v>0</v>
      </c>
      <c r="H264" s="255">
        <f>(H167+H168)*'Data - P&amp;L'!$C$43*'Data - P&amp;L'!$C$55</f>
        <v>0</v>
      </c>
      <c r="I264" s="255">
        <f>(I167+I168)*'Data - P&amp;L'!$C$43*'Data - P&amp;L'!$C$55</f>
        <v>0</v>
      </c>
      <c r="J264" s="255">
        <f>(J167+J168)*'Data - P&amp;L'!$C$43*'Data - P&amp;L'!$C$55</f>
        <v>0</v>
      </c>
      <c r="K264" s="255">
        <f>(K167+K168)*'Data - P&amp;L'!$C$43*'Data - P&amp;L'!$C$55</f>
        <v>1.194</v>
      </c>
      <c r="L264" s="255">
        <f>(L167+L168)*'Data - P&amp;L'!$C$43*'Data - P&amp;L'!$C$55</f>
        <v>0</v>
      </c>
      <c r="M264" s="255">
        <f>(M167+M168)*'Data - P&amp;L'!$C$43*'Data - P&amp;L'!$C$55</f>
        <v>0</v>
      </c>
      <c r="N264" s="255">
        <f>(N167+N168)*'Data - P&amp;L'!$C$43*'Data - P&amp;L'!$C$55</f>
        <v>0</v>
      </c>
      <c r="O264" s="255">
        <f>(O167+O168)*'Data - P&amp;L'!$C$43*'Data - P&amp;L'!$C$55</f>
        <v>0</v>
      </c>
      <c r="P264" s="255">
        <f>(P167+P168)*'Data - P&amp;L'!$C$43*'Data - P&amp;L'!$C$55</f>
        <v>0</v>
      </c>
      <c r="Q264" s="255">
        <f>(Q167+Q168)*'Data - P&amp;L'!$C$43*'Data - P&amp;L'!$C$55</f>
        <v>0</v>
      </c>
      <c r="R264" s="255">
        <f>(R167+R168)*'Data - P&amp;L'!$C$43*'Data - P&amp;L'!$C$55</f>
        <v>0</v>
      </c>
      <c r="S264" s="255">
        <f>(S167+S168)*'Data - P&amp;L'!$C$43*'Data - P&amp;L'!$C$55</f>
        <v>0</v>
      </c>
      <c r="T264" s="255">
        <f>(T167+T168)*'Data - P&amp;L'!$C$43*'Data - P&amp;L'!$C$55</f>
        <v>0</v>
      </c>
      <c r="U264" s="255">
        <f>(U167+U168)*'Data - P&amp;L'!$C$43*'Data - P&amp;L'!$C$55</f>
        <v>0</v>
      </c>
      <c r="V264" s="255">
        <f>(V167+V168)*'Data - P&amp;L'!$C$43*'Data - P&amp;L'!$C$55</f>
        <v>0</v>
      </c>
      <c r="W264" s="255">
        <f>(W167+W168)*'Data - P&amp;L'!$C$43*'Data - P&amp;L'!$C$55</f>
        <v>0</v>
      </c>
      <c r="X264" s="255">
        <f>(X167+X168)*'Data - P&amp;L'!$C$43*'Data - P&amp;L'!$C$55</f>
        <v>0</v>
      </c>
      <c r="Y264" s="255">
        <f>(Y167+Y168)*'Data - P&amp;L'!$C$43*'Data - P&amp;L'!$C$55</f>
        <v>0</v>
      </c>
      <c r="Z264" s="255">
        <f>(Z167+Z168)*'Data - P&amp;L'!$C$43*'Data - P&amp;L'!$C$55</f>
        <v>0</v>
      </c>
      <c r="AA264" s="255">
        <f>(AA167+AA168)*'Data - P&amp;L'!$C$43*'Data - P&amp;L'!$C$55</f>
        <v>0</v>
      </c>
      <c r="AB264" s="255">
        <f>(AB167+AB168)*'Data - P&amp;L'!$C$43*'Data - P&amp;L'!$C$55</f>
        <v>0</v>
      </c>
      <c r="AC264" s="255">
        <f>(AC167+AC168)*'Data - P&amp;L'!$C$43*'Data - P&amp;L'!$C$55</f>
        <v>0</v>
      </c>
      <c r="AD264" s="255">
        <f>(AD167+AD168)*'Data - P&amp;L'!$C$43*'Data - P&amp;L'!$C$55</f>
        <v>1.194</v>
      </c>
      <c r="AE264" s="255">
        <f>(AE167+AE168)*'Data - P&amp;L'!$C$43*'Data - P&amp;L'!$C$55</f>
        <v>0</v>
      </c>
      <c r="AF264" s="255">
        <f>(AF167+AF168)*'Data - P&amp;L'!$C$43*'Data - P&amp;L'!$C$55</f>
        <v>0</v>
      </c>
      <c r="AG264" s="126">
        <f t="shared" si="69"/>
        <v>2.388</v>
      </c>
    </row>
    <row r="265">
      <c r="A265" s="216" t="s">
        <v>361</v>
      </c>
      <c r="B265" s="255">
        <f>B178*'Data - P&amp;L'!$C$43*'Data - P&amp;L'!$C$55</f>
        <v>0</v>
      </c>
      <c r="C265" s="255">
        <f>C178*'Data - P&amp;L'!$C$43*'Data - P&amp;L'!$C$55</f>
        <v>0</v>
      </c>
      <c r="D265" s="255">
        <f>D178*'Data - P&amp;L'!$C$43*'Data - P&amp;L'!$C$55</f>
        <v>0</v>
      </c>
      <c r="E265" s="255">
        <f>E178*'Data - P&amp;L'!$C$43*'Data - P&amp;L'!$C$55</f>
        <v>0</v>
      </c>
      <c r="F265" s="255">
        <f>F178*'Data - P&amp;L'!$C$43*'Data - P&amp;L'!$C$55</f>
        <v>0</v>
      </c>
      <c r="G265" s="255">
        <f>G178*'Data - P&amp;L'!$C$43*'Data - P&amp;L'!$C$55</f>
        <v>0</v>
      </c>
      <c r="H265" s="255">
        <f>H178*'Data - P&amp;L'!$C$43*'Data - P&amp;L'!$C$55</f>
        <v>0</v>
      </c>
      <c r="I265" s="255">
        <f>I178*'Data - P&amp;L'!$C$43*'Data - P&amp;L'!$C$55</f>
        <v>0</v>
      </c>
      <c r="J265" s="255">
        <f>J178*'Data - P&amp;L'!$C$43*'Data - P&amp;L'!$C$55</f>
        <v>0</v>
      </c>
      <c r="K265" s="255">
        <f>K178*'Data - P&amp;L'!$C$43*'Data - P&amp;L'!$C$55</f>
        <v>0</v>
      </c>
      <c r="L265" s="255">
        <f>L178*'Data - P&amp;L'!$C$43*'Data - P&amp;L'!$C$55</f>
        <v>0</v>
      </c>
      <c r="M265" s="255">
        <f>M178*'Data - P&amp;L'!$C$43*'Data - P&amp;L'!$C$55</f>
        <v>0</v>
      </c>
      <c r="N265" s="255">
        <f>N178*'Data - P&amp;L'!$C$43*'Data - P&amp;L'!$C$55</f>
        <v>0</v>
      </c>
      <c r="O265" s="255">
        <f>O178*'Data - P&amp;L'!$C$43*'Data - P&amp;L'!$C$55</f>
        <v>0</v>
      </c>
      <c r="P265" s="255">
        <f>P178*'Data - P&amp;L'!$C$43*'Data - P&amp;L'!$C$55</f>
        <v>0</v>
      </c>
      <c r="Q265" s="255">
        <f>Q178*'Data - P&amp;L'!$C$43*'Data - P&amp;L'!$C$55</f>
        <v>0</v>
      </c>
      <c r="R265" s="255">
        <f>R178*'Data - P&amp;L'!$C$43*'Data - P&amp;L'!$C$55</f>
        <v>0</v>
      </c>
      <c r="S265" s="255">
        <f>S178*'Data - P&amp;L'!$C$43*'Data - P&amp;L'!$C$55</f>
        <v>0</v>
      </c>
      <c r="T265" s="255">
        <f>T178*'Data - P&amp;L'!$C$43*'Data - P&amp;L'!$C$55</f>
        <v>0</v>
      </c>
      <c r="U265" s="255">
        <f>U178*'Data - P&amp;L'!$C$43*'Data - P&amp;L'!$C$55</f>
        <v>0</v>
      </c>
      <c r="V265" s="255">
        <f>V178*'Data - P&amp;L'!$C$43*'Data - P&amp;L'!$C$55</f>
        <v>0</v>
      </c>
      <c r="W265" s="255">
        <f>W178*'Data - P&amp;L'!$C$43*'Data - P&amp;L'!$C$55</f>
        <v>0</v>
      </c>
      <c r="X265" s="255">
        <f>X178*'Data - P&amp;L'!$C$43*'Data - P&amp;L'!$C$55</f>
        <v>0</v>
      </c>
      <c r="Y265" s="255">
        <f>Y178*'Data - P&amp;L'!$C$43*'Data - P&amp;L'!$C$55</f>
        <v>0</v>
      </c>
      <c r="Z265" s="255">
        <f>Z178*'Data - P&amp;L'!$C$43*'Data - P&amp;L'!$C$55</f>
        <v>0</v>
      </c>
      <c r="AA265" s="255">
        <f>AA178*'Data - P&amp;L'!$C$43*'Data - P&amp;L'!$C$55</f>
        <v>0</v>
      </c>
      <c r="AB265" s="255">
        <f>AB178*'Data - P&amp;L'!$C$43*'Data - P&amp;L'!$C$55</f>
        <v>0</v>
      </c>
      <c r="AC265" s="255">
        <f>AC178*'Data - P&amp;L'!$C$43*'Data - P&amp;L'!$C$55</f>
        <v>0</v>
      </c>
      <c r="AD265" s="255">
        <f>AD178*'Data - P&amp;L'!$C$43*'Data - P&amp;L'!$C$55</f>
        <v>0</v>
      </c>
      <c r="AE265" s="255">
        <f>AE178*'Data - P&amp;L'!$C$43*'Data - P&amp;L'!$C$55</f>
        <v>0</v>
      </c>
      <c r="AF265" s="255">
        <f>AF178*'Data - P&amp;L'!$C$43*'Data - P&amp;L'!$C$55</f>
        <v>0</v>
      </c>
      <c r="AG265" s="126">
        <f t="shared" si="69"/>
        <v>0</v>
      </c>
    </row>
    <row r="266">
      <c r="A266" s="237" t="s">
        <v>321</v>
      </c>
      <c r="B266" s="255">
        <v>0.0</v>
      </c>
      <c r="C266" s="255">
        <v>0.0</v>
      </c>
      <c r="D266" s="255">
        <v>0.0</v>
      </c>
      <c r="E266" s="255">
        <v>0.0</v>
      </c>
      <c r="F266" s="255">
        <v>0.0</v>
      </c>
      <c r="G266" s="255">
        <v>0.0</v>
      </c>
      <c r="H266" s="255">
        <v>0.0</v>
      </c>
      <c r="I266" s="255">
        <v>0.0</v>
      </c>
      <c r="J266" s="255">
        <v>0.0</v>
      </c>
      <c r="K266" s="255">
        <v>0.0</v>
      </c>
      <c r="L266" s="255">
        <v>0.0</v>
      </c>
      <c r="M266" s="255">
        <v>0.0</v>
      </c>
      <c r="N266" s="255">
        <v>0.0</v>
      </c>
      <c r="O266" s="255">
        <v>0.0</v>
      </c>
      <c r="P266" s="255">
        <v>0.0</v>
      </c>
      <c r="Q266" s="255">
        <v>0.0</v>
      </c>
      <c r="R266" s="255">
        <v>0.0</v>
      </c>
      <c r="S266" s="255">
        <v>0.0</v>
      </c>
      <c r="T266" s="255">
        <v>0.0</v>
      </c>
      <c r="U266" s="255">
        <v>0.0</v>
      </c>
      <c r="V266" s="255">
        <v>0.0</v>
      </c>
      <c r="W266" s="255">
        <v>0.0</v>
      </c>
      <c r="X266" s="255">
        <v>0.0</v>
      </c>
      <c r="Y266" s="255">
        <v>0.0</v>
      </c>
      <c r="Z266" s="255">
        <v>0.0</v>
      </c>
      <c r="AA266" s="255">
        <v>0.0</v>
      </c>
      <c r="AB266" s="255">
        <v>0.0</v>
      </c>
      <c r="AC266" s="255">
        <v>0.0</v>
      </c>
      <c r="AD266" s="255">
        <v>0.0</v>
      </c>
      <c r="AE266" s="255">
        <v>0.0</v>
      </c>
      <c r="AF266" s="255">
        <v>0.0</v>
      </c>
      <c r="AG266" s="126">
        <f t="shared" si="69"/>
        <v>0</v>
      </c>
    </row>
    <row r="267">
      <c r="A267" s="237" t="s">
        <v>554</v>
      </c>
      <c r="B267" s="255">
        <f t="shared" ref="B267:AF267" si="70">B188*15</f>
        <v>0</v>
      </c>
      <c r="C267" s="255">
        <f t="shared" si="70"/>
        <v>0</v>
      </c>
      <c r="D267" s="255">
        <f t="shared" si="70"/>
        <v>0</v>
      </c>
      <c r="E267" s="255">
        <f t="shared" si="70"/>
        <v>0</v>
      </c>
      <c r="F267" s="255">
        <f t="shared" si="70"/>
        <v>0</v>
      </c>
      <c r="G267" s="255">
        <f t="shared" si="70"/>
        <v>0</v>
      </c>
      <c r="H267" s="255">
        <f t="shared" si="70"/>
        <v>0</v>
      </c>
      <c r="I267" s="255">
        <f t="shared" si="70"/>
        <v>0</v>
      </c>
      <c r="J267" s="255">
        <f t="shared" si="70"/>
        <v>0</v>
      </c>
      <c r="K267" s="255">
        <f t="shared" si="70"/>
        <v>0</v>
      </c>
      <c r="L267" s="255">
        <f t="shared" si="70"/>
        <v>0</v>
      </c>
      <c r="M267" s="255">
        <f t="shared" si="70"/>
        <v>0</v>
      </c>
      <c r="N267" s="255">
        <f t="shared" si="70"/>
        <v>0</v>
      </c>
      <c r="O267" s="255">
        <f t="shared" si="70"/>
        <v>0</v>
      </c>
      <c r="P267" s="255">
        <f t="shared" si="70"/>
        <v>0</v>
      </c>
      <c r="Q267" s="255">
        <f t="shared" si="70"/>
        <v>0</v>
      </c>
      <c r="R267" s="255">
        <f t="shared" si="70"/>
        <v>0</v>
      </c>
      <c r="S267" s="255">
        <f t="shared" si="70"/>
        <v>0</v>
      </c>
      <c r="T267" s="255">
        <f t="shared" si="70"/>
        <v>0</v>
      </c>
      <c r="U267" s="255">
        <f t="shared" si="70"/>
        <v>0</v>
      </c>
      <c r="V267" s="255">
        <f t="shared" si="70"/>
        <v>0</v>
      </c>
      <c r="W267" s="255">
        <f t="shared" si="70"/>
        <v>0</v>
      </c>
      <c r="X267" s="255">
        <f t="shared" si="70"/>
        <v>0</v>
      </c>
      <c r="Y267" s="255">
        <f t="shared" si="70"/>
        <v>0</v>
      </c>
      <c r="Z267" s="255">
        <f t="shared" si="70"/>
        <v>0</v>
      </c>
      <c r="AA267" s="255">
        <f t="shared" si="70"/>
        <v>0</v>
      </c>
      <c r="AB267" s="255">
        <f t="shared" si="70"/>
        <v>0</v>
      </c>
      <c r="AC267" s="255">
        <f t="shared" si="70"/>
        <v>0</v>
      </c>
      <c r="AD267" s="255">
        <f t="shared" si="70"/>
        <v>0</v>
      </c>
      <c r="AE267" s="255">
        <f t="shared" si="70"/>
        <v>0</v>
      </c>
      <c r="AF267" s="255">
        <f t="shared" si="70"/>
        <v>0</v>
      </c>
      <c r="AG267" s="126">
        <f t="shared" si="69"/>
        <v>0</v>
      </c>
    </row>
    <row r="268">
      <c r="A268" s="237" t="s">
        <v>397</v>
      </c>
      <c r="B268" s="398">
        <v>0.0</v>
      </c>
      <c r="C268" s="398">
        <v>0.0</v>
      </c>
      <c r="D268" s="398">
        <v>0.0</v>
      </c>
      <c r="E268" s="398">
        <v>0.0</v>
      </c>
      <c r="F268" s="398">
        <v>0.0</v>
      </c>
      <c r="G268" s="398">
        <v>0.0</v>
      </c>
      <c r="H268" s="398">
        <v>0.0</v>
      </c>
      <c r="I268" s="398">
        <v>0.0</v>
      </c>
      <c r="J268" s="398">
        <v>0.0</v>
      </c>
      <c r="K268" s="398">
        <v>0.0</v>
      </c>
      <c r="L268" s="398">
        <v>0.0</v>
      </c>
      <c r="M268" s="398">
        <v>0.0</v>
      </c>
      <c r="N268" s="398">
        <v>0.0</v>
      </c>
      <c r="O268" s="398">
        <v>0.0</v>
      </c>
      <c r="P268" s="398"/>
      <c r="Q268" s="398"/>
      <c r="R268" s="398"/>
      <c r="S268" s="398"/>
      <c r="T268" s="398"/>
      <c r="U268" s="398"/>
      <c r="V268" s="398"/>
      <c r="W268" s="398"/>
      <c r="X268" s="398"/>
      <c r="Y268" s="398"/>
      <c r="Z268" s="398"/>
      <c r="AA268" s="398"/>
      <c r="AB268" s="398"/>
      <c r="AC268" s="398"/>
      <c r="AD268" s="398"/>
      <c r="AE268" s="398"/>
      <c r="AF268" s="398"/>
      <c r="AG268" s="126">
        <f t="shared" si="69"/>
        <v>0</v>
      </c>
    </row>
    <row r="269">
      <c r="A269" s="104"/>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c r="AD269" s="82"/>
      <c r="AE269" s="82"/>
      <c r="AF269" s="82"/>
      <c r="AG269" s="126"/>
    </row>
    <row r="270">
      <c r="A270" s="399" t="s">
        <v>398</v>
      </c>
      <c r="B270" s="252">
        <f t="shared" ref="B270:AF270" si="71">B232+B244+B266+B267+B268</f>
        <v>1694.06</v>
      </c>
      <c r="C270" s="252">
        <f t="shared" si="71"/>
        <v>4975.54</v>
      </c>
      <c r="D270" s="252">
        <f t="shared" si="71"/>
        <v>7415.94</v>
      </c>
      <c r="E270" s="252">
        <f t="shared" si="71"/>
        <v>4817.22</v>
      </c>
      <c r="F270" s="252">
        <f t="shared" si="71"/>
        <v>3437.96</v>
      </c>
      <c r="G270" s="252">
        <f t="shared" si="71"/>
        <v>3354.18</v>
      </c>
      <c r="H270" s="252">
        <f t="shared" si="71"/>
        <v>3742.21</v>
      </c>
      <c r="I270" s="252">
        <f t="shared" si="71"/>
        <v>3473.21</v>
      </c>
      <c r="J270" s="252">
        <f t="shared" si="71"/>
        <v>3965.94</v>
      </c>
      <c r="K270" s="252">
        <f t="shared" si="71"/>
        <v>4071.02</v>
      </c>
      <c r="L270" s="252">
        <f t="shared" si="71"/>
        <v>3604.27</v>
      </c>
      <c r="M270" s="252">
        <f t="shared" si="71"/>
        <v>3213.23</v>
      </c>
      <c r="N270" s="252">
        <f t="shared" si="71"/>
        <v>2187.1</v>
      </c>
      <c r="O270" s="252">
        <f t="shared" si="71"/>
        <v>1887</v>
      </c>
      <c r="P270" s="252">
        <f t="shared" si="71"/>
        <v>3180.11</v>
      </c>
      <c r="Q270" s="252">
        <f t="shared" si="71"/>
        <v>2210.88</v>
      </c>
      <c r="R270" s="252">
        <f t="shared" si="71"/>
        <v>1788.19</v>
      </c>
      <c r="S270" s="252">
        <f t="shared" si="71"/>
        <v>2430.87</v>
      </c>
      <c r="T270" s="252">
        <f t="shared" si="71"/>
        <v>3354.25</v>
      </c>
      <c r="U270" s="252">
        <f t="shared" si="71"/>
        <v>2048.53</v>
      </c>
      <c r="V270" s="252">
        <f t="shared" si="71"/>
        <v>2789.11</v>
      </c>
      <c r="W270" s="252">
        <f t="shared" si="71"/>
        <v>1683.88</v>
      </c>
      <c r="X270" s="252">
        <f t="shared" si="71"/>
        <v>2165.1</v>
      </c>
      <c r="Y270" s="252">
        <f t="shared" si="71"/>
        <v>2441.82</v>
      </c>
      <c r="Z270" s="252">
        <f t="shared" si="71"/>
        <v>2855.34</v>
      </c>
      <c r="AA270" s="252">
        <f t="shared" si="71"/>
        <v>1583.58</v>
      </c>
      <c r="AB270" s="252">
        <f t="shared" si="71"/>
        <v>3644.54</v>
      </c>
      <c r="AC270" s="252">
        <f t="shared" si="71"/>
        <v>2962.52</v>
      </c>
      <c r="AD270" s="252">
        <f t="shared" si="71"/>
        <v>1649.89</v>
      </c>
      <c r="AE270" s="252">
        <f t="shared" si="71"/>
        <v>4479.7</v>
      </c>
      <c r="AF270" s="252">
        <f t="shared" si="71"/>
        <v>3055.12</v>
      </c>
      <c r="AG270" s="126">
        <f>SUM(B270:AF270)</f>
        <v>96162.31</v>
      </c>
    </row>
    <row r="271">
      <c r="A271" s="104"/>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c r="AD271" s="82"/>
      <c r="AE271" s="82"/>
      <c r="AF271" s="82"/>
      <c r="AG271" s="126"/>
    </row>
    <row r="272">
      <c r="A272" s="104" t="s">
        <v>345</v>
      </c>
      <c r="B272" s="252">
        <f t="shared" ref="B272:AF272" si="72">B222+B233+B245-B256-B266-B268</f>
        <v>-1669.094436</v>
      </c>
      <c r="C272" s="252">
        <f t="shared" si="72"/>
        <v>-4716.196616</v>
      </c>
      <c r="D272" s="252">
        <f t="shared" si="72"/>
        <v>-6810.778476</v>
      </c>
      <c r="E272" s="252">
        <f t="shared" si="72"/>
        <v>-4545.276296</v>
      </c>
      <c r="F272" s="252">
        <f t="shared" si="72"/>
        <v>-3086.06518</v>
      </c>
      <c r="G272" s="252">
        <f t="shared" si="72"/>
        <v>-3026.228488</v>
      </c>
      <c r="H272" s="252">
        <f t="shared" si="72"/>
        <v>-3306.389588</v>
      </c>
      <c r="I272" s="252">
        <f t="shared" si="72"/>
        <v>-2612.553896</v>
      </c>
      <c r="J272" s="252">
        <f t="shared" si="72"/>
        <v>-3417.523488</v>
      </c>
      <c r="K272" s="252">
        <f t="shared" si="72"/>
        <v>-3470.59172</v>
      </c>
      <c r="L272" s="252">
        <f t="shared" si="72"/>
        <v>-2630.873936</v>
      </c>
      <c r="M272" s="252">
        <f t="shared" si="72"/>
        <v>-2518.144564</v>
      </c>
      <c r="N272" s="252">
        <f t="shared" si="72"/>
        <v>-1604.885384</v>
      </c>
      <c r="O272" s="252">
        <f t="shared" si="72"/>
        <v>-1386.96704</v>
      </c>
      <c r="P272" s="252">
        <f t="shared" si="72"/>
        <v>-2698.75404</v>
      </c>
      <c r="Q272" s="252">
        <f t="shared" si="72"/>
        <v>-1379.51954</v>
      </c>
      <c r="R272" s="252">
        <f t="shared" si="72"/>
        <v>-1230.705872</v>
      </c>
      <c r="S272" s="252">
        <f t="shared" si="72"/>
        <v>-1705.960936</v>
      </c>
      <c r="T272" s="252">
        <f t="shared" si="72"/>
        <v>-2898.071488</v>
      </c>
      <c r="U272" s="252">
        <f t="shared" si="72"/>
        <v>-1781.44436</v>
      </c>
      <c r="V272" s="252">
        <f t="shared" si="72"/>
        <v>-2195.827116</v>
      </c>
      <c r="W272" s="252">
        <f t="shared" si="72"/>
        <v>-1330.241244</v>
      </c>
      <c r="X272" s="252">
        <f t="shared" si="72"/>
        <v>-1798.37432</v>
      </c>
      <c r="Y272" s="252">
        <f t="shared" si="72"/>
        <v>-1944.699616</v>
      </c>
      <c r="Z272" s="252">
        <f t="shared" si="72"/>
        <v>-2370.58486</v>
      </c>
      <c r="AA272" s="252">
        <f t="shared" si="72"/>
        <v>-1317.438256</v>
      </c>
      <c r="AB272" s="252">
        <f t="shared" si="72"/>
        <v>-3222.081232</v>
      </c>
      <c r="AC272" s="252">
        <f t="shared" si="72"/>
        <v>-2572.572692</v>
      </c>
      <c r="AD272" s="252">
        <f t="shared" si="72"/>
        <v>-1433.42104</v>
      </c>
      <c r="AE272" s="252">
        <f t="shared" si="72"/>
        <v>-4145.253232</v>
      </c>
      <c r="AF272" s="252">
        <f t="shared" si="72"/>
        <v>-2576.44154</v>
      </c>
      <c r="AG272" s="126">
        <f t="shared" ref="AG272:AG275" si="73">SUM(B272:AF272)</f>
        <v>-81402.96049</v>
      </c>
    </row>
    <row r="273">
      <c r="A273" s="98"/>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c r="AD273" s="82"/>
      <c r="AE273" s="82"/>
      <c r="AF273" s="82"/>
      <c r="AG273" s="126">
        <f t="shared" si="73"/>
        <v>0</v>
      </c>
    </row>
    <row r="274">
      <c r="A274" s="280" t="s">
        <v>399</v>
      </c>
      <c r="B274" s="255">
        <f t="shared" ref="B274:AF274" si="74">B214+B272</f>
        <v>-1027.259436</v>
      </c>
      <c r="C274" s="255">
        <f t="shared" si="74"/>
        <v>-4055.190116</v>
      </c>
      <c r="D274" s="255">
        <f t="shared" si="74"/>
        <v>-5018.946976</v>
      </c>
      <c r="E274" s="255">
        <f t="shared" si="74"/>
        <v>-2994.314796</v>
      </c>
      <c r="F274" s="255">
        <f t="shared" si="74"/>
        <v>-1750.03468</v>
      </c>
      <c r="G274" s="255">
        <f t="shared" si="74"/>
        <v>-641.355988</v>
      </c>
      <c r="H274" s="255">
        <f t="shared" si="74"/>
        <v>-1264.058588</v>
      </c>
      <c r="I274" s="255">
        <f t="shared" si="74"/>
        <v>255.429604</v>
      </c>
      <c r="J274" s="255">
        <f t="shared" si="74"/>
        <v>-1607.588488</v>
      </c>
      <c r="K274" s="255">
        <f t="shared" si="74"/>
        <v>-2194.32672</v>
      </c>
      <c r="L274" s="255">
        <f t="shared" si="74"/>
        <v>-1241.740436</v>
      </c>
      <c r="M274" s="255">
        <f t="shared" si="74"/>
        <v>-1438.287064</v>
      </c>
      <c r="N274" s="255">
        <f t="shared" si="74"/>
        <v>-163.075384</v>
      </c>
      <c r="O274" s="255">
        <f t="shared" si="74"/>
        <v>-538.55454</v>
      </c>
      <c r="P274" s="255">
        <f t="shared" si="74"/>
        <v>-1501.64054</v>
      </c>
      <c r="Q274" s="255">
        <f t="shared" si="74"/>
        <v>-636.20504</v>
      </c>
      <c r="R274" s="255">
        <f t="shared" si="74"/>
        <v>-294.997872</v>
      </c>
      <c r="S274" s="255">
        <f t="shared" si="74"/>
        <v>-236.674936</v>
      </c>
      <c r="T274" s="255">
        <f t="shared" si="74"/>
        <v>-1438.040988</v>
      </c>
      <c r="U274" s="255">
        <f t="shared" si="74"/>
        <v>856.29564</v>
      </c>
      <c r="V274" s="255">
        <f t="shared" si="74"/>
        <v>1522.819384</v>
      </c>
      <c r="W274" s="255">
        <f t="shared" si="74"/>
        <v>3020.002756</v>
      </c>
      <c r="X274" s="255">
        <f t="shared" si="74"/>
        <v>635.52118</v>
      </c>
      <c r="Y274" s="255">
        <f t="shared" si="74"/>
        <v>1470.638384</v>
      </c>
      <c r="Z274" s="255">
        <f t="shared" si="74"/>
        <v>-562.43336</v>
      </c>
      <c r="AA274" s="255">
        <f t="shared" si="74"/>
        <v>1393.231244</v>
      </c>
      <c r="AB274" s="255">
        <f t="shared" si="74"/>
        <v>-1376.725232</v>
      </c>
      <c r="AC274" s="255">
        <f t="shared" si="74"/>
        <v>528.232308</v>
      </c>
      <c r="AD274" s="255">
        <f t="shared" si="74"/>
        <v>2875.29296</v>
      </c>
      <c r="AE274" s="255">
        <f t="shared" si="74"/>
        <v>-1856.537232</v>
      </c>
      <c r="AF274" s="255">
        <f t="shared" si="74"/>
        <v>932.93196</v>
      </c>
      <c r="AG274" s="126">
        <f t="shared" si="73"/>
        <v>-18347.59299</v>
      </c>
    </row>
    <row r="275">
      <c r="A275" s="400">
        <f>SUM(B274:AF274)</f>
        <v>-18347.59299</v>
      </c>
      <c r="B275" s="252"/>
      <c r="C275" s="252"/>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c r="AA275" s="252"/>
      <c r="AB275" s="252"/>
      <c r="AC275" s="252"/>
      <c r="AD275" s="252"/>
      <c r="AE275" s="252"/>
      <c r="AF275" s="252"/>
      <c r="AG275" s="126">
        <f t="shared" si="73"/>
        <v>0</v>
      </c>
    </row>
    <row r="276">
      <c r="A276" s="98"/>
      <c r="B276" s="252"/>
      <c r="C276" s="252"/>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c r="AA276" s="252"/>
      <c r="AB276" s="252"/>
      <c r="AC276" s="252"/>
      <c r="AD276" s="252"/>
      <c r="AE276" s="252"/>
      <c r="AF276" s="252"/>
      <c r="AG276" s="126"/>
    </row>
    <row r="277">
      <c r="A277" s="280" t="s">
        <v>400</v>
      </c>
      <c r="B277" s="266">
        <f t="shared" ref="B277:AF277" si="75">B274/(B20+B21)</f>
        <v>-0.1326242165</v>
      </c>
      <c r="C277" s="266">
        <f t="shared" si="75"/>
        <v>-0.5091031813</v>
      </c>
      <c r="D277" s="266">
        <f t="shared" si="75"/>
        <v>-0.53491158</v>
      </c>
      <c r="E277" s="266">
        <f t="shared" si="75"/>
        <v>-0.4404706091</v>
      </c>
      <c r="F277" s="266">
        <f t="shared" si="75"/>
        <v>-0.2547220426</v>
      </c>
      <c r="G277" s="266">
        <f t="shared" si="75"/>
        <v>-0.1095516662</v>
      </c>
      <c r="H277" s="266">
        <f t="shared" si="75"/>
        <v>-0.2452401725</v>
      </c>
      <c r="I277" s="266">
        <f t="shared" si="75"/>
        <v>0.03070288771</v>
      </c>
      <c r="J277" s="266">
        <f t="shared" si="75"/>
        <v>-0.2235985334</v>
      </c>
      <c r="K277" s="266">
        <f t="shared" si="75"/>
        <v>-0.389461388</v>
      </c>
      <c r="L277" s="266">
        <f t="shared" si="75"/>
        <v>-0.1943745507</v>
      </c>
      <c r="M277" s="266">
        <f t="shared" si="75"/>
        <v>-0.2138573722</v>
      </c>
      <c r="N277" s="266">
        <f t="shared" si="75"/>
        <v>-0.02560583732</v>
      </c>
      <c r="O277" s="266">
        <f t="shared" si="75"/>
        <v>-0.1032908845</v>
      </c>
      <c r="P277" s="266">
        <f t="shared" si="75"/>
        <v>-0.2498869315</v>
      </c>
      <c r="Q277" s="266">
        <f t="shared" si="75"/>
        <v>-0.1335140312</v>
      </c>
      <c r="R277" s="266">
        <f t="shared" si="75"/>
        <v>-0.05700519079</v>
      </c>
      <c r="S277" s="266">
        <f t="shared" si="75"/>
        <v>-0.03481005201</v>
      </c>
      <c r="T277" s="266">
        <f t="shared" si="75"/>
        <v>-0.1986560003</v>
      </c>
      <c r="U277" s="266">
        <f t="shared" si="75"/>
        <v>0.07661661523</v>
      </c>
      <c r="V277" s="266">
        <f t="shared" si="75"/>
        <v>0.1109595889</v>
      </c>
      <c r="W277" s="266">
        <f t="shared" si="75"/>
        <v>0.2268303015</v>
      </c>
      <c r="X277" s="266">
        <f t="shared" si="75"/>
        <v>0.07435300766</v>
      </c>
      <c r="Y277" s="266">
        <f t="shared" si="75"/>
        <v>0.1357488964</v>
      </c>
      <c r="Z277" s="266">
        <f t="shared" si="75"/>
        <v>-0.07903540925</v>
      </c>
      <c r="AA277" s="266">
        <f t="shared" si="75"/>
        <v>0.1380373069</v>
      </c>
      <c r="AB277" s="266">
        <f t="shared" si="75"/>
        <v>-0.1422857105</v>
      </c>
      <c r="AC277" s="266">
        <f t="shared" si="75"/>
        <v>0.03588181246</v>
      </c>
      <c r="AD277" s="266">
        <f t="shared" si="75"/>
        <v>0.1803941263</v>
      </c>
      <c r="AE277" s="266">
        <f t="shared" si="75"/>
        <v>-0.1761171554</v>
      </c>
      <c r="AF277" s="266">
        <f t="shared" si="75"/>
        <v>0.06793338984</v>
      </c>
      <c r="AG277" s="126"/>
    </row>
    <row r="278">
      <c r="A278" s="291">
        <f>A275/A212</f>
        <v>-0.06470756189</v>
      </c>
      <c r="B278" s="252"/>
      <c r="C278" s="252"/>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c r="AA278" s="252"/>
      <c r="AB278" s="252"/>
      <c r="AC278" s="252"/>
      <c r="AD278" s="252"/>
      <c r="AE278" s="252"/>
      <c r="AF278" s="252"/>
      <c r="AG278" s="126"/>
    </row>
    <row r="279">
      <c r="A279" s="98"/>
      <c r="B279" s="252"/>
      <c r="C279" s="252"/>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c r="AA279" s="252"/>
      <c r="AB279" s="252"/>
      <c r="AC279" s="252"/>
      <c r="AD279" s="252"/>
      <c r="AE279" s="252"/>
      <c r="AF279" s="252"/>
      <c r="AG279" s="126"/>
    </row>
    <row r="280">
      <c r="A280" s="264" t="s">
        <v>349</v>
      </c>
      <c r="B280" s="394">
        <f t="shared" ref="B280:AF280" si="76">B218</f>
        <v>3.454444314</v>
      </c>
      <c r="C280" s="394">
        <f t="shared" si="76"/>
        <v>3.312671528</v>
      </c>
      <c r="D280" s="394">
        <f t="shared" si="76"/>
        <v>5.203865285</v>
      </c>
      <c r="E280" s="394">
        <f t="shared" si="76"/>
        <v>6.269010772</v>
      </c>
      <c r="F280" s="394">
        <f t="shared" si="76"/>
        <v>5.312909923</v>
      </c>
      <c r="G280" s="394" t="str">
        <f t="shared" si="76"/>
        <v>#DIV/0!</v>
      </c>
      <c r="H280" s="394" t="str">
        <f t="shared" si="76"/>
        <v>#DIV/0!</v>
      </c>
      <c r="I280" s="394">
        <f t="shared" si="76"/>
        <v>26.03244051</v>
      </c>
      <c r="J280" s="394">
        <f t="shared" si="76"/>
        <v>8.620790137</v>
      </c>
      <c r="K280" s="394">
        <f t="shared" si="76"/>
        <v>7.011785298</v>
      </c>
      <c r="L280" s="394">
        <f t="shared" si="76"/>
        <v>6.933915478</v>
      </c>
      <c r="M280" s="394">
        <f t="shared" si="76"/>
        <v>6.089647984</v>
      </c>
      <c r="N280" s="394">
        <f t="shared" si="76"/>
        <v>7.848250104</v>
      </c>
      <c r="O280" s="394">
        <f t="shared" si="76"/>
        <v>5.231255132</v>
      </c>
      <c r="P280" s="394">
        <f t="shared" si="76"/>
        <v>6.368423132</v>
      </c>
      <c r="Q280" s="394">
        <f t="shared" si="76"/>
        <v>5.227390895</v>
      </c>
      <c r="R280" s="394">
        <f t="shared" si="76"/>
        <v>5.927798296</v>
      </c>
      <c r="S280" s="394">
        <f t="shared" si="76"/>
        <v>7.335483806</v>
      </c>
      <c r="T280" s="394">
        <f t="shared" si="76"/>
        <v>6.109449623</v>
      </c>
      <c r="U280" s="394">
        <f t="shared" si="76"/>
        <v>8.519856621</v>
      </c>
      <c r="V280" s="394">
        <f t="shared" si="76"/>
        <v>10.66827749</v>
      </c>
      <c r="W280" s="394">
        <f t="shared" si="76"/>
        <v>21.26461012</v>
      </c>
      <c r="X280" s="394">
        <f t="shared" si="76"/>
        <v>12.95312104</v>
      </c>
      <c r="Y280" s="394">
        <f t="shared" si="76"/>
        <v>15.72040152</v>
      </c>
      <c r="Z280" s="394">
        <f t="shared" si="76"/>
        <v>8.849392291</v>
      </c>
      <c r="AA280" s="394">
        <f t="shared" si="76"/>
        <v>9.055049954</v>
      </c>
      <c r="AB280" s="394">
        <f t="shared" si="76"/>
        <v>5.578868559</v>
      </c>
      <c r="AC280" s="394">
        <f t="shared" si="76"/>
        <v>6.491413746</v>
      </c>
      <c r="AD280" s="394">
        <f t="shared" si="76"/>
        <v>9.134153272</v>
      </c>
      <c r="AE280" s="394">
        <f t="shared" si="76"/>
        <v>6.474311578</v>
      </c>
      <c r="AF280" s="394">
        <f t="shared" si="76"/>
        <v>8.361261379</v>
      </c>
      <c r="AG280" s="126"/>
    </row>
    <row r="281">
      <c r="A281" s="177"/>
      <c r="AG281" s="259"/>
    </row>
    <row r="282">
      <c r="A282" s="177"/>
      <c r="AG282" s="259"/>
    </row>
    <row r="283">
      <c r="A283" s="177"/>
      <c r="AG283" s="259"/>
    </row>
    <row r="284">
      <c r="A284" s="177"/>
      <c r="AG284" s="259"/>
    </row>
    <row r="285">
      <c r="A285" s="177"/>
      <c r="AG285" s="259"/>
    </row>
    <row r="286">
      <c r="A286" s="177"/>
      <c r="AG286" s="259"/>
    </row>
    <row r="287">
      <c r="A287" s="177"/>
      <c r="AG287" s="259"/>
    </row>
    <row r="288">
      <c r="A288" s="177"/>
      <c r="AG288" s="259"/>
    </row>
    <row r="289">
      <c r="A289" s="177"/>
      <c r="AG289" s="259"/>
    </row>
    <row r="290">
      <c r="A290" s="177"/>
      <c r="AG290" s="259"/>
    </row>
    <row r="291">
      <c r="A291" s="177"/>
      <c r="AG291" s="259"/>
    </row>
    <row r="292">
      <c r="A292" s="177"/>
      <c r="AG292" s="259"/>
    </row>
    <row r="293">
      <c r="A293" s="177"/>
      <c r="AG293" s="259"/>
    </row>
    <row r="294">
      <c r="A294" s="177"/>
      <c r="AG294" s="259"/>
    </row>
    <row r="295">
      <c r="A295" s="177"/>
      <c r="AG295" s="259"/>
    </row>
    <row r="296">
      <c r="A296" s="177"/>
      <c r="AG296" s="259"/>
    </row>
    <row r="297">
      <c r="A297" s="177"/>
      <c r="AG297" s="259"/>
    </row>
    <row r="298">
      <c r="A298" s="177"/>
      <c r="AG298" s="259"/>
    </row>
    <row r="299">
      <c r="A299" s="177"/>
      <c r="AG299" s="259"/>
    </row>
    <row r="300">
      <c r="A300" s="177"/>
      <c r="AG300" s="259"/>
    </row>
    <row r="301">
      <c r="A301" s="177"/>
      <c r="AG301" s="259"/>
    </row>
    <row r="302">
      <c r="A302" s="177"/>
      <c r="AG302" s="259"/>
    </row>
    <row r="303">
      <c r="A303" s="177"/>
      <c r="AG303" s="259"/>
    </row>
    <row r="304">
      <c r="A304" s="177"/>
      <c r="AG304" s="259"/>
    </row>
    <row r="305">
      <c r="A305" s="177"/>
      <c r="AG305" s="259"/>
    </row>
    <row r="306">
      <c r="A306" s="177"/>
      <c r="AG306" s="259"/>
    </row>
    <row r="307">
      <c r="A307" s="177"/>
      <c r="AG307" s="259"/>
    </row>
    <row r="308">
      <c r="A308" s="177"/>
      <c r="AG308" s="259"/>
    </row>
    <row r="309">
      <c r="A309" s="177"/>
      <c r="AG309" s="259"/>
    </row>
    <row r="310">
      <c r="A310" s="177"/>
      <c r="AG310" s="259"/>
    </row>
    <row r="311">
      <c r="A311" s="177"/>
      <c r="AG311" s="259"/>
    </row>
    <row r="312">
      <c r="A312" s="177"/>
      <c r="AG312" s="259"/>
    </row>
    <row r="313">
      <c r="A313" s="177"/>
      <c r="AG313" s="259"/>
    </row>
    <row r="314">
      <c r="A314" s="177"/>
      <c r="AG314" s="259"/>
    </row>
    <row r="315">
      <c r="A315" s="177"/>
      <c r="AG315" s="259"/>
    </row>
    <row r="316">
      <c r="A316" s="177"/>
      <c r="AG316" s="259"/>
    </row>
    <row r="317">
      <c r="A317" s="177"/>
      <c r="AG317" s="259"/>
    </row>
    <row r="318">
      <c r="A318" s="177"/>
      <c r="AG318" s="259"/>
    </row>
    <row r="319">
      <c r="A319" s="177"/>
      <c r="AG319" s="259"/>
    </row>
    <row r="320">
      <c r="A320" s="177"/>
      <c r="AG320" s="259"/>
    </row>
    <row r="321">
      <c r="A321" s="177"/>
      <c r="AG321" s="259"/>
    </row>
    <row r="322">
      <c r="A322" s="177"/>
      <c r="AG322" s="259"/>
    </row>
    <row r="323">
      <c r="A323" s="177"/>
      <c r="AG323" s="259"/>
    </row>
    <row r="324">
      <c r="A324" s="177"/>
      <c r="AG324" s="259"/>
    </row>
    <row r="325">
      <c r="A325" s="177"/>
      <c r="AG325" s="259"/>
    </row>
    <row r="326">
      <c r="A326" s="177"/>
      <c r="AG326" s="259"/>
    </row>
    <row r="327">
      <c r="A327" s="177"/>
      <c r="AG327" s="259"/>
    </row>
    <row r="328">
      <c r="A328" s="177"/>
      <c r="AG328" s="259"/>
    </row>
    <row r="329">
      <c r="A329" s="177"/>
      <c r="AG329" s="259"/>
    </row>
    <row r="330">
      <c r="A330" s="177"/>
      <c r="AG330" s="259"/>
    </row>
    <row r="331">
      <c r="A331" s="177"/>
      <c r="AG331" s="259"/>
    </row>
    <row r="332">
      <c r="A332" s="177"/>
      <c r="AG332" s="259"/>
    </row>
    <row r="333">
      <c r="A333" s="177"/>
      <c r="AG333" s="259"/>
    </row>
    <row r="334">
      <c r="A334" s="177"/>
      <c r="AG334" s="259"/>
    </row>
    <row r="335">
      <c r="A335" s="177"/>
      <c r="AG335" s="259"/>
    </row>
    <row r="336">
      <c r="A336" s="177"/>
      <c r="AG336" s="259"/>
    </row>
    <row r="337">
      <c r="A337" s="177"/>
      <c r="AG337" s="259"/>
    </row>
    <row r="338">
      <c r="A338" s="177"/>
      <c r="AG338" s="259"/>
    </row>
    <row r="339">
      <c r="A339" s="177"/>
      <c r="AG339" s="259"/>
    </row>
    <row r="340">
      <c r="A340" s="177"/>
      <c r="AG340" s="259"/>
    </row>
    <row r="341">
      <c r="A341" s="177"/>
      <c r="AG341" s="259"/>
    </row>
    <row r="342">
      <c r="A342" s="177"/>
      <c r="AG342" s="259"/>
    </row>
    <row r="343">
      <c r="A343" s="177"/>
      <c r="AG343" s="259"/>
    </row>
    <row r="344">
      <c r="A344" s="177"/>
      <c r="AG344" s="259"/>
    </row>
    <row r="345">
      <c r="A345" s="177"/>
      <c r="AG345" s="259"/>
    </row>
    <row r="346">
      <c r="A346" s="177"/>
      <c r="AG346" s="259"/>
    </row>
    <row r="347">
      <c r="A347" s="177"/>
      <c r="AG347" s="259"/>
    </row>
    <row r="348">
      <c r="A348" s="177"/>
      <c r="AG348" s="259"/>
    </row>
    <row r="349">
      <c r="A349" s="177"/>
      <c r="AG349" s="259"/>
    </row>
    <row r="350">
      <c r="A350" s="177"/>
      <c r="AG350" s="259"/>
    </row>
    <row r="351">
      <c r="A351" s="177"/>
      <c r="AG351" s="259"/>
    </row>
    <row r="352">
      <c r="A352" s="177"/>
      <c r="AG352" s="259"/>
    </row>
    <row r="353">
      <c r="A353" s="177"/>
      <c r="AG353" s="259"/>
    </row>
    <row r="354">
      <c r="A354" s="177"/>
      <c r="AG354" s="259"/>
    </row>
    <row r="355">
      <c r="A355" s="177"/>
      <c r="AG355" s="259"/>
    </row>
    <row r="356">
      <c r="A356" s="177"/>
      <c r="AG356" s="259"/>
    </row>
    <row r="357">
      <c r="A357" s="177"/>
      <c r="AG357" s="259"/>
    </row>
    <row r="358">
      <c r="A358" s="177"/>
      <c r="AG358" s="259"/>
    </row>
    <row r="359">
      <c r="A359" s="177"/>
      <c r="AG359" s="259"/>
    </row>
    <row r="360">
      <c r="A360" s="177"/>
      <c r="AG360" s="259"/>
    </row>
    <row r="361">
      <c r="A361" s="177"/>
      <c r="AG361" s="259"/>
    </row>
    <row r="362">
      <c r="A362" s="177"/>
      <c r="AG362" s="259"/>
    </row>
    <row r="363">
      <c r="A363" s="177"/>
      <c r="AG363" s="259"/>
    </row>
    <row r="364">
      <c r="A364" s="177"/>
      <c r="AG364" s="259"/>
    </row>
    <row r="365">
      <c r="A365" s="177"/>
      <c r="AG365" s="259"/>
    </row>
    <row r="366">
      <c r="A366" s="177"/>
      <c r="AG366" s="259"/>
    </row>
    <row r="367">
      <c r="A367" s="177"/>
      <c r="AG367" s="259"/>
    </row>
    <row r="368">
      <c r="A368" s="177"/>
      <c r="AG368" s="259"/>
    </row>
    <row r="369">
      <c r="A369" s="177"/>
      <c r="AG369" s="259"/>
    </row>
    <row r="370">
      <c r="A370" s="177"/>
      <c r="AG370" s="259"/>
    </row>
    <row r="371">
      <c r="A371" s="177"/>
      <c r="AG371" s="259"/>
    </row>
    <row r="372">
      <c r="A372" s="177"/>
      <c r="AG372" s="259"/>
    </row>
    <row r="373">
      <c r="A373" s="177"/>
      <c r="AG373" s="259"/>
    </row>
    <row r="374">
      <c r="A374" s="177"/>
      <c r="AG374" s="259"/>
    </row>
    <row r="375">
      <c r="A375" s="177"/>
      <c r="AG375" s="259"/>
    </row>
    <row r="376">
      <c r="A376" s="177"/>
      <c r="AG376" s="259"/>
    </row>
    <row r="377">
      <c r="A377" s="177"/>
      <c r="AG377" s="259"/>
    </row>
    <row r="378">
      <c r="A378" s="177"/>
      <c r="AG378" s="259"/>
    </row>
    <row r="379">
      <c r="A379" s="177"/>
      <c r="AG379" s="259"/>
    </row>
    <row r="380">
      <c r="A380" s="177"/>
      <c r="AG380" s="259"/>
    </row>
    <row r="381">
      <c r="A381" s="177"/>
      <c r="AG381" s="259"/>
    </row>
    <row r="382">
      <c r="A382" s="177"/>
      <c r="AG382" s="259"/>
    </row>
    <row r="383">
      <c r="A383" s="177"/>
      <c r="AG383" s="259"/>
    </row>
    <row r="384">
      <c r="A384" s="177"/>
      <c r="AG384" s="259"/>
    </row>
    <row r="385">
      <c r="A385" s="177"/>
      <c r="AG385" s="259"/>
    </row>
    <row r="386">
      <c r="A386" s="177"/>
      <c r="AG386" s="259"/>
    </row>
    <row r="387">
      <c r="A387" s="177"/>
      <c r="AG387" s="259"/>
    </row>
    <row r="388">
      <c r="A388" s="177"/>
      <c r="AG388" s="259"/>
    </row>
    <row r="389">
      <c r="A389" s="177"/>
      <c r="AG389" s="259"/>
    </row>
    <row r="390">
      <c r="A390" s="177"/>
      <c r="AG390" s="259"/>
    </row>
    <row r="391">
      <c r="A391" s="177"/>
      <c r="AG391" s="259"/>
    </row>
    <row r="392">
      <c r="A392" s="177"/>
      <c r="AG392" s="259"/>
    </row>
    <row r="393">
      <c r="A393" s="177"/>
      <c r="AG393" s="259"/>
    </row>
    <row r="394">
      <c r="A394" s="177"/>
      <c r="AG394" s="259"/>
    </row>
    <row r="395">
      <c r="A395" s="177"/>
      <c r="AG395" s="259"/>
    </row>
    <row r="396">
      <c r="A396" s="177"/>
      <c r="AG396" s="259"/>
    </row>
    <row r="397">
      <c r="A397" s="177"/>
      <c r="AG397" s="259"/>
    </row>
    <row r="398">
      <c r="A398" s="177"/>
      <c r="AG398" s="259"/>
    </row>
    <row r="399">
      <c r="A399" s="177"/>
      <c r="AG399" s="259"/>
    </row>
    <row r="400">
      <c r="A400" s="177"/>
      <c r="AG400" s="259"/>
    </row>
    <row r="401">
      <c r="A401" s="177"/>
      <c r="AG401" s="259"/>
    </row>
    <row r="402">
      <c r="A402" s="177"/>
      <c r="AG402" s="259"/>
    </row>
    <row r="403">
      <c r="A403" s="177"/>
      <c r="AG403" s="259"/>
    </row>
    <row r="404">
      <c r="A404" s="177"/>
      <c r="AG404" s="259"/>
    </row>
    <row r="405">
      <c r="A405" s="177"/>
      <c r="AG405" s="259"/>
    </row>
    <row r="406">
      <c r="A406" s="177"/>
      <c r="AG406" s="259"/>
    </row>
    <row r="407">
      <c r="A407" s="177"/>
      <c r="AG407" s="259"/>
    </row>
    <row r="408">
      <c r="A408" s="177"/>
      <c r="AG408" s="259"/>
    </row>
    <row r="409">
      <c r="A409" s="177"/>
      <c r="AG409" s="259"/>
    </row>
    <row r="410">
      <c r="A410" s="177"/>
      <c r="AG410" s="259"/>
    </row>
    <row r="411">
      <c r="A411" s="177"/>
      <c r="AG411" s="259"/>
    </row>
    <row r="412">
      <c r="A412" s="177"/>
      <c r="AG412" s="259"/>
    </row>
    <row r="413">
      <c r="A413" s="177"/>
      <c r="AG413" s="259"/>
    </row>
    <row r="414">
      <c r="A414" s="177"/>
      <c r="AG414" s="259"/>
    </row>
    <row r="415">
      <c r="A415" s="177"/>
      <c r="AG415" s="259"/>
    </row>
    <row r="416">
      <c r="A416" s="177"/>
      <c r="AG416" s="259"/>
    </row>
    <row r="417">
      <c r="A417" s="177"/>
      <c r="AG417" s="259"/>
    </row>
    <row r="418">
      <c r="A418" s="177"/>
      <c r="AG418" s="259"/>
    </row>
    <row r="419">
      <c r="A419" s="177"/>
      <c r="AG419" s="259"/>
    </row>
    <row r="420">
      <c r="A420" s="177"/>
      <c r="AG420" s="259"/>
    </row>
    <row r="421">
      <c r="A421" s="177"/>
      <c r="AG421" s="259"/>
    </row>
    <row r="422">
      <c r="A422" s="177"/>
      <c r="AG422" s="259"/>
    </row>
    <row r="423">
      <c r="A423" s="177"/>
      <c r="AG423" s="259"/>
    </row>
    <row r="424">
      <c r="A424" s="177"/>
      <c r="AG424" s="259"/>
    </row>
    <row r="425">
      <c r="A425" s="177"/>
      <c r="AG425" s="259"/>
    </row>
    <row r="426">
      <c r="A426" s="177"/>
      <c r="AG426" s="259"/>
    </row>
    <row r="427">
      <c r="A427" s="177"/>
      <c r="AG427" s="259"/>
    </row>
    <row r="428">
      <c r="A428" s="177"/>
      <c r="AG428" s="259"/>
    </row>
    <row r="429">
      <c r="A429" s="177"/>
      <c r="AG429" s="259"/>
    </row>
    <row r="430">
      <c r="A430" s="177"/>
      <c r="AG430" s="259"/>
    </row>
    <row r="431">
      <c r="A431" s="177"/>
      <c r="AG431" s="259"/>
    </row>
    <row r="432">
      <c r="A432" s="177"/>
      <c r="AG432" s="259"/>
    </row>
    <row r="433">
      <c r="A433" s="177"/>
      <c r="AG433" s="259"/>
    </row>
    <row r="434">
      <c r="A434" s="177"/>
      <c r="AG434" s="259"/>
    </row>
    <row r="435">
      <c r="A435" s="177"/>
      <c r="AG435" s="259"/>
    </row>
    <row r="436">
      <c r="A436" s="177"/>
      <c r="AG436" s="259"/>
    </row>
    <row r="437">
      <c r="A437" s="177"/>
      <c r="AG437" s="259"/>
    </row>
    <row r="438">
      <c r="A438" s="177"/>
      <c r="AG438" s="259"/>
    </row>
    <row r="439">
      <c r="A439" s="177"/>
      <c r="AG439" s="259"/>
    </row>
    <row r="440">
      <c r="A440" s="177"/>
      <c r="AG440" s="259"/>
    </row>
    <row r="441">
      <c r="A441" s="177"/>
      <c r="AG441" s="259"/>
    </row>
    <row r="442">
      <c r="A442" s="177"/>
      <c r="AG442" s="259"/>
    </row>
    <row r="443">
      <c r="A443" s="177"/>
      <c r="AG443" s="259"/>
    </row>
    <row r="444">
      <c r="A444" s="177"/>
      <c r="AG444" s="259"/>
    </row>
    <row r="445">
      <c r="A445" s="177"/>
      <c r="AG445" s="259"/>
    </row>
    <row r="446">
      <c r="A446" s="177"/>
      <c r="AG446" s="259"/>
    </row>
    <row r="447">
      <c r="A447" s="177"/>
      <c r="AG447" s="259"/>
    </row>
    <row r="448">
      <c r="A448" s="177"/>
      <c r="AG448" s="259"/>
    </row>
    <row r="449">
      <c r="A449" s="177"/>
      <c r="AG449" s="259"/>
    </row>
    <row r="450">
      <c r="A450" s="177"/>
      <c r="AG450" s="259"/>
    </row>
    <row r="451">
      <c r="A451" s="177"/>
      <c r="AG451" s="259"/>
    </row>
    <row r="452">
      <c r="A452" s="177"/>
      <c r="AG452" s="259"/>
    </row>
    <row r="453">
      <c r="A453" s="177"/>
      <c r="AG453" s="259"/>
    </row>
    <row r="454">
      <c r="A454" s="177"/>
      <c r="AG454" s="259"/>
    </row>
    <row r="455">
      <c r="A455" s="177"/>
      <c r="AG455" s="259"/>
    </row>
    <row r="456">
      <c r="A456" s="177"/>
      <c r="AG456" s="259"/>
    </row>
    <row r="457">
      <c r="A457" s="177"/>
      <c r="AG457" s="259"/>
    </row>
    <row r="458">
      <c r="A458" s="177"/>
      <c r="AG458" s="259"/>
    </row>
    <row r="459">
      <c r="A459" s="177"/>
      <c r="AG459" s="259"/>
    </row>
    <row r="460">
      <c r="A460" s="177"/>
      <c r="AG460" s="259"/>
    </row>
    <row r="461">
      <c r="A461" s="177"/>
      <c r="AG461" s="259"/>
    </row>
    <row r="462">
      <c r="A462" s="177"/>
      <c r="AG462" s="259"/>
    </row>
    <row r="463">
      <c r="A463" s="177"/>
      <c r="AG463" s="259"/>
    </row>
    <row r="464">
      <c r="A464" s="177"/>
      <c r="AG464" s="259"/>
    </row>
    <row r="465">
      <c r="A465" s="177"/>
      <c r="AG465" s="259"/>
    </row>
    <row r="466">
      <c r="A466" s="177"/>
      <c r="AG466" s="259"/>
    </row>
    <row r="467">
      <c r="A467" s="177"/>
      <c r="AG467" s="259"/>
    </row>
    <row r="468">
      <c r="A468" s="177"/>
      <c r="AG468" s="259"/>
    </row>
    <row r="469">
      <c r="A469" s="177"/>
      <c r="AG469" s="259"/>
    </row>
    <row r="470">
      <c r="A470" s="177"/>
      <c r="AG470" s="259"/>
    </row>
    <row r="471">
      <c r="A471" s="177"/>
      <c r="AG471" s="259"/>
    </row>
    <row r="472">
      <c r="A472" s="177"/>
      <c r="AG472" s="259"/>
    </row>
    <row r="473">
      <c r="A473" s="177"/>
      <c r="AG473" s="259"/>
    </row>
    <row r="474">
      <c r="A474" s="177"/>
      <c r="AG474" s="259"/>
    </row>
    <row r="475">
      <c r="A475" s="177"/>
      <c r="AG475" s="259"/>
    </row>
    <row r="476">
      <c r="A476" s="177"/>
      <c r="AG476" s="259"/>
    </row>
    <row r="477">
      <c r="A477" s="177"/>
      <c r="AG477" s="259"/>
    </row>
    <row r="478">
      <c r="A478" s="177"/>
      <c r="AG478" s="259"/>
    </row>
    <row r="479">
      <c r="A479" s="177"/>
      <c r="AG479" s="259"/>
    </row>
    <row r="480">
      <c r="A480" s="177"/>
      <c r="AG480" s="259"/>
    </row>
    <row r="481">
      <c r="A481" s="177"/>
      <c r="AG481" s="259"/>
    </row>
    <row r="482">
      <c r="A482" s="177"/>
      <c r="AG482" s="259"/>
    </row>
    <row r="483">
      <c r="A483" s="177"/>
      <c r="AG483" s="259"/>
    </row>
    <row r="484">
      <c r="A484" s="177"/>
      <c r="AG484" s="259"/>
    </row>
    <row r="485">
      <c r="A485" s="177"/>
      <c r="AG485" s="259"/>
    </row>
    <row r="486">
      <c r="A486" s="177"/>
      <c r="AG486" s="259"/>
    </row>
    <row r="487">
      <c r="A487" s="177"/>
      <c r="AG487" s="259"/>
    </row>
    <row r="488">
      <c r="A488" s="177"/>
      <c r="AG488" s="259"/>
    </row>
    <row r="489">
      <c r="A489" s="177"/>
      <c r="AG489" s="259"/>
    </row>
    <row r="490">
      <c r="A490" s="177"/>
      <c r="AG490" s="259"/>
    </row>
    <row r="491">
      <c r="A491" s="177"/>
      <c r="AG491" s="259"/>
    </row>
    <row r="492">
      <c r="A492" s="177"/>
      <c r="AG492" s="259"/>
    </row>
    <row r="493">
      <c r="A493" s="177"/>
      <c r="AG493" s="259"/>
    </row>
    <row r="494">
      <c r="A494" s="177"/>
      <c r="AG494" s="259"/>
    </row>
    <row r="495">
      <c r="A495" s="177"/>
      <c r="AG495" s="259"/>
    </row>
    <row r="496">
      <c r="A496" s="177"/>
      <c r="AG496" s="259"/>
    </row>
    <row r="497">
      <c r="A497" s="177"/>
      <c r="AG497" s="259"/>
    </row>
    <row r="498">
      <c r="A498" s="177"/>
      <c r="AG498" s="259"/>
    </row>
    <row r="499">
      <c r="A499" s="177"/>
      <c r="AG499" s="259"/>
    </row>
    <row r="500">
      <c r="A500" s="177"/>
      <c r="AG500" s="259"/>
    </row>
    <row r="501">
      <c r="A501" s="177"/>
      <c r="AG501" s="259"/>
    </row>
    <row r="502">
      <c r="A502" s="177"/>
      <c r="AG502" s="259"/>
    </row>
    <row r="503">
      <c r="A503" s="177"/>
      <c r="AG503" s="259"/>
    </row>
    <row r="504">
      <c r="A504" s="177"/>
      <c r="AG504" s="259"/>
    </row>
    <row r="505">
      <c r="A505" s="177"/>
      <c r="AG505" s="259"/>
    </row>
    <row r="506">
      <c r="A506" s="177"/>
      <c r="AG506" s="259"/>
    </row>
    <row r="507">
      <c r="A507" s="177"/>
      <c r="AG507" s="259"/>
    </row>
    <row r="508">
      <c r="A508" s="177"/>
      <c r="AG508" s="259"/>
    </row>
    <row r="509">
      <c r="A509" s="177"/>
      <c r="AG509" s="259"/>
    </row>
    <row r="510">
      <c r="A510" s="177"/>
      <c r="AG510" s="259"/>
    </row>
    <row r="511">
      <c r="A511" s="177"/>
      <c r="AG511" s="259"/>
    </row>
    <row r="512">
      <c r="A512" s="177"/>
      <c r="AG512" s="259"/>
    </row>
    <row r="513">
      <c r="A513" s="177"/>
      <c r="AG513" s="259"/>
    </row>
    <row r="514">
      <c r="A514" s="177"/>
      <c r="AG514" s="259"/>
    </row>
    <row r="515">
      <c r="A515" s="177"/>
      <c r="AG515" s="259"/>
    </row>
    <row r="516">
      <c r="A516" s="177"/>
      <c r="AG516" s="259"/>
    </row>
    <row r="517">
      <c r="A517" s="177"/>
      <c r="AG517" s="259"/>
    </row>
    <row r="518">
      <c r="A518" s="177"/>
      <c r="AG518" s="259"/>
    </row>
    <row r="519">
      <c r="A519" s="177"/>
      <c r="AG519" s="259"/>
    </row>
    <row r="520">
      <c r="A520" s="177"/>
      <c r="AG520" s="259"/>
    </row>
    <row r="521">
      <c r="A521" s="177"/>
      <c r="AG521" s="259"/>
    </row>
    <row r="522">
      <c r="A522" s="177"/>
      <c r="AG522" s="259"/>
    </row>
    <row r="523">
      <c r="A523" s="177"/>
      <c r="AG523" s="259"/>
    </row>
    <row r="524">
      <c r="A524" s="177"/>
      <c r="AG524" s="259"/>
    </row>
    <row r="525">
      <c r="A525" s="177"/>
      <c r="AG525" s="259"/>
    </row>
    <row r="526">
      <c r="A526" s="177"/>
      <c r="AG526" s="259"/>
    </row>
    <row r="527">
      <c r="A527" s="177"/>
      <c r="AG527" s="259"/>
    </row>
    <row r="528">
      <c r="A528" s="177"/>
      <c r="AG528" s="259"/>
    </row>
    <row r="529">
      <c r="A529" s="177"/>
      <c r="AG529" s="259"/>
    </row>
    <row r="530">
      <c r="A530" s="177"/>
      <c r="AG530" s="259"/>
    </row>
    <row r="531">
      <c r="A531" s="177"/>
      <c r="AG531" s="259"/>
    </row>
    <row r="532">
      <c r="A532" s="177"/>
      <c r="AG532" s="259"/>
    </row>
    <row r="533">
      <c r="A533" s="177"/>
      <c r="AG533" s="259"/>
    </row>
    <row r="534">
      <c r="A534" s="177"/>
      <c r="AG534" s="259"/>
    </row>
    <row r="535">
      <c r="A535" s="177"/>
      <c r="AG535" s="259"/>
    </row>
    <row r="536">
      <c r="A536" s="177"/>
      <c r="AG536" s="259"/>
    </row>
    <row r="537">
      <c r="A537" s="177"/>
      <c r="AG537" s="259"/>
    </row>
    <row r="538">
      <c r="A538" s="177"/>
      <c r="AG538" s="259"/>
    </row>
    <row r="539">
      <c r="A539" s="177"/>
      <c r="AG539" s="259"/>
    </row>
    <row r="540">
      <c r="A540" s="177"/>
      <c r="AG540" s="259"/>
    </row>
    <row r="541">
      <c r="A541" s="177"/>
      <c r="AG541" s="259"/>
    </row>
    <row r="542">
      <c r="A542" s="177"/>
      <c r="AG542" s="259"/>
    </row>
    <row r="543">
      <c r="A543" s="177"/>
      <c r="AG543" s="259"/>
    </row>
    <row r="544">
      <c r="A544" s="177"/>
      <c r="AG544" s="259"/>
    </row>
    <row r="545">
      <c r="A545" s="177"/>
      <c r="AG545" s="259"/>
    </row>
    <row r="546">
      <c r="A546" s="177"/>
      <c r="AG546" s="259"/>
    </row>
    <row r="547">
      <c r="A547" s="177"/>
      <c r="AG547" s="259"/>
    </row>
    <row r="548">
      <c r="A548" s="177"/>
      <c r="AG548" s="259"/>
    </row>
    <row r="549">
      <c r="A549" s="177"/>
      <c r="AG549" s="259"/>
    </row>
    <row r="550">
      <c r="A550" s="177"/>
      <c r="AG550" s="259"/>
    </row>
    <row r="551">
      <c r="A551" s="177"/>
      <c r="AG551" s="259"/>
    </row>
    <row r="552">
      <c r="A552" s="177"/>
      <c r="AG552" s="259"/>
    </row>
    <row r="553">
      <c r="A553" s="177"/>
      <c r="AG553" s="259"/>
    </row>
    <row r="554">
      <c r="A554" s="177"/>
      <c r="AG554" s="259"/>
    </row>
    <row r="555">
      <c r="A555" s="177"/>
      <c r="AG555" s="259"/>
    </row>
    <row r="556">
      <c r="A556" s="177"/>
      <c r="AG556" s="259"/>
    </row>
    <row r="557">
      <c r="A557" s="177"/>
      <c r="AG557" s="259"/>
    </row>
    <row r="558">
      <c r="A558" s="177"/>
      <c r="AG558" s="259"/>
    </row>
    <row r="559">
      <c r="A559" s="177"/>
      <c r="AG559" s="259"/>
    </row>
    <row r="560">
      <c r="A560" s="177"/>
      <c r="AG560" s="259"/>
    </row>
    <row r="561">
      <c r="A561" s="177"/>
      <c r="AG561" s="259"/>
    </row>
    <row r="562">
      <c r="A562" s="177"/>
      <c r="AG562" s="259"/>
    </row>
    <row r="563">
      <c r="A563" s="177"/>
      <c r="AG563" s="259"/>
    </row>
    <row r="564">
      <c r="A564" s="177"/>
      <c r="AG564" s="259"/>
    </row>
    <row r="565">
      <c r="A565" s="177"/>
      <c r="AG565" s="259"/>
    </row>
    <row r="566">
      <c r="A566" s="177"/>
      <c r="AG566" s="259"/>
    </row>
    <row r="567">
      <c r="A567" s="177"/>
      <c r="AG567" s="259"/>
    </row>
    <row r="568">
      <c r="A568" s="177"/>
      <c r="AG568" s="259"/>
    </row>
    <row r="569">
      <c r="A569" s="177"/>
      <c r="AG569" s="259"/>
    </row>
    <row r="570">
      <c r="A570" s="177"/>
      <c r="AG570" s="259"/>
    </row>
    <row r="571">
      <c r="A571" s="177"/>
      <c r="AG571" s="259"/>
    </row>
    <row r="572">
      <c r="A572" s="177"/>
      <c r="AG572" s="259"/>
    </row>
    <row r="573">
      <c r="A573" s="177"/>
      <c r="AG573" s="259"/>
    </row>
    <row r="574">
      <c r="A574" s="177"/>
      <c r="AG574" s="259"/>
    </row>
    <row r="575">
      <c r="A575" s="177"/>
      <c r="AG575" s="259"/>
    </row>
    <row r="576">
      <c r="A576" s="177"/>
      <c r="AG576" s="259"/>
    </row>
    <row r="577">
      <c r="A577" s="177"/>
      <c r="AG577" s="259"/>
    </row>
    <row r="578">
      <c r="A578" s="177"/>
      <c r="AG578" s="259"/>
    </row>
    <row r="579">
      <c r="A579" s="177"/>
      <c r="AG579" s="259"/>
    </row>
    <row r="580">
      <c r="A580" s="177"/>
      <c r="AG580" s="259"/>
    </row>
    <row r="581">
      <c r="A581" s="177"/>
      <c r="AG581" s="259"/>
    </row>
    <row r="582">
      <c r="A582" s="177"/>
      <c r="AG582" s="259"/>
    </row>
    <row r="583">
      <c r="A583" s="177"/>
      <c r="AG583" s="259"/>
    </row>
    <row r="584">
      <c r="A584" s="177"/>
      <c r="AG584" s="259"/>
    </row>
    <row r="585">
      <c r="A585" s="177"/>
      <c r="AG585" s="259"/>
    </row>
    <row r="586">
      <c r="A586" s="177"/>
      <c r="AG586" s="259"/>
    </row>
    <row r="587">
      <c r="A587" s="177"/>
      <c r="AG587" s="259"/>
    </row>
    <row r="588">
      <c r="A588" s="177"/>
      <c r="AG588" s="259"/>
    </row>
    <row r="589">
      <c r="A589" s="177"/>
      <c r="AG589" s="259"/>
    </row>
    <row r="590">
      <c r="A590" s="177"/>
      <c r="AG590" s="259"/>
    </row>
    <row r="591">
      <c r="A591" s="177"/>
      <c r="AG591" s="259"/>
    </row>
    <row r="592">
      <c r="A592" s="177"/>
      <c r="AG592" s="259"/>
    </row>
    <row r="593">
      <c r="A593" s="177"/>
      <c r="AG593" s="259"/>
    </row>
    <row r="594">
      <c r="A594" s="177"/>
      <c r="AG594" s="259"/>
    </row>
    <row r="595">
      <c r="A595" s="177"/>
      <c r="AG595" s="259"/>
    </row>
    <row r="596">
      <c r="A596" s="177"/>
      <c r="AG596" s="259"/>
    </row>
    <row r="597">
      <c r="A597" s="177"/>
      <c r="AG597" s="259"/>
    </row>
    <row r="598">
      <c r="A598" s="177"/>
      <c r="AG598" s="259"/>
    </row>
    <row r="599">
      <c r="A599" s="177"/>
      <c r="AG599" s="259"/>
    </row>
    <row r="600">
      <c r="A600" s="177"/>
      <c r="AG600" s="259"/>
    </row>
    <row r="601">
      <c r="A601" s="177"/>
      <c r="AG601" s="259"/>
    </row>
    <row r="602">
      <c r="A602" s="177"/>
      <c r="AG602" s="259"/>
    </row>
    <row r="603">
      <c r="A603" s="177"/>
      <c r="AG603" s="259"/>
    </row>
    <row r="604">
      <c r="A604" s="177"/>
      <c r="AG604" s="259"/>
    </row>
    <row r="605">
      <c r="A605" s="177"/>
      <c r="AG605" s="259"/>
    </row>
    <row r="606">
      <c r="A606" s="177"/>
      <c r="AG606" s="259"/>
    </row>
    <row r="607">
      <c r="A607" s="177"/>
      <c r="AG607" s="259"/>
    </row>
    <row r="608">
      <c r="A608" s="177"/>
      <c r="AG608" s="259"/>
    </row>
    <row r="609">
      <c r="A609" s="177"/>
      <c r="AG609" s="259"/>
    </row>
    <row r="610">
      <c r="A610" s="177"/>
      <c r="AG610" s="259"/>
    </row>
    <row r="611">
      <c r="A611" s="177"/>
      <c r="AG611" s="259"/>
    </row>
    <row r="612">
      <c r="A612" s="177"/>
      <c r="AG612" s="259"/>
    </row>
    <row r="613">
      <c r="A613" s="177"/>
      <c r="AG613" s="259"/>
    </row>
    <row r="614">
      <c r="A614" s="177"/>
      <c r="AG614" s="259"/>
    </row>
    <row r="615">
      <c r="A615" s="177"/>
      <c r="AG615" s="259"/>
    </row>
    <row r="616">
      <c r="A616" s="177"/>
      <c r="AG616" s="259"/>
    </row>
    <row r="617">
      <c r="A617" s="177"/>
      <c r="AG617" s="259"/>
    </row>
    <row r="618">
      <c r="A618" s="177"/>
      <c r="AG618" s="259"/>
    </row>
    <row r="619">
      <c r="A619" s="177"/>
      <c r="AG619" s="259"/>
    </row>
    <row r="620">
      <c r="A620" s="177"/>
      <c r="AG620" s="259"/>
    </row>
    <row r="621">
      <c r="A621" s="177"/>
      <c r="AG621" s="259"/>
    </row>
    <row r="622">
      <c r="A622" s="177"/>
      <c r="AG622" s="259"/>
    </row>
    <row r="623">
      <c r="A623" s="177"/>
      <c r="AG623" s="259"/>
    </row>
    <row r="624">
      <c r="A624" s="177"/>
      <c r="AG624" s="259"/>
    </row>
    <row r="625">
      <c r="A625" s="177"/>
      <c r="AG625" s="259"/>
    </row>
    <row r="626">
      <c r="A626" s="177"/>
      <c r="AG626" s="259"/>
    </row>
    <row r="627">
      <c r="A627" s="177"/>
      <c r="AG627" s="259"/>
    </row>
    <row r="628">
      <c r="A628" s="177"/>
      <c r="AG628" s="259"/>
    </row>
    <row r="629">
      <c r="A629" s="177"/>
      <c r="AG629" s="259"/>
    </row>
    <row r="630">
      <c r="A630" s="177"/>
      <c r="AG630" s="259"/>
    </row>
    <row r="631">
      <c r="A631" s="177"/>
      <c r="AG631" s="259"/>
    </row>
    <row r="632">
      <c r="A632" s="177"/>
      <c r="AG632" s="259"/>
    </row>
    <row r="633">
      <c r="A633" s="177"/>
      <c r="AG633" s="259"/>
    </row>
    <row r="634">
      <c r="A634" s="177"/>
      <c r="AG634" s="259"/>
    </row>
    <row r="635">
      <c r="A635" s="177"/>
      <c r="AG635" s="259"/>
    </row>
    <row r="636">
      <c r="A636" s="177"/>
      <c r="AG636" s="259"/>
    </row>
    <row r="637">
      <c r="A637" s="177"/>
      <c r="AG637" s="259"/>
    </row>
    <row r="638">
      <c r="A638" s="177"/>
      <c r="AG638" s="259"/>
    </row>
    <row r="639">
      <c r="A639" s="177"/>
      <c r="AG639" s="259"/>
    </row>
    <row r="640">
      <c r="A640" s="177"/>
      <c r="AG640" s="259"/>
    </row>
    <row r="641">
      <c r="A641" s="177"/>
      <c r="AG641" s="259"/>
    </row>
    <row r="642">
      <c r="A642" s="177"/>
      <c r="AG642" s="259"/>
    </row>
    <row r="643">
      <c r="A643" s="177"/>
      <c r="AG643" s="259"/>
    </row>
    <row r="644">
      <c r="A644" s="177"/>
      <c r="AG644" s="259"/>
    </row>
    <row r="645">
      <c r="A645" s="177"/>
      <c r="AG645" s="259"/>
    </row>
    <row r="646">
      <c r="A646" s="177"/>
      <c r="AG646" s="259"/>
    </row>
    <row r="647">
      <c r="A647" s="177"/>
      <c r="AG647" s="259"/>
    </row>
    <row r="648">
      <c r="A648" s="177"/>
      <c r="AG648" s="259"/>
    </row>
    <row r="649">
      <c r="A649" s="177"/>
      <c r="AG649" s="259"/>
    </row>
    <row r="650">
      <c r="A650" s="177"/>
      <c r="AG650" s="259"/>
    </row>
    <row r="651">
      <c r="A651" s="177"/>
      <c r="AG651" s="259"/>
    </row>
    <row r="652">
      <c r="A652" s="177"/>
      <c r="AG652" s="259"/>
    </row>
    <row r="653">
      <c r="A653" s="177"/>
      <c r="AG653" s="259"/>
    </row>
    <row r="654">
      <c r="A654" s="177"/>
      <c r="AG654" s="259"/>
    </row>
    <row r="655">
      <c r="A655" s="177"/>
      <c r="AG655" s="259"/>
    </row>
    <row r="656">
      <c r="A656" s="177"/>
      <c r="AG656" s="259"/>
    </row>
    <row r="657">
      <c r="A657" s="177"/>
      <c r="AG657" s="259"/>
    </row>
    <row r="658">
      <c r="A658" s="177"/>
      <c r="AG658" s="259"/>
    </row>
    <row r="659">
      <c r="A659" s="177"/>
      <c r="AG659" s="259"/>
    </row>
    <row r="660">
      <c r="A660" s="177"/>
      <c r="AG660" s="259"/>
    </row>
    <row r="661">
      <c r="A661" s="177"/>
      <c r="AG661" s="259"/>
    </row>
    <row r="662">
      <c r="A662" s="177"/>
      <c r="AG662" s="259"/>
    </row>
    <row r="663">
      <c r="A663" s="177"/>
      <c r="AG663" s="259"/>
    </row>
    <row r="664">
      <c r="A664" s="177"/>
      <c r="AG664" s="259"/>
    </row>
    <row r="665">
      <c r="A665" s="177"/>
      <c r="AG665" s="259"/>
    </row>
    <row r="666">
      <c r="A666" s="177"/>
      <c r="AG666" s="259"/>
    </row>
    <row r="667">
      <c r="A667" s="177"/>
      <c r="AG667" s="259"/>
    </row>
    <row r="668">
      <c r="A668" s="177"/>
      <c r="AG668" s="259"/>
    </row>
    <row r="669">
      <c r="A669" s="177"/>
      <c r="AG669" s="259"/>
    </row>
    <row r="670">
      <c r="A670" s="177"/>
      <c r="AG670" s="259"/>
    </row>
    <row r="671">
      <c r="A671" s="177"/>
      <c r="AG671" s="259"/>
    </row>
    <row r="672">
      <c r="A672" s="177"/>
      <c r="AG672" s="259"/>
    </row>
    <row r="673">
      <c r="A673" s="177"/>
      <c r="AG673" s="259"/>
    </row>
    <row r="674">
      <c r="A674" s="177"/>
      <c r="AG674" s="259"/>
    </row>
    <row r="675">
      <c r="A675" s="177"/>
      <c r="AG675" s="259"/>
    </row>
    <row r="676">
      <c r="A676" s="177"/>
      <c r="AG676" s="259"/>
    </row>
    <row r="677">
      <c r="A677" s="177"/>
      <c r="AG677" s="259"/>
    </row>
    <row r="678">
      <c r="A678" s="177"/>
      <c r="AG678" s="259"/>
    </row>
    <row r="679">
      <c r="A679" s="177"/>
      <c r="AG679" s="259"/>
    </row>
    <row r="680">
      <c r="A680" s="177"/>
      <c r="AG680" s="259"/>
    </row>
    <row r="681">
      <c r="A681" s="177"/>
      <c r="AG681" s="259"/>
    </row>
    <row r="682">
      <c r="A682" s="177"/>
      <c r="AG682" s="259"/>
    </row>
    <row r="683">
      <c r="A683" s="177"/>
      <c r="AG683" s="259"/>
    </row>
    <row r="684">
      <c r="A684" s="177"/>
      <c r="AG684" s="259"/>
    </row>
    <row r="685">
      <c r="A685" s="177"/>
      <c r="AG685" s="259"/>
    </row>
    <row r="686">
      <c r="A686" s="177"/>
      <c r="AG686" s="259"/>
    </row>
    <row r="687">
      <c r="A687" s="177"/>
      <c r="AG687" s="259"/>
    </row>
    <row r="688">
      <c r="A688" s="177"/>
      <c r="AG688" s="259"/>
    </row>
    <row r="689">
      <c r="A689" s="177"/>
      <c r="AG689" s="259"/>
    </row>
    <row r="690">
      <c r="A690" s="177"/>
      <c r="AG690" s="259"/>
    </row>
    <row r="691">
      <c r="A691" s="177"/>
      <c r="AG691" s="259"/>
    </row>
    <row r="692">
      <c r="A692" s="177"/>
      <c r="AG692" s="259"/>
    </row>
    <row r="693">
      <c r="A693" s="177"/>
      <c r="AG693" s="259"/>
    </row>
    <row r="694">
      <c r="A694" s="177"/>
      <c r="AG694" s="259"/>
    </row>
    <row r="695">
      <c r="A695" s="177"/>
      <c r="AG695" s="259"/>
    </row>
    <row r="696">
      <c r="A696" s="177"/>
      <c r="AG696" s="259"/>
    </row>
    <row r="697">
      <c r="A697" s="177"/>
      <c r="AG697" s="259"/>
    </row>
    <row r="698">
      <c r="A698" s="177"/>
      <c r="AG698" s="259"/>
    </row>
    <row r="699">
      <c r="A699" s="177"/>
      <c r="AG699" s="259"/>
    </row>
    <row r="700">
      <c r="A700" s="177"/>
      <c r="AG700" s="259"/>
    </row>
    <row r="701">
      <c r="A701" s="177"/>
      <c r="AG701" s="259"/>
    </row>
    <row r="702">
      <c r="A702" s="177"/>
      <c r="AG702" s="259"/>
    </row>
    <row r="703">
      <c r="A703" s="177"/>
      <c r="AG703" s="259"/>
    </row>
    <row r="704">
      <c r="A704" s="177"/>
      <c r="AG704" s="259"/>
    </row>
    <row r="705">
      <c r="A705" s="177"/>
      <c r="AG705" s="259"/>
    </row>
    <row r="706">
      <c r="A706" s="177"/>
      <c r="AG706" s="259"/>
    </row>
    <row r="707">
      <c r="A707" s="177"/>
      <c r="AG707" s="259"/>
    </row>
    <row r="708">
      <c r="A708" s="177"/>
      <c r="AG708" s="259"/>
    </row>
    <row r="709">
      <c r="A709" s="177"/>
      <c r="AG709" s="259"/>
    </row>
    <row r="710">
      <c r="A710" s="177"/>
      <c r="AG710" s="259"/>
    </row>
    <row r="711">
      <c r="A711" s="177"/>
      <c r="AG711" s="259"/>
    </row>
    <row r="712">
      <c r="A712" s="177"/>
      <c r="AG712" s="259"/>
    </row>
    <row r="713">
      <c r="A713" s="177"/>
      <c r="AG713" s="259"/>
    </row>
    <row r="714">
      <c r="A714" s="177"/>
      <c r="AG714" s="259"/>
    </row>
    <row r="715">
      <c r="A715" s="177"/>
      <c r="AG715" s="259"/>
    </row>
    <row r="716">
      <c r="A716" s="177"/>
      <c r="AG716" s="259"/>
    </row>
    <row r="717">
      <c r="A717" s="177"/>
      <c r="AG717" s="259"/>
    </row>
    <row r="718">
      <c r="A718" s="177"/>
      <c r="AG718" s="259"/>
    </row>
    <row r="719">
      <c r="A719" s="177"/>
      <c r="AG719" s="259"/>
    </row>
    <row r="720">
      <c r="A720" s="177"/>
      <c r="AG720" s="259"/>
    </row>
    <row r="721">
      <c r="A721" s="177"/>
      <c r="AG721" s="259"/>
    </row>
    <row r="722">
      <c r="A722" s="177"/>
      <c r="AG722" s="259"/>
    </row>
    <row r="723">
      <c r="A723" s="177"/>
      <c r="AG723" s="259"/>
    </row>
    <row r="724">
      <c r="A724" s="177"/>
      <c r="AG724" s="259"/>
    </row>
    <row r="725">
      <c r="A725" s="177"/>
      <c r="AG725" s="259"/>
    </row>
    <row r="726">
      <c r="A726" s="177"/>
      <c r="AG726" s="259"/>
    </row>
    <row r="727">
      <c r="A727" s="177"/>
      <c r="AG727" s="259"/>
    </row>
    <row r="728">
      <c r="A728" s="177"/>
      <c r="AG728" s="259"/>
    </row>
    <row r="729">
      <c r="A729" s="177"/>
      <c r="AG729" s="259"/>
    </row>
    <row r="730">
      <c r="A730" s="177"/>
      <c r="AG730" s="259"/>
    </row>
    <row r="731">
      <c r="A731" s="177"/>
      <c r="AG731" s="259"/>
    </row>
    <row r="732">
      <c r="A732" s="177"/>
      <c r="AG732" s="259"/>
    </row>
    <row r="733">
      <c r="A733" s="177"/>
      <c r="AG733" s="259"/>
    </row>
    <row r="734">
      <c r="A734" s="177"/>
      <c r="AG734" s="259"/>
    </row>
    <row r="735">
      <c r="A735" s="177"/>
      <c r="AG735" s="259"/>
    </row>
    <row r="736">
      <c r="A736" s="177"/>
      <c r="AG736" s="259"/>
    </row>
    <row r="737">
      <c r="A737" s="177"/>
      <c r="AG737" s="259"/>
    </row>
    <row r="738">
      <c r="A738" s="177"/>
      <c r="AG738" s="259"/>
    </row>
    <row r="739">
      <c r="A739" s="177"/>
      <c r="AG739" s="259"/>
    </row>
    <row r="740">
      <c r="A740" s="177"/>
      <c r="AG740" s="259"/>
    </row>
    <row r="741">
      <c r="A741" s="177"/>
      <c r="AG741" s="259"/>
    </row>
    <row r="742">
      <c r="A742" s="177"/>
      <c r="AG742" s="259"/>
    </row>
    <row r="743">
      <c r="A743" s="177"/>
      <c r="AG743" s="259"/>
    </row>
    <row r="744">
      <c r="A744" s="177"/>
      <c r="AG744" s="259"/>
    </row>
    <row r="745">
      <c r="A745" s="177"/>
      <c r="AG745" s="259"/>
    </row>
  </sheetData>
  <conditionalFormatting sqref="B191:AF191">
    <cfRule type="colorScale" priority="1">
      <colorScale>
        <cfvo type="min"/>
        <cfvo type="max"/>
        <color rgb="FFFFFFFF"/>
        <color rgb="FFE67C73"/>
      </colorScale>
    </cfRule>
  </conditionalFormatting>
  <conditionalFormatting sqref="B218:AF218 B280:AF280">
    <cfRule type="colorScale" priority="2">
      <colorScale>
        <cfvo type="min"/>
        <cfvo type="max"/>
        <color rgb="FFFFFFFF"/>
        <color rgb="FF57BB8A"/>
      </colorScale>
    </cfRule>
  </conditionalFormatting>
  <conditionalFormatting sqref="B213:AF214 B274:AF274">
    <cfRule type="colorScale" priority="3">
      <colorScale>
        <cfvo type="min"/>
        <cfvo type="max"/>
        <color rgb="FFFFFFFF"/>
        <color rgb="FF57BB8A"/>
      </colorScale>
    </cfRule>
  </conditionalFormatting>
  <conditionalFormatting sqref="B209:AF209">
    <cfRule type="colorScale" priority="4">
      <colorScale>
        <cfvo type="min"/>
        <cfvo type="max"/>
        <color rgb="FFFFFFFF"/>
        <color rgb="FFE67C73"/>
      </colorScale>
    </cfRule>
  </conditionalFormatting>
  <conditionalFormatting sqref="B215:AF216 B277:AF277">
    <cfRule type="colorScale" priority="5">
      <colorScale>
        <cfvo type="min"/>
        <cfvo type="max"/>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296" t="s">
        <v>99</v>
      </c>
      <c r="B1" s="77">
        <v>45292.0</v>
      </c>
      <c r="C1" s="77">
        <v>45293.0</v>
      </c>
      <c r="D1" s="77">
        <v>45294.0</v>
      </c>
      <c r="E1" s="77">
        <v>45295.0</v>
      </c>
      <c r="F1" s="77">
        <v>45296.0</v>
      </c>
      <c r="G1" s="77">
        <v>45297.0</v>
      </c>
      <c r="H1" s="77">
        <v>45298.0</v>
      </c>
      <c r="I1" s="77">
        <v>45299.0</v>
      </c>
      <c r="J1" s="77">
        <v>45300.0</v>
      </c>
      <c r="K1" s="77">
        <v>45301.0</v>
      </c>
      <c r="L1" s="77">
        <v>45302.0</v>
      </c>
      <c r="M1" s="77">
        <v>45303.0</v>
      </c>
      <c r="N1" s="77">
        <v>45304.0</v>
      </c>
      <c r="O1" s="77">
        <v>45305.0</v>
      </c>
      <c r="P1" s="77">
        <v>45306.0</v>
      </c>
      <c r="Q1" s="77">
        <v>45307.0</v>
      </c>
      <c r="R1" s="77">
        <v>45308.0</v>
      </c>
      <c r="S1" s="77">
        <v>45309.0</v>
      </c>
      <c r="T1" s="77">
        <v>45310.0</v>
      </c>
      <c r="U1" s="77">
        <v>45311.0</v>
      </c>
      <c r="V1" s="77">
        <v>45312.0</v>
      </c>
      <c r="W1" s="77">
        <v>45313.0</v>
      </c>
      <c r="X1" s="77">
        <v>45314.0</v>
      </c>
      <c r="Y1" s="77">
        <v>45315.0</v>
      </c>
      <c r="Z1" s="77">
        <v>45316.0</v>
      </c>
      <c r="AA1" s="77">
        <v>45317.0</v>
      </c>
      <c r="AB1" s="77">
        <v>45318.0</v>
      </c>
      <c r="AC1" s="77">
        <v>45319.0</v>
      </c>
      <c r="AD1" s="77">
        <v>45320.0</v>
      </c>
      <c r="AE1" s="77">
        <v>45321.0</v>
      </c>
      <c r="AF1" s="77">
        <v>45322.0</v>
      </c>
      <c r="AG1" s="78"/>
    </row>
    <row r="2">
      <c r="A2" s="79" t="s">
        <v>100</v>
      </c>
      <c r="B2" s="80" t="s">
        <v>0</v>
      </c>
      <c r="C2" s="80" t="s">
        <v>7</v>
      </c>
      <c r="D2" s="80" t="s">
        <v>2</v>
      </c>
      <c r="E2" s="80" t="s">
        <v>3</v>
      </c>
      <c r="F2" s="80" t="s">
        <v>4</v>
      </c>
      <c r="G2" s="80" t="s">
        <v>5</v>
      </c>
      <c r="H2" s="80" t="s">
        <v>6</v>
      </c>
      <c r="I2" s="80" t="s">
        <v>0</v>
      </c>
      <c r="J2" s="80" t="s">
        <v>7</v>
      </c>
      <c r="K2" s="80" t="s">
        <v>2</v>
      </c>
      <c r="L2" s="80" t="s">
        <v>3</v>
      </c>
      <c r="M2" s="80" t="s">
        <v>4</v>
      </c>
      <c r="N2" s="80" t="s">
        <v>5</v>
      </c>
      <c r="O2" s="80" t="s">
        <v>6</v>
      </c>
      <c r="P2" s="80" t="s">
        <v>0</v>
      </c>
      <c r="Q2" s="80" t="s">
        <v>7</v>
      </c>
      <c r="R2" s="80" t="s">
        <v>2</v>
      </c>
      <c r="S2" s="80" t="s">
        <v>3</v>
      </c>
      <c r="T2" s="80" t="s">
        <v>4</v>
      </c>
      <c r="U2" s="80" t="s">
        <v>5</v>
      </c>
      <c r="V2" s="80" t="s">
        <v>6</v>
      </c>
      <c r="W2" s="80" t="s">
        <v>0</v>
      </c>
      <c r="X2" s="80" t="s">
        <v>7</v>
      </c>
      <c r="Y2" s="80" t="s">
        <v>2</v>
      </c>
      <c r="Z2" s="80" t="s">
        <v>3</v>
      </c>
      <c r="AA2" s="80" t="s">
        <v>4</v>
      </c>
      <c r="AB2" s="80" t="s">
        <v>5</v>
      </c>
      <c r="AC2" s="80" t="s">
        <v>6</v>
      </c>
      <c r="AD2" s="80" t="s">
        <v>0</v>
      </c>
      <c r="AE2" s="80" t="s">
        <v>7</v>
      </c>
      <c r="AF2" s="80" t="s">
        <v>2</v>
      </c>
      <c r="AG2" s="78"/>
    </row>
    <row r="3" ht="30.0" customHeight="1">
      <c r="A3" s="401" t="s">
        <v>555</v>
      </c>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43"/>
    </row>
    <row r="4" collapsed="1">
      <c r="A4" s="141" t="s">
        <v>87</v>
      </c>
      <c r="B4" s="142">
        <f>Summary!B22</f>
        <v>0</v>
      </c>
      <c r="C4" s="142">
        <f>Summary!C22</f>
        <v>0</v>
      </c>
      <c r="D4" s="142">
        <f>Summary!D22</f>
        <v>0</v>
      </c>
      <c r="E4" s="142">
        <f>Summary!E22</f>
        <v>0</v>
      </c>
      <c r="F4" s="142">
        <f>Summary!F22</f>
        <v>0</v>
      </c>
      <c r="G4" s="142">
        <f>Summary!G22</f>
        <v>0</v>
      </c>
      <c r="H4" s="142">
        <f>Summary!H22</f>
        <v>0</v>
      </c>
      <c r="I4" s="142">
        <f>Summary!I22</f>
        <v>0</v>
      </c>
      <c r="J4" s="142">
        <f>Summary!J22</f>
        <v>0</v>
      </c>
      <c r="K4" s="142">
        <f>Summary!K22</f>
        <v>0</v>
      </c>
      <c r="L4" s="142">
        <f>Summary!L22</f>
        <v>0</v>
      </c>
      <c r="M4" s="142">
        <f>Summary!M22</f>
        <v>0</v>
      </c>
      <c r="N4" s="142">
        <f>Summary!N22</f>
        <v>0</v>
      </c>
      <c r="O4" s="142">
        <f>Summary!O22</f>
        <v>0</v>
      </c>
      <c r="P4" s="142">
        <f>Summary!P22</f>
        <v>0</v>
      </c>
      <c r="Q4" s="142">
        <f>Summary!Q22</f>
        <v>0</v>
      </c>
      <c r="R4" s="142">
        <f>Summary!R22</f>
        <v>318.409386</v>
      </c>
      <c r="S4" s="142">
        <f>Summary!S22</f>
        <v>0</v>
      </c>
      <c r="T4" s="142">
        <f>Summary!T22</f>
        <v>318.409386</v>
      </c>
      <c r="U4" s="142">
        <f>Summary!U22</f>
        <v>0</v>
      </c>
      <c r="V4" s="142">
        <f>Summary!V22</f>
        <v>0</v>
      </c>
      <c r="W4" s="142">
        <f>Summary!W22</f>
        <v>0</v>
      </c>
      <c r="X4" s="142">
        <f>Summary!X22</f>
        <v>0</v>
      </c>
      <c r="Y4" s="142">
        <f>Summary!Y22</f>
        <v>0</v>
      </c>
      <c r="Z4" s="142">
        <f>Summary!Z22</f>
        <v>0</v>
      </c>
      <c r="AA4" s="142">
        <f>Summary!AA22</f>
        <v>0</v>
      </c>
      <c r="AB4" s="142">
        <f>Summary!AB22</f>
        <v>0</v>
      </c>
      <c r="AC4" s="142">
        <f>Summary!AC22</f>
        <v>0</v>
      </c>
      <c r="AD4" s="142">
        <f>Summary!AD22</f>
        <v>0</v>
      </c>
      <c r="AE4" s="142">
        <f>Summary!AE22</f>
        <v>318.409386</v>
      </c>
      <c r="AF4" s="142">
        <f>Summary!AF22</f>
        <v>0</v>
      </c>
      <c r="AG4" s="143">
        <f>sum(B4:AF4)</f>
        <v>955.228158</v>
      </c>
    </row>
    <row r="5" hidden="1" outlineLevel="1">
      <c r="A5" s="402" t="s">
        <v>115</v>
      </c>
      <c r="B5" s="403"/>
      <c r="C5" s="403"/>
      <c r="D5" s="403"/>
      <c r="E5" s="403"/>
      <c r="F5" s="403"/>
      <c r="G5" s="403"/>
      <c r="H5" s="403"/>
      <c r="I5" s="403"/>
      <c r="J5" s="403"/>
      <c r="K5" s="403"/>
      <c r="L5" s="403"/>
      <c r="M5" s="403"/>
      <c r="N5" s="403"/>
      <c r="O5" s="403"/>
      <c r="P5" s="403"/>
      <c r="Q5" s="403"/>
      <c r="R5" s="403"/>
      <c r="S5" s="403"/>
      <c r="T5" s="403"/>
      <c r="U5" s="403"/>
      <c r="V5" s="403"/>
      <c r="W5" s="403"/>
      <c r="X5" s="403"/>
      <c r="Y5" s="403"/>
      <c r="Z5" s="403"/>
      <c r="AA5" s="403"/>
      <c r="AB5" s="403"/>
      <c r="AC5" s="403"/>
      <c r="AD5" s="403"/>
      <c r="AE5" s="403"/>
      <c r="AF5" s="403"/>
      <c r="AG5" s="143"/>
    </row>
    <row r="6" hidden="1" outlineLevel="1">
      <c r="A6" s="404" t="s">
        <v>40</v>
      </c>
      <c r="B6" s="142">
        <f>Summary!B24</f>
        <v>0</v>
      </c>
      <c r="C6" s="142">
        <f>Summary!C24</f>
        <v>0</v>
      </c>
      <c r="D6" s="142">
        <f>Summary!D24</f>
        <v>0</v>
      </c>
      <c r="E6" s="142">
        <f>Summary!E24</f>
        <v>0</v>
      </c>
      <c r="F6" s="142">
        <f>Summary!F24</f>
        <v>0</v>
      </c>
      <c r="G6" s="142">
        <f>Summary!G24</f>
        <v>0</v>
      </c>
      <c r="H6" s="142">
        <f>Summary!H24</f>
        <v>0</v>
      </c>
      <c r="I6" s="142">
        <f>Summary!I24</f>
        <v>0</v>
      </c>
      <c r="J6" s="142">
        <f>Summary!J24</f>
        <v>0</v>
      </c>
      <c r="K6" s="142">
        <f>Summary!K24</f>
        <v>0</v>
      </c>
      <c r="L6" s="142">
        <f>Summary!L24</f>
        <v>0</v>
      </c>
      <c r="M6" s="142">
        <f>Summary!M24</f>
        <v>0</v>
      </c>
      <c r="N6" s="142">
        <f>Summary!N24</f>
        <v>0</v>
      </c>
      <c r="O6" s="142">
        <f>Summary!O24</f>
        <v>0</v>
      </c>
      <c r="P6" s="142">
        <f>Summary!P24</f>
        <v>0</v>
      </c>
      <c r="Q6" s="142">
        <f>Summary!Q24</f>
        <v>0</v>
      </c>
      <c r="R6" s="142">
        <f>Summary!R24</f>
        <v>18.419386</v>
      </c>
      <c r="S6" s="142">
        <f>Summary!S24</f>
        <v>0</v>
      </c>
      <c r="T6" s="142">
        <f>Summary!T24</f>
        <v>18.419386</v>
      </c>
      <c r="U6" s="142">
        <f>Summary!U24</f>
        <v>0</v>
      </c>
      <c r="V6" s="142">
        <f>Summary!V24</f>
        <v>0</v>
      </c>
      <c r="W6" s="142">
        <f>Summary!W24</f>
        <v>0</v>
      </c>
      <c r="X6" s="142">
        <f>Summary!X24</f>
        <v>0</v>
      </c>
      <c r="Y6" s="142">
        <f>Summary!Y24</f>
        <v>0</v>
      </c>
      <c r="Z6" s="142">
        <f>Summary!Z24</f>
        <v>0</v>
      </c>
      <c r="AA6" s="142">
        <f>Summary!AA24</f>
        <v>0</v>
      </c>
      <c r="AB6" s="142">
        <f>Summary!AB24</f>
        <v>0</v>
      </c>
      <c r="AC6" s="142">
        <f>Summary!AC24</f>
        <v>0</v>
      </c>
      <c r="AD6" s="142">
        <f>Summary!AD24</f>
        <v>0</v>
      </c>
      <c r="AE6" s="142">
        <f>Summary!AE24</f>
        <v>18.419386</v>
      </c>
      <c r="AF6" s="142">
        <f>Summary!AF24</f>
        <v>0</v>
      </c>
      <c r="AG6" s="143">
        <f t="shared" ref="AG6:AG8" si="1">sum(B6:AF6)</f>
        <v>55.258158</v>
      </c>
    </row>
    <row r="7" hidden="1" outlineLevel="1">
      <c r="A7" s="404" t="s">
        <v>556</v>
      </c>
      <c r="B7" s="142">
        <f>Summary!B25</f>
        <v>0</v>
      </c>
      <c r="C7" s="142">
        <f>Summary!C25</f>
        <v>0</v>
      </c>
      <c r="D7" s="142">
        <f>Summary!D25</f>
        <v>0</v>
      </c>
      <c r="E7" s="142">
        <f>Summary!E25</f>
        <v>0</v>
      </c>
      <c r="F7" s="142">
        <f>Summary!F25</f>
        <v>0</v>
      </c>
      <c r="G7" s="142">
        <f>Summary!G25</f>
        <v>0</v>
      </c>
      <c r="H7" s="142">
        <f>Summary!H25</f>
        <v>0</v>
      </c>
      <c r="I7" s="142">
        <f>Summary!I25</f>
        <v>0</v>
      </c>
      <c r="J7" s="142">
        <f>Summary!J25</f>
        <v>0</v>
      </c>
      <c r="K7" s="142">
        <f>Summary!K25</f>
        <v>0</v>
      </c>
      <c r="L7" s="142">
        <f>Summary!L25</f>
        <v>0</v>
      </c>
      <c r="M7" s="142">
        <f>Summary!M25</f>
        <v>0</v>
      </c>
      <c r="N7" s="142">
        <f>Summary!N25</f>
        <v>0</v>
      </c>
      <c r="O7" s="142">
        <f>Summary!O25</f>
        <v>0</v>
      </c>
      <c r="P7" s="142">
        <f>Summary!P25</f>
        <v>0</v>
      </c>
      <c r="Q7" s="142">
        <f>Summary!Q25</f>
        <v>0</v>
      </c>
      <c r="R7" s="142">
        <f>Summary!R25</f>
        <v>0</v>
      </c>
      <c r="S7" s="142">
        <f>Summary!S25</f>
        <v>0</v>
      </c>
      <c r="T7" s="142">
        <f>Summary!T25</f>
        <v>0</v>
      </c>
      <c r="U7" s="142">
        <f>Summary!U25</f>
        <v>0</v>
      </c>
      <c r="V7" s="142">
        <f>Summary!V25</f>
        <v>0</v>
      </c>
      <c r="W7" s="142">
        <f>Summary!W25</f>
        <v>0</v>
      </c>
      <c r="X7" s="142">
        <f>Summary!X25</f>
        <v>0</v>
      </c>
      <c r="Y7" s="142">
        <f>Summary!Y25</f>
        <v>0</v>
      </c>
      <c r="Z7" s="142">
        <f>Summary!Z25</f>
        <v>0</v>
      </c>
      <c r="AA7" s="142">
        <f>Summary!AA25</f>
        <v>0</v>
      </c>
      <c r="AB7" s="142">
        <f>Summary!AB25</f>
        <v>0</v>
      </c>
      <c r="AC7" s="142">
        <f>Summary!AC25</f>
        <v>0</v>
      </c>
      <c r="AD7" s="142">
        <f>Summary!AD25</f>
        <v>0</v>
      </c>
      <c r="AE7" s="142">
        <f>Summary!AE25</f>
        <v>0</v>
      </c>
      <c r="AF7" s="142">
        <f>Summary!AF25</f>
        <v>0</v>
      </c>
      <c r="AG7" s="143">
        <f t="shared" si="1"/>
        <v>0</v>
      </c>
    </row>
    <row r="8">
      <c r="A8" s="141" t="s">
        <v>94</v>
      </c>
      <c r="B8" s="166">
        <f>Summary!B58</f>
        <v>0</v>
      </c>
      <c r="C8" s="166">
        <f>Summary!C58</f>
        <v>0</v>
      </c>
      <c r="D8" s="166">
        <f>Summary!D58</f>
        <v>0</v>
      </c>
      <c r="E8" s="166">
        <f>Summary!E58</f>
        <v>0</v>
      </c>
      <c r="F8" s="166">
        <f>Summary!F58</f>
        <v>0</v>
      </c>
      <c r="G8" s="166">
        <f>Summary!G58</f>
        <v>0</v>
      </c>
      <c r="H8" s="166">
        <f>Summary!H58</f>
        <v>0</v>
      </c>
      <c r="I8" s="166">
        <f>Summary!I58</f>
        <v>0</v>
      </c>
      <c r="J8" s="166">
        <f>Summary!J58</f>
        <v>0</v>
      </c>
      <c r="K8" s="166">
        <f>Summary!K58</f>
        <v>0</v>
      </c>
      <c r="L8" s="166">
        <f>Summary!L58</f>
        <v>0</v>
      </c>
      <c r="M8" s="166">
        <f>Summary!M58</f>
        <v>0</v>
      </c>
      <c r="N8" s="166">
        <f>Summary!N58</f>
        <v>0</v>
      </c>
      <c r="O8" s="166">
        <f>Summary!O58</f>
        <v>0</v>
      </c>
      <c r="P8" s="166">
        <f>Summary!P58</f>
        <v>0</v>
      </c>
      <c r="Q8" s="166">
        <f>Summary!Q58</f>
        <v>0</v>
      </c>
      <c r="R8" s="166">
        <f>Summary!R58</f>
        <v>1</v>
      </c>
      <c r="S8" s="166">
        <f>Summary!S58</f>
        <v>0</v>
      </c>
      <c r="T8" s="166">
        <f>Summary!T58</f>
        <v>1</v>
      </c>
      <c r="U8" s="166">
        <f>Summary!U58</f>
        <v>0</v>
      </c>
      <c r="V8" s="166">
        <f>Summary!V58</f>
        <v>0</v>
      </c>
      <c r="W8" s="166">
        <f>Summary!W58</f>
        <v>0</v>
      </c>
      <c r="X8" s="166">
        <f>Summary!X58</f>
        <v>0</v>
      </c>
      <c r="Y8" s="166">
        <f>Summary!Y58</f>
        <v>0</v>
      </c>
      <c r="Z8" s="166">
        <f>Summary!Z58</f>
        <v>0</v>
      </c>
      <c r="AA8" s="166">
        <f>Summary!AA58</f>
        <v>0</v>
      </c>
      <c r="AB8" s="166">
        <f>Summary!AB58</f>
        <v>0</v>
      </c>
      <c r="AC8" s="166">
        <f>Summary!AC58</f>
        <v>0</v>
      </c>
      <c r="AD8" s="166">
        <f>Summary!AD58</f>
        <v>0</v>
      </c>
      <c r="AE8" s="166">
        <f>Summary!AE58</f>
        <v>1</v>
      </c>
      <c r="AF8" s="166">
        <f>Summary!AF58</f>
        <v>0</v>
      </c>
      <c r="AG8" s="143">
        <f t="shared" si="1"/>
        <v>3</v>
      </c>
    </row>
    <row r="9">
      <c r="A9" s="98"/>
      <c r="B9" s="82"/>
      <c r="C9" s="82"/>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146"/>
    </row>
    <row r="10">
      <c r="A10" s="216" t="s">
        <v>557</v>
      </c>
      <c r="B10" s="206">
        <f>Summary!B81</f>
        <v>0</v>
      </c>
      <c r="C10" s="206">
        <f>Summary!C81</f>
        <v>0</v>
      </c>
      <c r="D10" s="206">
        <f>Summary!D81</f>
        <v>0</v>
      </c>
      <c r="E10" s="206">
        <f>Summary!E81</f>
        <v>0</v>
      </c>
      <c r="F10" s="206">
        <f>Summary!F81</f>
        <v>0</v>
      </c>
      <c r="G10" s="206">
        <f>Summary!G81</f>
        <v>0</v>
      </c>
      <c r="H10" s="206">
        <f>Summary!H81</f>
        <v>0</v>
      </c>
      <c r="I10" s="206">
        <f>Summary!I81</f>
        <v>0</v>
      </c>
      <c r="J10" s="206">
        <f>Summary!J81</f>
        <v>0</v>
      </c>
      <c r="K10" s="206">
        <f>Summary!K81</f>
        <v>0</v>
      </c>
      <c r="L10" s="206">
        <f>Summary!L81</f>
        <v>0</v>
      </c>
      <c r="M10" s="206">
        <f>Summary!M81</f>
        <v>0</v>
      </c>
      <c r="N10" s="206">
        <f>Summary!N81</f>
        <v>0</v>
      </c>
      <c r="O10" s="206">
        <f>Summary!O81</f>
        <v>0</v>
      </c>
      <c r="P10" s="206">
        <f>Summary!P81</f>
        <v>0</v>
      </c>
      <c r="Q10" s="206">
        <f>Summary!Q81</f>
        <v>0</v>
      </c>
      <c r="R10" s="206">
        <f>Summary!R81</f>
        <v>63.6818772</v>
      </c>
      <c r="S10" s="206">
        <f>Summary!S81</f>
        <v>0</v>
      </c>
      <c r="T10" s="206">
        <f>Summary!T81</f>
        <v>63.6818772</v>
      </c>
      <c r="U10" s="206">
        <f>Summary!U81</f>
        <v>0</v>
      </c>
      <c r="V10" s="206">
        <f>Summary!V81</f>
        <v>0</v>
      </c>
      <c r="W10" s="206">
        <f>Summary!W81</f>
        <v>0</v>
      </c>
      <c r="X10" s="206">
        <f>Summary!X81</f>
        <v>0</v>
      </c>
      <c r="Y10" s="206">
        <f>Summary!Y81</f>
        <v>0</v>
      </c>
      <c r="Z10" s="206">
        <f>Summary!Z81</f>
        <v>0</v>
      </c>
      <c r="AA10" s="206">
        <f>Summary!AA81</f>
        <v>0</v>
      </c>
      <c r="AB10" s="206">
        <f>Summary!AB81</f>
        <v>0</v>
      </c>
      <c r="AC10" s="206">
        <f>Summary!AC81</f>
        <v>0</v>
      </c>
      <c r="AD10" s="206">
        <f>Summary!AD81</f>
        <v>0</v>
      </c>
      <c r="AE10" s="206">
        <f>Summary!AE81</f>
        <v>63.6818772</v>
      </c>
      <c r="AF10" s="206">
        <f>Summary!AF81</f>
        <v>0</v>
      </c>
      <c r="AG10" s="114">
        <f>sum(B10:AF10)</f>
        <v>191.0456316</v>
      </c>
    </row>
    <row r="11">
      <c r="A11" s="98"/>
      <c r="B11" s="82"/>
      <c r="C11" s="82"/>
      <c r="D11" s="82"/>
      <c r="E11" s="82"/>
      <c r="F11" s="82"/>
      <c r="G11" s="82"/>
      <c r="H11" s="82"/>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146"/>
    </row>
    <row r="12">
      <c r="A12" s="147" t="s">
        <v>558</v>
      </c>
      <c r="B12" s="165"/>
      <c r="C12" s="82"/>
      <c r="D12" s="82"/>
      <c r="E12" s="82"/>
      <c r="F12" s="82"/>
      <c r="G12" s="82"/>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143"/>
    </row>
    <row r="13">
      <c r="A13" s="163" t="s">
        <v>559</v>
      </c>
      <c r="B13" s="166">
        <v>0.0</v>
      </c>
      <c r="C13" s="166">
        <v>0.0</v>
      </c>
      <c r="D13" s="166">
        <v>0.0</v>
      </c>
      <c r="E13" s="166">
        <v>0.0</v>
      </c>
      <c r="F13" s="166">
        <v>0.0</v>
      </c>
      <c r="G13" s="166">
        <v>0.0</v>
      </c>
      <c r="H13" s="166">
        <v>0.0</v>
      </c>
      <c r="I13" s="166">
        <v>0.0</v>
      </c>
      <c r="J13" s="166">
        <v>0.0</v>
      </c>
      <c r="K13" s="166">
        <v>0.0</v>
      </c>
      <c r="L13" s="166">
        <v>0.0</v>
      </c>
      <c r="M13" s="166">
        <v>0.0</v>
      </c>
      <c r="N13" s="166">
        <v>0.0</v>
      </c>
      <c r="O13" s="166">
        <v>0.0</v>
      </c>
      <c r="P13" s="166">
        <v>0.0</v>
      </c>
      <c r="Q13" s="166">
        <v>0.0</v>
      </c>
      <c r="R13" s="166">
        <v>0.0</v>
      </c>
      <c r="S13" s="166">
        <v>0.0</v>
      </c>
      <c r="T13" s="166">
        <v>0.0</v>
      </c>
      <c r="U13" s="166">
        <v>0.0</v>
      </c>
      <c r="V13" s="166">
        <v>0.0</v>
      </c>
      <c r="W13" s="166">
        <v>0.0</v>
      </c>
      <c r="X13" s="166">
        <v>0.0</v>
      </c>
      <c r="Y13" s="166">
        <v>0.0</v>
      </c>
      <c r="Z13" s="166">
        <v>0.0</v>
      </c>
      <c r="AA13" s="166">
        <v>0.0</v>
      </c>
      <c r="AB13" s="166">
        <v>0.0</v>
      </c>
      <c r="AC13" s="166">
        <v>0.0</v>
      </c>
      <c r="AD13" s="166">
        <v>0.0</v>
      </c>
      <c r="AE13" s="166">
        <v>0.0</v>
      </c>
      <c r="AF13" s="166">
        <v>0.0</v>
      </c>
      <c r="AG13" s="143">
        <f t="shared" ref="AG13:AG17" si="2">sum(B13:AF13)</f>
        <v>0</v>
      </c>
    </row>
    <row r="14">
      <c r="A14" s="163" t="s">
        <v>560</v>
      </c>
      <c r="B14" s="166">
        <v>0.0</v>
      </c>
      <c r="C14" s="166">
        <v>0.0</v>
      </c>
      <c r="D14" s="166">
        <v>0.0</v>
      </c>
      <c r="E14" s="166">
        <v>0.0</v>
      </c>
      <c r="F14" s="166">
        <v>0.0</v>
      </c>
      <c r="G14" s="166">
        <v>0.0</v>
      </c>
      <c r="H14" s="166">
        <v>0.0</v>
      </c>
      <c r="I14" s="166">
        <v>0.0</v>
      </c>
      <c r="J14" s="166">
        <v>0.0</v>
      </c>
      <c r="K14" s="166">
        <v>0.0</v>
      </c>
      <c r="L14" s="166">
        <v>0.0</v>
      </c>
      <c r="M14" s="166">
        <v>0.0</v>
      </c>
      <c r="N14" s="166">
        <v>0.0</v>
      </c>
      <c r="O14" s="166">
        <v>0.0</v>
      </c>
      <c r="P14" s="166">
        <v>0.0</v>
      </c>
      <c r="Q14" s="166">
        <v>0.0</v>
      </c>
      <c r="R14" s="166">
        <v>0.0</v>
      </c>
      <c r="S14" s="166">
        <v>0.0</v>
      </c>
      <c r="T14" s="166">
        <v>0.0</v>
      </c>
      <c r="U14" s="166">
        <v>0.0</v>
      </c>
      <c r="V14" s="166">
        <v>0.0</v>
      </c>
      <c r="W14" s="166">
        <v>0.0</v>
      </c>
      <c r="X14" s="166">
        <v>0.0</v>
      </c>
      <c r="Y14" s="166">
        <v>0.0</v>
      </c>
      <c r="Z14" s="166">
        <v>0.0</v>
      </c>
      <c r="AA14" s="166">
        <v>0.0</v>
      </c>
      <c r="AB14" s="166">
        <v>0.0</v>
      </c>
      <c r="AC14" s="166">
        <v>0.0</v>
      </c>
      <c r="AD14" s="166">
        <v>0.0</v>
      </c>
      <c r="AE14" s="166">
        <v>0.0</v>
      </c>
      <c r="AF14" s="166">
        <v>0.0</v>
      </c>
      <c r="AG14" s="143">
        <f t="shared" si="2"/>
        <v>0</v>
      </c>
    </row>
    <row r="15">
      <c r="A15" s="163" t="s">
        <v>561</v>
      </c>
      <c r="B15" s="166">
        <v>0.0</v>
      </c>
      <c r="C15" s="166">
        <v>0.0</v>
      </c>
      <c r="D15" s="166">
        <v>0.0</v>
      </c>
      <c r="E15" s="166">
        <v>0.0</v>
      </c>
      <c r="F15" s="166">
        <v>0.0</v>
      </c>
      <c r="G15" s="166">
        <v>0.0</v>
      </c>
      <c r="H15" s="166">
        <v>0.0</v>
      </c>
      <c r="I15" s="166">
        <v>0.0</v>
      </c>
      <c r="J15" s="166">
        <v>0.0</v>
      </c>
      <c r="K15" s="166">
        <v>0.0</v>
      </c>
      <c r="L15" s="166">
        <v>0.0</v>
      </c>
      <c r="M15" s="166">
        <v>0.0</v>
      </c>
      <c r="N15" s="166">
        <v>0.0</v>
      </c>
      <c r="O15" s="166">
        <v>0.0</v>
      </c>
      <c r="P15" s="166">
        <v>0.0</v>
      </c>
      <c r="Q15" s="166">
        <v>0.0</v>
      </c>
      <c r="R15" s="166">
        <v>1.0</v>
      </c>
      <c r="S15" s="166">
        <v>0.0</v>
      </c>
      <c r="T15" s="166">
        <v>1.0</v>
      </c>
      <c r="U15" s="166">
        <v>0.0</v>
      </c>
      <c r="V15" s="166">
        <v>0.0</v>
      </c>
      <c r="W15" s="166">
        <v>0.0</v>
      </c>
      <c r="X15" s="166">
        <v>0.0</v>
      </c>
      <c r="Y15" s="166">
        <v>0.0</v>
      </c>
      <c r="Z15" s="166">
        <v>0.0</v>
      </c>
      <c r="AA15" s="166">
        <v>0.0</v>
      </c>
      <c r="AB15" s="166">
        <v>0.0</v>
      </c>
      <c r="AC15" s="166">
        <v>0.0</v>
      </c>
      <c r="AD15" s="166">
        <v>0.0</v>
      </c>
      <c r="AE15" s="166">
        <v>1.0</v>
      </c>
      <c r="AF15" s="166">
        <v>0.0</v>
      </c>
      <c r="AG15" s="143">
        <f t="shared" si="2"/>
        <v>3</v>
      </c>
    </row>
    <row r="16">
      <c r="A16" s="163" t="s">
        <v>562</v>
      </c>
      <c r="B16" s="166">
        <v>0.0</v>
      </c>
      <c r="C16" s="166">
        <v>0.0</v>
      </c>
      <c r="D16" s="166">
        <v>0.0</v>
      </c>
      <c r="E16" s="166">
        <v>0.0</v>
      </c>
      <c r="F16" s="166">
        <v>0.0</v>
      </c>
      <c r="G16" s="166">
        <v>0.0</v>
      </c>
      <c r="H16" s="166">
        <v>0.0</v>
      </c>
      <c r="I16" s="166">
        <v>0.0</v>
      </c>
      <c r="J16" s="166">
        <v>0.0</v>
      </c>
      <c r="K16" s="166">
        <v>0.0</v>
      </c>
      <c r="L16" s="166">
        <v>0.0</v>
      </c>
      <c r="M16" s="166">
        <v>0.0</v>
      </c>
      <c r="N16" s="166">
        <v>0.0</v>
      </c>
      <c r="O16" s="166">
        <v>0.0</v>
      </c>
      <c r="P16" s="166">
        <v>0.0</v>
      </c>
      <c r="Q16" s="166">
        <v>0.0</v>
      </c>
      <c r="R16" s="166">
        <v>0.0</v>
      </c>
      <c r="S16" s="166">
        <v>0.0</v>
      </c>
      <c r="T16" s="166">
        <v>0.0</v>
      </c>
      <c r="U16" s="166">
        <v>0.0</v>
      </c>
      <c r="V16" s="166">
        <v>0.0</v>
      </c>
      <c r="W16" s="166">
        <v>0.0</v>
      </c>
      <c r="X16" s="166">
        <v>0.0</v>
      </c>
      <c r="Y16" s="166">
        <v>0.0</v>
      </c>
      <c r="Z16" s="166">
        <v>0.0</v>
      </c>
      <c r="AA16" s="166">
        <v>0.0</v>
      </c>
      <c r="AB16" s="166">
        <v>0.0</v>
      </c>
      <c r="AC16" s="166">
        <v>0.0</v>
      </c>
      <c r="AD16" s="166">
        <v>0.0</v>
      </c>
      <c r="AE16" s="166">
        <v>0.0</v>
      </c>
      <c r="AF16" s="166">
        <v>0.0</v>
      </c>
      <c r="AG16" s="143">
        <f t="shared" si="2"/>
        <v>0</v>
      </c>
    </row>
    <row r="17">
      <c r="A17" s="169" t="s">
        <v>121</v>
      </c>
      <c r="B17" s="336">
        <f t="shared" ref="B17:AF17" si="3">SUM(B13:B16)</f>
        <v>0</v>
      </c>
      <c r="C17" s="336">
        <f t="shared" si="3"/>
        <v>0</v>
      </c>
      <c r="D17" s="336">
        <f t="shared" si="3"/>
        <v>0</v>
      </c>
      <c r="E17" s="336">
        <f t="shared" si="3"/>
        <v>0</v>
      </c>
      <c r="F17" s="336">
        <f t="shared" si="3"/>
        <v>0</v>
      </c>
      <c r="G17" s="336">
        <f t="shared" si="3"/>
        <v>0</v>
      </c>
      <c r="H17" s="336">
        <f t="shared" si="3"/>
        <v>0</v>
      </c>
      <c r="I17" s="336">
        <f t="shared" si="3"/>
        <v>0</v>
      </c>
      <c r="J17" s="336">
        <f t="shared" si="3"/>
        <v>0</v>
      </c>
      <c r="K17" s="336">
        <f t="shared" si="3"/>
        <v>0</v>
      </c>
      <c r="L17" s="336">
        <f t="shared" si="3"/>
        <v>0</v>
      </c>
      <c r="M17" s="336">
        <f t="shared" si="3"/>
        <v>0</v>
      </c>
      <c r="N17" s="336">
        <f t="shared" si="3"/>
        <v>0</v>
      </c>
      <c r="O17" s="336">
        <f t="shared" si="3"/>
        <v>0</v>
      </c>
      <c r="P17" s="336">
        <f t="shared" si="3"/>
        <v>0</v>
      </c>
      <c r="Q17" s="336">
        <f t="shared" si="3"/>
        <v>0</v>
      </c>
      <c r="R17" s="336">
        <f t="shared" si="3"/>
        <v>1</v>
      </c>
      <c r="S17" s="336">
        <f t="shared" si="3"/>
        <v>0</v>
      </c>
      <c r="T17" s="336">
        <f t="shared" si="3"/>
        <v>1</v>
      </c>
      <c r="U17" s="336">
        <f t="shared" si="3"/>
        <v>0</v>
      </c>
      <c r="V17" s="336">
        <f t="shared" si="3"/>
        <v>0</v>
      </c>
      <c r="W17" s="336">
        <f t="shared" si="3"/>
        <v>0</v>
      </c>
      <c r="X17" s="336">
        <f t="shared" si="3"/>
        <v>0</v>
      </c>
      <c r="Y17" s="336">
        <f t="shared" si="3"/>
        <v>0</v>
      </c>
      <c r="Z17" s="336">
        <f t="shared" si="3"/>
        <v>0</v>
      </c>
      <c r="AA17" s="336">
        <f t="shared" si="3"/>
        <v>0</v>
      </c>
      <c r="AB17" s="336">
        <f t="shared" si="3"/>
        <v>0</v>
      </c>
      <c r="AC17" s="336">
        <f t="shared" si="3"/>
        <v>0</v>
      </c>
      <c r="AD17" s="336">
        <f t="shared" si="3"/>
        <v>0</v>
      </c>
      <c r="AE17" s="336">
        <f t="shared" si="3"/>
        <v>1</v>
      </c>
      <c r="AF17" s="336">
        <f t="shared" si="3"/>
        <v>0</v>
      </c>
      <c r="AG17" s="143">
        <f t="shared" si="2"/>
        <v>3</v>
      </c>
    </row>
    <row r="18">
      <c r="A18" s="98"/>
      <c r="B18" s="171"/>
      <c r="C18" s="171"/>
      <c r="D18" s="171"/>
      <c r="E18" s="171"/>
      <c r="F18" s="171"/>
      <c r="G18" s="171"/>
      <c r="H18" s="171"/>
      <c r="I18" s="171"/>
      <c r="J18" s="82"/>
      <c r="K18" s="82"/>
      <c r="L18" s="82"/>
      <c r="M18" s="82"/>
      <c r="N18" s="82"/>
      <c r="O18" s="82"/>
      <c r="P18" s="82"/>
      <c r="Q18" s="82"/>
      <c r="R18" s="82"/>
      <c r="S18" s="82"/>
      <c r="T18" s="82"/>
      <c r="U18" s="82"/>
      <c r="V18" s="82"/>
      <c r="W18" s="82"/>
      <c r="X18" s="82"/>
      <c r="Y18" s="82"/>
      <c r="Z18" s="82"/>
      <c r="AA18" s="82"/>
      <c r="AB18" s="82"/>
      <c r="AC18" s="82"/>
      <c r="AD18" s="82"/>
      <c r="AE18" s="82"/>
      <c r="AF18" s="82"/>
      <c r="AG18" s="172"/>
    </row>
    <row r="19">
      <c r="A19" s="163" t="s">
        <v>122</v>
      </c>
      <c r="B19" s="95"/>
      <c r="C19" s="95"/>
      <c r="D19" s="95"/>
      <c r="E19" s="95"/>
      <c r="F19" s="95"/>
      <c r="G19" s="95"/>
      <c r="H19" s="95"/>
      <c r="I19" s="95"/>
      <c r="J19" s="95"/>
      <c r="K19" s="95"/>
      <c r="L19" s="95"/>
      <c r="M19" s="95"/>
      <c r="N19" s="95"/>
      <c r="O19" s="95"/>
      <c r="P19" s="95"/>
      <c r="Q19" s="95"/>
      <c r="R19" s="95"/>
      <c r="S19" s="88"/>
      <c r="T19" s="88"/>
      <c r="U19" s="88"/>
      <c r="V19" s="88"/>
      <c r="W19" s="88"/>
      <c r="X19" s="88"/>
      <c r="Y19" s="88"/>
      <c r="Z19" s="88"/>
      <c r="AA19" s="88"/>
      <c r="AB19" s="88"/>
      <c r="AC19" s="88"/>
      <c r="AD19" s="88"/>
      <c r="AE19" s="88"/>
      <c r="AF19" s="88"/>
      <c r="AG19" s="143">
        <f t="shared" ref="AG19:AG27" si="4">sum(B19:AF19)</f>
        <v>0</v>
      </c>
    </row>
    <row r="20">
      <c r="A20" s="163" t="s">
        <v>123</v>
      </c>
      <c r="B20" s="95"/>
      <c r="C20" s="95"/>
      <c r="D20" s="95"/>
      <c r="E20" s="95"/>
      <c r="F20" s="95"/>
      <c r="G20" s="95"/>
      <c r="H20" s="95"/>
      <c r="I20" s="95"/>
      <c r="J20" s="95"/>
      <c r="K20" s="95"/>
      <c r="L20" s="95"/>
      <c r="M20" s="95"/>
      <c r="N20" s="95"/>
      <c r="O20" s="95"/>
      <c r="P20" s="95"/>
      <c r="Q20" s="95"/>
      <c r="R20" s="95"/>
      <c r="S20" s="88"/>
      <c r="T20" s="88"/>
      <c r="U20" s="88"/>
      <c r="V20" s="88"/>
      <c r="W20" s="88"/>
      <c r="X20" s="88"/>
      <c r="Y20" s="88"/>
      <c r="Z20" s="88"/>
      <c r="AA20" s="88"/>
      <c r="AB20" s="88"/>
      <c r="AC20" s="88"/>
      <c r="AD20" s="88"/>
      <c r="AE20" s="88"/>
      <c r="AF20" s="88"/>
      <c r="AG20" s="143">
        <f t="shared" si="4"/>
        <v>0</v>
      </c>
    </row>
    <row r="21">
      <c r="A21" s="163" t="s">
        <v>563</v>
      </c>
      <c r="B21" s="95"/>
      <c r="C21" s="95"/>
      <c r="D21" s="95"/>
      <c r="E21" s="95"/>
      <c r="F21" s="95"/>
      <c r="G21" s="95"/>
      <c r="H21" s="95"/>
      <c r="I21" s="95"/>
      <c r="J21" s="95"/>
      <c r="K21" s="95"/>
      <c r="L21" s="95"/>
      <c r="M21" s="95"/>
      <c r="N21" s="95"/>
      <c r="O21" s="95"/>
      <c r="P21" s="95"/>
      <c r="Q21" s="95"/>
      <c r="R21" s="95"/>
      <c r="S21" s="88"/>
      <c r="T21" s="88"/>
      <c r="U21" s="88"/>
      <c r="V21" s="88"/>
      <c r="W21" s="88"/>
      <c r="X21" s="88"/>
      <c r="Y21" s="88"/>
      <c r="Z21" s="88"/>
      <c r="AA21" s="88"/>
      <c r="AB21" s="88"/>
      <c r="AC21" s="88"/>
      <c r="AD21" s="88"/>
      <c r="AE21" s="88"/>
      <c r="AF21" s="88"/>
      <c r="AG21" s="143">
        <f t="shared" si="4"/>
        <v>0</v>
      </c>
    </row>
    <row r="22">
      <c r="A22" s="163" t="s">
        <v>564</v>
      </c>
      <c r="B22" s="405"/>
      <c r="C22" s="405"/>
      <c r="D22" s="405"/>
      <c r="E22" s="405"/>
      <c r="F22" s="405"/>
      <c r="G22" s="405"/>
      <c r="H22" s="405"/>
      <c r="I22" s="405"/>
      <c r="J22" s="405"/>
      <c r="K22" s="405"/>
      <c r="L22" s="405"/>
      <c r="M22" s="405"/>
      <c r="N22" s="405"/>
      <c r="O22" s="405"/>
      <c r="P22" s="405"/>
      <c r="Q22" s="405"/>
      <c r="R22" s="405"/>
      <c r="S22" s="88"/>
      <c r="T22" s="88"/>
      <c r="U22" s="88"/>
      <c r="V22" s="88"/>
      <c r="W22" s="88"/>
      <c r="X22" s="88"/>
      <c r="Y22" s="88"/>
      <c r="Z22" s="88"/>
      <c r="AA22" s="88"/>
      <c r="AB22" s="88"/>
      <c r="AC22" s="88"/>
      <c r="AD22" s="88"/>
      <c r="AE22" s="88"/>
      <c r="AF22" s="88"/>
      <c r="AG22" s="143">
        <f t="shared" si="4"/>
        <v>0</v>
      </c>
    </row>
    <row r="23">
      <c r="A23" s="163" t="s">
        <v>565</v>
      </c>
      <c r="B23" s="95"/>
      <c r="C23" s="95"/>
      <c r="D23" s="95"/>
      <c r="E23" s="95"/>
      <c r="F23" s="95"/>
      <c r="G23" s="95"/>
      <c r="H23" s="95"/>
      <c r="I23" s="95"/>
      <c r="J23" s="95"/>
      <c r="K23" s="95"/>
      <c r="L23" s="95"/>
      <c r="M23" s="95"/>
      <c r="N23" s="95"/>
      <c r="O23" s="95"/>
      <c r="P23" s="95"/>
      <c r="Q23" s="95"/>
      <c r="R23" s="95"/>
      <c r="S23" s="88"/>
      <c r="T23" s="88"/>
      <c r="U23" s="88"/>
      <c r="V23" s="88"/>
      <c r="W23" s="88"/>
      <c r="X23" s="88"/>
      <c r="Y23" s="88"/>
      <c r="Z23" s="88"/>
      <c r="AA23" s="88"/>
      <c r="AB23" s="88"/>
      <c r="AC23" s="88"/>
      <c r="AD23" s="88"/>
      <c r="AE23" s="88"/>
      <c r="AF23" s="88"/>
      <c r="AG23" s="143">
        <f t="shared" si="4"/>
        <v>0</v>
      </c>
    </row>
    <row r="24">
      <c r="A24" s="163" t="s">
        <v>566</v>
      </c>
      <c r="B24" s="405"/>
      <c r="C24" s="405"/>
      <c r="D24" s="405"/>
      <c r="E24" s="405"/>
      <c r="F24" s="405"/>
      <c r="G24" s="405"/>
      <c r="H24" s="405"/>
      <c r="I24" s="405"/>
      <c r="J24" s="405"/>
      <c r="K24" s="405"/>
      <c r="L24" s="405"/>
      <c r="M24" s="405"/>
      <c r="N24" s="405"/>
      <c r="O24" s="405"/>
      <c r="P24" s="405"/>
      <c r="Q24" s="405"/>
      <c r="R24" s="405"/>
      <c r="S24" s="88"/>
      <c r="T24" s="88"/>
      <c r="U24" s="88"/>
      <c r="V24" s="88"/>
      <c r="W24" s="88"/>
      <c r="X24" s="88"/>
      <c r="Y24" s="88"/>
      <c r="Z24" s="88"/>
      <c r="AA24" s="88"/>
      <c r="AB24" s="88"/>
      <c r="AC24" s="88"/>
      <c r="AD24" s="88"/>
      <c r="AE24" s="88"/>
      <c r="AF24" s="88"/>
      <c r="AG24" s="143">
        <f t="shared" si="4"/>
        <v>0</v>
      </c>
    </row>
    <row r="25">
      <c r="A25" s="163" t="s">
        <v>567</v>
      </c>
      <c r="B25" s="95"/>
      <c r="C25" s="95"/>
      <c r="D25" s="95"/>
      <c r="E25" s="95"/>
      <c r="F25" s="95"/>
      <c r="G25" s="95"/>
      <c r="H25" s="95"/>
      <c r="I25" s="95"/>
      <c r="J25" s="95"/>
      <c r="K25" s="95"/>
      <c r="L25" s="95"/>
      <c r="M25" s="95"/>
      <c r="N25" s="95"/>
      <c r="O25" s="95"/>
      <c r="P25" s="95"/>
      <c r="Q25" s="95"/>
      <c r="R25" s="95"/>
      <c r="S25" s="88"/>
      <c r="T25" s="88"/>
      <c r="U25" s="88"/>
      <c r="V25" s="88"/>
      <c r="W25" s="88"/>
      <c r="X25" s="88"/>
      <c r="Y25" s="88"/>
      <c r="Z25" s="88"/>
      <c r="AA25" s="88"/>
      <c r="AB25" s="88"/>
      <c r="AC25" s="88"/>
      <c r="AD25" s="88"/>
      <c r="AE25" s="88"/>
      <c r="AF25" s="88"/>
      <c r="AG25" s="143">
        <f t="shared" si="4"/>
        <v>0</v>
      </c>
    </row>
    <row r="26">
      <c r="A26" s="163" t="s">
        <v>568</v>
      </c>
      <c r="B26" s="95"/>
      <c r="C26" s="95"/>
      <c r="D26" s="95"/>
      <c r="E26" s="95"/>
      <c r="F26" s="95"/>
      <c r="G26" s="95"/>
      <c r="H26" s="95"/>
      <c r="I26" s="95"/>
      <c r="J26" s="95"/>
      <c r="K26" s="95"/>
      <c r="L26" s="95"/>
      <c r="M26" s="95"/>
      <c r="N26" s="95"/>
      <c r="O26" s="95"/>
      <c r="P26" s="95"/>
      <c r="Q26" s="95"/>
      <c r="R26" s="95"/>
      <c r="S26" s="88"/>
      <c r="T26" s="88"/>
      <c r="U26" s="88"/>
      <c r="V26" s="88"/>
      <c r="W26" s="88"/>
      <c r="X26" s="88"/>
      <c r="Y26" s="88"/>
      <c r="Z26" s="88"/>
      <c r="AA26" s="88"/>
      <c r="AB26" s="88"/>
      <c r="AC26" s="88"/>
      <c r="AD26" s="88"/>
      <c r="AE26" s="88"/>
      <c r="AF26" s="88"/>
      <c r="AG26" s="143">
        <f t="shared" si="4"/>
        <v>0</v>
      </c>
    </row>
    <row r="27">
      <c r="A27" s="169" t="s">
        <v>130</v>
      </c>
      <c r="B27" s="406">
        <f t="shared" ref="B27:AF27" si="5">SUM(B19:B26)</f>
        <v>0</v>
      </c>
      <c r="C27" s="336">
        <f t="shared" si="5"/>
        <v>0</v>
      </c>
      <c r="D27" s="336">
        <f t="shared" si="5"/>
        <v>0</v>
      </c>
      <c r="E27" s="336">
        <f t="shared" si="5"/>
        <v>0</v>
      </c>
      <c r="F27" s="336">
        <f t="shared" si="5"/>
        <v>0</v>
      </c>
      <c r="G27" s="336">
        <f t="shared" si="5"/>
        <v>0</v>
      </c>
      <c r="H27" s="336">
        <f t="shared" si="5"/>
        <v>0</v>
      </c>
      <c r="I27" s="336">
        <f t="shared" si="5"/>
        <v>0</v>
      </c>
      <c r="J27" s="336">
        <f t="shared" si="5"/>
        <v>0</v>
      </c>
      <c r="K27" s="336">
        <f t="shared" si="5"/>
        <v>0</v>
      </c>
      <c r="L27" s="336">
        <f t="shared" si="5"/>
        <v>0</v>
      </c>
      <c r="M27" s="336">
        <f t="shared" si="5"/>
        <v>0</v>
      </c>
      <c r="N27" s="336">
        <f t="shared" si="5"/>
        <v>0</v>
      </c>
      <c r="O27" s="336">
        <f t="shared" si="5"/>
        <v>0</v>
      </c>
      <c r="P27" s="336">
        <f t="shared" si="5"/>
        <v>0</v>
      </c>
      <c r="Q27" s="336">
        <f t="shared" si="5"/>
        <v>0</v>
      </c>
      <c r="R27" s="336">
        <f t="shared" si="5"/>
        <v>0</v>
      </c>
      <c r="S27" s="336">
        <f t="shared" si="5"/>
        <v>0</v>
      </c>
      <c r="T27" s="336">
        <f t="shared" si="5"/>
        <v>0</v>
      </c>
      <c r="U27" s="336">
        <f t="shared" si="5"/>
        <v>0</v>
      </c>
      <c r="V27" s="336">
        <f t="shared" si="5"/>
        <v>0</v>
      </c>
      <c r="W27" s="336">
        <f t="shared" si="5"/>
        <v>0</v>
      </c>
      <c r="X27" s="336">
        <f t="shared" si="5"/>
        <v>0</v>
      </c>
      <c r="Y27" s="336">
        <f t="shared" si="5"/>
        <v>0</v>
      </c>
      <c r="Z27" s="336">
        <f t="shared" si="5"/>
        <v>0</v>
      </c>
      <c r="AA27" s="336">
        <f t="shared" si="5"/>
        <v>0</v>
      </c>
      <c r="AB27" s="336">
        <f t="shared" si="5"/>
        <v>0</v>
      </c>
      <c r="AC27" s="336">
        <f t="shared" si="5"/>
        <v>0</v>
      </c>
      <c r="AD27" s="336">
        <f t="shared" si="5"/>
        <v>0</v>
      </c>
      <c r="AE27" s="336">
        <f t="shared" si="5"/>
        <v>0</v>
      </c>
      <c r="AF27" s="336">
        <f t="shared" si="5"/>
        <v>0</v>
      </c>
      <c r="AG27" s="407">
        <f t="shared" si="4"/>
        <v>0</v>
      </c>
    </row>
    <row r="28">
      <c r="A28" s="98"/>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146"/>
    </row>
    <row r="29">
      <c r="A29" s="408" t="s">
        <v>569</v>
      </c>
      <c r="B29" s="409"/>
      <c r="C29" s="409"/>
      <c r="D29" s="409"/>
      <c r="E29" s="409"/>
      <c r="F29" s="409"/>
      <c r="G29" s="409"/>
      <c r="H29" s="409"/>
      <c r="I29" s="409"/>
      <c r="J29" s="409"/>
      <c r="K29" s="409"/>
      <c r="L29" s="409"/>
      <c r="M29" s="409"/>
      <c r="N29" s="409"/>
      <c r="O29" s="409"/>
      <c r="P29" s="409"/>
      <c r="Q29" s="409"/>
      <c r="R29" s="409"/>
      <c r="S29" s="409"/>
      <c r="T29" s="409"/>
      <c r="U29" s="409"/>
      <c r="V29" s="409"/>
      <c r="W29" s="409"/>
      <c r="X29" s="409"/>
      <c r="Y29" s="409"/>
      <c r="Z29" s="409"/>
      <c r="AA29" s="409"/>
      <c r="AB29" s="409"/>
      <c r="AC29" s="409"/>
      <c r="AD29" s="409"/>
      <c r="AE29" s="409"/>
      <c r="AF29" s="409"/>
      <c r="AG29" s="259"/>
    </row>
    <row r="30" outlineLevel="1">
      <c r="A30" s="410"/>
      <c r="AG30" s="259"/>
    </row>
    <row r="31" outlineLevel="1">
      <c r="A31" s="147" t="s">
        <v>570</v>
      </c>
      <c r="B31" s="192"/>
      <c r="C31" s="192"/>
      <c r="D31" s="192"/>
      <c r="E31" s="192"/>
      <c r="F31" s="192"/>
      <c r="G31" s="192"/>
      <c r="H31" s="192"/>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209"/>
    </row>
    <row r="32" outlineLevel="1">
      <c r="A32" s="216" t="s">
        <v>571</v>
      </c>
      <c r="B32" s="343"/>
      <c r="C32" s="343"/>
      <c r="D32" s="343"/>
      <c r="E32" s="343"/>
      <c r="F32" s="343"/>
      <c r="G32" s="343"/>
      <c r="H32" s="343"/>
      <c r="I32" s="176">
        <v>1.0</v>
      </c>
      <c r="J32" s="343"/>
      <c r="K32" s="343"/>
      <c r="L32" s="343"/>
      <c r="M32" s="343"/>
      <c r="N32" s="343"/>
      <c r="O32" s="343"/>
      <c r="P32" s="343"/>
      <c r="Q32" s="343"/>
      <c r="R32" s="343"/>
      <c r="S32" s="343"/>
      <c r="T32" s="343"/>
      <c r="U32" s="343"/>
      <c r="V32" s="343"/>
      <c r="W32" s="343"/>
      <c r="X32" s="343"/>
      <c r="Y32" s="343"/>
      <c r="Z32" s="343"/>
      <c r="AA32" s="343"/>
      <c r="AB32" s="343"/>
      <c r="AC32" s="343"/>
      <c r="AD32" s="343"/>
      <c r="AE32" s="343"/>
      <c r="AF32" s="343"/>
      <c r="AG32" s="143">
        <f t="shared" ref="AG32:AG37" si="6">SUM(B32:AF32)</f>
        <v>1</v>
      </c>
    </row>
    <row r="33" outlineLevel="1">
      <c r="A33" s="216" t="s">
        <v>572</v>
      </c>
      <c r="B33" s="343"/>
      <c r="C33" s="343"/>
      <c r="D33" s="343"/>
      <c r="E33" s="343"/>
      <c r="F33" s="343"/>
      <c r="G33" s="343"/>
      <c r="H33" s="343"/>
      <c r="I33" s="343"/>
      <c r="J33" s="343"/>
      <c r="K33" s="343"/>
      <c r="L33" s="343"/>
      <c r="M33" s="343"/>
      <c r="N33" s="343"/>
      <c r="O33" s="343"/>
      <c r="P33" s="343"/>
      <c r="Q33" s="343"/>
      <c r="R33" s="343"/>
      <c r="S33" s="343"/>
      <c r="T33" s="343"/>
      <c r="U33" s="343"/>
      <c r="V33" s="343"/>
      <c r="W33" s="343"/>
      <c r="X33" s="343"/>
      <c r="Y33" s="343"/>
      <c r="Z33" s="343"/>
      <c r="AA33" s="343"/>
      <c r="AB33" s="343"/>
      <c r="AC33" s="343"/>
      <c r="AD33" s="343"/>
      <c r="AE33" s="343"/>
      <c r="AF33" s="343"/>
      <c r="AG33" s="143">
        <f t="shared" si="6"/>
        <v>0</v>
      </c>
    </row>
    <row r="34" outlineLevel="1">
      <c r="A34" s="216" t="s">
        <v>573</v>
      </c>
      <c r="B34" s="405"/>
      <c r="C34" s="405"/>
      <c r="D34" s="164">
        <v>1.0</v>
      </c>
      <c r="E34" s="164">
        <v>1.0</v>
      </c>
      <c r="F34" s="405"/>
      <c r="G34" s="405"/>
      <c r="H34" s="405"/>
      <c r="I34" s="405"/>
      <c r="J34" s="405"/>
      <c r="K34" s="405"/>
      <c r="L34" s="164">
        <v>2.0</v>
      </c>
      <c r="M34" s="164">
        <v>1.0</v>
      </c>
      <c r="N34" s="405"/>
      <c r="O34" s="343"/>
      <c r="P34" s="343"/>
      <c r="Q34" s="343"/>
      <c r="R34" s="343"/>
      <c r="S34" s="343"/>
      <c r="T34" s="343"/>
      <c r="U34" s="343"/>
      <c r="V34" s="343"/>
      <c r="W34" s="343"/>
      <c r="X34" s="343"/>
      <c r="Y34" s="343"/>
      <c r="Z34" s="343"/>
      <c r="AA34" s="343"/>
      <c r="AB34" s="343"/>
      <c r="AC34" s="343"/>
      <c r="AD34" s="343"/>
      <c r="AE34" s="343"/>
      <c r="AF34" s="343"/>
      <c r="AG34" s="143">
        <f t="shared" si="6"/>
        <v>5</v>
      </c>
    </row>
    <row r="35" outlineLevel="1">
      <c r="A35" s="216" t="s">
        <v>574</v>
      </c>
      <c r="B35" s="405"/>
      <c r="C35" s="405"/>
      <c r="D35" s="405"/>
      <c r="E35" s="405"/>
      <c r="F35" s="405"/>
      <c r="G35" s="405"/>
      <c r="H35" s="405"/>
      <c r="I35" s="405"/>
      <c r="J35" s="405"/>
      <c r="K35" s="405"/>
      <c r="L35" s="405"/>
      <c r="M35" s="405"/>
      <c r="N35" s="405"/>
      <c r="O35" s="343"/>
      <c r="P35" s="343"/>
      <c r="Q35" s="343"/>
      <c r="R35" s="343"/>
      <c r="S35" s="343"/>
      <c r="T35" s="343"/>
      <c r="U35" s="343"/>
      <c r="V35" s="343"/>
      <c r="W35" s="343"/>
      <c r="X35" s="343"/>
      <c r="Y35" s="343"/>
      <c r="Z35" s="343"/>
      <c r="AA35" s="343"/>
      <c r="AB35" s="343"/>
      <c r="AC35" s="343"/>
      <c r="AD35" s="343"/>
      <c r="AE35" s="343"/>
      <c r="AF35" s="343"/>
      <c r="AG35" s="143">
        <f t="shared" si="6"/>
        <v>0</v>
      </c>
    </row>
    <row r="36" outlineLevel="1">
      <c r="A36" s="218" t="s">
        <v>194</v>
      </c>
      <c r="B36" s="370">
        <f t="shared" ref="B36:AF36" si="7">SUM(B32:B33)</f>
        <v>0</v>
      </c>
      <c r="C36" s="370">
        <f t="shared" si="7"/>
        <v>0</v>
      </c>
      <c r="D36" s="370">
        <f t="shared" si="7"/>
        <v>0</v>
      </c>
      <c r="E36" s="370">
        <f t="shared" si="7"/>
        <v>0</v>
      </c>
      <c r="F36" s="370">
        <f t="shared" si="7"/>
        <v>0</v>
      </c>
      <c r="G36" s="370">
        <f t="shared" si="7"/>
        <v>0</v>
      </c>
      <c r="H36" s="370">
        <f t="shared" si="7"/>
        <v>0</v>
      </c>
      <c r="I36" s="370">
        <f t="shared" si="7"/>
        <v>1</v>
      </c>
      <c r="J36" s="370">
        <f t="shared" si="7"/>
        <v>0</v>
      </c>
      <c r="K36" s="370">
        <f t="shared" si="7"/>
        <v>0</v>
      </c>
      <c r="L36" s="370">
        <f t="shared" si="7"/>
        <v>0</v>
      </c>
      <c r="M36" s="370">
        <f t="shared" si="7"/>
        <v>0</v>
      </c>
      <c r="N36" s="370">
        <f t="shared" si="7"/>
        <v>0</v>
      </c>
      <c r="O36" s="370">
        <f t="shared" si="7"/>
        <v>0</v>
      </c>
      <c r="P36" s="370">
        <f t="shared" si="7"/>
        <v>0</v>
      </c>
      <c r="Q36" s="370">
        <f t="shared" si="7"/>
        <v>0</v>
      </c>
      <c r="R36" s="370">
        <f t="shared" si="7"/>
        <v>0</v>
      </c>
      <c r="S36" s="370">
        <f t="shared" si="7"/>
        <v>0</v>
      </c>
      <c r="T36" s="370">
        <f t="shared" si="7"/>
        <v>0</v>
      </c>
      <c r="U36" s="370">
        <f t="shared" si="7"/>
        <v>0</v>
      </c>
      <c r="V36" s="370">
        <f t="shared" si="7"/>
        <v>0</v>
      </c>
      <c r="W36" s="370">
        <f t="shared" si="7"/>
        <v>0</v>
      </c>
      <c r="X36" s="370">
        <f t="shared" si="7"/>
        <v>0</v>
      </c>
      <c r="Y36" s="370">
        <f t="shared" si="7"/>
        <v>0</v>
      </c>
      <c r="Z36" s="370">
        <f t="shared" si="7"/>
        <v>0</v>
      </c>
      <c r="AA36" s="370">
        <f t="shared" si="7"/>
        <v>0</v>
      </c>
      <c r="AB36" s="370">
        <f t="shared" si="7"/>
        <v>0</v>
      </c>
      <c r="AC36" s="370">
        <f t="shared" si="7"/>
        <v>0</v>
      </c>
      <c r="AD36" s="370">
        <f t="shared" si="7"/>
        <v>0</v>
      </c>
      <c r="AE36" s="370">
        <f t="shared" si="7"/>
        <v>0</v>
      </c>
      <c r="AF36" s="370">
        <f t="shared" si="7"/>
        <v>0</v>
      </c>
      <c r="AG36" s="143">
        <f t="shared" si="6"/>
        <v>1</v>
      </c>
    </row>
    <row r="37" outlineLevel="1">
      <c r="A37" s="218" t="s">
        <v>195</v>
      </c>
      <c r="B37" s="370">
        <f t="shared" ref="B37:AF37" si="8">SUM(B34:B35)</f>
        <v>0</v>
      </c>
      <c r="C37" s="370">
        <f t="shared" si="8"/>
        <v>0</v>
      </c>
      <c r="D37" s="370">
        <f t="shared" si="8"/>
        <v>1</v>
      </c>
      <c r="E37" s="370">
        <f t="shared" si="8"/>
        <v>1</v>
      </c>
      <c r="F37" s="370">
        <f t="shared" si="8"/>
        <v>0</v>
      </c>
      <c r="G37" s="370">
        <f t="shared" si="8"/>
        <v>0</v>
      </c>
      <c r="H37" s="370">
        <f t="shared" si="8"/>
        <v>0</v>
      </c>
      <c r="I37" s="370">
        <f t="shared" si="8"/>
        <v>0</v>
      </c>
      <c r="J37" s="370">
        <f t="shared" si="8"/>
        <v>0</v>
      </c>
      <c r="K37" s="370">
        <f t="shared" si="8"/>
        <v>0</v>
      </c>
      <c r="L37" s="370">
        <f t="shared" si="8"/>
        <v>2</v>
      </c>
      <c r="M37" s="370">
        <f t="shared" si="8"/>
        <v>1</v>
      </c>
      <c r="N37" s="370">
        <f t="shared" si="8"/>
        <v>0</v>
      </c>
      <c r="O37" s="370">
        <f t="shared" si="8"/>
        <v>0</v>
      </c>
      <c r="P37" s="370">
        <f t="shared" si="8"/>
        <v>0</v>
      </c>
      <c r="Q37" s="370">
        <f t="shared" si="8"/>
        <v>0</v>
      </c>
      <c r="R37" s="370">
        <f t="shared" si="8"/>
        <v>0</v>
      </c>
      <c r="S37" s="370">
        <f t="shared" si="8"/>
        <v>0</v>
      </c>
      <c r="T37" s="370">
        <f t="shared" si="8"/>
        <v>0</v>
      </c>
      <c r="U37" s="370">
        <f t="shared" si="8"/>
        <v>0</v>
      </c>
      <c r="V37" s="370">
        <f t="shared" si="8"/>
        <v>0</v>
      </c>
      <c r="W37" s="370">
        <f t="shared" si="8"/>
        <v>0</v>
      </c>
      <c r="X37" s="370">
        <f t="shared" si="8"/>
        <v>0</v>
      </c>
      <c r="Y37" s="370">
        <f t="shared" si="8"/>
        <v>0</v>
      </c>
      <c r="Z37" s="370">
        <f t="shared" si="8"/>
        <v>0</v>
      </c>
      <c r="AA37" s="370">
        <f t="shared" si="8"/>
        <v>0</v>
      </c>
      <c r="AB37" s="370">
        <f t="shared" si="8"/>
        <v>0</v>
      </c>
      <c r="AC37" s="370">
        <f t="shared" si="8"/>
        <v>0</v>
      </c>
      <c r="AD37" s="370">
        <f t="shared" si="8"/>
        <v>0</v>
      </c>
      <c r="AE37" s="370">
        <f t="shared" si="8"/>
        <v>0</v>
      </c>
      <c r="AF37" s="370">
        <f t="shared" si="8"/>
        <v>0</v>
      </c>
      <c r="AG37" s="143">
        <f t="shared" si="6"/>
        <v>5</v>
      </c>
    </row>
    <row r="38" outlineLevel="1">
      <c r="A38" s="98"/>
      <c r="B38" s="135"/>
      <c r="C38" s="135"/>
      <c r="D38" s="135"/>
      <c r="E38" s="135"/>
      <c r="F38" s="135"/>
      <c r="G38" s="135"/>
      <c r="H38" s="135"/>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143"/>
    </row>
    <row r="39" outlineLevel="1">
      <c r="A39" s="216" t="s">
        <v>197</v>
      </c>
      <c r="B39" s="343"/>
      <c r="C39" s="343"/>
      <c r="D39" s="343"/>
      <c r="E39" s="176">
        <v>1.0</v>
      </c>
      <c r="F39" s="343"/>
      <c r="G39" s="343"/>
      <c r="H39" s="343"/>
      <c r="I39" s="176">
        <v>1.0</v>
      </c>
      <c r="J39" s="343"/>
      <c r="K39" s="343"/>
      <c r="L39" s="343"/>
      <c r="M39" s="343"/>
      <c r="N39" s="343"/>
      <c r="O39" s="343"/>
      <c r="P39" s="343"/>
      <c r="Q39" s="343"/>
      <c r="R39" s="343"/>
      <c r="S39" s="343"/>
      <c r="T39" s="343"/>
      <c r="U39" s="343"/>
      <c r="V39" s="343"/>
      <c r="W39" s="343"/>
      <c r="X39" s="343"/>
      <c r="Y39" s="343"/>
      <c r="Z39" s="343"/>
      <c r="AA39" s="343"/>
      <c r="AB39" s="343"/>
      <c r="AC39" s="343"/>
      <c r="AD39" s="343"/>
      <c r="AE39" s="343"/>
      <c r="AF39" s="343"/>
      <c r="AG39" s="143">
        <f t="shared" ref="AG39:AG47" si="9">SUM(B39:AF39)</f>
        <v>2</v>
      </c>
    </row>
    <row r="40" outlineLevel="1">
      <c r="A40" s="216" t="s">
        <v>198</v>
      </c>
      <c r="B40" s="343"/>
      <c r="C40" s="343"/>
      <c r="D40" s="343"/>
      <c r="E40" s="176">
        <v>1.0</v>
      </c>
      <c r="F40" s="343"/>
      <c r="G40" s="343"/>
      <c r="H40" s="343"/>
      <c r="I40" s="176">
        <v>1.0</v>
      </c>
      <c r="J40" s="343"/>
      <c r="K40" s="343"/>
      <c r="L40" s="176">
        <v>1.0</v>
      </c>
      <c r="M40" s="343"/>
      <c r="N40" s="343"/>
      <c r="O40" s="343"/>
      <c r="P40" s="343"/>
      <c r="Q40" s="343"/>
      <c r="R40" s="343"/>
      <c r="S40" s="343"/>
      <c r="T40" s="343"/>
      <c r="U40" s="343"/>
      <c r="V40" s="343"/>
      <c r="W40" s="343"/>
      <c r="X40" s="343"/>
      <c r="Y40" s="343"/>
      <c r="Z40" s="343"/>
      <c r="AA40" s="343"/>
      <c r="AB40" s="343"/>
      <c r="AC40" s="343"/>
      <c r="AD40" s="343"/>
      <c r="AE40" s="343"/>
      <c r="AF40" s="343"/>
      <c r="AG40" s="143">
        <f t="shared" si="9"/>
        <v>3</v>
      </c>
    </row>
    <row r="41" outlineLevel="1">
      <c r="A41" s="216" t="s">
        <v>575</v>
      </c>
      <c r="B41" s="343"/>
      <c r="C41" s="343"/>
      <c r="D41" s="343"/>
      <c r="E41" s="176">
        <v>1.0</v>
      </c>
      <c r="F41" s="343"/>
      <c r="G41" s="343"/>
      <c r="H41" s="343"/>
      <c r="I41" s="176">
        <v>1.0</v>
      </c>
      <c r="J41" s="343"/>
      <c r="K41" s="343"/>
      <c r="L41" s="343"/>
      <c r="M41" s="343"/>
      <c r="N41" s="343"/>
      <c r="O41" s="343"/>
      <c r="P41" s="343"/>
      <c r="Q41" s="343"/>
      <c r="R41" s="343"/>
      <c r="S41" s="343"/>
      <c r="T41" s="343"/>
      <c r="U41" s="343"/>
      <c r="V41" s="343"/>
      <c r="W41" s="343"/>
      <c r="X41" s="343"/>
      <c r="Y41" s="343"/>
      <c r="Z41" s="343"/>
      <c r="AA41" s="343"/>
      <c r="AB41" s="343"/>
      <c r="AC41" s="343"/>
      <c r="AD41" s="343"/>
      <c r="AE41" s="343"/>
      <c r="AF41" s="343"/>
      <c r="AG41" s="143">
        <f t="shared" si="9"/>
        <v>2</v>
      </c>
    </row>
    <row r="42" outlineLevel="1">
      <c r="A42" s="216" t="s">
        <v>576</v>
      </c>
      <c r="B42" s="343"/>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143">
        <f t="shared" si="9"/>
        <v>0</v>
      </c>
    </row>
    <row r="43" outlineLevel="1">
      <c r="A43" s="216" t="s">
        <v>577</v>
      </c>
      <c r="B43" s="343"/>
      <c r="C43" s="343"/>
      <c r="D43" s="343"/>
      <c r="E43" s="343"/>
      <c r="F43" s="343"/>
      <c r="G43" s="343"/>
      <c r="H43" s="343"/>
      <c r="I43" s="176">
        <v>1.0</v>
      </c>
      <c r="J43" s="343"/>
      <c r="K43" s="343"/>
      <c r="L43" s="343"/>
      <c r="M43" s="343"/>
      <c r="N43" s="343"/>
      <c r="O43" s="343"/>
      <c r="P43" s="343"/>
      <c r="Q43" s="343"/>
      <c r="R43" s="343"/>
      <c r="S43" s="343"/>
      <c r="T43" s="343"/>
      <c r="U43" s="343"/>
      <c r="V43" s="343"/>
      <c r="W43" s="343"/>
      <c r="X43" s="343"/>
      <c r="Y43" s="343"/>
      <c r="Z43" s="343"/>
      <c r="AA43" s="343"/>
      <c r="AB43" s="343"/>
      <c r="AC43" s="343"/>
      <c r="AD43" s="343"/>
      <c r="AE43" s="343"/>
      <c r="AF43" s="343"/>
      <c r="AG43" s="143">
        <f t="shared" si="9"/>
        <v>1</v>
      </c>
    </row>
    <row r="44" outlineLevel="1">
      <c r="A44" s="216" t="s">
        <v>578</v>
      </c>
      <c r="B44" s="343"/>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3"/>
      <c r="AC44" s="343"/>
      <c r="AD44" s="343"/>
      <c r="AE44" s="343"/>
      <c r="AF44" s="343"/>
      <c r="AG44" s="143">
        <f t="shared" si="9"/>
        <v>0</v>
      </c>
    </row>
    <row r="45" outlineLevel="1">
      <c r="A45" s="216" t="s">
        <v>579</v>
      </c>
      <c r="B45" s="343"/>
      <c r="C45" s="343"/>
      <c r="D45" s="343"/>
      <c r="E45" s="343"/>
      <c r="F45" s="343"/>
      <c r="G45" s="343"/>
      <c r="H45" s="343"/>
      <c r="I45" s="343"/>
      <c r="J45" s="343"/>
      <c r="K45" s="343"/>
      <c r="L45" s="343"/>
      <c r="M45" s="343"/>
      <c r="N45" s="343"/>
      <c r="O45" s="343"/>
      <c r="P45" s="343"/>
      <c r="Q45" s="343"/>
      <c r="R45" s="343"/>
      <c r="S45" s="343"/>
      <c r="T45" s="343"/>
      <c r="U45" s="343"/>
      <c r="V45" s="343"/>
      <c r="W45" s="343"/>
      <c r="X45" s="343"/>
      <c r="Y45" s="343"/>
      <c r="Z45" s="343"/>
      <c r="AA45" s="343"/>
      <c r="AB45" s="343"/>
      <c r="AC45" s="343"/>
      <c r="AD45" s="343"/>
      <c r="AE45" s="343"/>
      <c r="AF45" s="343"/>
      <c r="AG45" s="143">
        <f t="shared" si="9"/>
        <v>0</v>
      </c>
    </row>
    <row r="46" outlineLevel="1">
      <c r="A46" s="216" t="s">
        <v>580</v>
      </c>
      <c r="B46" s="343"/>
      <c r="C46" s="343"/>
      <c r="D46" s="343"/>
      <c r="E46" s="343"/>
      <c r="F46" s="343"/>
      <c r="G46" s="343"/>
      <c r="H46" s="343"/>
      <c r="I46" s="343"/>
      <c r="J46" s="343"/>
      <c r="K46" s="343"/>
      <c r="L46" s="343"/>
      <c r="M46" s="343"/>
      <c r="N46" s="343"/>
      <c r="O46" s="343"/>
      <c r="P46" s="343"/>
      <c r="Q46" s="343"/>
      <c r="R46" s="343"/>
      <c r="S46" s="343"/>
      <c r="T46" s="343"/>
      <c r="U46" s="343"/>
      <c r="V46" s="343"/>
      <c r="W46" s="343"/>
      <c r="X46" s="343"/>
      <c r="Y46" s="343"/>
      <c r="Z46" s="343"/>
      <c r="AA46" s="343"/>
      <c r="AB46" s="343"/>
      <c r="AC46" s="343"/>
      <c r="AD46" s="343"/>
      <c r="AE46" s="343"/>
      <c r="AF46" s="343"/>
      <c r="AG46" s="143">
        <f t="shared" si="9"/>
        <v>0</v>
      </c>
    </row>
    <row r="47" outlineLevel="1">
      <c r="A47" s="220" t="s">
        <v>130</v>
      </c>
      <c r="B47" s="370">
        <f t="shared" ref="B47:AF47" si="10">SUM(B39:B46)</f>
        <v>0</v>
      </c>
      <c r="C47" s="370">
        <f t="shared" si="10"/>
        <v>0</v>
      </c>
      <c r="D47" s="370">
        <f t="shared" si="10"/>
        <v>0</v>
      </c>
      <c r="E47" s="370">
        <f t="shared" si="10"/>
        <v>3</v>
      </c>
      <c r="F47" s="370">
        <f t="shared" si="10"/>
        <v>0</v>
      </c>
      <c r="G47" s="370">
        <f t="shared" si="10"/>
        <v>0</v>
      </c>
      <c r="H47" s="370">
        <f t="shared" si="10"/>
        <v>0</v>
      </c>
      <c r="I47" s="370">
        <f t="shared" si="10"/>
        <v>4</v>
      </c>
      <c r="J47" s="370">
        <f t="shared" si="10"/>
        <v>0</v>
      </c>
      <c r="K47" s="370">
        <f t="shared" si="10"/>
        <v>0</v>
      </c>
      <c r="L47" s="370">
        <f t="shared" si="10"/>
        <v>1</v>
      </c>
      <c r="M47" s="370">
        <f t="shared" si="10"/>
        <v>0</v>
      </c>
      <c r="N47" s="370">
        <f t="shared" si="10"/>
        <v>0</v>
      </c>
      <c r="O47" s="370">
        <f t="shared" si="10"/>
        <v>0</v>
      </c>
      <c r="P47" s="370">
        <f t="shared" si="10"/>
        <v>0</v>
      </c>
      <c r="Q47" s="370">
        <f t="shared" si="10"/>
        <v>0</v>
      </c>
      <c r="R47" s="370">
        <f t="shared" si="10"/>
        <v>0</v>
      </c>
      <c r="S47" s="370">
        <f t="shared" si="10"/>
        <v>0</v>
      </c>
      <c r="T47" s="370">
        <f t="shared" si="10"/>
        <v>0</v>
      </c>
      <c r="U47" s="370">
        <f t="shared" si="10"/>
        <v>0</v>
      </c>
      <c r="V47" s="370">
        <f t="shared" si="10"/>
        <v>0</v>
      </c>
      <c r="W47" s="370">
        <f t="shared" si="10"/>
        <v>0</v>
      </c>
      <c r="X47" s="370">
        <f t="shared" si="10"/>
        <v>0</v>
      </c>
      <c r="Y47" s="370">
        <f t="shared" si="10"/>
        <v>0</v>
      </c>
      <c r="Z47" s="370">
        <f t="shared" si="10"/>
        <v>0</v>
      </c>
      <c r="AA47" s="370">
        <f t="shared" si="10"/>
        <v>0</v>
      </c>
      <c r="AB47" s="370">
        <f t="shared" si="10"/>
        <v>0</v>
      </c>
      <c r="AC47" s="370">
        <f t="shared" si="10"/>
        <v>0</v>
      </c>
      <c r="AD47" s="370">
        <f t="shared" si="10"/>
        <v>0</v>
      </c>
      <c r="AE47" s="370">
        <f t="shared" si="10"/>
        <v>0</v>
      </c>
      <c r="AF47" s="370">
        <f t="shared" si="10"/>
        <v>0</v>
      </c>
      <c r="AG47" s="143">
        <f t="shared" si="9"/>
        <v>8</v>
      </c>
    </row>
    <row r="48" outlineLevel="1">
      <c r="A48" s="98"/>
      <c r="B48" s="135"/>
      <c r="C48" s="135"/>
      <c r="D48" s="135"/>
      <c r="E48" s="135"/>
      <c r="F48" s="135"/>
      <c r="G48" s="135"/>
      <c r="H48" s="135"/>
      <c r="I48" s="82"/>
      <c r="J48" s="82"/>
      <c r="K48" s="82"/>
      <c r="L48" s="82"/>
      <c r="M48" s="82"/>
      <c r="N48" s="82"/>
      <c r="O48" s="82"/>
      <c r="P48" s="82"/>
      <c r="Q48" s="82"/>
      <c r="R48" s="82"/>
      <c r="S48" s="82"/>
      <c r="T48" s="82"/>
      <c r="U48" s="82"/>
      <c r="V48" s="82"/>
      <c r="W48" s="82"/>
      <c r="X48" s="82"/>
      <c r="Y48" s="82"/>
      <c r="Z48" s="82"/>
      <c r="AA48" s="82"/>
      <c r="AB48" s="82"/>
      <c r="AC48" s="82"/>
      <c r="AD48" s="82"/>
      <c r="AE48" s="82"/>
      <c r="AF48" s="82"/>
      <c r="AG48" s="143"/>
    </row>
    <row r="49" outlineLevel="1">
      <c r="A49" s="147" t="s">
        <v>581</v>
      </c>
      <c r="B49" s="135"/>
      <c r="C49" s="135"/>
      <c r="D49" s="135"/>
      <c r="E49" s="135"/>
      <c r="F49" s="135"/>
      <c r="G49" s="200"/>
      <c r="H49" s="135"/>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209"/>
    </row>
    <row r="50" outlineLevel="1">
      <c r="A50" s="216" t="s">
        <v>582</v>
      </c>
      <c r="B50" s="116"/>
      <c r="C50" s="116"/>
      <c r="D50" s="200">
        <v>302.2</v>
      </c>
      <c r="E50" s="200">
        <v>357.01</v>
      </c>
      <c r="F50" s="116"/>
      <c r="G50" s="116"/>
      <c r="H50" s="116"/>
      <c r="I50" s="200">
        <v>367.86</v>
      </c>
      <c r="J50" s="116"/>
      <c r="K50" s="116"/>
      <c r="L50" s="200">
        <v>599.94</v>
      </c>
      <c r="M50" s="200">
        <v>309.63</v>
      </c>
      <c r="N50" s="116"/>
      <c r="O50" s="116"/>
      <c r="P50" s="116"/>
      <c r="Q50" s="116"/>
      <c r="R50" s="116"/>
      <c r="S50" s="116"/>
      <c r="T50" s="116"/>
      <c r="U50" s="116"/>
      <c r="V50" s="116"/>
      <c r="W50" s="116"/>
      <c r="X50" s="116"/>
      <c r="Y50" s="116"/>
      <c r="Z50" s="116"/>
      <c r="AA50" s="116"/>
      <c r="AB50" s="116"/>
      <c r="AC50" s="116"/>
      <c r="AD50" s="116"/>
      <c r="AE50" s="116"/>
      <c r="AF50" s="116"/>
      <c r="AG50" s="114">
        <f t="shared" ref="AG50:AG53" si="11">SUM(B50:AF50)</f>
        <v>1936.64</v>
      </c>
    </row>
    <row r="51" outlineLevel="1">
      <c r="A51" s="216" t="s">
        <v>437</v>
      </c>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4">
        <f t="shared" si="11"/>
        <v>0</v>
      </c>
    </row>
    <row r="52" outlineLevel="1">
      <c r="A52" s="216" t="s">
        <v>583</v>
      </c>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4">
        <f t="shared" si="11"/>
        <v>0</v>
      </c>
    </row>
    <row r="53" outlineLevel="1">
      <c r="A53" s="387" t="s">
        <v>584</v>
      </c>
      <c r="B53" s="379">
        <f t="shared" ref="B53:AF53" si="12">SUM(B50:B52)</f>
        <v>0</v>
      </c>
      <c r="C53" s="379">
        <f t="shared" si="12"/>
        <v>0</v>
      </c>
      <c r="D53" s="379">
        <f t="shared" si="12"/>
        <v>302.2</v>
      </c>
      <c r="E53" s="379">
        <f t="shared" si="12"/>
        <v>357.01</v>
      </c>
      <c r="F53" s="379">
        <f t="shared" si="12"/>
        <v>0</v>
      </c>
      <c r="G53" s="379">
        <f t="shared" si="12"/>
        <v>0</v>
      </c>
      <c r="H53" s="379">
        <f t="shared" si="12"/>
        <v>0</v>
      </c>
      <c r="I53" s="379">
        <f t="shared" si="12"/>
        <v>367.86</v>
      </c>
      <c r="J53" s="379">
        <f t="shared" si="12"/>
        <v>0</v>
      </c>
      <c r="K53" s="379">
        <f t="shared" si="12"/>
        <v>0</v>
      </c>
      <c r="L53" s="379">
        <f t="shared" si="12"/>
        <v>599.94</v>
      </c>
      <c r="M53" s="379">
        <f t="shared" si="12"/>
        <v>309.63</v>
      </c>
      <c r="N53" s="379">
        <f t="shared" si="12"/>
        <v>0</v>
      </c>
      <c r="O53" s="379">
        <f t="shared" si="12"/>
        <v>0</v>
      </c>
      <c r="P53" s="379">
        <f t="shared" si="12"/>
        <v>0</v>
      </c>
      <c r="Q53" s="379">
        <f t="shared" si="12"/>
        <v>0</v>
      </c>
      <c r="R53" s="379">
        <f t="shared" si="12"/>
        <v>0</v>
      </c>
      <c r="S53" s="379">
        <f t="shared" si="12"/>
        <v>0</v>
      </c>
      <c r="T53" s="379">
        <f t="shared" si="12"/>
        <v>0</v>
      </c>
      <c r="U53" s="379">
        <f t="shared" si="12"/>
        <v>0</v>
      </c>
      <c r="V53" s="379">
        <f t="shared" si="12"/>
        <v>0</v>
      </c>
      <c r="W53" s="379">
        <f t="shared" si="12"/>
        <v>0</v>
      </c>
      <c r="X53" s="379">
        <f t="shared" si="12"/>
        <v>0</v>
      </c>
      <c r="Y53" s="379">
        <f t="shared" si="12"/>
        <v>0</v>
      </c>
      <c r="Z53" s="379">
        <f t="shared" si="12"/>
        <v>0</v>
      </c>
      <c r="AA53" s="379">
        <f t="shared" si="12"/>
        <v>0</v>
      </c>
      <c r="AB53" s="379">
        <f t="shared" si="12"/>
        <v>0</v>
      </c>
      <c r="AC53" s="379">
        <f t="shared" si="12"/>
        <v>0</v>
      </c>
      <c r="AD53" s="379">
        <f t="shared" si="12"/>
        <v>0</v>
      </c>
      <c r="AE53" s="379">
        <f t="shared" si="12"/>
        <v>0</v>
      </c>
      <c r="AF53" s="379">
        <f t="shared" si="12"/>
        <v>0</v>
      </c>
      <c r="AG53" s="114">
        <f t="shared" si="11"/>
        <v>1936.64</v>
      </c>
    </row>
    <row r="54" outlineLevel="1">
      <c r="A54" s="98"/>
      <c r="B54" s="135"/>
      <c r="C54" s="135"/>
      <c r="D54" s="135"/>
      <c r="E54" s="135"/>
      <c r="F54" s="135"/>
      <c r="G54" s="135"/>
      <c r="H54" s="135"/>
      <c r="I54" s="82"/>
      <c r="J54" s="82"/>
      <c r="K54" s="82"/>
      <c r="L54" s="82"/>
      <c r="M54" s="82"/>
      <c r="N54" s="82"/>
      <c r="O54" s="82"/>
      <c r="P54" s="82"/>
      <c r="Q54" s="82"/>
      <c r="R54" s="82"/>
      <c r="S54" s="82"/>
      <c r="T54" s="82"/>
      <c r="U54" s="82"/>
      <c r="V54" s="82"/>
      <c r="W54" s="82"/>
      <c r="X54" s="82"/>
      <c r="Y54" s="82"/>
      <c r="Z54" s="82"/>
      <c r="AA54" s="82"/>
      <c r="AB54" s="82"/>
      <c r="AC54" s="82"/>
      <c r="AD54" s="82"/>
      <c r="AE54" s="82"/>
      <c r="AF54" s="82"/>
      <c r="AG54" s="114"/>
    </row>
    <row r="55" outlineLevel="1">
      <c r="A55" s="411" t="s">
        <v>260</v>
      </c>
      <c r="B55" s="412"/>
      <c r="C55" s="412"/>
      <c r="D55" s="412"/>
      <c r="E55" s="412"/>
      <c r="F55" s="412"/>
      <c r="G55" s="412"/>
      <c r="H55" s="412"/>
      <c r="I55" s="412"/>
      <c r="J55" s="412"/>
      <c r="K55" s="412"/>
      <c r="L55" s="412"/>
      <c r="M55" s="412"/>
      <c r="N55" s="412"/>
      <c r="O55" s="412"/>
      <c r="P55" s="412"/>
      <c r="Q55" s="412"/>
      <c r="R55" s="412"/>
      <c r="S55" s="412"/>
      <c r="T55" s="412"/>
      <c r="U55" s="412"/>
      <c r="V55" s="412"/>
      <c r="W55" s="412"/>
      <c r="X55" s="412"/>
      <c r="Y55" s="412"/>
      <c r="Z55" s="412"/>
      <c r="AA55" s="412"/>
      <c r="AB55" s="412"/>
      <c r="AC55" s="412"/>
      <c r="AD55" s="412"/>
      <c r="AE55" s="412"/>
      <c r="AF55" s="412"/>
      <c r="AG55" s="114">
        <f t="shared" ref="AG55:AG57" si="13">SUM(B55:AF55)</f>
        <v>0</v>
      </c>
    </row>
    <row r="56" outlineLevel="1">
      <c r="A56" s="413" t="s">
        <v>261</v>
      </c>
      <c r="B56" s="414"/>
      <c r="C56" s="414"/>
      <c r="D56" s="414"/>
      <c r="E56" s="414"/>
      <c r="F56" s="414"/>
      <c r="G56" s="414"/>
      <c r="H56" s="414"/>
      <c r="I56" s="414"/>
      <c r="J56" s="414"/>
      <c r="K56" s="414"/>
      <c r="L56" s="414"/>
      <c r="M56" s="414"/>
      <c r="N56" s="414"/>
      <c r="O56" s="414"/>
      <c r="P56" s="414"/>
      <c r="Q56" s="414"/>
      <c r="R56" s="414"/>
      <c r="S56" s="414"/>
      <c r="T56" s="414"/>
      <c r="U56" s="414"/>
      <c r="V56" s="414"/>
      <c r="W56" s="414"/>
      <c r="X56" s="414"/>
      <c r="Y56" s="414"/>
      <c r="Z56" s="414"/>
      <c r="AA56" s="414"/>
      <c r="AB56" s="414"/>
      <c r="AC56" s="414"/>
      <c r="AD56" s="414"/>
      <c r="AE56" s="414"/>
      <c r="AF56" s="414"/>
      <c r="AG56" s="114">
        <f t="shared" si="13"/>
        <v>0</v>
      </c>
    </row>
    <row r="57" outlineLevel="1">
      <c r="A57" s="415" t="s">
        <v>585</v>
      </c>
      <c r="B57" s="416">
        <f t="shared" ref="B57:AF57" si="14">sum(B55:B56)</f>
        <v>0</v>
      </c>
      <c r="C57" s="416">
        <f t="shared" si="14"/>
        <v>0</v>
      </c>
      <c r="D57" s="416">
        <f t="shared" si="14"/>
        <v>0</v>
      </c>
      <c r="E57" s="416">
        <f t="shared" si="14"/>
        <v>0</v>
      </c>
      <c r="F57" s="416">
        <f t="shared" si="14"/>
        <v>0</v>
      </c>
      <c r="G57" s="416">
        <f t="shared" si="14"/>
        <v>0</v>
      </c>
      <c r="H57" s="416">
        <f t="shared" si="14"/>
        <v>0</v>
      </c>
      <c r="I57" s="416">
        <f t="shared" si="14"/>
        <v>0</v>
      </c>
      <c r="J57" s="416">
        <f t="shared" si="14"/>
        <v>0</v>
      </c>
      <c r="K57" s="416">
        <f t="shared" si="14"/>
        <v>0</v>
      </c>
      <c r="L57" s="416">
        <f t="shared" si="14"/>
        <v>0</v>
      </c>
      <c r="M57" s="416">
        <f t="shared" si="14"/>
        <v>0</v>
      </c>
      <c r="N57" s="416">
        <f t="shared" si="14"/>
        <v>0</v>
      </c>
      <c r="O57" s="416">
        <f t="shared" si="14"/>
        <v>0</v>
      </c>
      <c r="P57" s="416">
        <f t="shared" si="14"/>
        <v>0</v>
      </c>
      <c r="Q57" s="416">
        <f t="shared" si="14"/>
        <v>0</v>
      </c>
      <c r="R57" s="416">
        <f t="shared" si="14"/>
        <v>0</v>
      </c>
      <c r="S57" s="416">
        <f t="shared" si="14"/>
        <v>0</v>
      </c>
      <c r="T57" s="416">
        <f t="shared" si="14"/>
        <v>0</v>
      </c>
      <c r="U57" s="416">
        <f t="shared" si="14"/>
        <v>0</v>
      </c>
      <c r="V57" s="416">
        <f t="shared" si="14"/>
        <v>0</v>
      </c>
      <c r="W57" s="416">
        <f t="shared" si="14"/>
        <v>0</v>
      </c>
      <c r="X57" s="416">
        <f t="shared" si="14"/>
        <v>0</v>
      </c>
      <c r="Y57" s="416">
        <f t="shared" si="14"/>
        <v>0</v>
      </c>
      <c r="Z57" s="416">
        <f t="shared" si="14"/>
        <v>0</v>
      </c>
      <c r="AA57" s="416">
        <f t="shared" si="14"/>
        <v>0</v>
      </c>
      <c r="AB57" s="416">
        <f t="shared" si="14"/>
        <v>0</v>
      </c>
      <c r="AC57" s="416">
        <f t="shared" si="14"/>
        <v>0</v>
      </c>
      <c r="AD57" s="416">
        <f t="shared" si="14"/>
        <v>0</v>
      </c>
      <c r="AE57" s="416">
        <f t="shared" si="14"/>
        <v>0</v>
      </c>
      <c r="AF57" s="416">
        <f t="shared" si="14"/>
        <v>0</v>
      </c>
      <c r="AG57" s="114">
        <f t="shared" si="13"/>
        <v>0</v>
      </c>
    </row>
    <row r="58" outlineLevel="1">
      <c r="A58" s="98"/>
      <c r="B58" s="135"/>
      <c r="C58" s="135"/>
      <c r="D58" s="135"/>
      <c r="E58" s="135"/>
      <c r="F58" s="135"/>
      <c r="G58" s="135"/>
      <c r="H58" s="135"/>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209"/>
    </row>
    <row r="59" outlineLevel="1">
      <c r="A59" s="417" t="s">
        <v>586</v>
      </c>
      <c r="B59" s="418"/>
      <c r="C59" s="418"/>
      <c r="D59" s="418"/>
      <c r="E59" s="418"/>
      <c r="F59" s="418"/>
      <c r="G59" s="418"/>
      <c r="H59" s="418"/>
      <c r="I59" s="418"/>
      <c r="J59" s="418"/>
      <c r="K59" s="418"/>
      <c r="L59" s="418"/>
      <c r="M59" s="418"/>
      <c r="N59" s="418"/>
      <c r="O59" s="418"/>
      <c r="P59" s="418"/>
      <c r="Q59" s="418"/>
      <c r="R59" s="418"/>
      <c r="S59" s="418"/>
      <c r="T59" s="419"/>
      <c r="U59" s="419"/>
      <c r="V59" s="419"/>
      <c r="W59" s="419"/>
      <c r="X59" s="419"/>
      <c r="Y59" s="419"/>
      <c r="Z59" s="419"/>
      <c r="AA59" s="419"/>
      <c r="AB59" s="419"/>
      <c r="AC59" s="419"/>
      <c r="AD59" s="419"/>
      <c r="AE59" s="419"/>
      <c r="AF59" s="419"/>
      <c r="AG59" s="209"/>
    </row>
    <row r="60" outlineLevel="1">
      <c r="A60" s="216" t="s">
        <v>587</v>
      </c>
      <c r="B60" s="343"/>
      <c r="C60" s="343"/>
      <c r="D60" s="343"/>
      <c r="E60" s="343"/>
      <c r="F60" s="343"/>
      <c r="G60" s="343"/>
      <c r="H60" s="343"/>
      <c r="I60" s="343"/>
      <c r="J60" s="343"/>
      <c r="K60" s="343"/>
      <c r="L60" s="343"/>
      <c r="M60" s="343"/>
      <c r="N60" s="343"/>
      <c r="O60" s="343"/>
      <c r="P60" s="343"/>
      <c r="Q60" s="343"/>
      <c r="R60" s="343"/>
      <c r="S60" s="343"/>
      <c r="T60" s="343"/>
      <c r="U60" s="343"/>
      <c r="V60" s="343"/>
      <c r="W60" s="343"/>
      <c r="X60" s="343"/>
      <c r="Y60" s="343"/>
      <c r="Z60" s="343"/>
      <c r="AA60" s="343"/>
      <c r="AB60" s="343"/>
      <c r="AC60" s="343"/>
      <c r="AD60" s="343"/>
      <c r="AE60" s="343"/>
      <c r="AF60" s="343"/>
      <c r="AG60" s="143">
        <f t="shared" ref="AG60:AG65" si="15">SUM(B60:AF60)</f>
        <v>0</v>
      </c>
    </row>
    <row r="61" outlineLevel="1">
      <c r="A61" s="216" t="s">
        <v>588</v>
      </c>
      <c r="B61" s="343"/>
      <c r="C61" s="343"/>
      <c r="D61" s="343"/>
      <c r="E61" s="343"/>
      <c r="F61" s="343"/>
      <c r="G61" s="343"/>
      <c r="H61" s="343"/>
      <c r="I61" s="343"/>
      <c r="J61" s="343"/>
      <c r="K61" s="343"/>
      <c r="L61" s="343"/>
      <c r="M61" s="343"/>
      <c r="N61" s="343"/>
      <c r="O61" s="343"/>
      <c r="P61" s="343"/>
      <c r="Q61" s="343"/>
      <c r="R61" s="343"/>
      <c r="S61" s="343"/>
      <c r="T61" s="343"/>
      <c r="U61" s="343"/>
      <c r="V61" s="343"/>
      <c r="W61" s="343"/>
      <c r="X61" s="343"/>
      <c r="Y61" s="343"/>
      <c r="Z61" s="343"/>
      <c r="AA61" s="343"/>
      <c r="AB61" s="343"/>
      <c r="AC61" s="343"/>
      <c r="AD61" s="343"/>
      <c r="AE61" s="343"/>
      <c r="AF61" s="343"/>
      <c r="AG61" s="143">
        <f t="shared" si="15"/>
        <v>0</v>
      </c>
    </row>
    <row r="62" outlineLevel="1">
      <c r="A62" s="216" t="s">
        <v>589</v>
      </c>
      <c r="B62" s="343"/>
      <c r="C62" s="343"/>
      <c r="D62" s="343"/>
      <c r="E62" s="343"/>
      <c r="F62" s="343"/>
      <c r="G62" s="343"/>
      <c r="H62" s="343"/>
      <c r="I62" s="343"/>
      <c r="J62" s="343"/>
      <c r="K62" s="343"/>
      <c r="L62" s="343"/>
      <c r="M62" s="176">
        <v>1.0</v>
      </c>
      <c r="N62" s="343"/>
      <c r="O62" s="343"/>
      <c r="P62" s="343"/>
      <c r="Q62" s="343"/>
      <c r="R62" s="343"/>
      <c r="S62" s="343"/>
      <c r="T62" s="343"/>
      <c r="U62" s="343"/>
      <c r="V62" s="343"/>
      <c r="W62" s="343"/>
      <c r="X62" s="343"/>
      <c r="Y62" s="343"/>
      <c r="Z62" s="343"/>
      <c r="AA62" s="343"/>
      <c r="AB62" s="343"/>
      <c r="AC62" s="343"/>
      <c r="AD62" s="343"/>
      <c r="AE62" s="343"/>
      <c r="AF62" s="343"/>
      <c r="AG62" s="143">
        <f t="shared" si="15"/>
        <v>1</v>
      </c>
    </row>
    <row r="63" outlineLevel="1">
      <c r="A63" s="216" t="s">
        <v>590</v>
      </c>
      <c r="B63" s="343"/>
      <c r="C63" s="343"/>
      <c r="D63" s="343"/>
      <c r="E63" s="343"/>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3"/>
      <c r="AD63" s="343"/>
      <c r="AE63" s="343"/>
      <c r="AF63" s="343"/>
      <c r="AG63" s="143">
        <f t="shared" si="15"/>
        <v>0</v>
      </c>
    </row>
    <row r="64" outlineLevel="1">
      <c r="A64" s="218" t="s">
        <v>194</v>
      </c>
      <c r="B64" s="370">
        <f t="shared" ref="B64:AF64" si="16">SUM(B60:B61)</f>
        <v>0</v>
      </c>
      <c r="C64" s="370">
        <f t="shared" si="16"/>
        <v>0</v>
      </c>
      <c r="D64" s="370">
        <f t="shared" si="16"/>
        <v>0</v>
      </c>
      <c r="E64" s="370">
        <f t="shared" si="16"/>
        <v>0</v>
      </c>
      <c r="F64" s="370">
        <f t="shared" si="16"/>
        <v>0</v>
      </c>
      <c r="G64" s="370">
        <f t="shared" si="16"/>
        <v>0</v>
      </c>
      <c r="H64" s="370">
        <f t="shared" si="16"/>
        <v>0</v>
      </c>
      <c r="I64" s="370">
        <f t="shared" si="16"/>
        <v>0</v>
      </c>
      <c r="J64" s="370">
        <f t="shared" si="16"/>
        <v>0</v>
      </c>
      <c r="K64" s="370">
        <f t="shared" si="16"/>
        <v>0</v>
      </c>
      <c r="L64" s="370">
        <f t="shared" si="16"/>
        <v>0</v>
      </c>
      <c r="M64" s="370">
        <f t="shared" si="16"/>
        <v>0</v>
      </c>
      <c r="N64" s="370">
        <f t="shared" si="16"/>
        <v>0</v>
      </c>
      <c r="O64" s="370">
        <f t="shared" si="16"/>
        <v>0</v>
      </c>
      <c r="P64" s="370">
        <f t="shared" si="16"/>
        <v>0</v>
      </c>
      <c r="Q64" s="370">
        <f t="shared" si="16"/>
        <v>0</v>
      </c>
      <c r="R64" s="370">
        <f t="shared" si="16"/>
        <v>0</v>
      </c>
      <c r="S64" s="370">
        <f t="shared" si="16"/>
        <v>0</v>
      </c>
      <c r="T64" s="370">
        <f t="shared" si="16"/>
        <v>0</v>
      </c>
      <c r="U64" s="370">
        <f t="shared" si="16"/>
        <v>0</v>
      </c>
      <c r="V64" s="370">
        <f t="shared" si="16"/>
        <v>0</v>
      </c>
      <c r="W64" s="370">
        <f t="shared" si="16"/>
        <v>0</v>
      </c>
      <c r="X64" s="370">
        <f t="shared" si="16"/>
        <v>0</v>
      </c>
      <c r="Y64" s="370">
        <f t="shared" si="16"/>
        <v>0</v>
      </c>
      <c r="Z64" s="370">
        <f t="shared" si="16"/>
        <v>0</v>
      </c>
      <c r="AA64" s="370">
        <f t="shared" si="16"/>
        <v>0</v>
      </c>
      <c r="AB64" s="370">
        <f t="shared" si="16"/>
        <v>0</v>
      </c>
      <c r="AC64" s="370">
        <f t="shared" si="16"/>
        <v>0</v>
      </c>
      <c r="AD64" s="370">
        <f t="shared" si="16"/>
        <v>0</v>
      </c>
      <c r="AE64" s="370">
        <f t="shared" si="16"/>
        <v>0</v>
      </c>
      <c r="AF64" s="370">
        <f t="shared" si="16"/>
        <v>0</v>
      </c>
      <c r="AG64" s="143">
        <f t="shared" si="15"/>
        <v>0</v>
      </c>
    </row>
    <row r="65" outlineLevel="1">
      <c r="A65" s="218" t="s">
        <v>195</v>
      </c>
      <c r="B65" s="370">
        <f t="shared" ref="B65:AF65" si="17">SUM(B62:B63)</f>
        <v>0</v>
      </c>
      <c r="C65" s="370">
        <f t="shared" si="17"/>
        <v>0</v>
      </c>
      <c r="D65" s="370">
        <f t="shared" si="17"/>
        <v>0</v>
      </c>
      <c r="E65" s="370">
        <f t="shared" si="17"/>
        <v>0</v>
      </c>
      <c r="F65" s="370">
        <f t="shared" si="17"/>
        <v>0</v>
      </c>
      <c r="G65" s="370">
        <f t="shared" si="17"/>
        <v>0</v>
      </c>
      <c r="H65" s="370">
        <f t="shared" si="17"/>
        <v>0</v>
      </c>
      <c r="I65" s="370">
        <f t="shared" si="17"/>
        <v>0</v>
      </c>
      <c r="J65" s="370">
        <f t="shared" si="17"/>
        <v>0</v>
      </c>
      <c r="K65" s="370">
        <f t="shared" si="17"/>
        <v>0</v>
      </c>
      <c r="L65" s="370">
        <f t="shared" si="17"/>
        <v>0</v>
      </c>
      <c r="M65" s="370">
        <f t="shared" si="17"/>
        <v>1</v>
      </c>
      <c r="N65" s="370">
        <f t="shared" si="17"/>
        <v>0</v>
      </c>
      <c r="O65" s="370">
        <f t="shared" si="17"/>
        <v>0</v>
      </c>
      <c r="P65" s="370">
        <f t="shared" si="17"/>
        <v>0</v>
      </c>
      <c r="Q65" s="370">
        <f t="shared" si="17"/>
        <v>0</v>
      </c>
      <c r="R65" s="370">
        <f t="shared" si="17"/>
        <v>0</v>
      </c>
      <c r="S65" s="370">
        <f t="shared" si="17"/>
        <v>0</v>
      </c>
      <c r="T65" s="370">
        <f t="shared" si="17"/>
        <v>0</v>
      </c>
      <c r="U65" s="370">
        <f t="shared" si="17"/>
        <v>0</v>
      </c>
      <c r="V65" s="370">
        <f t="shared" si="17"/>
        <v>0</v>
      </c>
      <c r="W65" s="370">
        <f t="shared" si="17"/>
        <v>0</v>
      </c>
      <c r="X65" s="370">
        <f t="shared" si="17"/>
        <v>0</v>
      </c>
      <c r="Y65" s="370">
        <f t="shared" si="17"/>
        <v>0</v>
      </c>
      <c r="Z65" s="370">
        <f t="shared" si="17"/>
        <v>0</v>
      </c>
      <c r="AA65" s="370">
        <f t="shared" si="17"/>
        <v>0</v>
      </c>
      <c r="AB65" s="370">
        <f t="shared" si="17"/>
        <v>0</v>
      </c>
      <c r="AC65" s="370">
        <f t="shared" si="17"/>
        <v>0</v>
      </c>
      <c r="AD65" s="370">
        <f t="shared" si="17"/>
        <v>0</v>
      </c>
      <c r="AE65" s="370">
        <f t="shared" si="17"/>
        <v>0</v>
      </c>
      <c r="AF65" s="370">
        <f t="shared" si="17"/>
        <v>0</v>
      </c>
      <c r="AG65" s="143">
        <f t="shared" si="15"/>
        <v>1</v>
      </c>
    </row>
    <row r="66" outlineLevel="1">
      <c r="A66" s="98"/>
      <c r="B66" s="187"/>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187"/>
      <c r="AF66" s="187"/>
      <c r="AG66" s="209"/>
    </row>
    <row r="67" outlineLevel="1">
      <c r="A67" s="216" t="s">
        <v>197</v>
      </c>
      <c r="B67" s="343"/>
      <c r="C67" s="343"/>
      <c r="D67" s="343"/>
      <c r="E67" s="343"/>
      <c r="F67" s="343"/>
      <c r="G67" s="343"/>
      <c r="H67" s="343"/>
      <c r="I67" s="343"/>
      <c r="J67" s="343"/>
      <c r="K67" s="343"/>
      <c r="L67" s="343"/>
      <c r="M67" s="343"/>
      <c r="N67" s="343"/>
      <c r="O67" s="343"/>
      <c r="P67" s="343"/>
      <c r="Q67" s="343"/>
      <c r="R67" s="343"/>
      <c r="S67" s="343"/>
      <c r="T67" s="343"/>
      <c r="U67" s="343"/>
      <c r="V67" s="343"/>
      <c r="W67" s="343"/>
      <c r="X67" s="343"/>
      <c r="Y67" s="343"/>
      <c r="Z67" s="343"/>
      <c r="AA67" s="343"/>
      <c r="AB67" s="343"/>
      <c r="AC67" s="343"/>
      <c r="AD67" s="343"/>
      <c r="AE67" s="343"/>
      <c r="AF67" s="343"/>
      <c r="AG67" s="143">
        <f t="shared" ref="AG67:AG75" si="18">SUM(B67:AF67)</f>
        <v>0</v>
      </c>
    </row>
    <row r="68" outlineLevel="1">
      <c r="A68" s="216" t="s">
        <v>198</v>
      </c>
      <c r="B68" s="343"/>
      <c r="C68" s="343"/>
      <c r="D68" s="343"/>
      <c r="E68" s="343"/>
      <c r="F68" s="343"/>
      <c r="G68" s="343"/>
      <c r="H68" s="343"/>
      <c r="I68" s="343"/>
      <c r="J68" s="343"/>
      <c r="K68" s="343"/>
      <c r="L68" s="343"/>
      <c r="M68" s="343"/>
      <c r="N68" s="343"/>
      <c r="O68" s="343"/>
      <c r="P68" s="343"/>
      <c r="Q68" s="343"/>
      <c r="R68" s="343"/>
      <c r="S68" s="343"/>
      <c r="T68" s="343"/>
      <c r="U68" s="343"/>
      <c r="V68" s="343"/>
      <c r="W68" s="343"/>
      <c r="X68" s="343"/>
      <c r="Y68" s="343"/>
      <c r="Z68" s="343"/>
      <c r="AA68" s="343"/>
      <c r="AB68" s="343"/>
      <c r="AC68" s="343"/>
      <c r="AD68" s="343"/>
      <c r="AE68" s="343"/>
      <c r="AF68" s="343"/>
      <c r="AG68" s="143">
        <f t="shared" si="18"/>
        <v>0</v>
      </c>
    </row>
    <row r="69" outlineLevel="1">
      <c r="A69" s="216" t="s">
        <v>591</v>
      </c>
      <c r="B69" s="343"/>
      <c r="C69" s="343"/>
      <c r="D69" s="343"/>
      <c r="E69" s="343"/>
      <c r="F69" s="343"/>
      <c r="G69" s="343"/>
      <c r="H69" s="343"/>
      <c r="I69" s="343"/>
      <c r="J69" s="343"/>
      <c r="K69" s="343"/>
      <c r="L69" s="343"/>
      <c r="M69" s="343"/>
      <c r="N69" s="343"/>
      <c r="O69" s="343"/>
      <c r="P69" s="343"/>
      <c r="Q69" s="343"/>
      <c r="R69" s="343"/>
      <c r="S69" s="343"/>
      <c r="T69" s="343"/>
      <c r="U69" s="343"/>
      <c r="V69" s="343"/>
      <c r="W69" s="343"/>
      <c r="X69" s="343"/>
      <c r="Y69" s="343"/>
      <c r="Z69" s="343"/>
      <c r="AA69" s="343"/>
      <c r="AB69" s="343"/>
      <c r="AC69" s="343"/>
      <c r="AD69" s="343"/>
      <c r="AE69" s="343"/>
      <c r="AF69" s="343"/>
      <c r="AG69" s="143">
        <f t="shared" si="18"/>
        <v>0</v>
      </c>
    </row>
    <row r="70" outlineLevel="1">
      <c r="A70" s="216" t="s">
        <v>592</v>
      </c>
      <c r="B70" s="343"/>
      <c r="C70" s="343"/>
      <c r="D70" s="343"/>
      <c r="E70" s="343"/>
      <c r="F70" s="343"/>
      <c r="G70" s="343"/>
      <c r="H70" s="343"/>
      <c r="I70" s="343"/>
      <c r="J70" s="343"/>
      <c r="K70" s="343"/>
      <c r="L70" s="343"/>
      <c r="M70" s="343"/>
      <c r="N70" s="343"/>
      <c r="O70" s="343"/>
      <c r="P70" s="343"/>
      <c r="Q70" s="343"/>
      <c r="R70" s="343"/>
      <c r="S70" s="343"/>
      <c r="T70" s="343"/>
      <c r="U70" s="343"/>
      <c r="V70" s="343"/>
      <c r="W70" s="343"/>
      <c r="X70" s="343"/>
      <c r="Y70" s="343"/>
      <c r="Z70" s="343"/>
      <c r="AA70" s="343"/>
      <c r="AB70" s="343"/>
      <c r="AC70" s="343"/>
      <c r="AD70" s="343"/>
      <c r="AE70" s="343"/>
      <c r="AF70" s="343"/>
      <c r="AG70" s="143">
        <f t="shared" si="18"/>
        <v>0</v>
      </c>
    </row>
    <row r="71" outlineLevel="1">
      <c r="A71" s="216" t="s">
        <v>593</v>
      </c>
      <c r="B71" s="343"/>
      <c r="C71" s="343"/>
      <c r="D71" s="343"/>
      <c r="E71" s="343"/>
      <c r="F71" s="343"/>
      <c r="G71" s="343"/>
      <c r="H71" s="343"/>
      <c r="I71" s="343"/>
      <c r="J71" s="343"/>
      <c r="K71" s="343"/>
      <c r="L71" s="343"/>
      <c r="M71" s="343"/>
      <c r="N71" s="343"/>
      <c r="O71" s="343"/>
      <c r="P71" s="343"/>
      <c r="Q71" s="343"/>
      <c r="R71" s="343"/>
      <c r="S71" s="343"/>
      <c r="T71" s="343"/>
      <c r="U71" s="343"/>
      <c r="V71" s="343"/>
      <c r="W71" s="343"/>
      <c r="X71" s="343"/>
      <c r="Y71" s="343"/>
      <c r="Z71" s="343"/>
      <c r="AA71" s="343"/>
      <c r="AB71" s="343"/>
      <c r="AC71" s="343"/>
      <c r="AD71" s="343"/>
      <c r="AE71" s="343"/>
      <c r="AF71" s="343"/>
      <c r="AG71" s="143">
        <f t="shared" si="18"/>
        <v>0</v>
      </c>
    </row>
    <row r="72" outlineLevel="1">
      <c r="A72" s="216" t="s">
        <v>594</v>
      </c>
      <c r="B72" s="343"/>
      <c r="C72" s="343"/>
      <c r="D72" s="343"/>
      <c r="E72" s="343"/>
      <c r="F72" s="343"/>
      <c r="G72" s="343"/>
      <c r="H72" s="343"/>
      <c r="I72" s="343"/>
      <c r="J72" s="343"/>
      <c r="K72" s="343"/>
      <c r="L72" s="343"/>
      <c r="M72" s="343"/>
      <c r="N72" s="343"/>
      <c r="O72" s="343"/>
      <c r="P72" s="343"/>
      <c r="Q72" s="343"/>
      <c r="R72" s="343"/>
      <c r="S72" s="343"/>
      <c r="T72" s="343"/>
      <c r="U72" s="343"/>
      <c r="V72" s="343"/>
      <c r="W72" s="343"/>
      <c r="X72" s="343"/>
      <c r="Y72" s="343"/>
      <c r="Z72" s="343"/>
      <c r="AA72" s="343"/>
      <c r="AB72" s="343"/>
      <c r="AC72" s="343"/>
      <c r="AD72" s="343"/>
      <c r="AE72" s="343"/>
      <c r="AF72" s="343"/>
      <c r="AG72" s="143">
        <f t="shared" si="18"/>
        <v>0</v>
      </c>
    </row>
    <row r="73" outlineLevel="1">
      <c r="A73" s="216" t="s">
        <v>595</v>
      </c>
      <c r="B73" s="343"/>
      <c r="C73" s="343"/>
      <c r="D73" s="343"/>
      <c r="E73" s="343"/>
      <c r="F73" s="343"/>
      <c r="G73" s="343"/>
      <c r="H73" s="343"/>
      <c r="I73" s="343"/>
      <c r="J73" s="343"/>
      <c r="K73" s="343"/>
      <c r="L73" s="343"/>
      <c r="M73" s="343"/>
      <c r="N73" s="343"/>
      <c r="O73" s="343"/>
      <c r="P73" s="343"/>
      <c r="Q73" s="343"/>
      <c r="R73" s="343"/>
      <c r="S73" s="343"/>
      <c r="T73" s="343"/>
      <c r="U73" s="343"/>
      <c r="V73" s="343"/>
      <c r="W73" s="343"/>
      <c r="X73" s="343"/>
      <c r="Y73" s="343"/>
      <c r="Z73" s="343"/>
      <c r="AA73" s="343"/>
      <c r="AB73" s="343"/>
      <c r="AC73" s="343"/>
      <c r="AD73" s="343"/>
      <c r="AE73" s="343"/>
      <c r="AF73" s="343"/>
      <c r="AG73" s="143">
        <f t="shared" si="18"/>
        <v>0</v>
      </c>
    </row>
    <row r="74" outlineLevel="1">
      <c r="A74" s="216" t="s">
        <v>596</v>
      </c>
      <c r="B74" s="343"/>
      <c r="C74" s="343"/>
      <c r="D74" s="343"/>
      <c r="E74" s="343"/>
      <c r="F74" s="343"/>
      <c r="G74" s="343"/>
      <c r="H74" s="343"/>
      <c r="I74" s="343"/>
      <c r="J74" s="343"/>
      <c r="K74" s="343"/>
      <c r="L74" s="343"/>
      <c r="M74" s="343"/>
      <c r="N74" s="343"/>
      <c r="O74" s="343"/>
      <c r="P74" s="343"/>
      <c r="Q74" s="343"/>
      <c r="R74" s="343"/>
      <c r="S74" s="343"/>
      <c r="T74" s="343"/>
      <c r="U74" s="343"/>
      <c r="V74" s="343"/>
      <c r="W74" s="343"/>
      <c r="X74" s="343"/>
      <c r="Y74" s="343"/>
      <c r="Z74" s="343"/>
      <c r="AA74" s="343"/>
      <c r="AB74" s="343"/>
      <c r="AC74" s="343"/>
      <c r="AD74" s="343"/>
      <c r="AE74" s="343"/>
      <c r="AF74" s="343"/>
      <c r="AG74" s="143">
        <f t="shared" si="18"/>
        <v>0</v>
      </c>
    </row>
    <row r="75" outlineLevel="1">
      <c r="A75" s="220" t="s">
        <v>130</v>
      </c>
      <c r="B75" s="370">
        <f t="shared" ref="B75:AF75" si="19">SUM(B67:B74)</f>
        <v>0</v>
      </c>
      <c r="C75" s="370">
        <f t="shared" si="19"/>
        <v>0</v>
      </c>
      <c r="D75" s="370">
        <f t="shared" si="19"/>
        <v>0</v>
      </c>
      <c r="E75" s="370">
        <f t="shared" si="19"/>
        <v>0</v>
      </c>
      <c r="F75" s="370">
        <f t="shared" si="19"/>
        <v>0</v>
      </c>
      <c r="G75" s="370">
        <f t="shared" si="19"/>
        <v>0</v>
      </c>
      <c r="H75" s="370">
        <f t="shared" si="19"/>
        <v>0</v>
      </c>
      <c r="I75" s="370">
        <f t="shared" si="19"/>
        <v>0</v>
      </c>
      <c r="J75" s="370">
        <f t="shared" si="19"/>
        <v>0</v>
      </c>
      <c r="K75" s="370">
        <f t="shared" si="19"/>
        <v>0</v>
      </c>
      <c r="L75" s="370">
        <f t="shared" si="19"/>
        <v>0</v>
      </c>
      <c r="M75" s="370">
        <f t="shared" si="19"/>
        <v>0</v>
      </c>
      <c r="N75" s="370">
        <f t="shared" si="19"/>
        <v>0</v>
      </c>
      <c r="O75" s="370">
        <f t="shared" si="19"/>
        <v>0</v>
      </c>
      <c r="P75" s="370">
        <f t="shared" si="19"/>
        <v>0</v>
      </c>
      <c r="Q75" s="370">
        <f t="shared" si="19"/>
        <v>0</v>
      </c>
      <c r="R75" s="370">
        <f t="shared" si="19"/>
        <v>0</v>
      </c>
      <c r="S75" s="370">
        <f t="shared" si="19"/>
        <v>0</v>
      </c>
      <c r="T75" s="370">
        <f t="shared" si="19"/>
        <v>0</v>
      </c>
      <c r="U75" s="370">
        <f t="shared" si="19"/>
        <v>0</v>
      </c>
      <c r="V75" s="370">
        <f t="shared" si="19"/>
        <v>0</v>
      </c>
      <c r="W75" s="370">
        <f t="shared" si="19"/>
        <v>0</v>
      </c>
      <c r="X75" s="370">
        <f t="shared" si="19"/>
        <v>0</v>
      </c>
      <c r="Y75" s="370">
        <f t="shared" si="19"/>
        <v>0</v>
      </c>
      <c r="Z75" s="370">
        <f t="shared" si="19"/>
        <v>0</v>
      </c>
      <c r="AA75" s="370">
        <f t="shared" si="19"/>
        <v>0</v>
      </c>
      <c r="AB75" s="370">
        <f t="shared" si="19"/>
        <v>0</v>
      </c>
      <c r="AC75" s="370">
        <f t="shared" si="19"/>
        <v>0</v>
      </c>
      <c r="AD75" s="370">
        <f t="shared" si="19"/>
        <v>0</v>
      </c>
      <c r="AE75" s="370">
        <f t="shared" si="19"/>
        <v>0</v>
      </c>
      <c r="AF75" s="370">
        <f t="shared" si="19"/>
        <v>0</v>
      </c>
      <c r="AG75" s="143">
        <f t="shared" si="18"/>
        <v>0</v>
      </c>
    </row>
    <row r="76" outlineLevel="1">
      <c r="A76" s="98"/>
      <c r="B76" s="135"/>
      <c r="C76" s="135"/>
      <c r="D76" s="135"/>
      <c r="E76" s="135"/>
      <c r="F76" s="135"/>
      <c r="G76" s="135"/>
      <c r="H76" s="135"/>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143"/>
    </row>
    <row r="77" outlineLevel="1">
      <c r="A77" s="411" t="s">
        <v>597</v>
      </c>
      <c r="B77" s="420"/>
      <c r="C77" s="420"/>
      <c r="D77" s="420"/>
      <c r="E77" s="420"/>
      <c r="F77" s="420"/>
      <c r="G77" s="420"/>
      <c r="H77" s="420"/>
      <c r="I77" s="420"/>
      <c r="J77" s="420"/>
      <c r="K77" s="420"/>
      <c r="L77" s="420"/>
      <c r="M77" s="420"/>
      <c r="N77" s="421"/>
      <c r="O77" s="421"/>
      <c r="P77" s="421"/>
      <c r="Q77" s="421"/>
      <c r="R77" s="421"/>
      <c r="S77" s="421"/>
      <c r="T77" s="421"/>
      <c r="U77" s="421"/>
      <c r="V77" s="421"/>
      <c r="W77" s="421"/>
      <c r="X77" s="421"/>
      <c r="Y77" s="421"/>
      <c r="Z77" s="421"/>
      <c r="AA77" s="421"/>
      <c r="AB77" s="421"/>
      <c r="AC77" s="421"/>
      <c r="AD77" s="421"/>
      <c r="AE77" s="422"/>
      <c r="AF77" s="423"/>
      <c r="AG77" s="143"/>
    </row>
    <row r="78" outlineLevel="1">
      <c r="A78" s="98"/>
      <c r="B78" s="135"/>
      <c r="C78" s="135"/>
      <c r="D78" s="135"/>
      <c r="E78" s="135"/>
      <c r="F78" s="135"/>
      <c r="G78" s="135"/>
      <c r="H78" s="135"/>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143"/>
    </row>
    <row r="79" outlineLevel="1">
      <c r="A79" s="147" t="s">
        <v>598</v>
      </c>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c r="AA79" s="187"/>
      <c r="AB79" s="187"/>
      <c r="AC79" s="187"/>
      <c r="AD79" s="187"/>
      <c r="AE79" s="187"/>
      <c r="AF79" s="187"/>
      <c r="AG79" s="209"/>
    </row>
    <row r="80" outlineLevel="1">
      <c r="A80" s="216" t="s">
        <v>582</v>
      </c>
      <c r="B80" s="200">
        <v>0.0</v>
      </c>
      <c r="C80" s="200">
        <v>0.0</v>
      </c>
      <c r="D80" s="200">
        <v>0.0</v>
      </c>
      <c r="E80" s="228">
        <v>0.0</v>
      </c>
      <c r="F80" s="228">
        <v>0.0</v>
      </c>
      <c r="G80" s="228">
        <v>0.0</v>
      </c>
      <c r="H80" s="228">
        <v>0.0</v>
      </c>
      <c r="I80" s="228">
        <v>0.0</v>
      </c>
      <c r="J80" s="228">
        <v>0.0</v>
      </c>
      <c r="K80" s="228">
        <v>0.0</v>
      </c>
      <c r="L80" s="200">
        <v>0.0</v>
      </c>
      <c r="M80" s="228">
        <v>309.63</v>
      </c>
      <c r="N80" s="228">
        <v>0.0</v>
      </c>
      <c r="O80" s="228">
        <v>0.0</v>
      </c>
      <c r="P80" s="228">
        <v>0.0</v>
      </c>
      <c r="Q80" s="228">
        <v>0.0</v>
      </c>
      <c r="R80" s="228"/>
      <c r="S80" s="228"/>
      <c r="T80" s="228"/>
      <c r="U80" s="228"/>
      <c r="V80" s="228"/>
      <c r="W80" s="228"/>
      <c r="X80" s="200"/>
      <c r="Y80" s="228"/>
      <c r="Z80" s="228"/>
      <c r="AA80" s="228"/>
      <c r="AB80" s="228"/>
      <c r="AC80" s="228"/>
      <c r="AD80" s="200"/>
      <c r="AE80" s="228"/>
      <c r="AF80" s="228"/>
      <c r="AG80" s="114">
        <f t="shared" ref="AG80:AG83" si="20">SUM(B80:AF80)</f>
        <v>309.63</v>
      </c>
    </row>
    <row r="81" outlineLevel="1">
      <c r="A81" s="216" t="s">
        <v>437</v>
      </c>
      <c r="B81" s="96"/>
      <c r="C81" s="96"/>
      <c r="D81" s="96"/>
      <c r="E81" s="96"/>
      <c r="F81" s="96"/>
      <c r="G81" s="353"/>
      <c r="H81" s="353"/>
      <c r="I81" s="353"/>
      <c r="J81" s="353"/>
      <c r="K81" s="96"/>
      <c r="L81" s="353"/>
      <c r="M81" s="113">
        <v>20.0</v>
      </c>
      <c r="N81" s="353"/>
      <c r="O81" s="353"/>
      <c r="P81" s="353"/>
      <c r="Q81" s="353"/>
      <c r="R81" s="353"/>
      <c r="S81" s="353"/>
      <c r="T81" s="353"/>
      <c r="U81" s="353"/>
      <c r="V81" s="353"/>
      <c r="W81" s="353"/>
      <c r="X81" s="353"/>
      <c r="Y81" s="353"/>
      <c r="Z81" s="353"/>
      <c r="AA81" s="353"/>
      <c r="AB81" s="353"/>
      <c r="AC81" s="353"/>
      <c r="AD81" s="353"/>
      <c r="AE81" s="353"/>
      <c r="AF81" s="353"/>
      <c r="AG81" s="114">
        <f t="shared" si="20"/>
        <v>20</v>
      </c>
    </row>
    <row r="82" outlineLevel="1">
      <c r="A82" s="216" t="s">
        <v>583</v>
      </c>
      <c r="B82" s="96"/>
      <c r="C82" s="96"/>
      <c r="D82" s="96"/>
      <c r="E82" s="96"/>
      <c r="F82" s="96"/>
      <c r="G82" s="353"/>
      <c r="H82" s="353"/>
      <c r="I82" s="353"/>
      <c r="J82" s="353"/>
      <c r="K82" s="96"/>
      <c r="L82" s="353"/>
      <c r="M82" s="353"/>
      <c r="N82" s="353"/>
      <c r="O82" s="353"/>
      <c r="P82" s="353"/>
      <c r="Q82" s="353"/>
      <c r="R82" s="353"/>
      <c r="S82" s="353"/>
      <c r="T82" s="353"/>
      <c r="U82" s="353"/>
      <c r="V82" s="353"/>
      <c r="W82" s="353"/>
      <c r="X82" s="353"/>
      <c r="Y82" s="353"/>
      <c r="Z82" s="353"/>
      <c r="AA82" s="353"/>
      <c r="AB82" s="353"/>
      <c r="AC82" s="353"/>
      <c r="AD82" s="353"/>
      <c r="AE82" s="353"/>
      <c r="AF82" s="353"/>
      <c r="AG82" s="114">
        <f t="shared" si="20"/>
        <v>0</v>
      </c>
    </row>
    <row r="83" outlineLevel="1">
      <c r="A83" s="387" t="s">
        <v>584</v>
      </c>
      <c r="B83" s="380">
        <f t="shared" ref="B83:AF83" si="21">sum(B80:B82)</f>
        <v>0</v>
      </c>
      <c r="C83" s="380">
        <f t="shared" si="21"/>
        <v>0</v>
      </c>
      <c r="D83" s="380">
        <f t="shared" si="21"/>
        <v>0</v>
      </c>
      <c r="E83" s="380">
        <f t="shared" si="21"/>
        <v>0</v>
      </c>
      <c r="F83" s="380">
        <f t="shared" si="21"/>
        <v>0</v>
      </c>
      <c r="G83" s="380">
        <f t="shared" si="21"/>
        <v>0</v>
      </c>
      <c r="H83" s="380">
        <f t="shared" si="21"/>
        <v>0</v>
      </c>
      <c r="I83" s="380">
        <f t="shared" si="21"/>
        <v>0</v>
      </c>
      <c r="J83" s="380">
        <f t="shared" si="21"/>
        <v>0</v>
      </c>
      <c r="K83" s="380">
        <f t="shared" si="21"/>
        <v>0</v>
      </c>
      <c r="L83" s="380">
        <f t="shared" si="21"/>
        <v>0</v>
      </c>
      <c r="M83" s="380">
        <f t="shared" si="21"/>
        <v>329.63</v>
      </c>
      <c r="N83" s="380">
        <f t="shared" si="21"/>
        <v>0</v>
      </c>
      <c r="O83" s="380">
        <f t="shared" si="21"/>
        <v>0</v>
      </c>
      <c r="P83" s="380">
        <f t="shared" si="21"/>
        <v>0</v>
      </c>
      <c r="Q83" s="380">
        <f t="shared" si="21"/>
        <v>0</v>
      </c>
      <c r="R83" s="380">
        <f t="shared" si="21"/>
        <v>0</v>
      </c>
      <c r="S83" s="380">
        <f t="shared" si="21"/>
        <v>0</v>
      </c>
      <c r="T83" s="380">
        <f t="shared" si="21"/>
        <v>0</v>
      </c>
      <c r="U83" s="380">
        <f t="shared" si="21"/>
        <v>0</v>
      </c>
      <c r="V83" s="380">
        <f t="shared" si="21"/>
        <v>0</v>
      </c>
      <c r="W83" s="380">
        <f t="shared" si="21"/>
        <v>0</v>
      </c>
      <c r="X83" s="380">
        <f t="shared" si="21"/>
        <v>0</v>
      </c>
      <c r="Y83" s="380">
        <f t="shared" si="21"/>
        <v>0</v>
      </c>
      <c r="Z83" s="380">
        <f t="shared" si="21"/>
        <v>0</v>
      </c>
      <c r="AA83" s="380">
        <f t="shared" si="21"/>
        <v>0</v>
      </c>
      <c r="AB83" s="380">
        <f t="shared" si="21"/>
        <v>0</v>
      </c>
      <c r="AC83" s="380">
        <f t="shared" si="21"/>
        <v>0</v>
      </c>
      <c r="AD83" s="380">
        <f t="shared" si="21"/>
        <v>0</v>
      </c>
      <c r="AE83" s="380">
        <f t="shared" si="21"/>
        <v>0</v>
      </c>
      <c r="AF83" s="380">
        <f t="shared" si="21"/>
        <v>0</v>
      </c>
      <c r="AG83" s="114">
        <f t="shared" si="20"/>
        <v>329.63</v>
      </c>
    </row>
    <row r="84" outlineLevel="1">
      <c r="A84" s="177"/>
      <c r="B84" s="187"/>
      <c r="C84" s="187"/>
      <c r="D84" s="187"/>
      <c r="E84" s="187"/>
      <c r="F84" s="187"/>
      <c r="G84" s="187"/>
      <c r="H84" s="187"/>
      <c r="I84" s="187"/>
      <c r="J84" s="187"/>
      <c r="K84" s="187"/>
      <c r="L84" s="187"/>
      <c r="M84" s="187"/>
      <c r="N84" s="187"/>
      <c r="O84" s="187"/>
      <c r="P84" s="187"/>
      <c r="Q84" s="187"/>
      <c r="R84" s="187"/>
      <c r="S84" s="187"/>
      <c r="T84" s="187"/>
      <c r="U84" s="187"/>
      <c r="V84" s="187"/>
      <c r="W84" s="187"/>
      <c r="X84" s="187"/>
      <c r="Y84" s="187"/>
      <c r="Z84" s="187"/>
      <c r="AA84" s="187"/>
      <c r="AB84" s="187"/>
      <c r="AC84" s="187"/>
      <c r="AD84" s="187"/>
      <c r="AE84" s="187"/>
      <c r="AF84" s="187"/>
      <c r="AG84" s="114"/>
    </row>
    <row r="85" outlineLevel="1">
      <c r="A85" s="411" t="s">
        <v>260</v>
      </c>
      <c r="B85" s="412"/>
      <c r="C85" s="412"/>
      <c r="D85" s="412"/>
      <c r="E85" s="412"/>
      <c r="F85" s="412"/>
      <c r="G85" s="412"/>
      <c r="H85" s="412"/>
      <c r="I85" s="412"/>
      <c r="J85" s="412"/>
      <c r="K85" s="412"/>
      <c r="L85" s="412"/>
      <c r="M85" s="412"/>
      <c r="N85" s="412"/>
      <c r="O85" s="412"/>
      <c r="P85" s="412"/>
      <c r="Q85" s="412"/>
      <c r="R85" s="412"/>
      <c r="S85" s="412"/>
      <c r="T85" s="412"/>
      <c r="U85" s="412"/>
      <c r="V85" s="412"/>
      <c r="W85" s="412"/>
      <c r="X85" s="412"/>
      <c r="Y85" s="412"/>
      <c r="Z85" s="412"/>
      <c r="AA85" s="412"/>
      <c r="AB85" s="412"/>
      <c r="AC85" s="412"/>
      <c r="AD85" s="412"/>
      <c r="AE85" s="412"/>
      <c r="AF85" s="412"/>
      <c r="AG85" s="114"/>
    </row>
    <row r="86" outlineLevel="1">
      <c r="A86" s="413" t="s">
        <v>261</v>
      </c>
      <c r="B86" s="414"/>
      <c r="C86" s="414"/>
      <c r="D86" s="414"/>
      <c r="E86" s="414"/>
      <c r="F86" s="414"/>
      <c r="G86" s="414"/>
      <c r="H86" s="414"/>
      <c r="I86" s="414"/>
      <c r="J86" s="414"/>
      <c r="K86" s="414"/>
      <c r="L86" s="414"/>
      <c r="M86" s="414"/>
      <c r="N86" s="414"/>
      <c r="O86" s="414"/>
      <c r="P86" s="414"/>
      <c r="Q86" s="414"/>
      <c r="R86" s="414"/>
      <c r="S86" s="414"/>
      <c r="T86" s="414"/>
      <c r="U86" s="414"/>
      <c r="V86" s="414"/>
      <c r="W86" s="414"/>
      <c r="X86" s="414"/>
      <c r="Y86" s="414"/>
      <c r="Z86" s="414"/>
      <c r="AA86" s="414"/>
      <c r="AB86" s="414"/>
      <c r="AC86" s="414"/>
      <c r="AD86" s="414"/>
      <c r="AE86" s="414"/>
      <c r="AF86" s="414"/>
      <c r="AG86" s="114"/>
    </row>
    <row r="87" outlineLevel="1">
      <c r="A87" s="415" t="s">
        <v>585</v>
      </c>
      <c r="B87" s="416">
        <f t="shared" ref="B87:AF87" si="22">sum(B85:B86)</f>
        <v>0</v>
      </c>
      <c r="C87" s="416">
        <f t="shared" si="22"/>
        <v>0</v>
      </c>
      <c r="D87" s="416">
        <f t="shared" si="22"/>
        <v>0</v>
      </c>
      <c r="E87" s="416">
        <f t="shared" si="22"/>
        <v>0</v>
      </c>
      <c r="F87" s="416">
        <f t="shared" si="22"/>
        <v>0</v>
      </c>
      <c r="G87" s="416">
        <f t="shared" si="22"/>
        <v>0</v>
      </c>
      <c r="H87" s="416">
        <f t="shared" si="22"/>
        <v>0</v>
      </c>
      <c r="I87" s="416">
        <f t="shared" si="22"/>
        <v>0</v>
      </c>
      <c r="J87" s="416">
        <f t="shared" si="22"/>
        <v>0</v>
      </c>
      <c r="K87" s="416">
        <f t="shared" si="22"/>
        <v>0</v>
      </c>
      <c r="L87" s="416">
        <f t="shared" si="22"/>
        <v>0</v>
      </c>
      <c r="M87" s="416">
        <f t="shared" si="22"/>
        <v>0</v>
      </c>
      <c r="N87" s="416">
        <f t="shared" si="22"/>
        <v>0</v>
      </c>
      <c r="O87" s="416">
        <f t="shared" si="22"/>
        <v>0</v>
      </c>
      <c r="P87" s="416">
        <f t="shared" si="22"/>
        <v>0</v>
      </c>
      <c r="Q87" s="416">
        <f t="shared" si="22"/>
        <v>0</v>
      </c>
      <c r="R87" s="416">
        <f t="shared" si="22"/>
        <v>0</v>
      </c>
      <c r="S87" s="416">
        <f t="shared" si="22"/>
        <v>0</v>
      </c>
      <c r="T87" s="416">
        <f t="shared" si="22"/>
        <v>0</v>
      </c>
      <c r="U87" s="416">
        <f t="shared" si="22"/>
        <v>0</v>
      </c>
      <c r="V87" s="416">
        <f t="shared" si="22"/>
        <v>0</v>
      </c>
      <c r="W87" s="416">
        <f t="shared" si="22"/>
        <v>0</v>
      </c>
      <c r="X87" s="416">
        <f t="shared" si="22"/>
        <v>0</v>
      </c>
      <c r="Y87" s="416">
        <f t="shared" si="22"/>
        <v>0</v>
      </c>
      <c r="Z87" s="416">
        <f t="shared" si="22"/>
        <v>0</v>
      </c>
      <c r="AA87" s="416">
        <f t="shared" si="22"/>
        <v>0</v>
      </c>
      <c r="AB87" s="416">
        <f t="shared" si="22"/>
        <v>0</v>
      </c>
      <c r="AC87" s="416">
        <f t="shared" si="22"/>
        <v>0</v>
      </c>
      <c r="AD87" s="416">
        <f t="shared" si="22"/>
        <v>0</v>
      </c>
      <c r="AE87" s="416">
        <f t="shared" si="22"/>
        <v>0</v>
      </c>
      <c r="AF87" s="416">
        <f t="shared" si="22"/>
        <v>0</v>
      </c>
      <c r="AG87" s="114"/>
    </row>
    <row r="88">
      <c r="A88" s="177"/>
      <c r="B88" s="187"/>
      <c r="C88" s="187"/>
      <c r="D88" s="187"/>
      <c r="E88" s="187"/>
      <c r="F88" s="187"/>
      <c r="G88" s="187"/>
      <c r="H88" s="187"/>
      <c r="I88" s="187"/>
      <c r="J88" s="187"/>
      <c r="K88" s="187"/>
      <c r="L88" s="187"/>
      <c r="M88" s="187"/>
      <c r="N88" s="187"/>
      <c r="O88" s="187"/>
      <c r="P88" s="187"/>
      <c r="Q88" s="187"/>
      <c r="R88" s="187"/>
      <c r="S88" s="187"/>
      <c r="T88" s="187"/>
      <c r="U88" s="187"/>
      <c r="V88" s="187"/>
      <c r="W88" s="187"/>
      <c r="X88" s="187"/>
      <c r="Y88" s="187"/>
      <c r="Z88" s="187"/>
      <c r="AA88" s="187"/>
      <c r="AB88" s="187"/>
      <c r="AC88" s="187"/>
      <c r="AD88" s="187"/>
      <c r="AE88" s="187"/>
      <c r="AF88" s="187"/>
      <c r="AG88" s="114"/>
    </row>
    <row r="89" collapsed="1">
      <c r="A89" s="408" t="s">
        <v>599</v>
      </c>
      <c r="B89" s="409"/>
      <c r="C89" s="409"/>
      <c r="D89" s="409"/>
      <c r="E89" s="409"/>
      <c r="F89" s="409"/>
      <c r="G89" s="409"/>
      <c r="H89" s="409"/>
      <c r="I89" s="409"/>
      <c r="J89" s="409"/>
      <c r="K89" s="409"/>
      <c r="L89" s="409"/>
      <c r="M89" s="409"/>
      <c r="N89" s="409"/>
      <c r="O89" s="409"/>
      <c r="P89" s="409"/>
      <c r="Q89" s="409"/>
      <c r="R89" s="409"/>
      <c r="S89" s="409"/>
      <c r="T89" s="409"/>
      <c r="U89" s="409"/>
      <c r="V89" s="409"/>
      <c r="W89" s="409"/>
      <c r="X89" s="409"/>
      <c r="Y89" s="409"/>
      <c r="Z89" s="409"/>
      <c r="AA89" s="409"/>
      <c r="AB89" s="409"/>
      <c r="AC89" s="409"/>
      <c r="AD89" s="409"/>
      <c r="AE89" s="409"/>
      <c r="AF89" s="409"/>
      <c r="AG89" s="259"/>
    </row>
    <row r="90" hidden="1" outlineLevel="1">
      <c r="A90" s="216" t="s">
        <v>600</v>
      </c>
      <c r="B90" s="176">
        <v>0.0</v>
      </c>
      <c r="C90" s="176">
        <v>0.0</v>
      </c>
      <c r="D90" s="176">
        <v>0.0</v>
      </c>
      <c r="E90" s="176">
        <v>0.0</v>
      </c>
      <c r="F90" s="176">
        <v>0.0</v>
      </c>
      <c r="G90" s="176">
        <v>0.0</v>
      </c>
      <c r="H90" s="176">
        <v>0.0</v>
      </c>
      <c r="I90" s="176">
        <v>0.0</v>
      </c>
      <c r="J90" s="176">
        <v>0.0</v>
      </c>
      <c r="K90" s="176">
        <v>0.0</v>
      </c>
      <c r="L90" s="176">
        <v>0.0</v>
      </c>
      <c r="M90" s="176">
        <v>0.0</v>
      </c>
      <c r="N90" s="176">
        <v>0.0</v>
      </c>
      <c r="O90" s="176">
        <v>0.0</v>
      </c>
      <c r="P90" s="176">
        <v>0.0</v>
      </c>
      <c r="Q90" s="176">
        <v>0.0</v>
      </c>
      <c r="R90" s="176">
        <v>0.0</v>
      </c>
      <c r="S90" s="176">
        <v>0.0</v>
      </c>
      <c r="T90" s="176">
        <v>0.0</v>
      </c>
      <c r="U90" s="176">
        <v>0.0</v>
      </c>
      <c r="V90" s="176">
        <v>0.0</v>
      </c>
      <c r="W90" s="176">
        <v>0.0</v>
      </c>
      <c r="X90" s="190">
        <v>0.0</v>
      </c>
      <c r="Y90" s="190">
        <v>0.0</v>
      </c>
      <c r="Z90" s="190">
        <v>0.0</v>
      </c>
      <c r="AA90" s="190">
        <v>0.0</v>
      </c>
      <c r="AB90" s="190">
        <v>0.0</v>
      </c>
      <c r="AC90" s="190">
        <v>0.0</v>
      </c>
      <c r="AD90" s="190">
        <v>0.0</v>
      </c>
      <c r="AE90" s="190">
        <v>0.0</v>
      </c>
      <c r="AF90" s="190">
        <v>0.0</v>
      </c>
      <c r="AG90" s="114"/>
    </row>
    <row r="91" hidden="1" outlineLevel="1">
      <c r="A91" s="216" t="s">
        <v>601</v>
      </c>
      <c r="B91" s="176">
        <v>0.0</v>
      </c>
      <c r="C91" s="176">
        <v>0.0</v>
      </c>
      <c r="D91" s="176">
        <v>0.0</v>
      </c>
      <c r="E91" s="176">
        <v>0.0</v>
      </c>
      <c r="F91" s="176">
        <v>0.0</v>
      </c>
      <c r="G91" s="176">
        <v>0.0</v>
      </c>
      <c r="H91" s="176">
        <v>0.0</v>
      </c>
      <c r="I91" s="176">
        <v>0.0</v>
      </c>
      <c r="J91" s="176">
        <v>0.0</v>
      </c>
      <c r="K91" s="176">
        <v>0.0</v>
      </c>
      <c r="L91" s="176">
        <v>0.0</v>
      </c>
      <c r="M91" s="176">
        <v>0.0</v>
      </c>
      <c r="N91" s="176">
        <v>0.0</v>
      </c>
      <c r="O91" s="176">
        <v>0.0</v>
      </c>
      <c r="P91" s="176">
        <v>0.0</v>
      </c>
      <c r="Q91" s="176">
        <v>0.0</v>
      </c>
      <c r="R91" s="176">
        <v>0.0</v>
      </c>
      <c r="S91" s="176">
        <v>0.0</v>
      </c>
      <c r="T91" s="176">
        <v>0.0</v>
      </c>
      <c r="U91" s="176">
        <v>0.0</v>
      </c>
      <c r="V91" s="176">
        <v>0.0</v>
      </c>
      <c r="W91" s="176">
        <v>0.0</v>
      </c>
      <c r="X91" s="190">
        <v>0.0</v>
      </c>
      <c r="Y91" s="190">
        <v>0.0</v>
      </c>
      <c r="Z91" s="190">
        <v>0.0</v>
      </c>
      <c r="AA91" s="190">
        <v>0.0</v>
      </c>
      <c r="AB91" s="190">
        <v>0.0</v>
      </c>
      <c r="AC91" s="190">
        <v>0.0</v>
      </c>
      <c r="AD91" s="190">
        <v>0.0</v>
      </c>
      <c r="AE91" s="190">
        <v>0.0</v>
      </c>
      <c r="AF91" s="190">
        <v>0.0</v>
      </c>
      <c r="AG91" s="114"/>
    </row>
    <row r="92" hidden="1" outlineLevel="1">
      <c r="A92" s="216" t="s">
        <v>602</v>
      </c>
      <c r="B92" s="176">
        <v>0.0</v>
      </c>
      <c r="C92" s="176">
        <v>0.0</v>
      </c>
      <c r="D92" s="176">
        <v>0.0</v>
      </c>
      <c r="E92" s="176">
        <v>0.0</v>
      </c>
      <c r="F92" s="176">
        <v>0.0</v>
      </c>
      <c r="G92" s="176">
        <v>0.0</v>
      </c>
      <c r="H92" s="176">
        <v>0.0</v>
      </c>
      <c r="I92" s="176">
        <v>0.0</v>
      </c>
      <c r="J92" s="176">
        <v>0.0</v>
      </c>
      <c r="K92" s="176">
        <v>0.0</v>
      </c>
      <c r="L92" s="176">
        <v>0.0</v>
      </c>
      <c r="M92" s="176">
        <v>0.0</v>
      </c>
      <c r="N92" s="176">
        <v>0.0</v>
      </c>
      <c r="O92" s="176">
        <v>0.0</v>
      </c>
      <c r="P92" s="176">
        <v>0.0</v>
      </c>
      <c r="Q92" s="176">
        <v>0.0</v>
      </c>
      <c r="R92" s="176">
        <v>0.0</v>
      </c>
      <c r="S92" s="176">
        <v>0.0</v>
      </c>
      <c r="T92" s="176">
        <v>0.0</v>
      </c>
      <c r="U92" s="176">
        <v>0.0</v>
      </c>
      <c r="V92" s="176">
        <v>0.0</v>
      </c>
      <c r="W92" s="176">
        <v>0.0</v>
      </c>
      <c r="X92" s="190">
        <v>0.0</v>
      </c>
      <c r="Y92" s="190">
        <v>0.0</v>
      </c>
      <c r="Z92" s="190">
        <v>0.0</v>
      </c>
      <c r="AA92" s="190">
        <v>0.0</v>
      </c>
      <c r="AB92" s="190">
        <v>0.0</v>
      </c>
      <c r="AC92" s="190">
        <v>0.0</v>
      </c>
      <c r="AD92" s="190">
        <v>0.0</v>
      </c>
      <c r="AE92" s="190">
        <v>0.0</v>
      </c>
      <c r="AF92" s="190">
        <v>0.0</v>
      </c>
      <c r="AG92" s="114"/>
    </row>
    <row r="93" hidden="1" outlineLevel="1">
      <c r="A93" s="216" t="s">
        <v>603</v>
      </c>
      <c r="B93" s="176">
        <v>0.0</v>
      </c>
      <c r="C93" s="176">
        <v>0.0</v>
      </c>
      <c r="D93" s="176">
        <v>0.0</v>
      </c>
      <c r="E93" s="176">
        <v>0.0</v>
      </c>
      <c r="F93" s="176">
        <v>0.0</v>
      </c>
      <c r="G93" s="176">
        <v>0.0</v>
      </c>
      <c r="H93" s="176">
        <v>0.0</v>
      </c>
      <c r="I93" s="176">
        <v>0.0</v>
      </c>
      <c r="J93" s="176">
        <v>0.0</v>
      </c>
      <c r="K93" s="176">
        <v>0.0</v>
      </c>
      <c r="L93" s="176">
        <v>0.0</v>
      </c>
      <c r="M93" s="176">
        <v>0.0</v>
      </c>
      <c r="N93" s="176">
        <v>0.0</v>
      </c>
      <c r="O93" s="176">
        <v>0.0</v>
      </c>
      <c r="P93" s="176">
        <v>0.0</v>
      </c>
      <c r="Q93" s="176">
        <v>0.0</v>
      </c>
      <c r="R93" s="176">
        <v>0.0</v>
      </c>
      <c r="S93" s="176">
        <v>0.0</v>
      </c>
      <c r="T93" s="176">
        <v>0.0</v>
      </c>
      <c r="U93" s="176">
        <v>0.0</v>
      </c>
      <c r="V93" s="176">
        <v>0.0</v>
      </c>
      <c r="W93" s="176">
        <v>0.0</v>
      </c>
      <c r="X93" s="190">
        <v>0.0</v>
      </c>
      <c r="Y93" s="190">
        <v>0.0</v>
      </c>
      <c r="Z93" s="190">
        <v>0.0</v>
      </c>
      <c r="AA93" s="190">
        <v>0.0</v>
      </c>
      <c r="AB93" s="190">
        <v>0.0</v>
      </c>
      <c r="AC93" s="190">
        <v>0.0</v>
      </c>
      <c r="AD93" s="190">
        <v>0.0</v>
      </c>
      <c r="AE93" s="190">
        <v>0.0</v>
      </c>
      <c r="AF93" s="190">
        <v>0.0</v>
      </c>
      <c r="AG93" s="114"/>
    </row>
    <row r="94" hidden="1" outlineLevel="1">
      <c r="A94" s="218" t="s">
        <v>194</v>
      </c>
      <c r="B94" s="383">
        <f t="shared" ref="B94:AF94" si="23">B90+B91</f>
        <v>0</v>
      </c>
      <c r="C94" s="384">
        <f t="shared" si="23"/>
        <v>0</v>
      </c>
      <c r="D94" s="384">
        <f t="shared" si="23"/>
        <v>0</v>
      </c>
      <c r="E94" s="384">
        <f t="shared" si="23"/>
        <v>0</v>
      </c>
      <c r="F94" s="384">
        <f t="shared" si="23"/>
        <v>0</v>
      </c>
      <c r="G94" s="384">
        <f t="shared" si="23"/>
        <v>0</v>
      </c>
      <c r="H94" s="384">
        <f t="shared" si="23"/>
        <v>0</v>
      </c>
      <c r="I94" s="384">
        <f t="shared" si="23"/>
        <v>0</v>
      </c>
      <c r="J94" s="384">
        <f t="shared" si="23"/>
        <v>0</v>
      </c>
      <c r="K94" s="384">
        <f t="shared" si="23"/>
        <v>0</v>
      </c>
      <c r="L94" s="384">
        <f t="shared" si="23"/>
        <v>0</v>
      </c>
      <c r="M94" s="384">
        <f t="shared" si="23"/>
        <v>0</v>
      </c>
      <c r="N94" s="384">
        <f t="shared" si="23"/>
        <v>0</v>
      </c>
      <c r="O94" s="384">
        <f t="shared" si="23"/>
        <v>0</v>
      </c>
      <c r="P94" s="384">
        <f t="shared" si="23"/>
        <v>0</v>
      </c>
      <c r="Q94" s="384">
        <f t="shared" si="23"/>
        <v>0</v>
      </c>
      <c r="R94" s="384">
        <f t="shared" si="23"/>
        <v>0</v>
      </c>
      <c r="S94" s="384">
        <f t="shared" si="23"/>
        <v>0</v>
      </c>
      <c r="T94" s="384">
        <f t="shared" si="23"/>
        <v>0</v>
      </c>
      <c r="U94" s="384">
        <f t="shared" si="23"/>
        <v>0</v>
      </c>
      <c r="V94" s="384">
        <f t="shared" si="23"/>
        <v>0</v>
      </c>
      <c r="W94" s="384">
        <f t="shared" si="23"/>
        <v>0</v>
      </c>
      <c r="X94" s="384">
        <f t="shared" si="23"/>
        <v>0</v>
      </c>
      <c r="Y94" s="384">
        <f t="shared" si="23"/>
        <v>0</v>
      </c>
      <c r="Z94" s="384">
        <f t="shared" si="23"/>
        <v>0</v>
      </c>
      <c r="AA94" s="384">
        <f t="shared" si="23"/>
        <v>0</v>
      </c>
      <c r="AB94" s="384">
        <f t="shared" si="23"/>
        <v>0</v>
      </c>
      <c r="AC94" s="384">
        <f t="shared" si="23"/>
        <v>0</v>
      </c>
      <c r="AD94" s="384">
        <f t="shared" si="23"/>
        <v>0</v>
      </c>
      <c r="AE94" s="384">
        <f t="shared" si="23"/>
        <v>0</v>
      </c>
      <c r="AF94" s="384">
        <f t="shared" si="23"/>
        <v>0</v>
      </c>
      <c r="AG94" s="114"/>
    </row>
    <row r="95" hidden="1" outlineLevel="1">
      <c r="A95" s="218" t="s">
        <v>195</v>
      </c>
      <c r="B95" s="383">
        <f t="shared" ref="B95:AF95" si="24">B92+B93</f>
        <v>0</v>
      </c>
      <c r="C95" s="384">
        <f t="shared" si="24"/>
        <v>0</v>
      </c>
      <c r="D95" s="384">
        <f t="shared" si="24"/>
        <v>0</v>
      </c>
      <c r="E95" s="384">
        <f t="shared" si="24"/>
        <v>0</v>
      </c>
      <c r="F95" s="384">
        <f t="shared" si="24"/>
        <v>0</v>
      </c>
      <c r="G95" s="384">
        <f t="shared" si="24"/>
        <v>0</v>
      </c>
      <c r="H95" s="384">
        <f t="shared" si="24"/>
        <v>0</v>
      </c>
      <c r="I95" s="384">
        <f t="shared" si="24"/>
        <v>0</v>
      </c>
      <c r="J95" s="384">
        <f t="shared" si="24"/>
        <v>0</v>
      </c>
      <c r="K95" s="384">
        <f t="shared" si="24"/>
        <v>0</v>
      </c>
      <c r="L95" s="384">
        <f t="shared" si="24"/>
        <v>0</v>
      </c>
      <c r="M95" s="384">
        <f t="shared" si="24"/>
        <v>0</v>
      </c>
      <c r="N95" s="384">
        <f t="shared" si="24"/>
        <v>0</v>
      </c>
      <c r="O95" s="384">
        <f t="shared" si="24"/>
        <v>0</v>
      </c>
      <c r="P95" s="384">
        <f t="shared" si="24"/>
        <v>0</v>
      </c>
      <c r="Q95" s="384">
        <f t="shared" si="24"/>
        <v>0</v>
      </c>
      <c r="R95" s="384">
        <f t="shared" si="24"/>
        <v>0</v>
      </c>
      <c r="S95" s="384">
        <f t="shared" si="24"/>
        <v>0</v>
      </c>
      <c r="T95" s="384">
        <f t="shared" si="24"/>
        <v>0</v>
      </c>
      <c r="U95" s="384">
        <f t="shared" si="24"/>
        <v>0</v>
      </c>
      <c r="V95" s="384">
        <f t="shared" si="24"/>
        <v>0</v>
      </c>
      <c r="W95" s="384">
        <f t="shared" si="24"/>
        <v>0</v>
      </c>
      <c r="X95" s="384">
        <f t="shared" si="24"/>
        <v>0</v>
      </c>
      <c r="Y95" s="384">
        <f t="shared" si="24"/>
        <v>0</v>
      </c>
      <c r="Z95" s="384">
        <f t="shared" si="24"/>
        <v>0</v>
      </c>
      <c r="AA95" s="384">
        <f t="shared" si="24"/>
        <v>0</v>
      </c>
      <c r="AB95" s="384">
        <f t="shared" si="24"/>
        <v>0</v>
      </c>
      <c r="AC95" s="384">
        <f t="shared" si="24"/>
        <v>0</v>
      </c>
      <c r="AD95" s="384">
        <f t="shared" si="24"/>
        <v>0</v>
      </c>
      <c r="AE95" s="384">
        <f t="shared" si="24"/>
        <v>0</v>
      </c>
      <c r="AF95" s="384">
        <f t="shared" si="24"/>
        <v>0</v>
      </c>
      <c r="AG95" s="114"/>
    </row>
    <row r="96" hidden="1" outlineLevel="1">
      <c r="A96" s="98"/>
      <c r="B96" s="187"/>
      <c r="C96" s="187"/>
      <c r="D96" s="187"/>
      <c r="E96" s="187"/>
      <c r="F96" s="187"/>
      <c r="G96" s="187"/>
      <c r="H96" s="187"/>
      <c r="I96" s="187"/>
      <c r="J96" s="187"/>
      <c r="K96" s="187"/>
      <c r="L96" s="187"/>
      <c r="M96" s="187"/>
      <c r="N96" s="187"/>
      <c r="O96" s="187"/>
      <c r="P96" s="187"/>
      <c r="Q96" s="187"/>
      <c r="R96" s="187"/>
      <c r="S96" s="187"/>
      <c r="T96" s="187"/>
      <c r="U96" s="187"/>
      <c r="V96" s="187"/>
      <c r="W96" s="187"/>
      <c r="X96" s="187"/>
      <c r="Y96" s="187"/>
      <c r="Z96" s="187"/>
      <c r="AA96" s="187"/>
      <c r="AB96" s="187"/>
      <c r="AC96" s="187"/>
      <c r="AD96" s="187"/>
      <c r="AE96" s="187"/>
      <c r="AF96" s="288"/>
      <c r="AG96" s="114"/>
    </row>
    <row r="97" hidden="1" outlineLevel="1">
      <c r="A97" s="216" t="s">
        <v>197</v>
      </c>
      <c r="B97" s="83">
        <v>0.0</v>
      </c>
      <c r="C97" s="83">
        <v>0.0</v>
      </c>
      <c r="D97" s="83">
        <v>0.0</v>
      </c>
      <c r="E97" s="83">
        <v>0.0</v>
      </c>
      <c r="F97" s="83">
        <v>0.0</v>
      </c>
      <c r="G97" s="83">
        <v>0.0</v>
      </c>
      <c r="H97" s="83">
        <v>0.0</v>
      </c>
      <c r="I97" s="83">
        <v>0.0</v>
      </c>
      <c r="J97" s="83">
        <v>0.0</v>
      </c>
      <c r="K97" s="83">
        <v>0.0</v>
      </c>
      <c r="L97" s="83">
        <v>0.0</v>
      </c>
      <c r="M97" s="83">
        <v>0.0</v>
      </c>
      <c r="N97" s="83">
        <v>0.0</v>
      </c>
      <c r="O97" s="83">
        <v>0.0</v>
      </c>
      <c r="P97" s="83">
        <v>0.0</v>
      </c>
      <c r="Q97" s="83">
        <v>0.0</v>
      </c>
      <c r="R97" s="83">
        <v>0.0</v>
      </c>
      <c r="S97" s="83">
        <v>0.0</v>
      </c>
      <c r="T97" s="83">
        <v>0.0</v>
      </c>
      <c r="U97" s="83">
        <v>0.0</v>
      </c>
      <c r="V97" s="83">
        <v>0.0</v>
      </c>
      <c r="W97" s="83">
        <v>0.0</v>
      </c>
      <c r="X97" s="190">
        <v>0.0</v>
      </c>
      <c r="Y97" s="190">
        <v>0.0</v>
      </c>
      <c r="Z97" s="190">
        <v>0.0</v>
      </c>
      <c r="AA97" s="190">
        <v>0.0</v>
      </c>
      <c r="AB97" s="190">
        <v>0.0</v>
      </c>
      <c r="AC97" s="190">
        <v>0.0</v>
      </c>
      <c r="AD97" s="190">
        <v>0.0</v>
      </c>
      <c r="AE97" s="190">
        <v>0.0</v>
      </c>
      <c r="AF97" s="190">
        <v>0.0</v>
      </c>
      <c r="AG97" s="114"/>
    </row>
    <row r="98" hidden="1" outlineLevel="1">
      <c r="A98" s="216" t="s">
        <v>198</v>
      </c>
      <c r="B98" s="83">
        <v>0.0</v>
      </c>
      <c r="C98" s="83">
        <v>0.0</v>
      </c>
      <c r="D98" s="83">
        <v>0.0</v>
      </c>
      <c r="E98" s="83">
        <v>0.0</v>
      </c>
      <c r="F98" s="83">
        <v>0.0</v>
      </c>
      <c r="G98" s="83">
        <v>0.0</v>
      </c>
      <c r="H98" s="83">
        <v>0.0</v>
      </c>
      <c r="I98" s="83">
        <v>0.0</v>
      </c>
      <c r="J98" s="83">
        <v>0.0</v>
      </c>
      <c r="K98" s="83">
        <v>0.0</v>
      </c>
      <c r="L98" s="83">
        <v>0.0</v>
      </c>
      <c r="M98" s="83">
        <v>0.0</v>
      </c>
      <c r="N98" s="83">
        <v>0.0</v>
      </c>
      <c r="O98" s="83">
        <v>0.0</v>
      </c>
      <c r="P98" s="83">
        <v>0.0</v>
      </c>
      <c r="Q98" s="83">
        <v>0.0</v>
      </c>
      <c r="R98" s="83">
        <v>0.0</v>
      </c>
      <c r="S98" s="83">
        <v>0.0</v>
      </c>
      <c r="T98" s="83">
        <v>0.0</v>
      </c>
      <c r="U98" s="83">
        <v>0.0</v>
      </c>
      <c r="V98" s="83">
        <v>0.0</v>
      </c>
      <c r="W98" s="83">
        <v>0.0</v>
      </c>
      <c r="X98" s="190">
        <v>0.0</v>
      </c>
      <c r="Y98" s="190">
        <v>0.0</v>
      </c>
      <c r="Z98" s="190">
        <v>0.0</v>
      </c>
      <c r="AA98" s="190">
        <v>0.0</v>
      </c>
      <c r="AB98" s="190">
        <v>0.0</v>
      </c>
      <c r="AC98" s="190">
        <v>0.0</v>
      </c>
      <c r="AD98" s="190">
        <v>0.0</v>
      </c>
      <c r="AE98" s="190">
        <v>0.0</v>
      </c>
      <c r="AF98" s="190">
        <v>0.0</v>
      </c>
      <c r="AG98" s="114"/>
    </row>
    <row r="99" hidden="1" outlineLevel="1">
      <c r="A99" s="216" t="s">
        <v>604</v>
      </c>
      <c r="B99" s="83">
        <v>0.0</v>
      </c>
      <c r="C99" s="83">
        <v>0.0</v>
      </c>
      <c r="D99" s="83">
        <v>0.0</v>
      </c>
      <c r="E99" s="83">
        <v>0.0</v>
      </c>
      <c r="F99" s="83">
        <v>0.0</v>
      </c>
      <c r="G99" s="83">
        <v>0.0</v>
      </c>
      <c r="H99" s="83">
        <v>0.0</v>
      </c>
      <c r="I99" s="83">
        <v>0.0</v>
      </c>
      <c r="J99" s="83">
        <v>0.0</v>
      </c>
      <c r="K99" s="83">
        <v>0.0</v>
      </c>
      <c r="L99" s="83">
        <v>0.0</v>
      </c>
      <c r="M99" s="83">
        <v>0.0</v>
      </c>
      <c r="N99" s="83">
        <v>0.0</v>
      </c>
      <c r="O99" s="83">
        <v>0.0</v>
      </c>
      <c r="P99" s="83">
        <v>0.0</v>
      </c>
      <c r="Q99" s="83">
        <v>0.0</v>
      </c>
      <c r="R99" s="83">
        <v>0.0</v>
      </c>
      <c r="S99" s="83">
        <v>0.0</v>
      </c>
      <c r="T99" s="83">
        <v>0.0</v>
      </c>
      <c r="U99" s="83">
        <v>0.0</v>
      </c>
      <c r="V99" s="83">
        <v>0.0</v>
      </c>
      <c r="W99" s="83">
        <v>0.0</v>
      </c>
      <c r="X99" s="190">
        <v>0.0</v>
      </c>
      <c r="Y99" s="190">
        <v>0.0</v>
      </c>
      <c r="Z99" s="190">
        <v>0.0</v>
      </c>
      <c r="AA99" s="190">
        <v>0.0</v>
      </c>
      <c r="AB99" s="190">
        <v>0.0</v>
      </c>
      <c r="AC99" s="190">
        <v>0.0</v>
      </c>
      <c r="AD99" s="190">
        <v>0.0</v>
      </c>
      <c r="AE99" s="190">
        <v>0.0</v>
      </c>
      <c r="AF99" s="190">
        <v>0.0</v>
      </c>
      <c r="AG99" s="114"/>
    </row>
    <row r="100" hidden="1" outlineLevel="1">
      <c r="A100" s="216" t="s">
        <v>605</v>
      </c>
      <c r="B100" s="83">
        <v>0.0</v>
      </c>
      <c r="C100" s="83">
        <v>0.0</v>
      </c>
      <c r="D100" s="83">
        <v>0.0</v>
      </c>
      <c r="E100" s="83">
        <v>0.0</v>
      </c>
      <c r="F100" s="83">
        <v>0.0</v>
      </c>
      <c r="G100" s="83">
        <v>0.0</v>
      </c>
      <c r="H100" s="83">
        <v>0.0</v>
      </c>
      <c r="I100" s="83">
        <v>0.0</v>
      </c>
      <c r="J100" s="83">
        <v>0.0</v>
      </c>
      <c r="K100" s="83">
        <v>0.0</v>
      </c>
      <c r="L100" s="83">
        <v>0.0</v>
      </c>
      <c r="M100" s="83">
        <v>0.0</v>
      </c>
      <c r="N100" s="83">
        <v>0.0</v>
      </c>
      <c r="O100" s="83">
        <v>0.0</v>
      </c>
      <c r="P100" s="83">
        <v>0.0</v>
      </c>
      <c r="Q100" s="83">
        <v>0.0</v>
      </c>
      <c r="R100" s="83">
        <v>0.0</v>
      </c>
      <c r="S100" s="83">
        <v>0.0</v>
      </c>
      <c r="T100" s="83">
        <v>0.0</v>
      </c>
      <c r="U100" s="83">
        <v>0.0</v>
      </c>
      <c r="V100" s="83">
        <v>0.0</v>
      </c>
      <c r="W100" s="83">
        <v>0.0</v>
      </c>
      <c r="X100" s="190">
        <v>0.0</v>
      </c>
      <c r="Y100" s="190">
        <v>0.0</v>
      </c>
      <c r="Z100" s="190">
        <v>0.0</v>
      </c>
      <c r="AA100" s="190">
        <v>0.0</v>
      </c>
      <c r="AB100" s="190">
        <v>0.0</v>
      </c>
      <c r="AC100" s="190">
        <v>0.0</v>
      </c>
      <c r="AD100" s="190">
        <v>0.0</v>
      </c>
      <c r="AE100" s="190">
        <v>0.0</v>
      </c>
      <c r="AF100" s="190">
        <v>0.0</v>
      </c>
      <c r="AG100" s="114"/>
    </row>
    <row r="101" hidden="1" outlineLevel="1">
      <c r="A101" s="216" t="s">
        <v>606</v>
      </c>
      <c r="B101" s="83">
        <v>0.0</v>
      </c>
      <c r="C101" s="83">
        <v>0.0</v>
      </c>
      <c r="D101" s="83">
        <v>0.0</v>
      </c>
      <c r="E101" s="83">
        <v>0.0</v>
      </c>
      <c r="F101" s="83">
        <v>0.0</v>
      </c>
      <c r="G101" s="83">
        <v>0.0</v>
      </c>
      <c r="H101" s="83">
        <v>0.0</v>
      </c>
      <c r="I101" s="83">
        <v>0.0</v>
      </c>
      <c r="J101" s="83">
        <v>0.0</v>
      </c>
      <c r="K101" s="83">
        <v>0.0</v>
      </c>
      <c r="L101" s="83">
        <v>0.0</v>
      </c>
      <c r="M101" s="83">
        <v>0.0</v>
      </c>
      <c r="N101" s="83">
        <v>0.0</v>
      </c>
      <c r="O101" s="83">
        <v>0.0</v>
      </c>
      <c r="P101" s="83">
        <v>0.0</v>
      </c>
      <c r="Q101" s="83">
        <v>0.0</v>
      </c>
      <c r="R101" s="83">
        <v>0.0</v>
      </c>
      <c r="S101" s="83">
        <v>0.0</v>
      </c>
      <c r="T101" s="83">
        <v>0.0</v>
      </c>
      <c r="U101" s="83">
        <v>0.0</v>
      </c>
      <c r="V101" s="83">
        <v>0.0</v>
      </c>
      <c r="W101" s="83">
        <v>0.0</v>
      </c>
      <c r="X101" s="190">
        <v>0.0</v>
      </c>
      <c r="Y101" s="190">
        <v>0.0</v>
      </c>
      <c r="Z101" s="190">
        <v>0.0</v>
      </c>
      <c r="AA101" s="190">
        <v>0.0</v>
      </c>
      <c r="AB101" s="190">
        <v>0.0</v>
      </c>
      <c r="AC101" s="190">
        <v>0.0</v>
      </c>
      <c r="AD101" s="190">
        <v>0.0</v>
      </c>
      <c r="AE101" s="190">
        <v>0.0</v>
      </c>
      <c r="AF101" s="190">
        <v>0.0</v>
      </c>
      <c r="AG101" s="114"/>
    </row>
    <row r="102" hidden="1" outlineLevel="1">
      <c r="A102" s="216" t="s">
        <v>607</v>
      </c>
      <c r="B102" s="83">
        <v>0.0</v>
      </c>
      <c r="C102" s="83">
        <v>0.0</v>
      </c>
      <c r="D102" s="83">
        <v>0.0</v>
      </c>
      <c r="E102" s="83">
        <v>0.0</v>
      </c>
      <c r="F102" s="83">
        <v>0.0</v>
      </c>
      <c r="G102" s="83">
        <v>0.0</v>
      </c>
      <c r="H102" s="83">
        <v>0.0</v>
      </c>
      <c r="I102" s="83">
        <v>0.0</v>
      </c>
      <c r="J102" s="83">
        <v>0.0</v>
      </c>
      <c r="K102" s="83">
        <v>0.0</v>
      </c>
      <c r="L102" s="83">
        <v>0.0</v>
      </c>
      <c r="M102" s="83">
        <v>0.0</v>
      </c>
      <c r="N102" s="83">
        <v>0.0</v>
      </c>
      <c r="O102" s="83">
        <v>0.0</v>
      </c>
      <c r="P102" s="83">
        <v>0.0</v>
      </c>
      <c r="Q102" s="83">
        <v>0.0</v>
      </c>
      <c r="R102" s="83">
        <v>0.0</v>
      </c>
      <c r="S102" s="83">
        <v>0.0</v>
      </c>
      <c r="T102" s="83">
        <v>0.0</v>
      </c>
      <c r="U102" s="83">
        <v>0.0</v>
      </c>
      <c r="V102" s="83">
        <v>0.0</v>
      </c>
      <c r="W102" s="83">
        <v>0.0</v>
      </c>
      <c r="X102" s="190">
        <v>0.0</v>
      </c>
      <c r="Y102" s="190">
        <v>0.0</v>
      </c>
      <c r="Z102" s="190">
        <v>0.0</v>
      </c>
      <c r="AA102" s="190">
        <v>0.0</v>
      </c>
      <c r="AB102" s="190">
        <v>0.0</v>
      </c>
      <c r="AC102" s="190">
        <v>0.0</v>
      </c>
      <c r="AD102" s="190">
        <v>0.0</v>
      </c>
      <c r="AE102" s="190">
        <v>0.0</v>
      </c>
      <c r="AF102" s="190">
        <v>0.0</v>
      </c>
      <c r="AG102" s="114"/>
    </row>
    <row r="103" hidden="1" outlineLevel="1">
      <c r="A103" s="216" t="s">
        <v>608</v>
      </c>
      <c r="B103" s="83">
        <v>0.0</v>
      </c>
      <c r="C103" s="83">
        <v>0.0</v>
      </c>
      <c r="D103" s="83">
        <v>0.0</v>
      </c>
      <c r="E103" s="83">
        <v>0.0</v>
      </c>
      <c r="F103" s="83">
        <v>0.0</v>
      </c>
      <c r="G103" s="83">
        <v>0.0</v>
      </c>
      <c r="H103" s="83">
        <v>0.0</v>
      </c>
      <c r="I103" s="83">
        <v>0.0</v>
      </c>
      <c r="J103" s="83">
        <v>0.0</v>
      </c>
      <c r="K103" s="83">
        <v>0.0</v>
      </c>
      <c r="L103" s="83">
        <v>0.0</v>
      </c>
      <c r="M103" s="83">
        <v>0.0</v>
      </c>
      <c r="N103" s="83">
        <v>0.0</v>
      </c>
      <c r="O103" s="83">
        <v>0.0</v>
      </c>
      <c r="P103" s="83">
        <v>0.0</v>
      </c>
      <c r="Q103" s="83">
        <v>0.0</v>
      </c>
      <c r="R103" s="83">
        <v>0.0</v>
      </c>
      <c r="S103" s="83">
        <v>0.0</v>
      </c>
      <c r="T103" s="83">
        <v>0.0</v>
      </c>
      <c r="U103" s="83">
        <v>0.0</v>
      </c>
      <c r="V103" s="83">
        <v>0.0</v>
      </c>
      <c r="W103" s="83">
        <v>0.0</v>
      </c>
      <c r="X103" s="190">
        <v>0.0</v>
      </c>
      <c r="Y103" s="190">
        <v>0.0</v>
      </c>
      <c r="Z103" s="190">
        <v>0.0</v>
      </c>
      <c r="AA103" s="190">
        <v>0.0</v>
      </c>
      <c r="AB103" s="190">
        <v>0.0</v>
      </c>
      <c r="AC103" s="190">
        <v>0.0</v>
      </c>
      <c r="AD103" s="190">
        <v>0.0</v>
      </c>
      <c r="AE103" s="190">
        <v>0.0</v>
      </c>
      <c r="AF103" s="190">
        <v>0.0</v>
      </c>
      <c r="AG103" s="114"/>
    </row>
    <row r="104" hidden="1" outlineLevel="1">
      <c r="A104" s="216" t="s">
        <v>609</v>
      </c>
      <c r="B104" s="83">
        <v>0.0</v>
      </c>
      <c r="C104" s="83">
        <v>0.0</v>
      </c>
      <c r="D104" s="83">
        <v>0.0</v>
      </c>
      <c r="E104" s="83">
        <v>0.0</v>
      </c>
      <c r="F104" s="83">
        <v>0.0</v>
      </c>
      <c r="G104" s="83">
        <v>0.0</v>
      </c>
      <c r="H104" s="83">
        <v>0.0</v>
      </c>
      <c r="I104" s="83">
        <v>0.0</v>
      </c>
      <c r="J104" s="83">
        <v>0.0</v>
      </c>
      <c r="K104" s="83">
        <v>0.0</v>
      </c>
      <c r="L104" s="83">
        <v>0.0</v>
      </c>
      <c r="M104" s="83">
        <v>0.0</v>
      </c>
      <c r="N104" s="83">
        <v>0.0</v>
      </c>
      <c r="O104" s="83">
        <v>0.0</v>
      </c>
      <c r="P104" s="83">
        <v>0.0</v>
      </c>
      <c r="Q104" s="83">
        <v>0.0</v>
      </c>
      <c r="R104" s="83">
        <v>0.0</v>
      </c>
      <c r="S104" s="83">
        <v>0.0</v>
      </c>
      <c r="T104" s="83">
        <v>0.0</v>
      </c>
      <c r="U104" s="83">
        <v>0.0</v>
      </c>
      <c r="V104" s="83">
        <v>0.0</v>
      </c>
      <c r="W104" s="83">
        <v>0.0</v>
      </c>
      <c r="X104" s="190">
        <v>0.0</v>
      </c>
      <c r="Y104" s="190">
        <v>0.0</v>
      </c>
      <c r="Z104" s="190">
        <v>0.0</v>
      </c>
      <c r="AA104" s="190">
        <v>0.0</v>
      </c>
      <c r="AB104" s="190">
        <v>0.0</v>
      </c>
      <c r="AC104" s="190">
        <v>0.0</v>
      </c>
      <c r="AD104" s="190">
        <v>0.0</v>
      </c>
      <c r="AE104" s="190">
        <v>0.0</v>
      </c>
      <c r="AF104" s="190">
        <v>0.0</v>
      </c>
      <c r="AG104" s="114"/>
    </row>
    <row r="105" hidden="1" outlineLevel="1">
      <c r="A105" s="220" t="s">
        <v>130</v>
      </c>
      <c r="B105" s="384">
        <f>SUM(B97:B104)</f>
        <v>0</v>
      </c>
      <c r="C105" s="384">
        <f t="shared" ref="C105:AF105" si="25">SUM(C97:C101)</f>
        <v>0</v>
      </c>
      <c r="D105" s="384">
        <f t="shared" si="25"/>
        <v>0</v>
      </c>
      <c r="E105" s="384">
        <f t="shared" si="25"/>
        <v>0</v>
      </c>
      <c r="F105" s="384">
        <f t="shared" si="25"/>
        <v>0</v>
      </c>
      <c r="G105" s="384">
        <f t="shared" si="25"/>
        <v>0</v>
      </c>
      <c r="H105" s="384">
        <f t="shared" si="25"/>
        <v>0</v>
      </c>
      <c r="I105" s="384">
        <f t="shared" si="25"/>
        <v>0</v>
      </c>
      <c r="J105" s="384">
        <f t="shared" si="25"/>
        <v>0</v>
      </c>
      <c r="K105" s="384">
        <f t="shared" si="25"/>
        <v>0</v>
      </c>
      <c r="L105" s="384">
        <f t="shared" si="25"/>
        <v>0</v>
      </c>
      <c r="M105" s="384">
        <f t="shared" si="25"/>
        <v>0</v>
      </c>
      <c r="N105" s="384">
        <f t="shared" si="25"/>
        <v>0</v>
      </c>
      <c r="O105" s="384">
        <f t="shared" si="25"/>
        <v>0</v>
      </c>
      <c r="P105" s="384">
        <f t="shared" si="25"/>
        <v>0</v>
      </c>
      <c r="Q105" s="384">
        <f t="shared" si="25"/>
        <v>0</v>
      </c>
      <c r="R105" s="384">
        <f t="shared" si="25"/>
        <v>0</v>
      </c>
      <c r="S105" s="384">
        <f t="shared" si="25"/>
        <v>0</v>
      </c>
      <c r="T105" s="384">
        <f t="shared" si="25"/>
        <v>0</v>
      </c>
      <c r="U105" s="384">
        <f t="shared" si="25"/>
        <v>0</v>
      </c>
      <c r="V105" s="384">
        <f t="shared" si="25"/>
        <v>0</v>
      </c>
      <c r="W105" s="384">
        <f t="shared" si="25"/>
        <v>0</v>
      </c>
      <c r="X105" s="384">
        <f t="shared" si="25"/>
        <v>0</v>
      </c>
      <c r="Y105" s="384">
        <f t="shared" si="25"/>
        <v>0</v>
      </c>
      <c r="Z105" s="384">
        <f t="shared" si="25"/>
        <v>0</v>
      </c>
      <c r="AA105" s="384">
        <f t="shared" si="25"/>
        <v>0</v>
      </c>
      <c r="AB105" s="384">
        <f t="shared" si="25"/>
        <v>0</v>
      </c>
      <c r="AC105" s="384">
        <f t="shared" si="25"/>
        <v>0</v>
      </c>
      <c r="AD105" s="384">
        <f t="shared" si="25"/>
        <v>0</v>
      </c>
      <c r="AE105" s="384">
        <f t="shared" si="25"/>
        <v>0</v>
      </c>
      <c r="AF105" s="384">
        <f t="shared" si="25"/>
        <v>0</v>
      </c>
      <c r="AG105" s="114"/>
    </row>
    <row r="106" hidden="1" outlineLevel="1">
      <c r="A106" s="385"/>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c r="AA106" s="176"/>
      <c r="AB106" s="176"/>
      <c r="AC106" s="176"/>
      <c r="AD106" s="176"/>
      <c r="AE106" s="176"/>
      <c r="AF106" s="176"/>
      <c r="AG106" s="114"/>
    </row>
    <row r="107" hidden="1" outlineLevel="1">
      <c r="A107" s="220" t="s">
        <v>533</v>
      </c>
      <c r="B107" s="384"/>
      <c r="C107" s="384"/>
      <c r="D107" s="384"/>
      <c r="E107" s="384"/>
      <c r="F107" s="384"/>
      <c r="G107" s="384"/>
      <c r="H107" s="384"/>
      <c r="I107" s="384"/>
      <c r="J107" s="384"/>
      <c r="K107" s="384"/>
      <c r="L107" s="384"/>
      <c r="M107" s="384"/>
      <c r="N107" s="384"/>
      <c r="O107" s="384"/>
      <c r="P107" s="384"/>
      <c r="Q107" s="384"/>
      <c r="R107" s="384"/>
      <c r="S107" s="384"/>
      <c r="T107" s="384"/>
      <c r="U107" s="384"/>
      <c r="V107" s="384"/>
      <c r="W107" s="384"/>
      <c r="X107" s="384"/>
      <c r="Y107" s="384"/>
      <c r="Z107" s="384"/>
      <c r="AA107" s="384"/>
      <c r="AB107" s="384"/>
      <c r="AC107" s="384"/>
      <c r="AD107" s="384"/>
      <c r="AE107" s="384"/>
      <c r="AF107" s="384"/>
      <c r="AG107" s="114"/>
    </row>
    <row r="108" hidden="1" outlineLevel="1">
      <c r="A108" s="216" t="s">
        <v>534</v>
      </c>
      <c r="B108" s="83">
        <v>0.0</v>
      </c>
      <c r="C108" s="83">
        <v>0.0</v>
      </c>
      <c r="D108" s="83">
        <v>0.0</v>
      </c>
      <c r="E108" s="83">
        <v>0.0</v>
      </c>
      <c r="F108" s="83">
        <v>0.0</v>
      </c>
      <c r="G108" s="83">
        <v>0.0</v>
      </c>
      <c r="H108" s="83">
        <v>0.0</v>
      </c>
      <c r="I108" s="83">
        <v>0.0</v>
      </c>
      <c r="J108" s="83">
        <v>0.0</v>
      </c>
      <c r="K108" s="83">
        <v>0.0</v>
      </c>
      <c r="L108" s="83">
        <v>0.0</v>
      </c>
      <c r="M108" s="83">
        <v>0.0</v>
      </c>
      <c r="N108" s="83">
        <v>0.0</v>
      </c>
      <c r="O108" s="83">
        <v>0.0</v>
      </c>
      <c r="P108" s="83">
        <v>0.0</v>
      </c>
      <c r="Q108" s="83">
        <v>0.0</v>
      </c>
      <c r="R108" s="83">
        <v>0.0</v>
      </c>
      <c r="S108" s="83">
        <v>0.0</v>
      </c>
      <c r="T108" s="83">
        <v>0.0</v>
      </c>
      <c r="U108" s="83">
        <v>0.0</v>
      </c>
      <c r="V108" s="83">
        <v>0.0</v>
      </c>
      <c r="W108" s="83">
        <v>0.0</v>
      </c>
      <c r="X108" s="190">
        <v>0.0</v>
      </c>
      <c r="Y108" s="190">
        <v>0.0</v>
      </c>
      <c r="Z108" s="190">
        <v>0.0</v>
      </c>
      <c r="AA108" s="190">
        <v>0.0</v>
      </c>
      <c r="AB108" s="190">
        <v>0.0</v>
      </c>
      <c r="AC108" s="190">
        <v>0.0</v>
      </c>
      <c r="AD108" s="190">
        <v>0.0</v>
      </c>
      <c r="AE108" s="190">
        <v>0.0</v>
      </c>
      <c r="AF108" s="190">
        <v>0.0</v>
      </c>
      <c r="AG108" s="114"/>
    </row>
    <row r="109" hidden="1" outlineLevel="1">
      <c r="A109" s="216" t="s">
        <v>535</v>
      </c>
      <c r="B109" s="83">
        <v>0.0</v>
      </c>
      <c r="C109" s="83">
        <v>0.0</v>
      </c>
      <c r="D109" s="83">
        <v>0.0</v>
      </c>
      <c r="E109" s="83">
        <v>0.0</v>
      </c>
      <c r="F109" s="83">
        <v>0.0</v>
      </c>
      <c r="G109" s="83">
        <v>0.0</v>
      </c>
      <c r="H109" s="83">
        <v>0.0</v>
      </c>
      <c r="I109" s="83">
        <v>0.0</v>
      </c>
      <c r="J109" s="83">
        <v>0.0</v>
      </c>
      <c r="K109" s="83">
        <v>0.0</v>
      </c>
      <c r="L109" s="83">
        <v>0.0</v>
      </c>
      <c r="M109" s="83">
        <v>0.0</v>
      </c>
      <c r="N109" s="83">
        <v>0.0</v>
      </c>
      <c r="O109" s="83">
        <v>0.0</v>
      </c>
      <c r="P109" s="83">
        <v>0.0</v>
      </c>
      <c r="Q109" s="83">
        <v>0.0</v>
      </c>
      <c r="R109" s="83">
        <v>0.0</v>
      </c>
      <c r="S109" s="83">
        <v>0.0</v>
      </c>
      <c r="T109" s="83">
        <v>0.0</v>
      </c>
      <c r="U109" s="83">
        <v>0.0</v>
      </c>
      <c r="V109" s="83">
        <v>0.0</v>
      </c>
      <c r="W109" s="83">
        <v>0.0</v>
      </c>
      <c r="X109" s="190">
        <v>0.0</v>
      </c>
      <c r="Y109" s="190">
        <v>0.0</v>
      </c>
      <c r="Z109" s="190">
        <v>0.0</v>
      </c>
      <c r="AA109" s="190">
        <v>0.0</v>
      </c>
      <c r="AB109" s="190">
        <v>0.0</v>
      </c>
      <c r="AC109" s="190">
        <v>0.0</v>
      </c>
      <c r="AD109" s="190">
        <v>0.0</v>
      </c>
      <c r="AE109" s="190">
        <v>0.0</v>
      </c>
      <c r="AF109" s="190">
        <v>0.0</v>
      </c>
      <c r="AG109" s="114"/>
    </row>
    <row r="110" hidden="1" outlineLevel="1">
      <c r="A110" s="216" t="s">
        <v>536</v>
      </c>
      <c r="B110" s="83">
        <v>0.0</v>
      </c>
      <c r="C110" s="83">
        <v>0.0</v>
      </c>
      <c r="D110" s="83">
        <v>0.0</v>
      </c>
      <c r="E110" s="83">
        <v>0.0</v>
      </c>
      <c r="F110" s="83">
        <v>0.0</v>
      </c>
      <c r="G110" s="83">
        <v>0.0</v>
      </c>
      <c r="H110" s="83">
        <v>0.0</v>
      </c>
      <c r="I110" s="83">
        <v>0.0</v>
      </c>
      <c r="J110" s="83">
        <v>0.0</v>
      </c>
      <c r="K110" s="83">
        <v>0.0</v>
      </c>
      <c r="L110" s="83">
        <v>0.0</v>
      </c>
      <c r="M110" s="83">
        <v>0.0</v>
      </c>
      <c r="N110" s="83">
        <v>0.0</v>
      </c>
      <c r="O110" s="83">
        <v>0.0</v>
      </c>
      <c r="P110" s="83">
        <v>0.0</v>
      </c>
      <c r="Q110" s="83">
        <v>0.0</v>
      </c>
      <c r="R110" s="83">
        <v>0.0</v>
      </c>
      <c r="S110" s="83">
        <v>0.0</v>
      </c>
      <c r="T110" s="83">
        <v>0.0</v>
      </c>
      <c r="U110" s="83">
        <v>0.0</v>
      </c>
      <c r="V110" s="83">
        <v>0.0</v>
      </c>
      <c r="W110" s="83">
        <v>0.0</v>
      </c>
      <c r="X110" s="190">
        <v>0.0</v>
      </c>
      <c r="Y110" s="190">
        <v>0.0</v>
      </c>
      <c r="Z110" s="190">
        <v>0.0</v>
      </c>
      <c r="AA110" s="190">
        <v>0.0</v>
      </c>
      <c r="AB110" s="190">
        <v>0.0</v>
      </c>
      <c r="AC110" s="190">
        <v>0.0</v>
      </c>
      <c r="AD110" s="190">
        <v>0.0</v>
      </c>
      <c r="AE110" s="165">
        <v>1.0</v>
      </c>
      <c r="AF110" s="190">
        <v>0.0</v>
      </c>
      <c r="AG110" s="114"/>
    </row>
    <row r="111" hidden="1" outlineLevel="1">
      <c r="A111" s="38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c r="AA111" s="176"/>
      <c r="AB111" s="176"/>
      <c r="AC111" s="176"/>
      <c r="AD111" s="176"/>
      <c r="AE111" s="176"/>
      <c r="AF111" s="176"/>
      <c r="AG111" s="114"/>
    </row>
    <row r="112" hidden="1" outlineLevel="1">
      <c r="A112" s="387" t="s">
        <v>537</v>
      </c>
      <c r="B112" s="384">
        <v>0.0</v>
      </c>
      <c r="C112" s="384">
        <v>0.0</v>
      </c>
      <c r="D112" s="384">
        <v>0.0</v>
      </c>
      <c r="E112" s="384">
        <v>0.0</v>
      </c>
      <c r="F112" s="384">
        <v>0.0</v>
      </c>
      <c r="G112" s="384">
        <v>0.0</v>
      </c>
      <c r="H112" s="384">
        <v>0.0</v>
      </c>
      <c r="I112" s="384">
        <v>0.0</v>
      </c>
      <c r="J112" s="384">
        <v>0.0</v>
      </c>
      <c r="K112" s="384">
        <v>0.0</v>
      </c>
      <c r="L112" s="384">
        <v>0.0</v>
      </c>
      <c r="M112" s="384">
        <v>0.0</v>
      </c>
      <c r="N112" s="384">
        <v>0.0</v>
      </c>
      <c r="O112" s="384">
        <v>0.0</v>
      </c>
      <c r="P112" s="384">
        <v>0.0</v>
      </c>
      <c r="Q112" s="384">
        <v>0.0</v>
      </c>
      <c r="R112" s="384">
        <v>0.0</v>
      </c>
      <c r="S112" s="384">
        <v>0.0</v>
      </c>
      <c r="T112" s="384">
        <v>0.0</v>
      </c>
      <c r="U112" s="384">
        <v>0.0</v>
      </c>
      <c r="V112" s="384">
        <v>0.0</v>
      </c>
      <c r="W112" s="384">
        <v>0.0</v>
      </c>
      <c r="X112" s="384">
        <v>0.0</v>
      </c>
      <c r="Y112" s="384">
        <v>0.0</v>
      </c>
      <c r="Z112" s="384">
        <v>0.0</v>
      </c>
      <c r="AA112" s="384">
        <v>0.0</v>
      </c>
      <c r="AB112" s="384">
        <v>0.0</v>
      </c>
      <c r="AC112" s="384">
        <v>0.0</v>
      </c>
      <c r="AD112" s="384">
        <v>0.0</v>
      </c>
      <c r="AE112" s="384">
        <v>1.0</v>
      </c>
      <c r="AF112" s="384">
        <v>0.0</v>
      </c>
      <c r="AG112" s="114"/>
    </row>
    <row r="113">
      <c r="A113" s="177"/>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64" t="s">
        <v>610</v>
      </c>
      <c r="Y113" s="187"/>
      <c r="Z113" s="187"/>
      <c r="AA113" s="187"/>
      <c r="AB113" s="187"/>
      <c r="AC113" s="187"/>
      <c r="AD113" s="187"/>
      <c r="AE113" s="187"/>
      <c r="AF113" s="187"/>
      <c r="AG113" s="114"/>
    </row>
    <row r="114">
      <c r="A114" s="177"/>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c r="AA114" s="187"/>
      <c r="AB114" s="187"/>
      <c r="AC114" s="187"/>
      <c r="AD114" s="187"/>
      <c r="AE114" s="187"/>
      <c r="AF114" s="187"/>
      <c r="AG114" s="114"/>
    </row>
    <row r="115" ht="28.5" customHeight="1">
      <c r="A115" s="401" t="s">
        <v>611</v>
      </c>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c r="AA115" s="156"/>
      <c r="AB115" s="156"/>
      <c r="AC115" s="156"/>
      <c r="AD115" s="156"/>
      <c r="AE115" s="156"/>
      <c r="AF115" s="156"/>
      <c r="AG115" s="143"/>
    </row>
    <row r="116" collapsed="1">
      <c r="A116" s="141" t="s">
        <v>87</v>
      </c>
      <c r="B116" s="142">
        <f>Summary!B26</f>
        <v>0</v>
      </c>
      <c r="C116" s="142">
        <f>Summary!C26</f>
        <v>0</v>
      </c>
      <c r="D116" s="142">
        <f>Summary!D26</f>
        <v>0</v>
      </c>
      <c r="E116" s="142">
        <f>Summary!E26</f>
        <v>0</v>
      </c>
      <c r="F116" s="142">
        <f>Summary!F26</f>
        <v>0</v>
      </c>
      <c r="G116" s="142">
        <f>Summary!G26</f>
        <v>0</v>
      </c>
      <c r="H116" s="142">
        <f>Summary!H26</f>
        <v>0</v>
      </c>
      <c r="I116" s="142">
        <f>Summary!I26</f>
        <v>0</v>
      </c>
      <c r="J116" s="142">
        <f>Summary!J26</f>
        <v>0</v>
      </c>
      <c r="K116" s="142">
        <f>Summary!K26</f>
        <v>0</v>
      </c>
      <c r="L116" s="142">
        <f>Summary!L26</f>
        <v>0</v>
      </c>
      <c r="M116" s="142">
        <f>Summary!M26</f>
        <v>0</v>
      </c>
      <c r="N116" s="142">
        <f>Summary!N26</f>
        <v>0</v>
      </c>
      <c r="O116" s="142">
        <f>Summary!O26</f>
        <v>0</v>
      </c>
      <c r="P116" s="142">
        <f>Summary!P26</f>
        <v>0</v>
      </c>
      <c r="Q116" s="142">
        <f>Summary!Q26</f>
        <v>0</v>
      </c>
      <c r="R116" s="142">
        <f>Summary!R26</f>
        <v>299</v>
      </c>
      <c r="S116" s="142">
        <f>Summary!S26</f>
        <v>0</v>
      </c>
      <c r="T116" s="142">
        <f>Summary!T26</f>
        <v>0</v>
      </c>
      <c r="U116" s="142">
        <f>Summary!U26</f>
        <v>0</v>
      </c>
      <c r="V116" s="142">
        <f>Summary!V26</f>
        <v>0</v>
      </c>
      <c r="W116" s="142">
        <f>Summary!W26</f>
        <v>0</v>
      </c>
      <c r="X116" s="142">
        <f>Summary!X26</f>
        <v>0</v>
      </c>
      <c r="Y116" s="142">
        <f>Summary!Y26</f>
        <v>0</v>
      </c>
      <c r="Z116" s="142">
        <f>Summary!Z26</f>
        <v>0</v>
      </c>
      <c r="AA116" s="142">
        <f>Summary!AA26</f>
        <v>0</v>
      </c>
      <c r="AB116" s="142">
        <f>Summary!AB26</f>
        <v>0</v>
      </c>
      <c r="AC116" s="142">
        <f>Summary!AC26</f>
        <v>0</v>
      </c>
      <c r="AD116" s="142">
        <f>Summary!AD26</f>
        <v>0</v>
      </c>
      <c r="AE116" s="142">
        <f>Summary!AE26</f>
        <v>0</v>
      </c>
      <c r="AF116" s="142">
        <f>Summary!AF26</f>
        <v>0</v>
      </c>
      <c r="AG116" s="143">
        <f>SUM(B116:AF116)</f>
        <v>299</v>
      </c>
    </row>
    <row r="117" hidden="1" outlineLevel="1">
      <c r="A117" s="402" t="s">
        <v>115</v>
      </c>
      <c r="B117" s="403"/>
      <c r="C117" s="403"/>
      <c r="D117" s="403"/>
      <c r="E117" s="403"/>
      <c r="F117" s="403"/>
      <c r="G117" s="403"/>
      <c r="H117" s="403"/>
      <c r="I117" s="403"/>
      <c r="J117" s="403"/>
      <c r="K117" s="403"/>
      <c r="L117" s="403"/>
      <c r="M117" s="403"/>
      <c r="N117" s="403"/>
      <c r="O117" s="403"/>
      <c r="P117" s="403"/>
      <c r="Q117" s="403"/>
      <c r="R117" s="403"/>
      <c r="S117" s="403"/>
      <c r="T117" s="403"/>
      <c r="U117" s="403"/>
      <c r="V117" s="403"/>
      <c r="W117" s="403"/>
      <c r="X117" s="403"/>
      <c r="Y117" s="403"/>
      <c r="Z117" s="403"/>
      <c r="AA117" s="403"/>
      <c r="AB117" s="403"/>
      <c r="AC117" s="403"/>
      <c r="AD117" s="403"/>
      <c r="AE117" s="403"/>
      <c r="AF117" s="403"/>
      <c r="AG117" s="143"/>
    </row>
    <row r="118" hidden="1" outlineLevel="1">
      <c r="A118" s="404" t="s">
        <v>40</v>
      </c>
      <c r="B118" s="142">
        <f>Summary!B28</f>
        <v>0</v>
      </c>
      <c r="C118" s="142">
        <f>Summary!C28</f>
        <v>0</v>
      </c>
      <c r="D118" s="142">
        <f>Summary!D28</f>
        <v>0</v>
      </c>
      <c r="E118" s="142">
        <f>Summary!E28</f>
        <v>0</v>
      </c>
      <c r="F118" s="142">
        <f>Summary!F28</f>
        <v>0</v>
      </c>
      <c r="G118" s="142">
        <f>Summary!G28</f>
        <v>0</v>
      </c>
      <c r="H118" s="142">
        <f>Summary!H28</f>
        <v>0</v>
      </c>
      <c r="I118" s="142">
        <f>Summary!I28</f>
        <v>0</v>
      </c>
      <c r="J118" s="142">
        <f>Summary!J28</f>
        <v>0</v>
      </c>
      <c r="K118" s="142">
        <f>Summary!K28</f>
        <v>0</v>
      </c>
      <c r="L118" s="142">
        <f>Summary!L28</f>
        <v>0</v>
      </c>
      <c r="M118" s="142">
        <f>Summary!M28</f>
        <v>0</v>
      </c>
      <c r="N118" s="142">
        <f>Summary!N28</f>
        <v>0</v>
      </c>
      <c r="O118" s="142">
        <f>Summary!O28</f>
        <v>0</v>
      </c>
      <c r="P118" s="142">
        <f>Summary!P28</f>
        <v>0</v>
      </c>
      <c r="Q118" s="142">
        <f>Summary!Q28</f>
        <v>0</v>
      </c>
      <c r="R118" s="142">
        <f>Summary!R28</f>
        <v>0</v>
      </c>
      <c r="S118" s="142">
        <f>Summary!S28</f>
        <v>0</v>
      </c>
      <c r="T118" s="142">
        <f>Summary!T28</f>
        <v>0</v>
      </c>
      <c r="U118" s="142">
        <f>Summary!U28</f>
        <v>0</v>
      </c>
      <c r="V118" s="142">
        <f>Summary!V28</f>
        <v>0</v>
      </c>
      <c r="W118" s="142">
        <f>Summary!W28</f>
        <v>0</v>
      </c>
      <c r="X118" s="142">
        <f>Summary!X28</f>
        <v>0</v>
      </c>
      <c r="Y118" s="142">
        <f>Summary!Y28</f>
        <v>0</v>
      </c>
      <c r="Z118" s="142">
        <f>Summary!Z28</f>
        <v>0</v>
      </c>
      <c r="AA118" s="142">
        <f>Summary!AA28</f>
        <v>0</v>
      </c>
      <c r="AB118" s="142">
        <f>Summary!AB28</f>
        <v>0</v>
      </c>
      <c r="AC118" s="142">
        <f>Summary!AC28</f>
        <v>0</v>
      </c>
      <c r="AD118" s="142">
        <f>Summary!AD28</f>
        <v>0</v>
      </c>
      <c r="AE118" s="142">
        <f>Summary!AE28</f>
        <v>0</v>
      </c>
      <c r="AF118" s="142">
        <f>Summary!AF28</f>
        <v>0</v>
      </c>
      <c r="AG118" s="143">
        <f t="shared" ref="AG118:AG119" si="26">SUM(B118:AF118)</f>
        <v>0</v>
      </c>
    </row>
    <row r="119" hidden="1" outlineLevel="1">
      <c r="A119" s="404" t="s">
        <v>556</v>
      </c>
      <c r="B119" s="142">
        <f>Summary!B29</f>
        <v>0</v>
      </c>
      <c r="C119" s="142">
        <f>Summary!C29</f>
        <v>0</v>
      </c>
      <c r="D119" s="142">
        <f>Summary!D29</f>
        <v>0</v>
      </c>
      <c r="E119" s="142">
        <f>Summary!E29</f>
        <v>0</v>
      </c>
      <c r="F119" s="142">
        <f>Summary!F29</f>
        <v>0</v>
      </c>
      <c r="G119" s="142">
        <f>Summary!G29</f>
        <v>0</v>
      </c>
      <c r="H119" s="142">
        <f>Summary!H29</f>
        <v>0</v>
      </c>
      <c r="I119" s="142">
        <f>Summary!I29</f>
        <v>0</v>
      </c>
      <c r="J119" s="142">
        <f>Summary!J29</f>
        <v>0</v>
      </c>
      <c r="K119" s="142">
        <f>Summary!K29</f>
        <v>0</v>
      </c>
      <c r="L119" s="142">
        <f>Summary!L29</f>
        <v>0</v>
      </c>
      <c r="M119" s="142">
        <f>Summary!M29</f>
        <v>0</v>
      </c>
      <c r="N119" s="142">
        <f>Summary!N29</f>
        <v>0</v>
      </c>
      <c r="O119" s="142">
        <f>Summary!O29</f>
        <v>0</v>
      </c>
      <c r="P119" s="142">
        <f>Summary!P29</f>
        <v>0</v>
      </c>
      <c r="Q119" s="142">
        <f>Summary!Q29</f>
        <v>0</v>
      </c>
      <c r="R119" s="142">
        <f>Summary!R29</f>
        <v>0</v>
      </c>
      <c r="S119" s="142">
        <f>Summary!S29</f>
        <v>0</v>
      </c>
      <c r="T119" s="142">
        <f>Summary!T29</f>
        <v>0</v>
      </c>
      <c r="U119" s="142">
        <f>Summary!U29</f>
        <v>0</v>
      </c>
      <c r="V119" s="142">
        <f>Summary!V29</f>
        <v>0</v>
      </c>
      <c r="W119" s="142">
        <f>Summary!W29</f>
        <v>0</v>
      </c>
      <c r="X119" s="142">
        <f>Summary!X29</f>
        <v>0</v>
      </c>
      <c r="Y119" s="142">
        <f>Summary!Y29</f>
        <v>0</v>
      </c>
      <c r="Z119" s="142">
        <f>Summary!Z29</f>
        <v>0</v>
      </c>
      <c r="AA119" s="142">
        <f>Summary!AA29</f>
        <v>0</v>
      </c>
      <c r="AB119" s="142">
        <f>Summary!AB29</f>
        <v>0</v>
      </c>
      <c r="AC119" s="142">
        <f>Summary!AC29</f>
        <v>0</v>
      </c>
      <c r="AD119" s="142">
        <f>Summary!AD29</f>
        <v>0</v>
      </c>
      <c r="AE119" s="142">
        <f>Summary!AE29</f>
        <v>0</v>
      </c>
      <c r="AF119" s="142">
        <f>Summary!AF29</f>
        <v>0</v>
      </c>
      <c r="AG119" s="143">
        <f t="shared" si="26"/>
        <v>0</v>
      </c>
    </row>
    <row r="120">
      <c r="A120" s="141" t="s">
        <v>94</v>
      </c>
      <c r="B120" s="166">
        <f>Summary!B59</f>
        <v>0</v>
      </c>
      <c r="C120" s="166">
        <f>Summary!C59</f>
        <v>0</v>
      </c>
      <c r="D120" s="166">
        <f>Summary!D59</f>
        <v>0</v>
      </c>
      <c r="E120" s="166">
        <f>Summary!E59</f>
        <v>0</v>
      </c>
      <c r="F120" s="166">
        <f>Summary!F59</f>
        <v>0</v>
      </c>
      <c r="G120" s="166">
        <f>Summary!G59</f>
        <v>0</v>
      </c>
      <c r="H120" s="166">
        <f>Summary!H59</f>
        <v>0</v>
      </c>
      <c r="I120" s="166">
        <f>Summary!I59</f>
        <v>0</v>
      </c>
      <c r="J120" s="166">
        <f>Summary!J59</f>
        <v>0</v>
      </c>
      <c r="K120" s="166">
        <f>Summary!K59</f>
        <v>0</v>
      </c>
      <c r="L120" s="166">
        <f>Summary!L59</f>
        <v>0</v>
      </c>
      <c r="M120" s="166">
        <f>Summary!M59</f>
        <v>0</v>
      </c>
      <c r="N120" s="166">
        <f>Summary!N59</f>
        <v>0</v>
      </c>
      <c r="O120" s="166">
        <f>Summary!O59</f>
        <v>0</v>
      </c>
      <c r="P120" s="166">
        <f>Summary!P59</f>
        <v>0</v>
      </c>
      <c r="Q120" s="166">
        <f>Summary!Q59</f>
        <v>0</v>
      </c>
      <c r="R120" s="166">
        <f>Summary!R59</f>
        <v>0</v>
      </c>
      <c r="S120" s="166">
        <f>Summary!S59</f>
        <v>0</v>
      </c>
      <c r="T120" s="166">
        <f>Summary!T59</f>
        <v>0</v>
      </c>
      <c r="U120" s="166">
        <f>Summary!U59</f>
        <v>0</v>
      </c>
      <c r="V120" s="166">
        <f>Summary!V59</f>
        <v>0</v>
      </c>
      <c r="W120" s="166">
        <f>Summary!W59</f>
        <v>0</v>
      </c>
      <c r="X120" s="166">
        <f>Summary!X59</f>
        <v>0</v>
      </c>
      <c r="Y120" s="166">
        <f>Summary!Y59</f>
        <v>0</v>
      </c>
      <c r="Z120" s="166">
        <f>Summary!Z59</f>
        <v>0</v>
      </c>
      <c r="AA120" s="166">
        <f>Summary!AA59</f>
        <v>0</v>
      </c>
      <c r="AB120" s="166">
        <f>Summary!AB59</f>
        <v>0</v>
      </c>
      <c r="AC120" s="166">
        <f>Summary!AC59</f>
        <v>0</v>
      </c>
      <c r="AD120" s="166">
        <f>Summary!AD59</f>
        <v>0</v>
      </c>
      <c r="AE120" s="166">
        <f>Summary!AE59</f>
        <v>0</v>
      </c>
      <c r="AF120" s="166">
        <f>Summary!AF59</f>
        <v>0</v>
      </c>
      <c r="AG120" s="143">
        <f>sum(B120:AF120)</f>
        <v>0</v>
      </c>
    </row>
    <row r="121">
      <c r="A121" s="98"/>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c r="AD121" s="82"/>
      <c r="AE121" s="82"/>
      <c r="AF121" s="82"/>
      <c r="AG121" s="146"/>
    </row>
    <row r="122">
      <c r="A122" s="216" t="s">
        <v>612</v>
      </c>
      <c r="B122" s="206">
        <f>Summary!B82</f>
        <v>0</v>
      </c>
      <c r="C122" s="206">
        <f>Summary!C82</f>
        <v>0</v>
      </c>
      <c r="D122" s="206">
        <f>Summary!D82</f>
        <v>0</v>
      </c>
      <c r="E122" s="206">
        <f>Summary!E82</f>
        <v>0</v>
      </c>
      <c r="F122" s="206">
        <f>Summary!F82</f>
        <v>0</v>
      </c>
      <c r="G122" s="206">
        <f>Summary!G82</f>
        <v>0</v>
      </c>
      <c r="H122" s="206">
        <f>Summary!H82</f>
        <v>0</v>
      </c>
      <c r="I122" s="206">
        <f>Summary!I82</f>
        <v>0</v>
      </c>
      <c r="J122" s="206">
        <f>Summary!J82</f>
        <v>0</v>
      </c>
      <c r="K122" s="206">
        <f>Summary!K82</f>
        <v>0</v>
      </c>
      <c r="L122" s="206">
        <f>Summary!L82</f>
        <v>0</v>
      </c>
      <c r="M122" s="206">
        <f>Summary!M82</f>
        <v>0</v>
      </c>
      <c r="N122" s="206">
        <f>Summary!N82</f>
        <v>0</v>
      </c>
      <c r="O122" s="206">
        <f>Summary!O82</f>
        <v>0</v>
      </c>
      <c r="P122" s="206">
        <f>Summary!P82</f>
        <v>0</v>
      </c>
      <c r="Q122" s="206">
        <f>Summary!Q82</f>
        <v>0</v>
      </c>
      <c r="R122" s="206">
        <f>Summary!R82</f>
        <v>44.85</v>
      </c>
      <c r="S122" s="206">
        <f>Summary!S82</f>
        <v>0</v>
      </c>
      <c r="T122" s="206">
        <f>Summary!T82</f>
        <v>0</v>
      </c>
      <c r="U122" s="206">
        <f>Summary!U82</f>
        <v>0</v>
      </c>
      <c r="V122" s="206">
        <f>Summary!V82</f>
        <v>0</v>
      </c>
      <c r="W122" s="206">
        <f>Summary!W82</f>
        <v>0</v>
      </c>
      <c r="X122" s="206">
        <f>Summary!X82</f>
        <v>0</v>
      </c>
      <c r="Y122" s="206">
        <f>Summary!Y82</f>
        <v>0</v>
      </c>
      <c r="Z122" s="206">
        <f>Summary!Z82</f>
        <v>0</v>
      </c>
      <c r="AA122" s="206">
        <f>Summary!AA82</f>
        <v>0</v>
      </c>
      <c r="AB122" s="206">
        <f>Summary!AB82</f>
        <v>0</v>
      </c>
      <c r="AC122" s="206">
        <f>Summary!AC82</f>
        <v>0</v>
      </c>
      <c r="AD122" s="206">
        <f>Summary!AD82</f>
        <v>0</v>
      </c>
      <c r="AE122" s="206">
        <f>Summary!AE82</f>
        <v>0</v>
      </c>
      <c r="AF122" s="206">
        <f>Summary!AF82</f>
        <v>0</v>
      </c>
      <c r="AG122" s="114">
        <f>sum(B122:AF122)</f>
        <v>44.85</v>
      </c>
    </row>
    <row r="123">
      <c r="A123" s="98"/>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c r="AD123" s="82"/>
      <c r="AE123" s="82"/>
      <c r="AF123" s="82"/>
      <c r="AG123" s="146"/>
    </row>
    <row r="124">
      <c r="A124" s="147" t="s">
        <v>613</v>
      </c>
      <c r="B124" s="165"/>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2"/>
      <c r="AF124" s="82"/>
      <c r="AG124" s="143"/>
    </row>
    <row r="125">
      <c r="A125" s="163" t="s">
        <v>614</v>
      </c>
      <c r="B125" s="165">
        <v>0.0</v>
      </c>
      <c r="C125" s="165">
        <v>0.0</v>
      </c>
      <c r="D125" s="165">
        <v>0.0</v>
      </c>
      <c r="E125" s="165">
        <v>0.0</v>
      </c>
      <c r="F125" s="165">
        <v>0.0</v>
      </c>
      <c r="G125" s="165">
        <v>0.0</v>
      </c>
      <c r="H125" s="165">
        <v>0.0</v>
      </c>
      <c r="I125" s="165">
        <v>0.0</v>
      </c>
      <c r="J125" s="165">
        <v>0.0</v>
      </c>
      <c r="K125" s="165">
        <v>0.0</v>
      </c>
      <c r="L125" s="165">
        <v>0.0</v>
      </c>
      <c r="M125" s="165">
        <v>0.0</v>
      </c>
      <c r="N125" s="165">
        <v>0.0</v>
      </c>
      <c r="O125" s="165">
        <v>0.0</v>
      </c>
      <c r="P125" s="165">
        <v>0.0</v>
      </c>
      <c r="Q125" s="165">
        <v>0.0</v>
      </c>
      <c r="R125" s="165">
        <v>0.0</v>
      </c>
      <c r="S125" s="165">
        <v>0.0</v>
      </c>
      <c r="T125" s="165">
        <v>0.0</v>
      </c>
      <c r="U125" s="165">
        <v>0.0</v>
      </c>
      <c r="V125" s="165">
        <v>0.0</v>
      </c>
      <c r="W125" s="165">
        <v>0.0</v>
      </c>
      <c r="X125" s="165">
        <v>0.0</v>
      </c>
      <c r="Y125" s="165">
        <v>0.0</v>
      </c>
      <c r="Z125" s="175">
        <v>0.0</v>
      </c>
      <c r="AA125" s="175">
        <v>0.0</v>
      </c>
      <c r="AB125" s="175">
        <v>0.0</v>
      </c>
      <c r="AC125" s="175">
        <v>0.0</v>
      </c>
      <c r="AD125" s="167">
        <v>0.0</v>
      </c>
      <c r="AE125" s="167">
        <v>0.0</v>
      </c>
      <c r="AF125" s="167">
        <v>0.0</v>
      </c>
      <c r="AG125" s="143">
        <f t="shared" ref="AG125:AG129" si="27">sum(B125:AF125)</f>
        <v>0</v>
      </c>
    </row>
    <row r="126">
      <c r="A126" s="163" t="s">
        <v>615</v>
      </c>
      <c r="B126" s="165">
        <v>0.0</v>
      </c>
      <c r="C126" s="165">
        <v>0.0</v>
      </c>
      <c r="D126" s="165">
        <v>0.0</v>
      </c>
      <c r="E126" s="165">
        <v>0.0</v>
      </c>
      <c r="F126" s="165">
        <v>0.0</v>
      </c>
      <c r="G126" s="165">
        <v>0.0</v>
      </c>
      <c r="H126" s="165">
        <v>0.0</v>
      </c>
      <c r="I126" s="165">
        <v>0.0</v>
      </c>
      <c r="J126" s="165">
        <v>0.0</v>
      </c>
      <c r="K126" s="165">
        <v>0.0</v>
      </c>
      <c r="L126" s="165">
        <v>0.0</v>
      </c>
      <c r="M126" s="165">
        <v>0.0</v>
      </c>
      <c r="N126" s="165">
        <v>0.0</v>
      </c>
      <c r="O126" s="165">
        <v>0.0</v>
      </c>
      <c r="P126" s="165">
        <v>0.0</v>
      </c>
      <c r="Q126" s="165">
        <v>0.0</v>
      </c>
      <c r="R126" s="165">
        <v>0.0</v>
      </c>
      <c r="S126" s="165">
        <v>0.0</v>
      </c>
      <c r="T126" s="165">
        <v>0.0</v>
      </c>
      <c r="U126" s="165">
        <v>0.0</v>
      </c>
      <c r="V126" s="165">
        <v>0.0</v>
      </c>
      <c r="W126" s="165">
        <v>0.0</v>
      </c>
      <c r="X126" s="165">
        <v>0.0</v>
      </c>
      <c r="Y126" s="165">
        <v>0.0</v>
      </c>
      <c r="Z126" s="175">
        <v>0.0</v>
      </c>
      <c r="AA126" s="175">
        <v>0.0</v>
      </c>
      <c r="AB126" s="175">
        <v>0.0</v>
      </c>
      <c r="AC126" s="175">
        <v>0.0</v>
      </c>
      <c r="AD126" s="167">
        <v>0.0</v>
      </c>
      <c r="AE126" s="167">
        <v>0.0</v>
      </c>
      <c r="AF126" s="167">
        <v>0.0</v>
      </c>
      <c r="AG126" s="143">
        <f t="shared" si="27"/>
        <v>0</v>
      </c>
    </row>
    <row r="127">
      <c r="A127" s="163" t="s">
        <v>616</v>
      </c>
      <c r="B127" s="165">
        <v>0.0</v>
      </c>
      <c r="C127" s="165">
        <v>0.0</v>
      </c>
      <c r="D127" s="165">
        <v>0.0</v>
      </c>
      <c r="E127" s="165">
        <v>0.0</v>
      </c>
      <c r="F127" s="165">
        <v>0.0</v>
      </c>
      <c r="G127" s="165">
        <v>0.0</v>
      </c>
      <c r="H127" s="165">
        <v>0.0</v>
      </c>
      <c r="I127" s="165">
        <v>0.0</v>
      </c>
      <c r="J127" s="165">
        <v>0.0</v>
      </c>
      <c r="K127" s="165">
        <v>0.0</v>
      </c>
      <c r="L127" s="165">
        <v>0.0</v>
      </c>
      <c r="M127" s="165">
        <v>0.0</v>
      </c>
      <c r="N127" s="165">
        <v>0.0</v>
      </c>
      <c r="O127" s="165">
        <v>0.0</v>
      </c>
      <c r="P127" s="165">
        <v>0.0</v>
      </c>
      <c r="Q127" s="165">
        <v>0.0</v>
      </c>
      <c r="R127" s="165">
        <v>1.0</v>
      </c>
      <c r="S127" s="165">
        <v>0.0</v>
      </c>
      <c r="T127" s="165">
        <v>0.0</v>
      </c>
      <c r="U127" s="165">
        <v>0.0</v>
      </c>
      <c r="V127" s="165">
        <v>0.0</v>
      </c>
      <c r="W127" s="165">
        <v>0.0</v>
      </c>
      <c r="X127" s="165">
        <v>0.0</v>
      </c>
      <c r="Y127" s="165">
        <v>0.0</v>
      </c>
      <c r="Z127" s="424">
        <v>0.0</v>
      </c>
      <c r="AA127" s="424">
        <v>0.0</v>
      </c>
      <c r="AB127" s="424">
        <v>0.0</v>
      </c>
      <c r="AC127" s="424">
        <v>0.0</v>
      </c>
      <c r="AD127" s="83">
        <v>0.0</v>
      </c>
      <c r="AE127" s="83">
        <v>0.0</v>
      </c>
      <c r="AF127" s="83">
        <v>0.0</v>
      </c>
      <c r="AG127" s="143">
        <f t="shared" si="27"/>
        <v>1</v>
      </c>
    </row>
    <row r="128">
      <c r="A128" s="163" t="s">
        <v>617</v>
      </c>
      <c r="B128" s="165">
        <v>0.0</v>
      </c>
      <c r="C128" s="165">
        <v>0.0</v>
      </c>
      <c r="D128" s="165">
        <v>0.0</v>
      </c>
      <c r="E128" s="165">
        <v>0.0</v>
      </c>
      <c r="F128" s="165">
        <v>0.0</v>
      </c>
      <c r="G128" s="165">
        <v>0.0</v>
      </c>
      <c r="H128" s="165">
        <v>0.0</v>
      </c>
      <c r="I128" s="165">
        <v>0.0</v>
      </c>
      <c r="J128" s="165">
        <v>0.0</v>
      </c>
      <c r="K128" s="165">
        <v>0.0</v>
      </c>
      <c r="L128" s="165">
        <v>0.0</v>
      </c>
      <c r="M128" s="165">
        <v>0.0</v>
      </c>
      <c r="N128" s="165">
        <v>0.0</v>
      </c>
      <c r="O128" s="165">
        <v>0.0</v>
      </c>
      <c r="P128" s="165">
        <v>0.0</v>
      </c>
      <c r="Q128" s="165">
        <v>0.0</v>
      </c>
      <c r="R128" s="165">
        <v>0.0</v>
      </c>
      <c r="S128" s="165">
        <v>0.0</v>
      </c>
      <c r="T128" s="165">
        <v>0.0</v>
      </c>
      <c r="U128" s="165">
        <v>0.0</v>
      </c>
      <c r="V128" s="165">
        <v>0.0</v>
      </c>
      <c r="W128" s="165">
        <v>0.0</v>
      </c>
      <c r="X128" s="165">
        <v>0.0</v>
      </c>
      <c r="Y128" s="165">
        <v>0.0</v>
      </c>
      <c r="Z128" s="424">
        <v>0.0</v>
      </c>
      <c r="AA128" s="424">
        <v>0.0</v>
      </c>
      <c r="AB128" s="424">
        <v>0.0</v>
      </c>
      <c r="AC128" s="424">
        <v>0.0</v>
      </c>
      <c r="AD128" s="83">
        <v>0.0</v>
      </c>
      <c r="AE128" s="83">
        <v>0.0</v>
      </c>
      <c r="AF128" s="83">
        <v>0.0</v>
      </c>
      <c r="AG128" s="143">
        <f t="shared" si="27"/>
        <v>0</v>
      </c>
    </row>
    <row r="129">
      <c r="A129" s="169" t="s">
        <v>121</v>
      </c>
      <c r="B129" s="336">
        <f t="shared" ref="B129:AF129" si="28">SUM(B125:B128)</f>
        <v>0</v>
      </c>
      <c r="C129" s="336">
        <f t="shared" si="28"/>
        <v>0</v>
      </c>
      <c r="D129" s="336">
        <f t="shared" si="28"/>
        <v>0</v>
      </c>
      <c r="E129" s="336">
        <f t="shared" si="28"/>
        <v>0</v>
      </c>
      <c r="F129" s="336">
        <f t="shared" si="28"/>
        <v>0</v>
      </c>
      <c r="G129" s="336">
        <f t="shared" si="28"/>
        <v>0</v>
      </c>
      <c r="H129" s="336">
        <f t="shared" si="28"/>
        <v>0</v>
      </c>
      <c r="I129" s="336">
        <f t="shared" si="28"/>
        <v>0</v>
      </c>
      <c r="J129" s="336">
        <f t="shared" si="28"/>
        <v>0</v>
      </c>
      <c r="K129" s="336">
        <f t="shared" si="28"/>
        <v>0</v>
      </c>
      <c r="L129" s="336">
        <f t="shared" si="28"/>
        <v>0</v>
      </c>
      <c r="M129" s="336">
        <f t="shared" si="28"/>
        <v>0</v>
      </c>
      <c r="N129" s="336">
        <f t="shared" si="28"/>
        <v>0</v>
      </c>
      <c r="O129" s="336">
        <f t="shared" si="28"/>
        <v>0</v>
      </c>
      <c r="P129" s="336">
        <f t="shared" si="28"/>
        <v>0</v>
      </c>
      <c r="Q129" s="336">
        <f t="shared" si="28"/>
        <v>0</v>
      </c>
      <c r="R129" s="336">
        <f t="shared" si="28"/>
        <v>1</v>
      </c>
      <c r="S129" s="336">
        <f t="shared" si="28"/>
        <v>0</v>
      </c>
      <c r="T129" s="336">
        <f t="shared" si="28"/>
        <v>0</v>
      </c>
      <c r="U129" s="336">
        <f t="shared" si="28"/>
        <v>0</v>
      </c>
      <c r="V129" s="336">
        <f t="shared" si="28"/>
        <v>0</v>
      </c>
      <c r="W129" s="336">
        <f t="shared" si="28"/>
        <v>0</v>
      </c>
      <c r="X129" s="336">
        <f t="shared" si="28"/>
        <v>0</v>
      </c>
      <c r="Y129" s="336">
        <f t="shared" si="28"/>
        <v>0</v>
      </c>
      <c r="Z129" s="336">
        <f t="shared" si="28"/>
        <v>0</v>
      </c>
      <c r="AA129" s="336">
        <f t="shared" si="28"/>
        <v>0</v>
      </c>
      <c r="AB129" s="336">
        <f t="shared" si="28"/>
        <v>0</v>
      </c>
      <c r="AC129" s="336">
        <f t="shared" si="28"/>
        <v>0</v>
      </c>
      <c r="AD129" s="336">
        <f t="shared" si="28"/>
        <v>0</v>
      </c>
      <c r="AE129" s="336">
        <f t="shared" si="28"/>
        <v>0</v>
      </c>
      <c r="AF129" s="336">
        <f t="shared" si="28"/>
        <v>0</v>
      </c>
      <c r="AG129" s="143">
        <f t="shared" si="27"/>
        <v>1</v>
      </c>
    </row>
    <row r="130">
      <c r="A130" s="98"/>
      <c r="B130" s="171"/>
      <c r="C130" s="171"/>
      <c r="D130" s="171"/>
      <c r="E130" s="171"/>
      <c r="F130" s="171"/>
      <c r="G130" s="171"/>
      <c r="H130" s="171"/>
      <c r="I130" s="171"/>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172"/>
    </row>
    <row r="131">
      <c r="A131" s="163" t="s">
        <v>122</v>
      </c>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338"/>
      <c r="AA131" s="338"/>
      <c r="AB131" s="338"/>
      <c r="AC131" s="338"/>
      <c r="AD131" s="425"/>
      <c r="AE131" s="425"/>
      <c r="AF131" s="425"/>
      <c r="AG131" s="143">
        <f t="shared" ref="AG131:AG139" si="29">sum(B131:AF131)</f>
        <v>0</v>
      </c>
    </row>
    <row r="132">
      <c r="A132" s="163" t="s">
        <v>123</v>
      </c>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338"/>
      <c r="AA132" s="338"/>
      <c r="AB132" s="338"/>
      <c r="AC132" s="338"/>
      <c r="AD132" s="426"/>
      <c r="AE132" s="426"/>
      <c r="AF132" s="91"/>
      <c r="AG132" s="143">
        <f t="shared" si="29"/>
        <v>0</v>
      </c>
    </row>
    <row r="133">
      <c r="A133" s="163" t="s">
        <v>618</v>
      </c>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338"/>
      <c r="AA133" s="338"/>
      <c r="AB133" s="338"/>
      <c r="AC133" s="338"/>
      <c r="AD133" s="338"/>
      <c r="AE133" s="338"/>
      <c r="AF133" s="425"/>
      <c r="AG133" s="143">
        <f t="shared" si="29"/>
        <v>0</v>
      </c>
    </row>
    <row r="134">
      <c r="A134" s="163" t="s">
        <v>619</v>
      </c>
      <c r="B134" s="405"/>
      <c r="C134" s="405"/>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25"/>
      <c r="AA134" s="425"/>
      <c r="AB134" s="425"/>
      <c r="AC134" s="425"/>
      <c r="AD134" s="338"/>
      <c r="AE134" s="338"/>
      <c r="AF134" s="425"/>
      <c r="AG134" s="143">
        <f t="shared" si="29"/>
        <v>0</v>
      </c>
    </row>
    <row r="135">
      <c r="A135" s="163" t="s">
        <v>620</v>
      </c>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338"/>
      <c r="AE135" s="338"/>
      <c r="AF135" s="425"/>
      <c r="AG135" s="143">
        <f t="shared" si="29"/>
        <v>0</v>
      </c>
    </row>
    <row r="136">
      <c r="A136" s="163" t="s">
        <v>621</v>
      </c>
      <c r="B136" s="405"/>
      <c r="C136" s="405"/>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88"/>
      <c r="AA136" s="88"/>
      <c r="AB136" s="88"/>
      <c r="AC136" s="88"/>
      <c r="AD136" s="338"/>
      <c r="AE136" s="338"/>
      <c r="AF136" s="425"/>
      <c r="AG136" s="143">
        <f t="shared" si="29"/>
        <v>0</v>
      </c>
    </row>
    <row r="137">
      <c r="A137" s="163" t="s">
        <v>622</v>
      </c>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338"/>
      <c r="AE137" s="338"/>
      <c r="AF137" s="425"/>
      <c r="AG137" s="143">
        <f t="shared" si="29"/>
        <v>0</v>
      </c>
    </row>
    <row r="138">
      <c r="A138" s="163" t="s">
        <v>623</v>
      </c>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338"/>
      <c r="AE138" s="338"/>
      <c r="AF138" s="425"/>
      <c r="AG138" s="143">
        <f t="shared" si="29"/>
        <v>0</v>
      </c>
    </row>
    <row r="139">
      <c r="A139" s="305" t="s">
        <v>130</v>
      </c>
      <c r="B139" s="406">
        <f t="shared" ref="B139:AF139" si="30">SUM(B131:B138)</f>
        <v>0</v>
      </c>
      <c r="C139" s="336">
        <f t="shared" si="30"/>
        <v>0</v>
      </c>
      <c r="D139" s="336">
        <f t="shared" si="30"/>
        <v>0</v>
      </c>
      <c r="E139" s="336">
        <f t="shared" si="30"/>
        <v>0</v>
      </c>
      <c r="F139" s="336">
        <f t="shared" si="30"/>
        <v>0</v>
      </c>
      <c r="G139" s="336">
        <f t="shared" si="30"/>
        <v>0</v>
      </c>
      <c r="H139" s="336">
        <f t="shared" si="30"/>
        <v>0</v>
      </c>
      <c r="I139" s="336">
        <f t="shared" si="30"/>
        <v>0</v>
      </c>
      <c r="J139" s="336">
        <f t="shared" si="30"/>
        <v>0</v>
      </c>
      <c r="K139" s="336">
        <f t="shared" si="30"/>
        <v>0</v>
      </c>
      <c r="L139" s="336">
        <f t="shared" si="30"/>
        <v>0</v>
      </c>
      <c r="M139" s="336">
        <f t="shared" si="30"/>
        <v>0</v>
      </c>
      <c r="N139" s="336">
        <f t="shared" si="30"/>
        <v>0</v>
      </c>
      <c r="O139" s="336">
        <f t="shared" si="30"/>
        <v>0</v>
      </c>
      <c r="P139" s="336">
        <f t="shared" si="30"/>
        <v>0</v>
      </c>
      <c r="Q139" s="336">
        <f t="shared" si="30"/>
        <v>0</v>
      </c>
      <c r="R139" s="336">
        <f t="shared" si="30"/>
        <v>0</v>
      </c>
      <c r="S139" s="336">
        <f t="shared" si="30"/>
        <v>0</v>
      </c>
      <c r="T139" s="336">
        <f t="shared" si="30"/>
        <v>0</v>
      </c>
      <c r="U139" s="336">
        <f t="shared" si="30"/>
        <v>0</v>
      </c>
      <c r="V139" s="336">
        <f t="shared" si="30"/>
        <v>0</v>
      </c>
      <c r="W139" s="336">
        <f t="shared" si="30"/>
        <v>0</v>
      </c>
      <c r="X139" s="336">
        <f t="shared" si="30"/>
        <v>0</v>
      </c>
      <c r="Y139" s="336">
        <f t="shared" si="30"/>
        <v>0</v>
      </c>
      <c r="Z139" s="336">
        <f t="shared" si="30"/>
        <v>0</v>
      </c>
      <c r="AA139" s="336">
        <f t="shared" si="30"/>
        <v>0</v>
      </c>
      <c r="AB139" s="336">
        <f t="shared" si="30"/>
        <v>0</v>
      </c>
      <c r="AC139" s="336">
        <f t="shared" si="30"/>
        <v>0</v>
      </c>
      <c r="AD139" s="336">
        <f t="shared" si="30"/>
        <v>0</v>
      </c>
      <c r="AE139" s="336">
        <f t="shared" si="30"/>
        <v>0</v>
      </c>
      <c r="AF139" s="336">
        <f t="shared" si="30"/>
        <v>0</v>
      </c>
      <c r="AG139" s="407">
        <f t="shared" si="29"/>
        <v>0</v>
      </c>
    </row>
    <row r="140">
      <c r="A140" s="98"/>
      <c r="B140" s="135"/>
      <c r="C140" s="135"/>
      <c r="D140" s="135"/>
      <c r="E140" s="135"/>
      <c r="F140" s="135"/>
      <c r="G140" s="135"/>
      <c r="H140" s="135"/>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143"/>
    </row>
    <row r="141">
      <c r="A141" s="408" t="s">
        <v>624</v>
      </c>
      <c r="B141" s="409"/>
      <c r="C141" s="409"/>
      <c r="D141" s="409"/>
      <c r="E141" s="409"/>
      <c r="F141" s="409"/>
      <c r="G141" s="409"/>
      <c r="H141" s="409"/>
      <c r="I141" s="409"/>
      <c r="J141" s="409"/>
      <c r="K141" s="409"/>
      <c r="L141" s="409"/>
      <c r="M141" s="409"/>
      <c r="N141" s="409"/>
      <c r="O141" s="409"/>
      <c r="P141" s="409"/>
      <c r="Q141" s="409"/>
      <c r="R141" s="409"/>
      <c r="S141" s="409"/>
      <c r="T141" s="409"/>
      <c r="U141" s="409"/>
      <c r="V141" s="409"/>
      <c r="W141" s="409"/>
      <c r="X141" s="409"/>
      <c r="Y141" s="409"/>
      <c r="Z141" s="409"/>
      <c r="AA141" s="409"/>
      <c r="AB141" s="409"/>
      <c r="AC141" s="409"/>
      <c r="AD141" s="409"/>
      <c r="AE141" s="409"/>
      <c r="AF141" s="409"/>
      <c r="AG141" s="259"/>
    </row>
    <row r="142" outlineLevel="1">
      <c r="A142" s="410"/>
      <c r="AG142" s="259"/>
    </row>
    <row r="143" outlineLevel="1">
      <c r="A143" s="417" t="s">
        <v>625</v>
      </c>
      <c r="B143" s="427"/>
      <c r="C143" s="427"/>
      <c r="D143" s="427"/>
      <c r="E143" s="427"/>
      <c r="F143" s="427"/>
      <c r="G143" s="427"/>
      <c r="H143" s="427"/>
      <c r="I143" s="428"/>
      <c r="J143" s="428"/>
      <c r="K143" s="428"/>
      <c r="L143" s="428"/>
      <c r="M143" s="428"/>
      <c r="N143" s="428"/>
      <c r="O143" s="428"/>
      <c r="P143" s="428"/>
      <c r="Q143" s="428"/>
      <c r="R143" s="428"/>
      <c r="S143" s="428"/>
      <c r="T143" s="428"/>
      <c r="U143" s="428"/>
      <c r="V143" s="428"/>
      <c r="W143" s="428"/>
      <c r="X143" s="428"/>
      <c r="Y143" s="428"/>
      <c r="Z143" s="428"/>
      <c r="AA143" s="428"/>
      <c r="AB143" s="428"/>
      <c r="AC143" s="428"/>
      <c r="AD143" s="428"/>
      <c r="AE143" s="428"/>
      <c r="AF143" s="428"/>
      <c r="AG143" s="429"/>
    </row>
    <row r="144" outlineLevel="1">
      <c r="A144" s="216" t="s">
        <v>626</v>
      </c>
      <c r="B144" s="343"/>
      <c r="C144" s="343"/>
      <c r="D144" s="343"/>
      <c r="E144" s="343"/>
      <c r="F144" s="343"/>
      <c r="G144" s="343"/>
      <c r="H144" s="343"/>
      <c r="I144" s="343"/>
      <c r="J144" s="343"/>
      <c r="K144" s="343"/>
      <c r="L144" s="343"/>
      <c r="M144" s="343"/>
      <c r="N144" s="343"/>
      <c r="O144" s="343"/>
      <c r="P144" s="343"/>
      <c r="Q144" s="343"/>
      <c r="R144" s="343"/>
      <c r="S144" s="343"/>
      <c r="T144" s="343"/>
      <c r="U144" s="343"/>
      <c r="V144" s="343"/>
      <c r="W144" s="343"/>
      <c r="X144" s="343"/>
      <c r="Y144" s="343"/>
      <c r="Z144" s="343"/>
      <c r="AA144" s="343"/>
      <c r="AB144" s="343"/>
      <c r="AC144" s="343"/>
      <c r="AD144" s="343"/>
      <c r="AE144" s="343"/>
      <c r="AF144" s="343"/>
      <c r="AG144" s="143">
        <f t="shared" ref="AG144:AG149" si="31">SUM(B144:AF144)</f>
        <v>0</v>
      </c>
    </row>
    <row r="145" outlineLevel="1">
      <c r="A145" s="216" t="s">
        <v>627</v>
      </c>
      <c r="B145" s="343"/>
      <c r="C145" s="343"/>
      <c r="D145" s="343"/>
      <c r="E145" s="343"/>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343"/>
      <c r="AB145" s="343"/>
      <c r="AC145" s="343"/>
      <c r="AD145" s="343"/>
      <c r="AE145" s="343"/>
      <c r="AF145" s="343"/>
      <c r="AG145" s="143">
        <f t="shared" si="31"/>
        <v>0</v>
      </c>
    </row>
    <row r="146" outlineLevel="1">
      <c r="A146" s="216" t="s">
        <v>628</v>
      </c>
      <c r="B146" s="405"/>
      <c r="C146" s="405"/>
      <c r="D146" s="405"/>
      <c r="E146" s="405"/>
      <c r="F146" s="405"/>
      <c r="G146" s="405"/>
      <c r="H146" s="405"/>
      <c r="I146" s="405"/>
      <c r="J146" s="405"/>
      <c r="K146" s="405"/>
      <c r="L146" s="405"/>
      <c r="M146" s="405"/>
      <c r="N146" s="405"/>
      <c r="O146" s="343"/>
      <c r="P146" s="343"/>
      <c r="Q146" s="343"/>
      <c r="R146" s="343"/>
      <c r="S146" s="343"/>
      <c r="T146" s="343"/>
      <c r="U146" s="343"/>
      <c r="V146" s="343"/>
      <c r="W146" s="343"/>
      <c r="X146" s="343"/>
      <c r="Y146" s="343"/>
      <c r="Z146" s="343"/>
      <c r="AA146" s="343"/>
      <c r="AB146" s="343"/>
      <c r="AC146" s="343"/>
      <c r="AD146" s="343"/>
      <c r="AE146" s="343"/>
      <c r="AF146" s="343"/>
      <c r="AG146" s="143">
        <f t="shared" si="31"/>
        <v>0</v>
      </c>
    </row>
    <row r="147" outlineLevel="1">
      <c r="A147" s="216" t="s">
        <v>629</v>
      </c>
      <c r="B147" s="405"/>
      <c r="C147" s="405"/>
      <c r="D147" s="405"/>
      <c r="E147" s="405"/>
      <c r="F147" s="405"/>
      <c r="G147" s="405"/>
      <c r="H147" s="405"/>
      <c r="I147" s="405"/>
      <c r="J147" s="405"/>
      <c r="K147" s="405"/>
      <c r="L147" s="405"/>
      <c r="M147" s="405"/>
      <c r="N147" s="405"/>
      <c r="O147" s="343"/>
      <c r="P147" s="343"/>
      <c r="Q147" s="343"/>
      <c r="R147" s="343"/>
      <c r="S147" s="343"/>
      <c r="T147" s="343"/>
      <c r="U147" s="343"/>
      <c r="V147" s="343"/>
      <c r="W147" s="343"/>
      <c r="X147" s="343"/>
      <c r="Y147" s="343"/>
      <c r="Z147" s="343"/>
      <c r="AA147" s="343"/>
      <c r="AB147" s="343"/>
      <c r="AC147" s="343"/>
      <c r="AD147" s="343"/>
      <c r="AE147" s="343"/>
      <c r="AF147" s="343"/>
      <c r="AG147" s="143">
        <f t="shared" si="31"/>
        <v>0</v>
      </c>
    </row>
    <row r="148" outlineLevel="1">
      <c r="A148" s="218" t="s">
        <v>194</v>
      </c>
      <c r="B148" s="370">
        <f t="shared" ref="B148:AF148" si="32">SUM(B144:B145)</f>
        <v>0</v>
      </c>
      <c r="C148" s="370">
        <f t="shared" si="32"/>
        <v>0</v>
      </c>
      <c r="D148" s="370">
        <f t="shared" si="32"/>
        <v>0</v>
      </c>
      <c r="E148" s="370">
        <f t="shared" si="32"/>
        <v>0</v>
      </c>
      <c r="F148" s="370">
        <f t="shared" si="32"/>
        <v>0</v>
      </c>
      <c r="G148" s="370">
        <f t="shared" si="32"/>
        <v>0</v>
      </c>
      <c r="H148" s="370">
        <f t="shared" si="32"/>
        <v>0</v>
      </c>
      <c r="I148" s="370">
        <f t="shared" si="32"/>
        <v>0</v>
      </c>
      <c r="J148" s="370">
        <f t="shared" si="32"/>
        <v>0</v>
      </c>
      <c r="K148" s="370">
        <f t="shared" si="32"/>
        <v>0</v>
      </c>
      <c r="L148" s="370">
        <f t="shared" si="32"/>
        <v>0</v>
      </c>
      <c r="M148" s="370">
        <f t="shared" si="32"/>
        <v>0</v>
      </c>
      <c r="N148" s="370">
        <f t="shared" si="32"/>
        <v>0</v>
      </c>
      <c r="O148" s="370">
        <f t="shared" si="32"/>
        <v>0</v>
      </c>
      <c r="P148" s="370">
        <f t="shared" si="32"/>
        <v>0</v>
      </c>
      <c r="Q148" s="370">
        <f t="shared" si="32"/>
        <v>0</v>
      </c>
      <c r="R148" s="370">
        <f t="shared" si="32"/>
        <v>0</v>
      </c>
      <c r="S148" s="370">
        <f t="shared" si="32"/>
        <v>0</v>
      </c>
      <c r="T148" s="370">
        <f t="shared" si="32"/>
        <v>0</v>
      </c>
      <c r="U148" s="370">
        <f t="shared" si="32"/>
        <v>0</v>
      </c>
      <c r="V148" s="370">
        <f t="shared" si="32"/>
        <v>0</v>
      </c>
      <c r="W148" s="370">
        <f t="shared" si="32"/>
        <v>0</v>
      </c>
      <c r="X148" s="370">
        <f t="shared" si="32"/>
        <v>0</v>
      </c>
      <c r="Y148" s="370">
        <f t="shared" si="32"/>
        <v>0</v>
      </c>
      <c r="Z148" s="370">
        <f t="shared" si="32"/>
        <v>0</v>
      </c>
      <c r="AA148" s="370">
        <f t="shared" si="32"/>
        <v>0</v>
      </c>
      <c r="AB148" s="370">
        <f t="shared" si="32"/>
        <v>0</v>
      </c>
      <c r="AC148" s="370">
        <f t="shared" si="32"/>
        <v>0</v>
      </c>
      <c r="AD148" s="370">
        <f t="shared" si="32"/>
        <v>0</v>
      </c>
      <c r="AE148" s="370">
        <f t="shared" si="32"/>
        <v>0</v>
      </c>
      <c r="AF148" s="370">
        <f t="shared" si="32"/>
        <v>0</v>
      </c>
      <c r="AG148" s="143">
        <f t="shared" si="31"/>
        <v>0</v>
      </c>
    </row>
    <row r="149" outlineLevel="1">
      <c r="A149" s="218" t="s">
        <v>195</v>
      </c>
      <c r="B149" s="370">
        <f t="shared" ref="B149:AF149" si="33">SUM(B146:B147)</f>
        <v>0</v>
      </c>
      <c r="C149" s="370">
        <f t="shared" si="33"/>
        <v>0</v>
      </c>
      <c r="D149" s="370">
        <f t="shared" si="33"/>
        <v>0</v>
      </c>
      <c r="E149" s="370">
        <f t="shared" si="33"/>
        <v>0</v>
      </c>
      <c r="F149" s="370">
        <f t="shared" si="33"/>
        <v>0</v>
      </c>
      <c r="G149" s="370">
        <f t="shared" si="33"/>
        <v>0</v>
      </c>
      <c r="H149" s="370">
        <f t="shared" si="33"/>
        <v>0</v>
      </c>
      <c r="I149" s="370">
        <f t="shared" si="33"/>
        <v>0</v>
      </c>
      <c r="J149" s="370">
        <f t="shared" si="33"/>
        <v>0</v>
      </c>
      <c r="K149" s="370">
        <f t="shared" si="33"/>
        <v>0</v>
      </c>
      <c r="L149" s="370">
        <f t="shared" si="33"/>
        <v>0</v>
      </c>
      <c r="M149" s="370">
        <f t="shared" si="33"/>
        <v>0</v>
      </c>
      <c r="N149" s="370">
        <f t="shared" si="33"/>
        <v>0</v>
      </c>
      <c r="O149" s="370">
        <f t="shared" si="33"/>
        <v>0</v>
      </c>
      <c r="P149" s="370">
        <f t="shared" si="33"/>
        <v>0</v>
      </c>
      <c r="Q149" s="370">
        <f t="shared" si="33"/>
        <v>0</v>
      </c>
      <c r="R149" s="370">
        <f t="shared" si="33"/>
        <v>0</v>
      </c>
      <c r="S149" s="370">
        <f t="shared" si="33"/>
        <v>0</v>
      </c>
      <c r="T149" s="370">
        <f t="shared" si="33"/>
        <v>0</v>
      </c>
      <c r="U149" s="370">
        <f t="shared" si="33"/>
        <v>0</v>
      </c>
      <c r="V149" s="370">
        <f t="shared" si="33"/>
        <v>0</v>
      </c>
      <c r="W149" s="370">
        <f t="shared" si="33"/>
        <v>0</v>
      </c>
      <c r="X149" s="370">
        <f t="shared" si="33"/>
        <v>0</v>
      </c>
      <c r="Y149" s="370">
        <f t="shared" si="33"/>
        <v>0</v>
      </c>
      <c r="Z149" s="370">
        <f t="shared" si="33"/>
        <v>0</v>
      </c>
      <c r="AA149" s="370">
        <f t="shared" si="33"/>
        <v>0</v>
      </c>
      <c r="AB149" s="370">
        <f t="shared" si="33"/>
        <v>0</v>
      </c>
      <c r="AC149" s="370">
        <f t="shared" si="33"/>
        <v>0</v>
      </c>
      <c r="AD149" s="370">
        <f t="shared" si="33"/>
        <v>0</v>
      </c>
      <c r="AE149" s="370">
        <f t="shared" si="33"/>
        <v>0</v>
      </c>
      <c r="AF149" s="370">
        <f t="shared" si="33"/>
        <v>0</v>
      </c>
      <c r="AG149" s="143">
        <f t="shared" si="31"/>
        <v>0</v>
      </c>
    </row>
    <row r="150" outlineLevel="1">
      <c r="A150" s="98"/>
      <c r="B150" s="347"/>
      <c r="C150" s="347"/>
      <c r="D150" s="347"/>
      <c r="E150" s="347"/>
      <c r="F150" s="347"/>
      <c r="G150" s="347"/>
      <c r="H150" s="347"/>
      <c r="I150" s="430"/>
      <c r="J150" s="430"/>
      <c r="K150" s="430"/>
      <c r="L150" s="430"/>
      <c r="M150" s="430"/>
      <c r="N150" s="430"/>
      <c r="O150" s="430"/>
      <c r="P150" s="430"/>
      <c r="Q150" s="430"/>
      <c r="R150" s="430"/>
      <c r="S150" s="430"/>
      <c r="T150" s="430"/>
      <c r="U150" s="430"/>
      <c r="V150" s="430"/>
      <c r="W150" s="430"/>
      <c r="X150" s="430"/>
      <c r="Y150" s="430"/>
      <c r="Z150" s="430"/>
      <c r="AA150" s="430"/>
      <c r="AB150" s="430"/>
      <c r="AC150" s="430"/>
      <c r="AD150" s="430"/>
      <c r="AE150" s="430"/>
      <c r="AF150" s="430"/>
      <c r="AG150" s="143"/>
    </row>
    <row r="151" outlineLevel="1">
      <c r="A151" s="216" t="s">
        <v>197</v>
      </c>
      <c r="B151" s="343"/>
      <c r="C151" s="343"/>
      <c r="D151" s="343"/>
      <c r="E151" s="343"/>
      <c r="F151" s="343"/>
      <c r="G151" s="343"/>
      <c r="H151" s="343"/>
      <c r="I151" s="343"/>
      <c r="J151" s="343"/>
      <c r="K151" s="343"/>
      <c r="L151" s="343"/>
      <c r="M151" s="343"/>
      <c r="N151" s="343"/>
      <c r="O151" s="343"/>
      <c r="P151" s="343"/>
      <c r="Q151" s="343"/>
      <c r="R151" s="343"/>
      <c r="S151" s="343"/>
      <c r="T151" s="343"/>
      <c r="U151" s="343"/>
      <c r="V151" s="343"/>
      <c r="W151" s="343"/>
      <c r="X151" s="343"/>
      <c r="Y151" s="343"/>
      <c r="Z151" s="343"/>
      <c r="AA151" s="343"/>
      <c r="AB151" s="343"/>
      <c r="AC151" s="343"/>
      <c r="AD151" s="343"/>
      <c r="AE151" s="343"/>
      <c r="AF151" s="343"/>
      <c r="AG151" s="143">
        <f t="shared" ref="AG151:AG159" si="34">SUM(B151:AF151)</f>
        <v>0</v>
      </c>
    </row>
    <row r="152" outlineLevel="1">
      <c r="A152" s="216" t="s">
        <v>198</v>
      </c>
      <c r="B152" s="343"/>
      <c r="C152" s="343"/>
      <c r="D152" s="343"/>
      <c r="E152" s="343"/>
      <c r="F152" s="343"/>
      <c r="G152" s="343"/>
      <c r="H152" s="343"/>
      <c r="I152" s="343"/>
      <c r="J152" s="343"/>
      <c r="K152" s="343"/>
      <c r="L152" s="343"/>
      <c r="M152" s="343"/>
      <c r="N152" s="343"/>
      <c r="O152" s="343"/>
      <c r="P152" s="343"/>
      <c r="Q152" s="343"/>
      <c r="R152" s="343"/>
      <c r="S152" s="343"/>
      <c r="T152" s="343"/>
      <c r="U152" s="343"/>
      <c r="V152" s="343"/>
      <c r="W152" s="343"/>
      <c r="X152" s="343"/>
      <c r="Y152" s="343"/>
      <c r="Z152" s="343"/>
      <c r="AA152" s="343"/>
      <c r="AB152" s="343"/>
      <c r="AC152" s="343"/>
      <c r="AD152" s="343"/>
      <c r="AE152" s="343"/>
      <c r="AF152" s="343"/>
      <c r="AG152" s="143">
        <f t="shared" si="34"/>
        <v>0</v>
      </c>
    </row>
    <row r="153" outlineLevel="1">
      <c r="A153" s="216" t="s">
        <v>630</v>
      </c>
      <c r="B153" s="343"/>
      <c r="C153" s="343"/>
      <c r="D153" s="343"/>
      <c r="E153" s="343"/>
      <c r="F153" s="343"/>
      <c r="G153" s="343"/>
      <c r="H153" s="343"/>
      <c r="I153" s="343"/>
      <c r="J153" s="343"/>
      <c r="K153" s="343"/>
      <c r="L153" s="343"/>
      <c r="M153" s="343"/>
      <c r="N153" s="343"/>
      <c r="O153" s="343"/>
      <c r="P153" s="343"/>
      <c r="Q153" s="343"/>
      <c r="R153" s="343"/>
      <c r="S153" s="343"/>
      <c r="T153" s="343"/>
      <c r="U153" s="343"/>
      <c r="V153" s="343"/>
      <c r="W153" s="343"/>
      <c r="X153" s="343"/>
      <c r="Y153" s="343"/>
      <c r="Z153" s="343"/>
      <c r="AA153" s="343"/>
      <c r="AB153" s="343"/>
      <c r="AC153" s="343"/>
      <c r="AD153" s="343"/>
      <c r="AE153" s="343"/>
      <c r="AF153" s="343"/>
      <c r="AG153" s="143">
        <f t="shared" si="34"/>
        <v>0</v>
      </c>
    </row>
    <row r="154" outlineLevel="1">
      <c r="A154" s="216" t="s">
        <v>631</v>
      </c>
      <c r="B154" s="343"/>
      <c r="C154" s="343"/>
      <c r="D154" s="343"/>
      <c r="E154" s="343"/>
      <c r="F154" s="343"/>
      <c r="G154" s="343"/>
      <c r="H154" s="343"/>
      <c r="I154" s="343"/>
      <c r="J154" s="343"/>
      <c r="K154" s="343"/>
      <c r="L154" s="343"/>
      <c r="M154" s="343"/>
      <c r="N154" s="343"/>
      <c r="O154" s="343"/>
      <c r="P154" s="343"/>
      <c r="Q154" s="343"/>
      <c r="R154" s="343"/>
      <c r="S154" s="343"/>
      <c r="T154" s="343"/>
      <c r="U154" s="343"/>
      <c r="V154" s="343"/>
      <c r="W154" s="343"/>
      <c r="X154" s="343"/>
      <c r="Y154" s="343"/>
      <c r="Z154" s="343"/>
      <c r="AA154" s="343"/>
      <c r="AB154" s="343"/>
      <c r="AC154" s="343"/>
      <c r="AD154" s="343"/>
      <c r="AE154" s="343"/>
      <c r="AF154" s="343"/>
      <c r="AG154" s="143">
        <f t="shared" si="34"/>
        <v>0</v>
      </c>
    </row>
    <row r="155" outlineLevel="1">
      <c r="A155" s="216" t="s">
        <v>632</v>
      </c>
      <c r="B155" s="343"/>
      <c r="C155" s="343"/>
      <c r="D155" s="343"/>
      <c r="E155" s="343"/>
      <c r="F155" s="343"/>
      <c r="G155" s="343"/>
      <c r="H155" s="343"/>
      <c r="I155" s="343"/>
      <c r="J155" s="343"/>
      <c r="K155" s="343"/>
      <c r="L155" s="343"/>
      <c r="M155" s="343"/>
      <c r="N155" s="343"/>
      <c r="O155" s="343"/>
      <c r="P155" s="343"/>
      <c r="Q155" s="343"/>
      <c r="R155" s="343"/>
      <c r="S155" s="343"/>
      <c r="T155" s="343"/>
      <c r="U155" s="343"/>
      <c r="V155" s="343"/>
      <c r="W155" s="343"/>
      <c r="X155" s="343"/>
      <c r="Y155" s="343"/>
      <c r="Z155" s="343"/>
      <c r="AA155" s="343"/>
      <c r="AB155" s="343"/>
      <c r="AC155" s="343"/>
      <c r="AD155" s="343"/>
      <c r="AE155" s="343"/>
      <c r="AF155" s="343"/>
      <c r="AG155" s="143">
        <f t="shared" si="34"/>
        <v>0</v>
      </c>
    </row>
    <row r="156" outlineLevel="1">
      <c r="A156" s="216" t="s">
        <v>633</v>
      </c>
      <c r="B156" s="343"/>
      <c r="C156" s="343"/>
      <c r="D156" s="343"/>
      <c r="E156" s="343"/>
      <c r="F156" s="343"/>
      <c r="G156" s="343"/>
      <c r="H156" s="343"/>
      <c r="I156" s="343"/>
      <c r="J156" s="343"/>
      <c r="K156" s="343"/>
      <c r="L156" s="343"/>
      <c r="M156" s="343"/>
      <c r="N156" s="343"/>
      <c r="O156" s="343"/>
      <c r="P156" s="343"/>
      <c r="Q156" s="343"/>
      <c r="R156" s="343"/>
      <c r="S156" s="343"/>
      <c r="T156" s="343"/>
      <c r="U156" s="343"/>
      <c r="V156" s="343"/>
      <c r="W156" s="343"/>
      <c r="X156" s="343"/>
      <c r="Y156" s="343"/>
      <c r="Z156" s="343"/>
      <c r="AA156" s="343"/>
      <c r="AB156" s="343"/>
      <c r="AC156" s="343"/>
      <c r="AD156" s="343"/>
      <c r="AE156" s="343"/>
      <c r="AF156" s="343"/>
      <c r="AG156" s="143">
        <f t="shared" si="34"/>
        <v>0</v>
      </c>
    </row>
    <row r="157" outlineLevel="1">
      <c r="A157" s="216" t="s">
        <v>634</v>
      </c>
      <c r="B157" s="343"/>
      <c r="C157" s="343"/>
      <c r="D157" s="343"/>
      <c r="E157" s="343"/>
      <c r="F157" s="343"/>
      <c r="G157" s="343"/>
      <c r="H157" s="343"/>
      <c r="I157" s="343"/>
      <c r="J157" s="343"/>
      <c r="K157" s="343"/>
      <c r="L157" s="343"/>
      <c r="M157" s="343"/>
      <c r="N157" s="343"/>
      <c r="O157" s="343"/>
      <c r="P157" s="343"/>
      <c r="Q157" s="343"/>
      <c r="R157" s="343"/>
      <c r="S157" s="343"/>
      <c r="T157" s="343"/>
      <c r="U157" s="343"/>
      <c r="V157" s="343"/>
      <c r="W157" s="343"/>
      <c r="X157" s="343"/>
      <c r="Y157" s="343"/>
      <c r="Z157" s="343"/>
      <c r="AA157" s="343"/>
      <c r="AB157" s="343"/>
      <c r="AC157" s="343"/>
      <c r="AD157" s="343"/>
      <c r="AE157" s="343"/>
      <c r="AF157" s="343"/>
      <c r="AG157" s="143">
        <f t="shared" si="34"/>
        <v>0</v>
      </c>
    </row>
    <row r="158" outlineLevel="1">
      <c r="A158" s="216" t="s">
        <v>635</v>
      </c>
      <c r="B158" s="343"/>
      <c r="C158" s="343"/>
      <c r="D158" s="343"/>
      <c r="E158" s="343"/>
      <c r="F158" s="343"/>
      <c r="G158" s="343"/>
      <c r="H158" s="343"/>
      <c r="I158" s="343"/>
      <c r="J158" s="343"/>
      <c r="K158" s="343"/>
      <c r="L158" s="343"/>
      <c r="M158" s="343"/>
      <c r="N158" s="343"/>
      <c r="O158" s="343"/>
      <c r="P158" s="343"/>
      <c r="Q158" s="343"/>
      <c r="R158" s="343"/>
      <c r="S158" s="343"/>
      <c r="T158" s="343"/>
      <c r="U158" s="343"/>
      <c r="V158" s="343"/>
      <c r="W158" s="343"/>
      <c r="X158" s="343"/>
      <c r="Y158" s="343"/>
      <c r="Z158" s="343"/>
      <c r="AA158" s="343"/>
      <c r="AB158" s="343"/>
      <c r="AC158" s="343"/>
      <c r="AD158" s="343"/>
      <c r="AE158" s="343"/>
      <c r="AF158" s="343"/>
      <c r="AG158" s="143">
        <f t="shared" si="34"/>
        <v>0</v>
      </c>
    </row>
    <row r="159" outlineLevel="1">
      <c r="A159" s="220" t="s">
        <v>130</v>
      </c>
      <c r="B159" s="370">
        <f t="shared" ref="B159:AF159" si="35">SUM(B151:B158)</f>
        <v>0</v>
      </c>
      <c r="C159" s="370">
        <f t="shared" si="35"/>
        <v>0</v>
      </c>
      <c r="D159" s="370">
        <f t="shared" si="35"/>
        <v>0</v>
      </c>
      <c r="E159" s="370">
        <f t="shared" si="35"/>
        <v>0</v>
      </c>
      <c r="F159" s="370">
        <f t="shared" si="35"/>
        <v>0</v>
      </c>
      <c r="G159" s="370">
        <f t="shared" si="35"/>
        <v>0</v>
      </c>
      <c r="H159" s="370">
        <f t="shared" si="35"/>
        <v>0</v>
      </c>
      <c r="I159" s="370">
        <f t="shared" si="35"/>
        <v>0</v>
      </c>
      <c r="J159" s="370">
        <f t="shared" si="35"/>
        <v>0</v>
      </c>
      <c r="K159" s="370">
        <f t="shared" si="35"/>
        <v>0</v>
      </c>
      <c r="L159" s="370">
        <f t="shared" si="35"/>
        <v>0</v>
      </c>
      <c r="M159" s="370">
        <f t="shared" si="35"/>
        <v>0</v>
      </c>
      <c r="N159" s="370">
        <f t="shared" si="35"/>
        <v>0</v>
      </c>
      <c r="O159" s="370">
        <f t="shared" si="35"/>
        <v>0</v>
      </c>
      <c r="P159" s="370">
        <f t="shared" si="35"/>
        <v>0</v>
      </c>
      <c r="Q159" s="370">
        <f t="shared" si="35"/>
        <v>0</v>
      </c>
      <c r="R159" s="370">
        <f t="shared" si="35"/>
        <v>0</v>
      </c>
      <c r="S159" s="370">
        <f t="shared" si="35"/>
        <v>0</v>
      </c>
      <c r="T159" s="370">
        <f t="shared" si="35"/>
        <v>0</v>
      </c>
      <c r="U159" s="370">
        <f t="shared" si="35"/>
        <v>0</v>
      </c>
      <c r="V159" s="370">
        <f t="shared" si="35"/>
        <v>0</v>
      </c>
      <c r="W159" s="370">
        <f t="shared" si="35"/>
        <v>0</v>
      </c>
      <c r="X159" s="370">
        <f t="shared" si="35"/>
        <v>0</v>
      </c>
      <c r="Y159" s="370">
        <f t="shared" si="35"/>
        <v>0</v>
      </c>
      <c r="Z159" s="370">
        <f t="shared" si="35"/>
        <v>0</v>
      </c>
      <c r="AA159" s="370">
        <f t="shared" si="35"/>
        <v>0</v>
      </c>
      <c r="AB159" s="370">
        <f t="shared" si="35"/>
        <v>0</v>
      </c>
      <c r="AC159" s="370">
        <f t="shared" si="35"/>
        <v>0</v>
      </c>
      <c r="AD159" s="370">
        <f t="shared" si="35"/>
        <v>0</v>
      </c>
      <c r="AE159" s="370">
        <f t="shared" si="35"/>
        <v>0</v>
      </c>
      <c r="AF159" s="370">
        <f t="shared" si="35"/>
        <v>0</v>
      </c>
      <c r="AG159" s="143">
        <f t="shared" si="34"/>
        <v>0</v>
      </c>
    </row>
    <row r="160" outlineLevel="1">
      <c r="A160" s="98"/>
      <c r="B160" s="135"/>
      <c r="C160" s="135"/>
      <c r="D160" s="135"/>
      <c r="E160" s="135"/>
      <c r="F160" s="135"/>
      <c r="G160" s="135"/>
      <c r="H160" s="135"/>
      <c r="I160" s="82"/>
      <c r="J160" s="82"/>
      <c r="K160" s="82"/>
      <c r="L160" s="82"/>
      <c r="M160" s="82"/>
      <c r="N160" s="82"/>
      <c r="O160" s="82"/>
      <c r="P160" s="82"/>
      <c r="Q160" s="82"/>
      <c r="R160" s="82"/>
      <c r="S160" s="82"/>
      <c r="T160" s="82"/>
      <c r="U160" s="82"/>
      <c r="V160" s="82"/>
      <c r="W160" s="82"/>
      <c r="X160" s="82"/>
      <c r="Y160" s="82"/>
      <c r="Z160" s="82"/>
      <c r="AA160" s="82"/>
      <c r="AB160" s="82"/>
      <c r="AC160" s="82"/>
      <c r="AD160" s="82"/>
      <c r="AE160" s="82"/>
      <c r="AF160" s="82"/>
      <c r="AG160" s="143"/>
    </row>
    <row r="161" outlineLevel="1">
      <c r="A161" s="147" t="s">
        <v>636</v>
      </c>
      <c r="B161" s="135"/>
      <c r="C161" s="135"/>
      <c r="D161" s="135"/>
      <c r="E161" s="135"/>
      <c r="F161" s="135"/>
      <c r="G161" s="200"/>
      <c r="H161" s="135"/>
      <c r="I161" s="82"/>
      <c r="J161" s="82"/>
      <c r="K161" s="82"/>
      <c r="L161" s="82"/>
      <c r="M161" s="82"/>
      <c r="N161" s="82"/>
      <c r="O161" s="82"/>
      <c r="P161" s="82"/>
      <c r="Q161" s="82"/>
      <c r="R161" s="82"/>
      <c r="S161" s="82"/>
      <c r="T161" s="82"/>
      <c r="U161" s="82"/>
      <c r="V161" s="82"/>
      <c r="W161" s="82"/>
      <c r="X161" s="82"/>
      <c r="Y161" s="82"/>
      <c r="Z161" s="82"/>
      <c r="AA161" s="82"/>
      <c r="AB161" s="82"/>
      <c r="AC161" s="82"/>
      <c r="AD161" s="82"/>
      <c r="AE161" s="82"/>
      <c r="AF161" s="82"/>
      <c r="AG161" s="259"/>
    </row>
    <row r="162" outlineLevel="1">
      <c r="A162" s="216" t="s">
        <v>582</v>
      </c>
      <c r="B162" s="200">
        <v>0.0</v>
      </c>
      <c r="C162" s="200">
        <v>0.0</v>
      </c>
      <c r="D162" s="200">
        <v>0.0</v>
      </c>
      <c r="E162" s="200">
        <v>0.0</v>
      </c>
      <c r="F162" s="200">
        <v>0.0</v>
      </c>
      <c r="G162" s="200">
        <v>0.0</v>
      </c>
      <c r="H162" s="200">
        <v>0.0</v>
      </c>
      <c r="I162" s="200">
        <v>0.0</v>
      </c>
      <c r="J162" s="200">
        <v>0.0</v>
      </c>
      <c r="K162" s="200">
        <v>0.0</v>
      </c>
      <c r="L162" s="200">
        <v>0.0</v>
      </c>
      <c r="M162" s="200">
        <v>0.0</v>
      </c>
      <c r="N162" s="200">
        <v>0.0</v>
      </c>
      <c r="O162" s="200">
        <v>0.0</v>
      </c>
      <c r="P162" s="200">
        <v>0.0</v>
      </c>
      <c r="Q162" s="200">
        <v>0.0</v>
      </c>
      <c r="R162" s="200"/>
      <c r="S162" s="200"/>
      <c r="T162" s="200"/>
      <c r="U162" s="200"/>
      <c r="V162" s="200"/>
      <c r="W162" s="200"/>
      <c r="X162" s="200"/>
      <c r="Y162" s="200"/>
      <c r="Z162" s="200"/>
      <c r="AA162" s="200"/>
      <c r="AB162" s="200"/>
      <c r="AC162" s="200"/>
      <c r="AD162" s="200"/>
      <c r="AE162" s="200"/>
      <c r="AF162" s="200"/>
      <c r="AG162" s="259"/>
    </row>
    <row r="163" outlineLevel="1">
      <c r="A163" s="216" t="s">
        <v>437</v>
      </c>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259"/>
    </row>
    <row r="164" outlineLevel="1">
      <c r="A164" s="216" t="s">
        <v>583</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259"/>
    </row>
    <row r="165" outlineLevel="1">
      <c r="A165" s="387" t="s">
        <v>584</v>
      </c>
      <c r="B165" s="379">
        <f t="shared" ref="B165:AF165" si="36">SUM(B162:B164)</f>
        <v>0</v>
      </c>
      <c r="C165" s="379">
        <f t="shared" si="36"/>
        <v>0</v>
      </c>
      <c r="D165" s="379">
        <f t="shared" si="36"/>
        <v>0</v>
      </c>
      <c r="E165" s="379">
        <f t="shared" si="36"/>
        <v>0</v>
      </c>
      <c r="F165" s="379">
        <f t="shared" si="36"/>
        <v>0</v>
      </c>
      <c r="G165" s="379">
        <f t="shared" si="36"/>
        <v>0</v>
      </c>
      <c r="H165" s="379">
        <f t="shared" si="36"/>
        <v>0</v>
      </c>
      <c r="I165" s="379">
        <f t="shared" si="36"/>
        <v>0</v>
      </c>
      <c r="J165" s="379">
        <f t="shared" si="36"/>
        <v>0</v>
      </c>
      <c r="K165" s="379">
        <f t="shared" si="36"/>
        <v>0</v>
      </c>
      <c r="L165" s="379">
        <f t="shared" si="36"/>
        <v>0</v>
      </c>
      <c r="M165" s="379">
        <f t="shared" si="36"/>
        <v>0</v>
      </c>
      <c r="N165" s="379">
        <f t="shared" si="36"/>
        <v>0</v>
      </c>
      <c r="O165" s="379">
        <f t="shared" si="36"/>
        <v>0</v>
      </c>
      <c r="P165" s="379">
        <f t="shared" si="36"/>
        <v>0</v>
      </c>
      <c r="Q165" s="379">
        <f t="shared" si="36"/>
        <v>0</v>
      </c>
      <c r="R165" s="379">
        <f t="shared" si="36"/>
        <v>0</v>
      </c>
      <c r="S165" s="379">
        <f t="shared" si="36"/>
        <v>0</v>
      </c>
      <c r="T165" s="379">
        <f t="shared" si="36"/>
        <v>0</v>
      </c>
      <c r="U165" s="379">
        <f t="shared" si="36"/>
        <v>0</v>
      </c>
      <c r="V165" s="379">
        <f t="shared" si="36"/>
        <v>0</v>
      </c>
      <c r="W165" s="379">
        <f t="shared" si="36"/>
        <v>0</v>
      </c>
      <c r="X165" s="379">
        <f t="shared" si="36"/>
        <v>0</v>
      </c>
      <c r="Y165" s="379">
        <f t="shared" si="36"/>
        <v>0</v>
      </c>
      <c r="Z165" s="379">
        <f t="shared" si="36"/>
        <v>0</v>
      </c>
      <c r="AA165" s="379">
        <f t="shared" si="36"/>
        <v>0</v>
      </c>
      <c r="AB165" s="379">
        <f t="shared" si="36"/>
        <v>0</v>
      </c>
      <c r="AC165" s="379">
        <f t="shared" si="36"/>
        <v>0</v>
      </c>
      <c r="AD165" s="379">
        <f t="shared" si="36"/>
        <v>0</v>
      </c>
      <c r="AE165" s="379">
        <f t="shared" si="36"/>
        <v>0</v>
      </c>
      <c r="AF165" s="379">
        <f t="shared" si="36"/>
        <v>0</v>
      </c>
      <c r="AG165" s="143"/>
    </row>
    <row r="166" outlineLevel="1">
      <c r="A166" s="98"/>
      <c r="B166" s="135"/>
      <c r="C166" s="135"/>
      <c r="D166" s="135"/>
      <c r="E166" s="135"/>
      <c r="F166" s="135"/>
      <c r="G166" s="135"/>
      <c r="H166" s="135"/>
      <c r="I166" s="82"/>
      <c r="J166" s="82"/>
      <c r="K166" s="82"/>
      <c r="L166" s="82"/>
      <c r="M166" s="82"/>
      <c r="N166" s="82"/>
      <c r="O166" s="82"/>
      <c r="P166" s="82"/>
      <c r="Q166" s="82"/>
      <c r="R166" s="82"/>
      <c r="S166" s="82"/>
      <c r="T166" s="82"/>
      <c r="U166" s="82"/>
      <c r="V166" s="82"/>
      <c r="W166" s="82"/>
      <c r="X166" s="82"/>
      <c r="Y166" s="82"/>
      <c r="Z166" s="82"/>
      <c r="AA166" s="82"/>
      <c r="AB166" s="82"/>
      <c r="AC166" s="82"/>
      <c r="AD166" s="82"/>
      <c r="AE166" s="82"/>
      <c r="AF166" s="82"/>
      <c r="AG166" s="143"/>
    </row>
    <row r="167" outlineLevel="1">
      <c r="A167" s="431" t="s">
        <v>260</v>
      </c>
      <c r="B167" s="432"/>
      <c r="C167" s="432"/>
      <c r="D167" s="432"/>
      <c r="E167" s="432"/>
      <c r="F167" s="432"/>
      <c r="G167" s="432"/>
      <c r="H167" s="432"/>
      <c r="I167" s="432"/>
      <c r="J167" s="432"/>
      <c r="K167" s="432"/>
      <c r="L167" s="432"/>
      <c r="M167" s="432"/>
      <c r="N167" s="432"/>
      <c r="O167" s="432"/>
      <c r="P167" s="432"/>
      <c r="Q167" s="432"/>
      <c r="R167" s="432"/>
      <c r="S167" s="432"/>
      <c r="T167" s="432"/>
      <c r="U167" s="432"/>
      <c r="V167" s="432"/>
      <c r="W167" s="432"/>
      <c r="X167" s="432"/>
      <c r="Y167" s="432"/>
      <c r="Z167" s="432"/>
      <c r="AA167" s="432"/>
      <c r="AB167" s="432"/>
      <c r="AC167" s="432"/>
      <c r="AD167" s="432"/>
      <c r="AE167" s="432"/>
      <c r="AF167" s="432"/>
      <c r="AG167" s="143"/>
    </row>
    <row r="168" outlineLevel="1">
      <c r="A168" s="413" t="s">
        <v>261</v>
      </c>
      <c r="B168" s="414"/>
      <c r="C168" s="414"/>
      <c r="D168" s="414"/>
      <c r="E168" s="414"/>
      <c r="F168" s="414"/>
      <c r="G168" s="414"/>
      <c r="H168" s="414"/>
      <c r="I168" s="414"/>
      <c r="J168" s="414"/>
      <c r="K168" s="414"/>
      <c r="L168" s="414"/>
      <c r="M168" s="414"/>
      <c r="N168" s="414"/>
      <c r="O168" s="414"/>
      <c r="P168" s="414"/>
      <c r="Q168" s="414"/>
      <c r="R168" s="414"/>
      <c r="S168" s="414"/>
      <c r="T168" s="414"/>
      <c r="U168" s="414"/>
      <c r="V168" s="414"/>
      <c r="W168" s="414"/>
      <c r="X168" s="414"/>
      <c r="Y168" s="414"/>
      <c r="Z168" s="414"/>
      <c r="AA168" s="414"/>
      <c r="AB168" s="414"/>
      <c r="AC168" s="414"/>
      <c r="AD168" s="414"/>
      <c r="AE168" s="414"/>
      <c r="AF168" s="414"/>
      <c r="AG168" s="143"/>
    </row>
    <row r="169" outlineLevel="1">
      <c r="A169" s="415" t="s">
        <v>585</v>
      </c>
      <c r="B169" s="416">
        <f t="shared" ref="B169:AF169" si="37">sum(B167:B168)</f>
        <v>0</v>
      </c>
      <c r="C169" s="416">
        <f t="shared" si="37"/>
        <v>0</v>
      </c>
      <c r="D169" s="416">
        <f t="shared" si="37"/>
        <v>0</v>
      </c>
      <c r="E169" s="416">
        <f t="shared" si="37"/>
        <v>0</v>
      </c>
      <c r="F169" s="416">
        <f t="shared" si="37"/>
        <v>0</v>
      </c>
      <c r="G169" s="416">
        <f t="shared" si="37"/>
        <v>0</v>
      </c>
      <c r="H169" s="416">
        <f t="shared" si="37"/>
        <v>0</v>
      </c>
      <c r="I169" s="416">
        <f t="shared" si="37"/>
        <v>0</v>
      </c>
      <c r="J169" s="416">
        <f t="shared" si="37"/>
        <v>0</v>
      </c>
      <c r="K169" s="416">
        <f t="shared" si="37"/>
        <v>0</v>
      </c>
      <c r="L169" s="416">
        <f t="shared" si="37"/>
        <v>0</v>
      </c>
      <c r="M169" s="416">
        <f t="shared" si="37"/>
        <v>0</v>
      </c>
      <c r="N169" s="416">
        <f t="shared" si="37"/>
        <v>0</v>
      </c>
      <c r="O169" s="416">
        <f t="shared" si="37"/>
        <v>0</v>
      </c>
      <c r="P169" s="416">
        <f t="shared" si="37"/>
        <v>0</v>
      </c>
      <c r="Q169" s="416">
        <f t="shared" si="37"/>
        <v>0</v>
      </c>
      <c r="R169" s="416">
        <f t="shared" si="37"/>
        <v>0</v>
      </c>
      <c r="S169" s="416">
        <f t="shared" si="37"/>
        <v>0</v>
      </c>
      <c r="T169" s="416">
        <f t="shared" si="37"/>
        <v>0</v>
      </c>
      <c r="U169" s="416">
        <f t="shared" si="37"/>
        <v>0</v>
      </c>
      <c r="V169" s="416">
        <f t="shared" si="37"/>
        <v>0</v>
      </c>
      <c r="W169" s="416">
        <f t="shared" si="37"/>
        <v>0</v>
      </c>
      <c r="X169" s="416">
        <f t="shared" si="37"/>
        <v>0</v>
      </c>
      <c r="Y169" s="416">
        <f t="shared" si="37"/>
        <v>0</v>
      </c>
      <c r="Z169" s="416">
        <f t="shared" si="37"/>
        <v>0</v>
      </c>
      <c r="AA169" s="416">
        <f t="shared" si="37"/>
        <v>0</v>
      </c>
      <c r="AB169" s="416">
        <f t="shared" si="37"/>
        <v>0</v>
      </c>
      <c r="AC169" s="416">
        <f t="shared" si="37"/>
        <v>0</v>
      </c>
      <c r="AD169" s="416">
        <f t="shared" si="37"/>
        <v>0</v>
      </c>
      <c r="AE169" s="416">
        <f t="shared" si="37"/>
        <v>0</v>
      </c>
      <c r="AF169" s="416">
        <f t="shared" si="37"/>
        <v>0</v>
      </c>
      <c r="AG169" s="143"/>
    </row>
    <row r="170" outlineLevel="1">
      <c r="A170" s="98"/>
      <c r="B170" s="135"/>
      <c r="C170" s="135"/>
      <c r="D170" s="135"/>
      <c r="E170" s="135"/>
      <c r="F170" s="135"/>
      <c r="G170" s="135"/>
      <c r="H170" s="135"/>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82"/>
      <c r="AG170" s="143"/>
    </row>
    <row r="171" outlineLevel="1">
      <c r="A171" s="417" t="s">
        <v>637</v>
      </c>
      <c r="B171" s="418"/>
      <c r="C171" s="418"/>
      <c r="D171" s="418"/>
      <c r="E171" s="418"/>
      <c r="F171" s="418"/>
      <c r="G171" s="418"/>
      <c r="H171" s="418"/>
      <c r="I171" s="418"/>
      <c r="J171" s="418"/>
      <c r="K171" s="418"/>
      <c r="L171" s="418"/>
      <c r="M171" s="418"/>
      <c r="N171" s="418"/>
      <c r="O171" s="418"/>
      <c r="P171" s="418"/>
      <c r="Q171" s="418"/>
      <c r="R171" s="418"/>
      <c r="S171" s="418"/>
      <c r="T171" s="419"/>
      <c r="U171" s="419"/>
      <c r="V171" s="419"/>
      <c r="W171" s="419"/>
      <c r="X171" s="419"/>
      <c r="Y171" s="419"/>
      <c r="Z171" s="419"/>
      <c r="AA171" s="419"/>
      <c r="AB171" s="419"/>
      <c r="AC171" s="419"/>
      <c r="AD171" s="419"/>
      <c r="AE171" s="419"/>
      <c r="AF171" s="419"/>
      <c r="AG171" s="429"/>
    </row>
    <row r="172" outlineLevel="1">
      <c r="A172" s="216" t="s">
        <v>638</v>
      </c>
      <c r="B172" s="433"/>
      <c r="C172" s="433"/>
      <c r="D172" s="433"/>
      <c r="E172" s="433"/>
      <c r="F172" s="433"/>
      <c r="G172" s="433"/>
      <c r="H172" s="433"/>
      <c r="I172" s="433"/>
      <c r="J172" s="433"/>
      <c r="K172" s="433"/>
      <c r="L172" s="433"/>
      <c r="M172" s="433"/>
      <c r="N172" s="433"/>
      <c r="O172" s="433"/>
      <c r="P172" s="433"/>
      <c r="Q172" s="433"/>
      <c r="R172" s="433"/>
      <c r="S172" s="433"/>
      <c r="T172" s="433"/>
      <c r="U172" s="433"/>
      <c r="V172" s="433"/>
      <c r="W172" s="433"/>
      <c r="X172" s="433"/>
      <c r="Y172" s="433"/>
      <c r="Z172" s="433"/>
      <c r="AA172" s="433"/>
      <c r="AB172" s="433"/>
      <c r="AC172" s="433"/>
      <c r="AD172" s="433"/>
      <c r="AE172" s="433"/>
      <c r="AF172" s="433"/>
      <c r="AG172" s="143">
        <f t="shared" ref="AG172:AG177" si="38">SUM(B172:AF172)</f>
        <v>0</v>
      </c>
    </row>
    <row r="173" outlineLevel="1">
      <c r="A173" s="216" t="s">
        <v>639</v>
      </c>
      <c r="B173" s="433"/>
      <c r="C173" s="433"/>
      <c r="D173" s="433"/>
      <c r="E173" s="433"/>
      <c r="F173" s="433"/>
      <c r="G173" s="433"/>
      <c r="H173" s="433"/>
      <c r="I173" s="433"/>
      <c r="J173" s="433"/>
      <c r="K173" s="433"/>
      <c r="L173" s="433"/>
      <c r="M173" s="433"/>
      <c r="N173" s="433"/>
      <c r="O173" s="433"/>
      <c r="P173" s="433"/>
      <c r="Q173" s="433"/>
      <c r="R173" s="433"/>
      <c r="S173" s="433"/>
      <c r="T173" s="433"/>
      <c r="U173" s="433"/>
      <c r="V173" s="433"/>
      <c r="W173" s="433"/>
      <c r="X173" s="433"/>
      <c r="Y173" s="433"/>
      <c r="Z173" s="433"/>
      <c r="AA173" s="433"/>
      <c r="AB173" s="433"/>
      <c r="AC173" s="433"/>
      <c r="AD173" s="433"/>
      <c r="AE173" s="433"/>
      <c r="AF173" s="433"/>
      <c r="AG173" s="143">
        <f t="shared" si="38"/>
        <v>0</v>
      </c>
    </row>
    <row r="174" outlineLevel="1">
      <c r="A174" s="216" t="s">
        <v>640</v>
      </c>
      <c r="B174" s="433"/>
      <c r="C174" s="433"/>
      <c r="D174" s="433"/>
      <c r="E174" s="433"/>
      <c r="F174" s="433"/>
      <c r="G174" s="433"/>
      <c r="H174" s="433"/>
      <c r="I174" s="433"/>
      <c r="J174" s="433"/>
      <c r="K174" s="433"/>
      <c r="L174" s="433"/>
      <c r="M174" s="433"/>
      <c r="N174" s="433"/>
      <c r="O174" s="433"/>
      <c r="P174" s="433"/>
      <c r="Q174" s="433"/>
      <c r="R174" s="433"/>
      <c r="S174" s="433"/>
      <c r="T174" s="433"/>
      <c r="U174" s="433"/>
      <c r="V174" s="433"/>
      <c r="W174" s="433"/>
      <c r="X174" s="433"/>
      <c r="Y174" s="433"/>
      <c r="Z174" s="433"/>
      <c r="AA174" s="433"/>
      <c r="AB174" s="433"/>
      <c r="AC174" s="433"/>
      <c r="AD174" s="433"/>
      <c r="AE174" s="433"/>
      <c r="AF174" s="433"/>
      <c r="AG174" s="143">
        <f t="shared" si="38"/>
        <v>0</v>
      </c>
    </row>
    <row r="175" outlineLevel="1">
      <c r="A175" s="216" t="s">
        <v>641</v>
      </c>
      <c r="B175" s="433"/>
      <c r="C175" s="433"/>
      <c r="D175" s="433"/>
      <c r="E175" s="433"/>
      <c r="F175" s="433"/>
      <c r="G175" s="433"/>
      <c r="H175" s="433"/>
      <c r="I175" s="433"/>
      <c r="J175" s="433"/>
      <c r="K175" s="433"/>
      <c r="L175" s="433"/>
      <c r="M175" s="433"/>
      <c r="N175" s="433"/>
      <c r="O175" s="433"/>
      <c r="P175" s="433"/>
      <c r="Q175" s="433"/>
      <c r="R175" s="433"/>
      <c r="S175" s="433"/>
      <c r="T175" s="433"/>
      <c r="U175" s="433"/>
      <c r="V175" s="433"/>
      <c r="W175" s="433"/>
      <c r="X175" s="433"/>
      <c r="Y175" s="433"/>
      <c r="Z175" s="433"/>
      <c r="AA175" s="433"/>
      <c r="AB175" s="433"/>
      <c r="AC175" s="433"/>
      <c r="AD175" s="433"/>
      <c r="AE175" s="433"/>
      <c r="AF175" s="433"/>
      <c r="AG175" s="143">
        <f t="shared" si="38"/>
        <v>0</v>
      </c>
    </row>
    <row r="176" outlineLevel="1">
      <c r="A176" s="218" t="s">
        <v>194</v>
      </c>
      <c r="B176" s="370">
        <f t="shared" ref="B176:AF176" si="39">SUM(B172:B173)</f>
        <v>0</v>
      </c>
      <c r="C176" s="370">
        <f t="shared" si="39"/>
        <v>0</v>
      </c>
      <c r="D176" s="370">
        <f t="shared" si="39"/>
        <v>0</v>
      </c>
      <c r="E176" s="370">
        <f t="shared" si="39"/>
        <v>0</v>
      </c>
      <c r="F176" s="370">
        <f t="shared" si="39"/>
        <v>0</v>
      </c>
      <c r="G176" s="370">
        <f t="shared" si="39"/>
        <v>0</v>
      </c>
      <c r="H176" s="370">
        <f t="shared" si="39"/>
        <v>0</v>
      </c>
      <c r="I176" s="370">
        <f t="shared" si="39"/>
        <v>0</v>
      </c>
      <c r="J176" s="370">
        <f t="shared" si="39"/>
        <v>0</v>
      </c>
      <c r="K176" s="370">
        <f t="shared" si="39"/>
        <v>0</v>
      </c>
      <c r="L176" s="370">
        <f t="shared" si="39"/>
        <v>0</v>
      </c>
      <c r="M176" s="370">
        <f t="shared" si="39"/>
        <v>0</v>
      </c>
      <c r="N176" s="370">
        <f t="shared" si="39"/>
        <v>0</v>
      </c>
      <c r="O176" s="370">
        <f t="shared" si="39"/>
        <v>0</v>
      </c>
      <c r="P176" s="370">
        <f t="shared" si="39"/>
        <v>0</v>
      </c>
      <c r="Q176" s="370">
        <f t="shared" si="39"/>
        <v>0</v>
      </c>
      <c r="R176" s="370">
        <f t="shared" si="39"/>
        <v>0</v>
      </c>
      <c r="S176" s="370">
        <f t="shared" si="39"/>
        <v>0</v>
      </c>
      <c r="T176" s="370">
        <f t="shared" si="39"/>
        <v>0</v>
      </c>
      <c r="U176" s="370">
        <f t="shared" si="39"/>
        <v>0</v>
      </c>
      <c r="V176" s="370">
        <f t="shared" si="39"/>
        <v>0</v>
      </c>
      <c r="W176" s="370">
        <f t="shared" si="39"/>
        <v>0</v>
      </c>
      <c r="X176" s="370">
        <f t="shared" si="39"/>
        <v>0</v>
      </c>
      <c r="Y176" s="370">
        <f t="shared" si="39"/>
        <v>0</v>
      </c>
      <c r="Z176" s="370">
        <f t="shared" si="39"/>
        <v>0</v>
      </c>
      <c r="AA176" s="370">
        <f t="shared" si="39"/>
        <v>0</v>
      </c>
      <c r="AB176" s="370">
        <f t="shared" si="39"/>
        <v>0</v>
      </c>
      <c r="AC176" s="370">
        <f t="shared" si="39"/>
        <v>0</v>
      </c>
      <c r="AD176" s="370">
        <f t="shared" si="39"/>
        <v>0</v>
      </c>
      <c r="AE176" s="370">
        <f t="shared" si="39"/>
        <v>0</v>
      </c>
      <c r="AF176" s="370">
        <f t="shared" si="39"/>
        <v>0</v>
      </c>
      <c r="AG176" s="143">
        <f t="shared" si="38"/>
        <v>0</v>
      </c>
    </row>
    <row r="177" outlineLevel="1">
      <c r="A177" s="218" t="s">
        <v>195</v>
      </c>
      <c r="B177" s="370">
        <f t="shared" ref="B177:AF177" si="40">SUM(B174:B175)</f>
        <v>0</v>
      </c>
      <c r="C177" s="370">
        <f t="shared" si="40"/>
        <v>0</v>
      </c>
      <c r="D177" s="370">
        <f t="shared" si="40"/>
        <v>0</v>
      </c>
      <c r="E177" s="370">
        <f t="shared" si="40"/>
        <v>0</v>
      </c>
      <c r="F177" s="370">
        <f t="shared" si="40"/>
        <v>0</v>
      </c>
      <c r="G177" s="370">
        <f t="shared" si="40"/>
        <v>0</v>
      </c>
      <c r="H177" s="370">
        <f t="shared" si="40"/>
        <v>0</v>
      </c>
      <c r="I177" s="370">
        <f t="shared" si="40"/>
        <v>0</v>
      </c>
      <c r="J177" s="370">
        <f t="shared" si="40"/>
        <v>0</v>
      </c>
      <c r="K177" s="370">
        <f t="shared" si="40"/>
        <v>0</v>
      </c>
      <c r="L177" s="370">
        <f t="shared" si="40"/>
        <v>0</v>
      </c>
      <c r="M177" s="370">
        <f t="shared" si="40"/>
        <v>0</v>
      </c>
      <c r="N177" s="370">
        <f t="shared" si="40"/>
        <v>0</v>
      </c>
      <c r="O177" s="370">
        <f t="shared" si="40"/>
        <v>0</v>
      </c>
      <c r="P177" s="370">
        <f t="shared" si="40"/>
        <v>0</v>
      </c>
      <c r="Q177" s="370">
        <f t="shared" si="40"/>
        <v>0</v>
      </c>
      <c r="R177" s="370">
        <f t="shared" si="40"/>
        <v>0</v>
      </c>
      <c r="S177" s="370">
        <f t="shared" si="40"/>
        <v>0</v>
      </c>
      <c r="T177" s="370">
        <f t="shared" si="40"/>
        <v>0</v>
      </c>
      <c r="U177" s="370">
        <f t="shared" si="40"/>
        <v>0</v>
      </c>
      <c r="V177" s="370">
        <f t="shared" si="40"/>
        <v>0</v>
      </c>
      <c r="W177" s="370">
        <f t="shared" si="40"/>
        <v>0</v>
      </c>
      <c r="X177" s="370">
        <f t="shared" si="40"/>
        <v>0</v>
      </c>
      <c r="Y177" s="370">
        <f t="shared" si="40"/>
        <v>0</v>
      </c>
      <c r="Z177" s="370">
        <f t="shared" si="40"/>
        <v>0</v>
      </c>
      <c r="AA177" s="370">
        <f t="shared" si="40"/>
        <v>0</v>
      </c>
      <c r="AB177" s="370">
        <f t="shared" si="40"/>
        <v>0</v>
      </c>
      <c r="AC177" s="370">
        <f t="shared" si="40"/>
        <v>0</v>
      </c>
      <c r="AD177" s="370">
        <f t="shared" si="40"/>
        <v>0</v>
      </c>
      <c r="AE177" s="370">
        <f t="shared" si="40"/>
        <v>0</v>
      </c>
      <c r="AF177" s="370">
        <f t="shared" si="40"/>
        <v>0</v>
      </c>
      <c r="AG177" s="143">
        <f t="shared" si="38"/>
        <v>0</v>
      </c>
    </row>
    <row r="178" outlineLevel="1">
      <c r="A178" s="98"/>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c r="AE178" s="187"/>
      <c r="AF178" s="187"/>
      <c r="AG178" s="209"/>
    </row>
    <row r="179" outlineLevel="1">
      <c r="A179" s="216" t="s">
        <v>197</v>
      </c>
      <c r="B179" s="433"/>
      <c r="C179" s="433"/>
      <c r="D179" s="433"/>
      <c r="E179" s="433"/>
      <c r="F179" s="433"/>
      <c r="G179" s="433"/>
      <c r="H179" s="433"/>
      <c r="I179" s="433"/>
      <c r="J179" s="433"/>
      <c r="K179" s="433"/>
      <c r="L179" s="433"/>
      <c r="M179" s="433"/>
      <c r="N179" s="433"/>
      <c r="O179" s="433"/>
      <c r="P179" s="433"/>
      <c r="Q179" s="433"/>
      <c r="R179" s="433"/>
      <c r="S179" s="433"/>
      <c r="T179" s="433"/>
      <c r="U179" s="433"/>
      <c r="V179" s="433"/>
      <c r="W179" s="433"/>
      <c r="X179" s="433"/>
      <c r="Y179" s="433"/>
      <c r="Z179" s="433"/>
      <c r="AA179" s="433"/>
      <c r="AB179" s="433"/>
      <c r="AC179" s="433"/>
      <c r="AD179" s="433"/>
      <c r="AE179" s="433"/>
      <c r="AF179" s="433"/>
      <c r="AG179" s="143">
        <f t="shared" ref="AG179:AG187" si="41">SUM(B179:AF179)</f>
        <v>0</v>
      </c>
    </row>
    <row r="180" outlineLevel="1">
      <c r="A180" s="216" t="s">
        <v>198</v>
      </c>
      <c r="B180" s="433"/>
      <c r="C180" s="433"/>
      <c r="D180" s="433"/>
      <c r="E180" s="433"/>
      <c r="F180" s="433"/>
      <c r="G180" s="433"/>
      <c r="H180" s="433"/>
      <c r="I180" s="433"/>
      <c r="J180" s="433"/>
      <c r="K180" s="433"/>
      <c r="L180" s="433"/>
      <c r="M180" s="433"/>
      <c r="N180" s="433"/>
      <c r="O180" s="433"/>
      <c r="P180" s="433"/>
      <c r="Q180" s="433"/>
      <c r="R180" s="433"/>
      <c r="S180" s="433"/>
      <c r="T180" s="433"/>
      <c r="U180" s="433"/>
      <c r="V180" s="433"/>
      <c r="W180" s="433"/>
      <c r="X180" s="433"/>
      <c r="Y180" s="433"/>
      <c r="Z180" s="433"/>
      <c r="AA180" s="433"/>
      <c r="AB180" s="433"/>
      <c r="AC180" s="433"/>
      <c r="AD180" s="433"/>
      <c r="AE180" s="433"/>
      <c r="AF180" s="433"/>
      <c r="AG180" s="143">
        <f t="shared" si="41"/>
        <v>0</v>
      </c>
    </row>
    <row r="181" outlineLevel="1">
      <c r="A181" s="216" t="s">
        <v>642</v>
      </c>
      <c r="B181" s="433"/>
      <c r="C181" s="433"/>
      <c r="D181" s="433"/>
      <c r="E181" s="433"/>
      <c r="F181" s="433"/>
      <c r="G181" s="433"/>
      <c r="H181" s="433"/>
      <c r="I181" s="433"/>
      <c r="J181" s="433"/>
      <c r="K181" s="433"/>
      <c r="L181" s="433"/>
      <c r="M181" s="433"/>
      <c r="N181" s="433"/>
      <c r="O181" s="433"/>
      <c r="P181" s="433"/>
      <c r="Q181" s="433"/>
      <c r="R181" s="433"/>
      <c r="S181" s="433"/>
      <c r="T181" s="433"/>
      <c r="U181" s="433"/>
      <c r="V181" s="433"/>
      <c r="W181" s="433"/>
      <c r="X181" s="433"/>
      <c r="Y181" s="433"/>
      <c r="Z181" s="433"/>
      <c r="AA181" s="433"/>
      <c r="AB181" s="433"/>
      <c r="AC181" s="433"/>
      <c r="AD181" s="433"/>
      <c r="AE181" s="433"/>
      <c r="AF181" s="433"/>
      <c r="AG181" s="143">
        <f t="shared" si="41"/>
        <v>0</v>
      </c>
    </row>
    <row r="182" outlineLevel="1">
      <c r="A182" s="216" t="s">
        <v>643</v>
      </c>
      <c r="B182" s="433"/>
      <c r="C182" s="433"/>
      <c r="D182" s="433"/>
      <c r="E182" s="433"/>
      <c r="F182" s="433"/>
      <c r="G182" s="433"/>
      <c r="H182" s="433"/>
      <c r="I182" s="433"/>
      <c r="J182" s="433"/>
      <c r="K182" s="433"/>
      <c r="L182" s="433"/>
      <c r="M182" s="433"/>
      <c r="N182" s="433"/>
      <c r="O182" s="433"/>
      <c r="P182" s="433"/>
      <c r="Q182" s="433"/>
      <c r="R182" s="433"/>
      <c r="S182" s="433"/>
      <c r="T182" s="433"/>
      <c r="U182" s="433"/>
      <c r="V182" s="433"/>
      <c r="W182" s="433"/>
      <c r="X182" s="433"/>
      <c r="Y182" s="433"/>
      <c r="Z182" s="433"/>
      <c r="AA182" s="433"/>
      <c r="AB182" s="433"/>
      <c r="AC182" s="433"/>
      <c r="AD182" s="433"/>
      <c r="AE182" s="433"/>
      <c r="AF182" s="433"/>
      <c r="AG182" s="143">
        <f t="shared" si="41"/>
        <v>0</v>
      </c>
    </row>
    <row r="183" outlineLevel="1">
      <c r="A183" s="216" t="s">
        <v>644</v>
      </c>
      <c r="B183" s="433"/>
      <c r="C183" s="433"/>
      <c r="D183" s="433"/>
      <c r="E183" s="433"/>
      <c r="F183" s="433"/>
      <c r="G183" s="433"/>
      <c r="H183" s="433"/>
      <c r="I183" s="433"/>
      <c r="J183" s="433"/>
      <c r="K183" s="433"/>
      <c r="L183" s="433"/>
      <c r="M183" s="433"/>
      <c r="N183" s="433"/>
      <c r="O183" s="433"/>
      <c r="P183" s="433"/>
      <c r="Q183" s="433"/>
      <c r="R183" s="433"/>
      <c r="S183" s="433"/>
      <c r="T183" s="433"/>
      <c r="U183" s="433"/>
      <c r="V183" s="433"/>
      <c r="W183" s="433"/>
      <c r="X183" s="433"/>
      <c r="Y183" s="433"/>
      <c r="Z183" s="433"/>
      <c r="AA183" s="433"/>
      <c r="AB183" s="433"/>
      <c r="AC183" s="433"/>
      <c r="AD183" s="433"/>
      <c r="AE183" s="433"/>
      <c r="AF183" s="433"/>
      <c r="AG183" s="143">
        <f t="shared" si="41"/>
        <v>0</v>
      </c>
    </row>
    <row r="184" outlineLevel="1">
      <c r="A184" s="216" t="s">
        <v>645</v>
      </c>
      <c r="B184" s="433"/>
      <c r="C184" s="433"/>
      <c r="D184" s="433"/>
      <c r="E184" s="433"/>
      <c r="F184" s="433"/>
      <c r="G184" s="433"/>
      <c r="H184" s="433"/>
      <c r="I184" s="433"/>
      <c r="J184" s="433"/>
      <c r="K184" s="433"/>
      <c r="L184" s="433"/>
      <c r="M184" s="433"/>
      <c r="N184" s="433"/>
      <c r="O184" s="433"/>
      <c r="P184" s="433"/>
      <c r="Q184" s="433"/>
      <c r="R184" s="433"/>
      <c r="S184" s="433"/>
      <c r="T184" s="433"/>
      <c r="U184" s="433"/>
      <c r="V184" s="433"/>
      <c r="W184" s="433"/>
      <c r="X184" s="433"/>
      <c r="Y184" s="433"/>
      <c r="Z184" s="433"/>
      <c r="AA184" s="433"/>
      <c r="AB184" s="433"/>
      <c r="AC184" s="433"/>
      <c r="AD184" s="433"/>
      <c r="AE184" s="433"/>
      <c r="AF184" s="433"/>
      <c r="AG184" s="143">
        <f t="shared" si="41"/>
        <v>0</v>
      </c>
    </row>
    <row r="185" outlineLevel="1">
      <c r="A185" s="216" t="s">
        <v>646</v>
      </c>
      <c r="B185" s="433"/>
      <c r="C185" s="433"/>
      <c r="D185" s="433"/>
      <c r="E185" s="433"/>
      <c r="F185" s="433"/>
      <c r="G185" s="433"/>
      <c r="H185" s="433"/>
      <c r="I185" s="433"/>
      <c r="J185" s="433"/>
      <c r="K185" s="433"/>
      <c r="L185" s="433"/>
      <c r="M185" s="433"/>
      <c r="N185" s="433"/>
      <c r="O185" s="433"/>
      <c r="P185" s="433"/>
      <c r="Q185" s="433"/>
      <c r="R185" s="433"/>
      <c r="S185" s="433"/>
      <c r="T185" s="433"/>
      <c r="U185" s="433"/>
      <c r="V185" s="433"/>
      <c r="W185" s="433"/>
      <c r="X185" s="433"/>
      <c r="Y185" s="433"/>
      <c r="Z185" s="433"/>
      <c r="AA185" s="433"/>
      <c r="AB185" s="433"/>
      <c r="AC185" s="433"/>
      <c r="AD185" s="433"/>
      <c r="AE185" s="433"/>
      <c r="AF185" s="433"/>
      <c r="AG185" s="143">
        <f t="shared" si="41"/>
        <v>0</v>
      </c>
    </row>
    <row r="186" outlineLevel="1">
      <c r="A186" s="216" t="s">
        <v>647</v>
      </c>
      <c r="B186" s="433"/>
      <c r="C186" s="433"/>
      <c r="D186" s="433"/>
      <c r="E186" s="433"/>
      <c r="F186" s="433"/>
      <c r="G186" s="433"/>
      <c r="H186" s="433"/>
      <c r="I186" s="433"/>
      <c r="J186" s="433"/>
      <c r="K186" s="433"/>
      <c r="L186" s="433"/>
      <c r="M186" s="433"/>
      <c r="N186" s="433"/>
      <c r="O186" s="433"/>
      <c r="P186" s="433"/>
      <c r="Q186" s="433"/>
      <c r="R186" s="433"/>
      <c r="S186" s="433"/>
      <c r="T186" s="433"/>
      <c r="U186" s="433"/>
      <c r="V186" s="433"/>
      <c r="W186" s="433"/>
      <c r="X186" s="433"/>
      <c r="Y186" s="433"/>
      <c r="Z186" s="433"/>
      <c r="AA186" s="433"/>
      <c r="AB186" s="433"/>
      <c r="AC186" s="433"/>
      <c r="AD186" s="433"/>
      <c r="AE186" s="433"/>
      <c r="AF186" s="433"/>
      <c r="AG186" s="143">
        <f t="shared" si="41"/>
        <v>0</v>
      </c>
    </row>
    <row r="187" outlineLevel="1">
      <c r="A187" s="220" t="s">
        <v>130</v>
      </c>
      <c r="B187" s="370">
        <f t="shared" ref="B187:AF187" si="42">SUM(B179:B186)</f>
        <v>0</v>
      </c>
      <c r="C187" s="370">
        <f t="shared" si="42"/>
        <v>0</v>
      </c>
      <c r="D187" s="370">
        <f t="shared" si="42"/>
        <v>0</v>
      </c>
      <c r="E187" s="370">
        <f t="shared" si="42"/>
        <v>0</v>
      </c>
      <c r="F187" s="370">
        <f t="shared" si="42"/>
        <v>0</v>
      </c>
      <c r="G187" s="370">
        <f t="shared" si="42"/>
        <v>0</v>
      </c>
      <c r="H187" s="370">
        <f t="shared" si="42"/>
        <v>0</v>
      </c>
      <c r="I187" s="370">
        <f t="shared" si="42"/>
        <v>0</v>
      </c>
      <c r="J187" s="370">
        <f t="shared" si="42"/>
        <v>0</v>
      </c>
      <c r="K187" s="370">
        <f t="shared" si="42"/>
        <v>0</v>
      </c>
      <c r="L187" s="370">
        <f t="shared" si="42"/>
        <v>0</v>
      </c>
      <c r="M187" s="370">
        <f t="shared" si="42"/>
        <v>0</v>
      </c>
      <c r="N187" s="370">
        <f t="shared" si="42"/>
        <v>0</v>
      </c>
      <c r="O187" s="370">
        <f t="shared" si="42"/>
        <v>0</v>
      </c>
      <c r="P187" s="370">
        <f t="shared" si="42"/>
        <v>0</v>
      </c>
      <c r="Q187" s="370">
        <f t="shared" si="42"/>
        <v>0</v>
      </c>
      <c r="R187" s="370">
        <f t="shared" si="42"/>
        <v>0</v>
      </c>
      <c r="S187" s="370">
        <f t="shared" si="42"/>
        <v>0</v>
      </c>
      <c r="T187" s="370">
        <f t="shared" si="42"/>
        <v>0</v>
      </c>
      <c r="U187" s="370">
        <f t="shared" si="42"/>
        <v>0</v>
      </c>
      <c r="V187" s="370">
        <f t="shared" si="42"/>
        <v>0</v>
      </c>
      <c r="W187" s="370">
        <f t="shared" si="42"/>
        <v>0</v>
      </c>
      <c r="X187" s="370">
        <f t="shared" si="42"/>
        <v>0</v>
      </c>
      <c r="Y187" s="370">
        <f t="shared" si="42"/>
        <v>0</v>
      </c>
      <c r="Z187" s="370">
        <f t="shared" si="42"/>
        <v>0</v>
      </c>
      <c r="AA187" s="370">
        <f t="shared" si="42"/>
        <v>0</v>
      </c>
      <c r="AB187" s="370">
        <f t="shared" si="42"/>
        <v>0</v>
      </c>
      <c r="AC187" s="370">
        <f t="shared" si="42"/>
        <v>0</v>
      </c>
      <c r="AD187" s="370">
        <f t="shared" si="42"/>
        <v>0</v>
      </c>
      <c r="AE187" s="370">
        <f t="shared" si="42"/>
        <v>0</v>
      </c>
      <c r="AF187" s="370">
        <f t="shared" si="42"/>
        <v>0</v>
      </c>
      <c r="AG187" s="143">
        <f t="shared" si="41"/>
        <v>0</v>
      </c>
    </row>
    <row r="188" outlineLevel="1">
      <c r="A188" s="177"/>
      <c r="AG188" s="259"/>
    </row>
    <row r="189" outlineLevel="1">
      <c r="A189" s="147" t="s">
        <v>648</v>
      </c>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c r="AE189" s="187"/>
      <c r="AF189" s="187"/>
      <c r="AG189" s="143"/>
    </row>
    <row r="190" outlineLevel="1">
      <c r="A190" s="216" t="s">
        <v>582</v>
      </c>
      <c r="B190" s="200">
        <v>0.0</v>
      </c>
      <c r="C190" s="200">
        <v>0.0</v>
      </c>
      <c r="D190" s="200">
        <v>0.0</v>
      </c>
      <c r="E190" s="200">
        <v>0.0</v>
      </c>
      <c r="F190" s="200">
        <v>0.0</v>
      </c>
      <c r="G190" s="200">
        <v>0.0</v>
      </c>
      <c r="H190" s="200">
        <v>0.0</v>
      </c>
      <c r="I190" s="200">
        <v>0.0</v>
      </c>
      <c r="J190" s="200">
        <v>0.0</v>
      </c>
      <c r="K190" s="200">
        <v>0.0</v>
      </c>
      <c r="L190" s="200">
        <v>0.0</v>
      </c>
      <c r="M190" s="200">
        <v>0.0</v>
      </c>
      <c r="N190" s="200">
        <v>0.0</v>
      </c>
      <c r="O190" s="228">
        <v>0.0</v>
      </c>
      <c r="P190" s="228">
        <v>0.0</v>
      </c>
      <c r="Q190" s="228">
        <v>0.0</v>
      </c>
      <c r="R190" s="228"/>
      <c r="S190" s="228"/>
      <c r="T190" s="228"/>
      <c r="U190" s="228"/>
      <c r="V190" s="228"/>
      <c r="W190" s="228"/>
      <c r="X190" s="200"/>
      <c r="Y190" s="228"/>
      <c r="Z190" s="228"/>
      <c r="AA190" s="228"/>
      <c r="AB190" s="228"/>
      <c r="AC190" s="228"/>
      <c r="AD190" s="200"/>
      <c r="AE190" s="228"/>
      <c r="AF190" s="228"/>
      <c r="AG190" s="143"/>
    </row>
    <row r="191" outlineLevel="1">
      <c r="A191" s="216" t="s">
        <v>437</v>
      </c>
      <c r="B191" s="96"/>
      <c r="C191" s="96"/>
      <c r="D191" s="96"/>
      <c r="E191" s="96"/>
      <c r="F191" s="96"/>
      <c r="G191" s="353"/>
      <c r="H191" s="353"/>
      <c r="I191" s="353"/>
      <c r="J191" s="353"/>
      <c r="K191" s="96"/>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143"/>
    </row>
    <row r="192" outlineLevel="1">
      <c r="A192" s="216" t="s">
        <v>583</v>
      </c>
      <c r="B192" s="96"/>
      <c r="C192" s="96"/>
      <c r="D192" s="96"/>
      <c r="E192" s="96"/>
      <c r="F192" s="96"/>
      <c r="G192" s="353"/>
      <c r="H192" s="353"/>
      <c r="I192" s="353"/>
      <c r="J192" s="353"/>
      <c r="K192" s="96"/>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143"/>
    </row>
    <row r="193" outlineLevel="1">
      <c r="A193" s="434" t="s">
        <v>584</v>
      </c>
      <c r="B193" s="435">
        <f t="shared" ref="B193:AF193" si="43">sum(B190:B192)</f>
        <v>0</v>
      </c>
      <c r="C193" s="435">
        <f t="shared" si="43"/>
        <v>0</v>
      </c>
      <c r="D193" s="435">
        <f t="shared" si="43"/>
        <v>0</v>
      </c>
      <c r="E193" s="435">
        <f t="shared" si="43"/>
        <v>0</v>
      </c>
      <c r="F193" s="435">
        <f t="shared" si="43"/>
        <v>0</v>
      </c>
      <c r="G193" s="435">
        <f t="shared" si="43"/>
        <v>0</v>
      </c>
      <c r="H193" s="435">
        <f t="shared" si="43"/>
        <v>0</v>
      </c>
      <c r="I193" s="435">
        <f t="shared" si="43"/>
        <v>0</v>
      </c>
      <c r="J193" s="435">
        <f t="shared" si="43"/>
        <v>0</v>
      </c>
      <c r="K193" s="435">
        <f t="shared" si="43"/>
        <v>0</v>
      </c>
      <c r="L193" s="435">
        <f t="shared" si="43"/>
        <v>0</v>
      </c>
      <c r="M193" s="435">
        <f t="shared" si="43"/>
        <v>0</v>
      </c>
      <c r="N193" s="435">
        <f t="shared" si="43"/>
        <v>0</v>
      </c>
      <c r="O193" s="435">
        <f t="shared" si="43"/>
        <v>0</v>
      </c>
      <c r="P193" s="435">
        <f t="shared" si="43"/>
        <v>0</v>
      </c>
      <c r="Q193" s="435">
        <f t="shared" si="43"/>
        <v>0</v>
      </c>
      <c r="R193" s="435">
        <f t="shared" si="43"/>
        <v>0</v>
      </c>
      <c r="S193" s="435">
        <f t="shared" si="43"/>
        <v>0</v>
      </c>
      <c r="T193" s="435">
        <f t="shared" si="43"/>
        <v>0</v>
      </c>
      <c r="U193" s="435">
        <f t="shared" si="43"/>
        <v>0</v>
      </c>
      <c r="V193" s="435">
        <f t="shared" si="43"/>
        <v>0</v>
      </c>
      <c r="W193" s="435">
        <f t="shared" si="43"/>
        <v>0</v>
      </c>
      <c r="X193" s="435">
        <f t="shared" si="43"/>
        <v>0</v>
      </c>
      <c r="Y193" s="435">
        <f t="shared" si="43"/>
        <v>0</v>
      </c>
      <c r="Z193" s="435">
        <f t="shared" si="43"/>
        <v>0</v>
      </c>
      <c r="AA193" s="435">
        <f t="shared" si="43"/>
        <v>0</v>
      </c>
      <c r="AB193" s="435">
        <f t="shared" si="43"/>
        <v>0</v>
      </c>
      <c r="AC193" s="435">
        <f t="shared" si="43"/>
        <v>0</v>
      </c>
      <c r="AD193" s="435">
        <f t="shared" si="43"/>
        <v>0</v>
      </c>
      <c r="AE193" s="435">
        <f t="shared" si="43"/>
        <v>0</v>
      </c>
      <c r="AF193" s="435">
        <f t="shared" si="43"/>
        <v>0</v>
      </c>
      <c r="AG193" s="436"/>
    </row>
    <row r="194" outlineLevel="1">
      <c r="A194" s="177"/>
      <c r="AG194" s="259"/>
    </row>
    <row r="195" outlineLevel="1">
      <c r="A195" s="431" t="s">
        <v>260</v>
      </c>
      <c r="B195" s="432"/>
      <c r="C195" s="432"/>
      <c r="D195" s="432"/>
      <c r="E195" s="432"/>
      <c r="F195" s="432"/>
      <c r="G195" s="432"/>
      <c r="H195" s="432"/>
      <c r="I195" s="432"/>
      <c r="J195" s="432"/>
      <c r="K195" s="432"/>
      <c r="L195" s="432"/>
      <c r="M195" s="432"/>
      <c r="N195" s="432"/>
      <c r="O195" s="432"/>
      <c r="P195" s="432"/>
      <c r="Q195" s="432"/>
      <c r="R195" s="432"/>
      <c r="S195" s="432"/>
      <c r="T195" s="432"/>
      <c r="U195" s="432"/>
      <c r="V195" s="432"/>
      <c r="W195" s="432"/>
      <c r="X195" s="432"/>
      <c r="Y195" s="432"/>
      <c r="Z195" s="432"/>
      <c r="AA195" s="432"/>
      <c r="AB195" s="432"/>
      <c r="AC195" s="432"/>
      <c r="AD195" s="432"/>
      <c r="AE195" s="432"/>
      <c r="AF195" s="432"/>
      <c r="AG195" s="259"/>
    </row>
    <row r="196" outlineLevel="1">
      <c r="A196" s="413" t="s">
        <v>261</v>
      </c>
      <c r="B196" s="414"/>
      <c r="C196" s="414"/>
      <c r="D196" s="414"/>
      <c r="E196" s="414"/>
      <c r="F196" s="414"/>
      <c r="G196" s="414"/>
      <c r="H196" s="414"/>
      <c r="I196" s="414"/>
      <c r="J196" s="414"/>
      <c r="K196" s="414"/>
      <c r="L196" s="414"/>
      <c r="M196" s="414"/>
      <c r="N196" s="414"/>
      <c r="O196" s="414"/>
      <c r="P196" s="414"/>
      <c r="Q196" s="414"/>
      <c r="R196" s="414"/>
      <c r="S196" s="414"/>
      <c r="T196" s="414"/>
      <c r="U196" s="414"/>
      <c r="V196" s="414"/>
      <c r="W196" s="414"/>
      <c r="X196" s="414"/>
      <c r="Y196" s="414"/>
      <c r="Z196" s="414"/>
      <c r="AA196" s="414"/>
      <c r="AB196" s="414"/>
      <c r="AC196" s="414"/>
      <c r="AD196" s="414"/>
      <c r="AE196" s="414"/>
      <c r="AF196" s="414"/>
      <c r="AG196" s="259"/>
    </row>
    <row r="197" outlineLevel="1">
      <c r="A197" s="415" t="s">
        <v>585</v>
      </c>
      <c r="B197" s="416">
        <f t="shared" ref="B197:AF197" si="44">sum(B195:B196)</f>
        <v>0</v>
      </c>
      <c r="C197" s="416">
        <f t="shared" si="44"/>
        <v>0</v>
      </c>
      <c r="D197" s="416">
        <f t="shared" si="44"/>
        <v>0</v>
      </c>
      <c r="E197" s="416">
        <f t="shared" si="44"/>
        <v>0</v>
      </c>
      <c r="F197" s="416">
        <f t="shared" si="44"/>
        <v>0</v>
      </c>
      <c r="G197" s="416">
        <f t="shared" si="44"/>
        <v>0</v>
      </c>
      <c r="H197" s="416">
        <f t="shared" si="44"/>
        <v>0</v>
      </c>
      <c r="I197" s="416">
        <f t="shared" si="44"/>
        <v>0</v>
      </c>
      <c r="J197" s="416">
        <f t="shared" si="44"/>
        <v>0</v>
      </c>
      <c r="K197" s="416">
        <f t="shared" si="44"/>
        <v>0</v>
      </c>
      <c r="L197" s="416">
        <f t="shared" si="44"/>
        <v>0</v>
      </c>
      <c r="M197" s="416">
        <f t="shared" si="44"/>
        <v>0</v>
      </c>
      <c r="N197" s="416">
        <f t="shared" si="44"/>
        <v>0</v>
      </c>
      <c r="O197" s="416">
        <f t="shared" si="44"/>
        <v>0</v>
      </c>
      <c r="P197" s="416">
        <f t="shared" si="44"/>
        <v>0</v>
      </c>
      <c r="Q197" s="416">
        <f t="shared" si="44"/>
        <v>0</v>
      </c>
      <c r="R197" s="416">
        <f t="shared" si="44"/>
        <v>0</v>
      </c>
      <c r="S197" s="416">
        <f t="shared" si="44"/>
        <v>0</v>
      </c>
      <c r="T197" s="416">
        <f t="shared" si="44"/>
        <v>0</v>
      </c>
      <c r="U197" s="416">
        <f t="shared" si="44"/>
        <v>0</v>
      </c>
      <c r="V197" s="416">
        <f t="shared" si="44"/>
        <v>0</v>
      </c>
      <c r="W197" s="416">
        <f t="shared" si="44"/>
        <v>0</v>
      </c>
      <c r="X197" s="416">
        <f t="shared" si="44"/>
        <v>0</v>
      </c>
      <c r="Y197" s="416">
        <f t="shared" si="44"/>
        <v>0</v>
      </c>
      <c r="Z197" s="416">
        <f t="shared" si="44"/>
        <v>0</v>
      </c>
      <c r="AA197" s="416">
        <f t="shared" si="44"/>
        <v>0</v>
      </c>
      <c r="AB197" s="416">
        <f t="shared" si="44"/>
        <v>0</v>
      </c>
      <c r="AC197" s="416">
        <f t="shared" si="44"/>
        <v>0</v>
      </c>
      <c r="AD197" s="416">
        <f t="shared" si="44"/>
        <v>0</v>
      </c>
      <c r="AE197" s="416">
        <f t="shared" si="44"/>
        <v>0</v>
      </c>
      <c r="AF197" s="416">
        <f t="shared" si="44"/>
        <v>0</v>
      </c>
      <c r="AG197" s="259"/>
    </row>
    <row r="198">
      <c r="A198" s="177"/>
      <c r="AG198" s="259"/>
    </row>
    <row r="199" collapsed="1">
      <c r="A199" s="408" t="s">
        <v>649</v>
      </c>
      <c r="B199" s="409"/>
      <c r="C199" s="409"/>
      <c r="D199" s="409"/>
      <c r="E199" s="409"/>
      <c r="F199" s="409"/>
      <c r="G199" s="409"/>
      <c r="H199" s="409"/>
      <c r="I199" s="409"/>
      <c r="J199" s="409"/>
      <c r="K199" s="409"/>
      <c r="L199" s="409"/>
      <c r="M199" s="409"/>
      <c r="N199" s="409"/>
      <c r="O199" s="409"/>
      <c r="P199" s="409"/>
      <c r="Q199" s="409"/>
      <c r="R199" s="409"/>
      <c r="S199" s="409"/>
      <c r="T199" s="409"/>
      <c r="U199" s="409"/>
      <c r="V199" s="409"/>
      <c r="W199" s="409"/>
      <c r="X199" s="409"/>
      <c r="Y199" s="409"/>
      <c r="Z199" s="409"/>
      <c r="AA199" s="409"/>
      <c r="AB199" s="409"/>
      <c r="AC199" s="409"/>
      <c r="AD199" s="409"/>
      <c r="AE199" s="409"/>
      <c r="AF199" s="409"/>
      <c r="AG199" s="259"/>
    </row>
    <row r="200" hidden="1" outlineLevel="1">
      <c r="A200" s="216" t="s">
        <v>650</v>
      </c>
      <c r="B200" s="176">
        <v>0.0</v>
      </c>
      <c r="C200" s="176">
        <v>0.0</v>
      </c>
      <c r="D200" s="176">
        <v>0.0</v>
      </c>
      <c r="E200" s="176">
        <v>0.0</v>
      </c>
      <c r="F200" s="176">
        <v>0.0</v>
      </c>
      <c r="G200" s="176">
        <v>0.0</v>
      </c>
      <c r="H200" s="176">
        <v>0.0</v>
      </c>
      <c r="I200" s="176">
        <v>0.0</v>
      </c>
      <c r="J200" s="176">
        <v>0.0</v>
      </c>
      <c r="K200" s="176">
        <v>0.0</v>
      </c>
      <c r="L200" s="176">
        <v>0.0</v>
      </c>
      <c r="M200" s="176">
        <v>0.0</v>
      </c>
      <c r="N200" s="176">
        <v>0.0</v>
      </c>
      <c r="O200" s="176">
        <v>0.0</v>
      </c>
      <c r="P200" s="176">
        <v>0.0</v>
      </c>
      <c r="Q200" s="176">
        <v>0.0</v>
      </c>
      <c r="R200" s="176">
        <v>0.0</v>
      </c>
      <c r="S200" s="176">
        <v>0.0</v>
      </c>
      <c r="T200" s="176">
        <v>0.0</v>
      </c>
      <c r="U200" s="176">
        <v>0.0</v>
      </c>
      <c r="V200" s="176">
        <v>0.0</v>
      </c>
      <c r="W200" s="176">
        <v>0.0</v>
      </c>
      <c r="X200" s="190">
        <v>0.0</v>
      </c>
      <c r="Y200" s="190">
        <v>0.0</v>
      </c>
      <c r="Z200" s="190">
        <v>0.0</v>
      </c>
      <c r="AA200" s="190">
        <v>0.0</v>
      </c>
      <c r="AB200" s="190">
        <v>0.0</v>
      </c>
      <c r="AC200" s="190">
        <v>0.0</v>
      </c>
      <c r="AD200" s="190">
        <v>0.0</v>
      </c>
      <c r="AE200" s="176"/>
      <c r="AF200" s="176"/>
      <c r="AG200" s="143"/>
    </row>
    <row r="201" hidden="1" outlineLevel="1">
      <c r="A201" s="216" t="s">
        <v>651</v>
      </c>
      <c r="B201" s="176">
        <v>0.0</v>
      </c>
      <c r="C201" s="176">
        <v>0.0</v>
      </c>
      <c r="D201" s="176">
        <v>0.0</v>
      </c>
      <c r="E201" s="176">
        <v>0.0</v>
      </c>
      <c r="F201" s="176">
        <v>0.0</v>
      </c>
      <c r="G201" s="176">
        <v>0.0</v>
      </c>
      <c r="H201" s="176">
        <v>0.0</v>
      </c>
      <c r="I201" s="176">
        <v>0.0</v>
      </c>
      <c r="J201" s="176">
        <v>0.0</v>
      </c>
      <c r="K201" s="176">
        <v>0.0</v>
      </c>
      <c r="L201" s="176">
        <v>0.0</v>
      </c>
      <c r="M201" s="176">
        <v>0.0</v>
      </c>
      <c r="N201" s="176">
        <v>0.0</v>
      </c>
      <c r="O201" s="176">
        <v>0.0</v>
      </c>
      <c r="P201" s="176">
        <v>0.0</v>
      </c>
      <c r="Q201" s="176">
        <v>0.0</v>
      </c>
      <c r="R201" s="176">
        <v>0.0</v>
      </c>
      <c r="S201" s="176">
        <v>0.0</v>
      </c>
      <c r="T201" s="176">
        <v>0.0</v>
      </c>
      <c r="U201" s="176">
        <v>0.0</v>
      </c>
      <c r="V201" s="176">
        <v>0.0</v>
      </c>
      <c r="W201" s="176">
        <v>0.0</v>
      </c>
      <c r="X201" s="190">
        <v>0.0</v>
      </c>
      <c r="Y201" s="190">
        <v>0.0</v>
      </c>
      <c r="Z201" s="190">
        <v>0.0</v>
      </c>
      <c r="AA201" s="190">
        <v>0.0</v>
      </c>
      <c r="AB201" s="190">
        <v>0.0</v>
      </c>
      <c r="AC201" s="190">
        <v>0.0</v>
      </c>
      <c r="AD201" s="190">
        <v>0.0</v>
      </c>
      <c r="AE201" s="176"/>
      <c r="AF201" s="176"/>
      <c r="AG201" s="143"/>
    </row>
    <row r="202" hidden="1" outlineLevel="1">
      <c r="A202" s="216" t="s">
        <v>652</v>
      </c>
      <c r="B202" s="176">
        <v>0.0</v>
      </c>
      <c r="C202" s="176">
        <v>0.0</v>
      </c>
      <c r="D202" s="176">
        <v>0.0</v>
      </c>
      <c r="E202" s="176">
        <v>0.0</v>
      </c>
      <c r="F202" s="176">
        <v>0.0</v>
      </c>
      <c r="G202" s="176">
        <v>0.0</v>
      </c>
      <c r="H202" s="176">
        <v>0.0</v>
      </c>
      <c r="I202" s="176">
        <v>0.0</v>
      </c>
      <c r="J202" s="176">
        <v>0.0</v>
      </c>
      <c r="K202" s="176">
        <v>0.0</v>
      </c>
      <c r="L202" s="176">
        <v>0.0</v>
      </c>
      <c r="M202" s="176">
        <v>0.0</v>
      </c>
      <c r="N202" s="176">
        <v>0.0</v>
      </c>
      <c r="O202" s="176">
        <v>0.0</v>
      </c>
      <c r="P202" s="176">
        <v>0.0</v>
      </c>
      <c r="Q202" s="176">
        <v>0.0</v>
      </c>
      <c r="R202" s="176">
        <v>0.0</v>
      </c>
      <c r="S202" s="176">
        <v>0.0</v>
      </c>
      <c r="T202" s="176">
        <v>0.0</v>
      </c>
      <c r="U202" s="176">
        <v>0.0</v>
      </c>
      <c r="V202" s="176">
        <v>0.0</v>
      </c>
      <c r="W202" s="176">
        <v>0.0</v>
      </c>
      <c r="X202" s="190">
        <v>0.0</v>
      </c>
      <c r="Y202" s="190">
        <v>0.0</v>
      </c>
      <c r="Z202" s="190">
        <v>0.0</v>
      </c>
      <c r="AA202" s="190">
        <v>0.0</v>
      </c>
      <c r="AB202" s="190">
        <v>0.0</v>
      </c>
      <c r="AC202" s="190">
        <v>0.0</v>
      </c>
      <c r="AD202" s="190">
        <v>0.0</v>
      </c>
      <c r="AE202" s="176"/>
      <c r="AF202" s="176"/>
      <c r="AG202" s="143"/>
    </row>
    <row r="203" hidden="1" outlineLevel="1">
      <c r="A203" s="216" t="s">
        <v>653</v>
      </c>
      <c r="B203" s="176">
        <v>0.0</v>
      </c>
      <c r="C203" s="176">
        <v>0.0</v>
      </c>
      <c r="D203" s="176">
        <v>0.0</v>
      </c>
      <c r="E203" s="176">
        <v>0.0</v>
      </c>
      <c r="F203" s="176">
        <v>0.0</v>
      </c>
      <c r="G203" s="176">
        <v>0.0</v>
      </c>
      <c r="H203" s="176">
        <v>0.0</v>
      </c>
      <c r="I203" s="176">
        <v>0.0</v>
      </c>
      <c r="J203" s="176">
        <v>0.0</v>
      </c>
      <c r="K203" s="176">
        <v>0.0</v>
      </c>
      <c r="L203" s="176">
        <v>0.0</v>
      </c>
      <c r="M203" s="176">
        <v>0.0</v>
      </c>
      <c r="N203" s="176">
        <v>0.0</v>
      </c>
      <c r="O203" s="176">
        <v>0.0</v>
      </c>
      <c r="P203" s="176">
        <v>0.0</v>
      </c>
      <c r="Q203" s="176">
        <v>0.0</v>
      </c>
      <c r="R203" s="176">
        <v>0.0</v>
      </c>
      <c r="S203" s="176">
        <v>0.0</v>
      </c>
      <c r="T203" s="176">
        <v>0.0</v>
      </c>
      <c r="U203" s="176">
        <v>0.0</v>
      </c>
      <c r="V203" s="176">
        <v>0.0</v>
      </c>
      <c r="W203" s="176">
        <v>0.0</v>
      </c>
      <c r="X203" s="190">
        <v>0.0</v>
      </c>
      <c r="Y203" s="190">
        <v>0.0</v>
      </c>
      <c r="Z203" s="190">
        <v>0.0</v>
      </c>
      <c r="AA203" s="190">
        <v>0.0</v>
      </c>
      <c r="AB203" s="190">
        <v>0.0</v>
      </c>
      <c r="AC203" s="190">
        <v>0.0</v>
      </c>
      <c r="AD203" s="190">
        <v>0.0</v>
      </c>
      <c r="AE203" s="176"/>
      <c r="AF203" s="176"/>
      <c r="AG203" s="143"/>
    </row>
    <row r="204" hidden="1" outlineLevel="1">
      <c r="A204" s="218" t="s">
        <v>194</v>
      </c>
      <c r="B204" s="383">
        <f t="shared" ref="B204:AF204" si="45">B200+B201</f>
        <v>0</v>
      </c>
      <c r="C204" s="384">
        <f t="shared" si="45"/>
        <v>0</v>
      </c>
      <c r="D204" s="384">
        <f t="shared" si="45"/>
        <v>0</v>
      </c>
      <c r="E204" s="384">
        <f t="shared" si="45"/>
        <v>0</v>
      </c>
      <c r="F204" s="384">
        <f t="shared" si="45"/>
        <v>0</v>
      </c>
      <c r="G204" s="384">
        <f t="shared" si="45"/>
        <v>0</v>
      </c>
      <c r="H204" s="384">
        <f t="shared" si="45"/>
        <v>0</v>
      </c>
      <c r="I204" s="384">
        <f t="shared" si="45"/>
        <v>0</v>
      </c>
      <c r="J204" s="384">
        <f t="shared" si="45"/>
        <v>0</v>
      </c>
      <c r="K204" s="384">
        <f t="shared" si="45"/>
        <v>0</v>
      </c>
      <c r="L204" s="384">
        <f t="shared" si="45"/>
        <v>0</v>
      </c>
      <c r="M204" s="384">
        <f t="shared" si="45"/>
        <v>0</v>
      </c>
      <c r="N204" s="384">
        <f t="shared" si="45"/>
        <v>0</v>
      </c>
      <c r="O204" s="384">
        <f t="shared" si="45"/>
        <v>0</v>
      </c>
      <c r="P204" s="384">
        <f t="shared" si="45"/>
        <v>0</v>
      </c>
      <c r="Q204" s="384">
        <f t="shared" si="45"/>
        <v>0</v>
      </c>
      <c r="R204" s="384">
        <f t="shared" si="45"/>
        <v>0</v>
      </c>
      <c r="S204" s="384">
        <f t="shared" si="45"/>
        <v>0</v>
      </c>
      <c r="T204" s="384">
        <f t="shared" si="45"/>
        <v>0</v>
      </c>
      <c r="U204" s="384">
        <f t="shared" si="45"/>
        <v>0</v>
      </c>
      <c r="V204" s="384">
        <f t="shared" si="45"/>
        <v>0</v>
      </c>
      <c r="W204" s="384">
        <f t="shared" si="45"/>
        <v>0</v>
      </c>
      <c r="X204" s="384">
        <f t="shared" si="45"/>
        <v>0</v>
      </c>
      <c r="Y204" s="384">
        <f t="shared" si="45"/>
        <v>0</v>
      </c>
      <c r="Z204" s="384">
        <f t="shared" si="45"/>
        <v>0</v>
      </c>
      <c r="AA204" s="384">
        <f t="shared" si="45"/>
        <v>0</v>
      </c>
      <c r="AB204" s="384">
        <f t="shared" si="45"/>
        <v>0</v>
      </c>
      <c r="AC204" s="384">
        <f t="shared" si="45"/>
        <v>0</v>
      </c>
      <c r="AD204" s="384">
        <f t="shared" si="45"/>
        <v>0</v>
      </c>
      <c r="AE204" s="384">
        <f t="shared" si="45"/>
        <v>0</v>
      </c>
      <c r="AF204" s="384">
        <f t="shared" si="45"/>
        <v>0</v>
      </c>
      <c r="AG204" s="143"/>
    </row>
    <row r="205" hidden="1" outlineLevel="1">
      <c r="A205" s="218" t="s">
        <v>195</v>
      </c>
      <c r="B205" s="383">
        <f t="shared" ref="B205:AF205" si="46">B202+B203</f>
        <v>0</v>
      </c>
      <c r="C205" s="384">
        <f t="shared" si="46"/>
        <v>0</v>
      </c>
      <c r="D205" s="384">
        <f t="shared" si="46"/>
        <v>0</v>
      </c>
      <c r="E205" s="384">
        <f t="shared" si="46"/>
        <v>0</v>
      </c>
      <c r="F205" s="384">
        <f t="shared" si="46"/>
        <v>0</v>
      </c>
      <c r="G205" s="384">
        <f t="shared" si="46"/>
        <v>0</v>
      </c>
      <c r="H205" s="384">
        <f t="shared" si="46"/>
        <v>0</v>
      </c>
      <c r="I205" s="384">
        <f t="shared" si="46"/>
        <v>0</v>
      </c>
      <c r="J205" s="384">
        <f t="shared" si="46"/>
        <v>0</v>
      </c>
      <c r="K205" s="384">
        <f t="shared" si="46"/>
        <v>0</v>
      </c>
      <c r="L205" s="384">
        <f t="shared" si="46"/>
        <v>0</v>
      </c>
      <c r="M205" s="384">
        <f t="shared" si="46"/>
        <v>0</v>
      </c>
      <c r="N205" s="384">
        <f t="shared" si="46"/>
        <v>0</v>
      </c>
      <c r="O205" s="384">
        <f t="shared" si="46"/>
        <v>0</v>
      </c>
      <c r="P205" s="384">
        <f t="shared" si="46"/>
        <v>0</v>
      </c>
      <c r="Q205" s="384">
        <f t="shared" si="46"/>
        <v>0</v>
      </c>
      <c r="R205" s="384">
        <f t="shared" si="46"/>
        <v>0</v>
      </c>
      <c r="S205" s="384">
        <f t="shared" si="46"/>
        <v>0</v>
      </c>
      <c r="T205" s="384">
        <f t="shared" si="46"/>
        <v>0</v>
      </c>
      <c r="U205" s="384">
        <f t="shared" si="46"/>
        <v>0</v>
      </c>
      <c r="V205" s="384">
        <f t="shared" si="46"/>
        <v>0</v>
      </c>
      <c r="W205" s="384">
        <f t="shared" si="46"/>
        <v>0</v>
      </c>
      <c r="X205" s="384">
        <f t="shared" si="46"/>
        <v>0</v>
      </c>
      <c r="Y205" s="384">
        <f t="shared" si="46"/>
        <v>0</v>
      </c>
      <c r="Z205" s="384">
        <f t="shared" si="46"/>
        <v>0</v>
      </c>
      <c r="AA205" s="384">
        <f t="shared" si="46"/>
        <v>0</v>
      </c>
      <c r="AB205" s="384">
        <f t="shared" si="46"/>
        <v>0</v>
      </c>
      <c r="AC205" s="384">
        <f t="shared" si="46"/>
        <v>0</v>
      </c>
      <c r="AD205" s="384">
        <f t="shared" si="46"/>
        <v>0</v>
      </c>
      <c r="AE205" s="384">
        <f t="shared" si="46"/>
        <v>0</v>
      </c>
      <c r="AF205" s="384">
        <f t="shared" si="46"/>
        <v>0</v>
      </c>
      <c r="AG205" s="143"/>
    </row>
    <row r="206" hidden="1" outlineLevel="1">
      <c r="A206" s="98"/>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c r="AE206" s="187"/>
      <c r="AF206" s="288"/>
      <c r="AG206" s="143"/>
    </row>
    <row r="207" hidden="1" outlineLevel="1">
      <c r="A207" s="216" t="s">
        <v>197</v>
      </c>
      <c r="B207" s="176">
        <v>0.0</v>
      </c>
      <c r="C207" s="83">
        <v>0.0</v>
      </c>
      <c r="D207" s="83">
        <v>0.0</v>
      </c>
      <c r="E207" s="83">
        <v>0.0</v>
      </c>
      <c r="F207" s="83">
        <v>0.0</v>
      </c>
      <c r="G207" s="83">
        <v>0.0</v>
      </c>
      <c r="H207" s="83">
        <v>0.0</v>
      </c>
      <c r="I207" s="83">
        <v>0.0</v>
      </c>
      <c r="J207" s="83">
        <v>0.0</v>
      </c>
      <c r="K207" s="83">
        <v>0.0</v>
      </c>
      <c r="L207" s="83">
        <v>0.0</v>
      </c>
      <c r="M207" s="83">
        <v>0.0</v>
      </c>
      <c r="N207" s="83">
        <v>0.0</v>
      </c>
      <c r="O207" s="83">
        <v>0.0</v>
      </c>
      <c r="P207" s="83">
        <v>0.0</v>
      </c>
      <c r="Q207" s="83">
        <v>0.0</v>
      </c>
      <c r="R207" s="83">
        <v>0.0</v>
      </c>
      <c r="S207" s="83">
        <v>0.0</v>
      </c>
      <c r="T207" s="83">
        <v>0.0</v>
      </c>
      <c r="U207" s="83">
        <v>0.0</v>
      </c>
      <c r="V207" s="83">
        <v>0.0</v>
      </c>
      <c r="W207" s="83">
        <v>0.0</v>
      </c>
      <c r="X207" s="190">
        <v>0.0</v>
      </c>
      <c r="Y207" s="190">
        <v>0.0</v>
      </c>
      <c r="Z207" s="190">
        <v>0.0</v>
      </c>
      <c r="AA207" s="190">
        <v>0.0</v>
      </c>
      <c r="AB207" s="190">
        <v>0.0</v>
      </c>
      <c r="AC207" s="190">
        <v>0.0</v>
      </c>
      <c r="AD207" s="190">
        <v>0.0</v>
      </c>
      <c r="AE207" s="83"/>
      <c r="AF207" s="83"/>
      <c r="AG207" s="143"/>
    </row>
    <row r="208" hidden="1" outlineLevel="1">
      <c r="A208" s="216" t="s">
        <v>198</v>
      </c>
      <c r="B208" s="83">
        <v>0.0</v>
      </c>
      <c r="C208" s="83">
        <v>0.0</v>
      </c>
      <c r="D208" s="83">
        <v>0.0</v>
      </c>
      <c r="E208" s="83">
        <v>0.0</v>
      </c>
      <c r="F208" s="83">
        <v>0.0</v>
      </c>
      <c r="G208" s="83">
        <v>0.0</v>
      </c>
      <c r="H208" s="83">
        <v>0.0</v>
      </c>
      <c r="I208" s="83">
        <v>0.0</v>
      </c>
      <c r="J208" s="83">
        <v>0.0</v>
      </c>
      <c r="K208" s="83">
        <v>0.0</v>
      </c>
      <c r="L208" s="83">
        <v>0.0</v>
      </c>
      <c r="M208" s="83">
        <v>0.0</v>
      </c>
      <c r="N208" s="83">
        <v>0.0</v>
      </c>
      <c r="O208" s="83">
        <v>0.0</v>
      </c>
      <c r="P208" s="83">
        <v>0.0</v>
      </c>
      <c r="Q208" s="83">
        <v>0.0</v>
      </c>
      <c r="R208" s="83">
        <v>0.0</v>
      </c>
      <c r="S208" s="83">
        <v>0.0</v>
      </c>
      <c r="T208" s="83">
        <v>0.0</v>
      </c>
      <c r="U208" s="83">
        <v>0.0</v>
      </c>
      <c r="V208" s="83">
        <v>0.0</v>
      </c>
      <c r="W208" s="83">
        <v>0.0</v>
      </c>
      <c r="X208" s="190">
        <v>0.0</v>
      </c>
      <c r="Y208" s="190">
        <v>0.0</v>
      </c>
      <c r="Z208" s="190">
        <v>0.0</v>
      </c>
      <c r="AA208" s="190">
        <v>0.0</v>
      </c>
      <c r="AB208" s="190">
        <v>0.0</v>
      </c>
      <c r="AC208" s="190">
        <v>0.0</v>
      </c>
      <c r="AD208" s="190">
        <v>0.0</v>
      </c>
      <c r="AE208" s="83"/>
      <c r="AF208" s="83"/>
      <c r="AG208" s="143"/>
    </row>
    <row r="209" hidden="1" outlineLevel="1">
      <c r="A209" s="216" t="s">
        <v>654</v>
      </c>
      <c r="B209" s="83">
        <v>0.0</v>
      </c>
      <c r="C209" s="83">
        <v>0.0</v>
      </c>
      <c r="D209" s="83">
        <v>0.0</v>
      </c>
      <c r="E209" s="83">
        <v>0.0</v>
      </c>
      <c r="F209" s="83">
        <v>0.0</v>
      </c>
      <c r="G209" s="83">
        <v>0.0</v>
      </c>
      <c r="H209" s="83">
        <v>0.0</v>
      </c>
      <c r="I209" s="83">
        <v>0.0</v>
      </c>
      <c r="J209" s="83">
        <v>0.0</v>
      </c>
      <c r="K209" s="83">
        <v>0.0</v>
      </c>
      <c r="L209" s="83">
        <v>0.0</v>
      </c>
      <c r="M209" s="83">
        <v>0.0</v>
      </c>
      <c r="N209" s="83">
        <v>0.0</v>
      </c>
      <c r="O209" s="83">
        <v>0.0</v>
      </c>
      <c r="P209" s="83">
        <v>0.0</v>
      </c>
      <c r="Q209" s="83">
        <v>0.0</v>
      </c>
      <c r="R209" s="83">
        <v>0.0</v>
      </c>
      <c r="S209" s="83">
        <v>0.0</v>
      </c>
      <c r="T209" s="83">
        <v>0.0</v>
      </c>
      <c r="U209" s="83">
        <v>0.0</v>
      </c>
      <c r="V209" s="83">
        <v>0.0</v>
      </c>
      <c r="W209" s="83">
        <v>0.0</v>
      </c>
      <c r="X209" s="190">
        <v>0.0</v>
      </c>
      <c r="Y209" s="190">
        <v>0.0</v>
      </c>
      <c r="Z209" s="190">
        <v>0.0</v>
      </c>
      <c r="AA209" s="190">
        <v>0.0</v>
      </c>
      <c r="AB209" s="190">
        <v>0.0</v>
      </c>
      <c r="AC209" s="190">
        <v>0.0</v>
      </c>
      <c r="AD209" s="190">
        <v>0.0</v>
      </c>
      <c r="AE209" s="83"/>
      <c r="AF209" s="83"/>
      <c r="AG209" s="143"/>
    </row>
    <row r="210" hidden="1" outlineLevel="1">
      <c r="A210" s="216" t="s">
        <v>655</v>
      </c>
      <c r="B210" s="83">
        <v>0.0</v>
      </c>
      <c r="C210" s="83">
        <v>0.0</v>
      </c>
      <c r="D210" s="83">
        <v>0.0</v>
      </c>
      <c r="E210" s="83">
        <v>0.0</v>
      </c>
      <c r="F210" s="83">
        <v>0.0</v>
      </c>
      <c r="G210" s="83">
        <v>0.0</v>
      </c>
      <c r="H210" s="83">
        <v>0.0</v>
      </c>
      <c r="I210" s="83">
        <v>0.0</v>
      </c>
      <c r="J210" s="83">
        <v>0.0</v>
      </c>
      <c r="K210" s="83">
        <v>0.0</v>
      </c>
      <c r="L210" s="83">
        <v>0.0</v>
      </c>
      <c r="M210" s="83">
        <v>0.0</v>
      </c>
      <c r="N210" s="83">
        <v>0.0</v>
      </c>
      <c r="O210" s="83">
        <v>0.0</v>
      </c>
      <c r="P210" s="83">
        <v>0.0</v>
      </c>
      <c r="Q210" s="83">
        <v>0.0</v>
      </c>
      <c r="R210" s="83">
        <v>0.0</v>
      </c>
      <c r="S210" s="83">
        <v>0.0</v>
      </c>
      <c r="T210" s="83">
        <v>0.0</v>
      </c>
      <c r="U210" s="83">
        <v>0.0</v>
      </c>
      <c r="V210" s="83">
        <v>0.0</v>
      </c>
      <c r="W210" s="83">
        <v>0.0</v>
      </c>
      <c r="X210" s="190">
        <v>0.0</v>
      </c>
      <c r="Y210" s="190">
        <v>0.0</v>
      </c>
      <c r="Z210" s="190">
        <v>0.0</v>
      </c>
      <c r="AA210" s="190">
        <v>0.0</v>
      </c>
      <c r="AB210" s="190">
        <v>0.0</v>
      </c>
      <c r="AC210" s="190">
        <v>0.0</v>
      </c>
      <c r="AD210" s="190">
        <v>0.0</v>
      </c>
      <c r="AE210" s="83"/>
      <c r="AF210" s="83"/>
      <c r="AG210" s="143"/>
    </row>
    <row r="211" hidden="1" outlineLevel="1">
      <c r="A211" s="216" t="s">
        <v>656</v>
      </c>
      <c r="B211" s="83">
        <v>0.0</v>
      </c>
      <c r="C211" s="83">
        <v>0.0</v>
      </c>
      <c r="D211" s="83">
        <v>0.0</v>
      </c>
      <c r="E211" s="83">
        <v>0.0</v>
      </c>
      <c r="F211" s="83">
        <v>0.0</v>
      </c>
      <c r="G211" s="83">
        <v>0.0</v>
      </c>
      <c r="H211" s="83">
        <v>0.0</v>
      </c>
      <c r="I211" s="83">
        <v>0.0</v>
      </c>
      <c r="J211" s="83">
        <v>0.0</v>
      </c>
      <c r="K211" s="83">
        <v>0.0</v>
      </c>
      <c r="L211" s="83">
        <v>0.0</v>
      </c>
      <c r="M211" s="83">
        <v>0.0</v>
      </c>
      <c r="N211" s="83">
        <v>0.0</v>
      </c>
      <c r="O211" s="83">
        <v>0.0</v>
      </c>
      <c r="P211" s="83">
        <v>0.0</v>
      </c>
      <c r="Q211" s="83">
        <v>0.0</v>
      </c>
      <c r="R211" s="83">
        <v>0.0</v>
      </c>
      <c r="S211" s="83">
        <v>0.0</v>
      </c>
      <c r="T211" s="83">
        <v>0.0</v>
      </c>
      <c r="U211" s="83">
        <v>0.0</v>
      </c>
      <c r="V211" s="83">
        <v>0.0</v>
      </c>
      <c r="W211" s="83">
        <v>0.0</v>
      </c>
      <c r="X211" s="190">
        <v>0.0</v>
      </c>
      <c r="Y211" s="190">
        <v>0.0</v>
      </c>
      <c r="Z211" s="190">
        <v>0.0</v>
      </c>
      <c r="AA211" s="190">
        <v>0.0</v>
      </c>
      <c r="AB211" s="190">
        <v>0.0</v>
      </c>
      <c r="AC211" s="190">
        <v>0.0</v>
      </c>
      <c r="AD211" s="190">
        <v>0.0</v>
      </c>
      <c r="AE211" s="83"/>
      <c r="AF211" s="83"/>
      <c r="AG211" s="143"/>
    </row>
    <row r="212" hidden="1" outlineLevel="1">
      <c r="A212" s="216" t="s">
        <v>657</v>
      </c>
      <c r="B212" s="83">
        <v>0.0</v>
      </c>
      <c r="C212" s="83">
        <v>0.0</v>
      </c>
      <c r="D212" s="83">
        <v>0.0</v>
      </c>
      <c r="E212" s="83">
        <v>0.0</v>
      </c>
      <c r="F212" s="83">
        <v>0.0</v>
      </c>
      <c r="G212" s="83">
        <v>0.0</v>
      </c>
      <c r="H212" s="83">
        <v>0.0</v>
      </c>
      <c r="I212" s="83">
        <v>0.0</v>
      </c>
      <c r="J212" s="83">
        <v>0.0</v>
      </c>
      <c r="K212" s="83">
        <v>0.0</v>
      </c>
      <c r="L212" s="83">
        <v>0.0</v>
      </c>
      <c r="M212" s="83">
        <v>0.0</v>
      </c>
      <c r="N212" s="83">
        <v>0.0</v>
      </c>
      <c r="O212" s="83">
        <v>0.0</v>
      </c>
      <c r="P212" s="83">
        <v>0.0</v>
      </c>
      <c r="Q212" s="83">
        <v>0.0</v>
      </c>
      <c r="R212" s="83">
        <v>0.0</v>
      </c>
      <c r="S212" s="83">
        <v>0.0</v>
      </c>
      <c r="T212" s="83">
        <v>0.0</v>
      </c>
      <c r="U212" s="83">
        <v>0.0</v>
      </c>
      <c r="V212" s="83">
        <v>0.0</v>
      </c>
      <c r="W212" s="83">
        <v>0.0</v>
      </c>
      <c r="X212" s="190">
        <v>0.0</v>
      </c>
      <c r="Y212" s="190">
        <v>0.0</v>
      </c>
      <c r="Z212" s="190">
        <v>0.0</v>
      </c>
      <c r="AA212" s="190">
        <v>0.0</v>
      </c>
      <c r="AB212" s="190">
        <v>0.0</v>
      </c>
      <c r="AC212" s="190">
        <v>0.0</v>
      </c>
      <c r="AD212" s="190">
        <v>0.0</v>
      </c>
      <c r="AE212" s="83"/>
      <c r="AF212" s="83"/>
      <c r="AG212" s="143"/>
    </row>
    <row r="213" hidden="1" outlineLevel="1">
      <c r="A213" s="216" t="s">
        <v>658</v>
      </c>
      <c r="B213" s="83">
        <v>0.0</v>
      </c>
      <c r="C213" s="83">
        <v>0.0</v>
      </c>
      <c r="D213" s="83">
        <v>0.0</v>
      </c>
      <c r="E213" s="83">
        <v>0.0</v>
      </c>
      <c r="F213" s="83">
        <v>0.0</v>
      </c>
      <c r="G213" s="83">
        <v>0.0</v>
      </c>
      <c r="H213" s="83">
        <v>0.0</v>
      </c>
      <c r="I213" s="83">
        <v>0.0</v>
      </c>
      <c r="J213" s="83">
        <v>0.0</v>
      </c>
      <c r="K213" s="83">
        <v>0.0</v>
      </c>
      <c r="L213" s="83">
        <v>0.0</v>
      </c>
      <c r="M213" s="83">
        <v>0.0</v>
      </c>
      <c r="N213" s="83">
        <v>0.0</v>
      </c>
      <c r="O213" s="83">
        <v>0.0</v>
      </c>
      <c r="P213" s="83">
        <v>0.0</v>
      </c>
      <c r="Q213" s="83">
        <v>0.0</v>
      </c>
      <c r="R213" s="83">
        <v>0.0</v>
      </c>
      <c r="S213" s="83">
        <v>0.0</v>
      </c>
      <c r="T213" s="83">
        <v>0.0</v>
      </c>
      <c r="U213" s="83">
        <v>0.0</v>
      </c>
      <c r="V213" s="83">
        <v>0.0</v>
      </c>
      <c r="W213" s="83">
        <v>0.0</v>
      </c>
      <c r="X213" s="190">
        <v>0.0</v>
      </c>
      <c r="Y213" s="190">
        <v>0.0</v>
      </c>
      <c r="Z213" s="190">
        <v>0.0</v>
      </c>
      <c r="AA213" s="190">
        <v>0.0</v>
      </c>
      <c r="AB213" s="190">
        <v>0.0</v>
      </c>
      <c r="AC213" s="190">
        <v>0.0</v>
      </c>
      <c r="AD213" s="190">
        <v>0.0</v>
      </c>
      <c r="AE213" s="83"/>
      <c r="AF213" s="83"/>
      <c r="AG213" s="143"/>
    </row>
    <row r="214" hidden="1" outlineLevel="1">
      <c r="A214" s="216" t="s">
        <v>659</v>
      </c>
      <c r="B214" s="83">
        <v>0.0</v>
      </c>
      <c r="C214" s="83">
        <v>0.0</v>
      </c>
      <c r="D214" s="83">
        <v>0.0</v>
      </c>
      <c r="E214" s="83">
        <v>0.0</v>
      </c>
      <c r="F214" s="83">
        <v>0.0</v>
      </c>
      <c r="G214" s="83">
        <v>0.0</v>
      </c>
      <c r="H214" s="83">
        <v>0.0</v>
      </c>
      <c r="I214" s="83">
        <v>0.0</v>
      </c>
      <c r="J214" s="83">
        <v>0.0</v>
      </c>
      <c r="K214" s="83">
        <v>0.0</v>
      </c>
      <c r="L214" s="83">
        <v>0.0</v>
      </c>
      <c r="M214" s="83">
        <v>0.0</v>
      </c>
      <c r="N214" s="83">
        <v>0.0</v>
      </c>
      <c r="O214" s="83">
        <v>0.0</v>
      </c>
      <c r="P214" s="83">
        <v>0.0</v>
      </c>
      <c r="Q214" s="83">
        <v>0.0</v>
      </c>
      <c r="R214" s="83">
        <v>0.0</v>
      </c>
      <c r="S214" s="83">
        <v>0.0</v>
      </c>
      <c r="T214" s="83">
        <v>0.0</v>
      </c>
      <c r="U214" s="83">
        <v>0.0</v>
      </c>
      <c r="V214" s="83">
        <v>0.0</v>
      </c>
      <c r="W214" s="83">
        <v>0.0</v>
      </c>
      <c r="X214" s="190">
        <v>0.0</v>
      </c>
      <c r="Y214" s="190">
        <v>0.0</v>
      </c>
      <c r="Z214" s="190">
        <v>0.0</v>
      </c>
      <c r="AA214" s="190">
        <v>0.0</v>
      </c>
      <c r="AB214" s="190">
        <v>0.0</v>
      </c>
      <c r="AC214" s="190">
        <v>0.0</v>
      </c>
      <c r="AD214" s="190">
        <v>0.0</v>
      </c>
      <c r="AE214" s="83"/>
      <c r="AF214" s="83"/>
      <c r="AG214" s="143"/>
    </row>
    <row r="215" hidden="1" outlineLevel="1">
      <c r="A215" s="220" t="s">
        <v>130</v>
      </c>
      <c r="B215" s="384">
        <f>SUM(B207:B214)</f>
        <v>0</v>
      </c>
      <c r="C215" s="384">
        <f t="shared" ref="C215:AF215" si="47">SUM(C207:C211)</f>
        <v>0</v>
      </c>
      <c r="D215" s="384">
        <f t="shared" si="47"/>
        <v>0</v>
      </c>
      <c r="E215" s="384">
        <f t="shared" si="47"/>
        <v>0</v>
      </c>
      <c r="F215" s="384">
        <f t="shared" si="47"/>
        <v>0</v>
      </c>
      <c r="G215" s="384">
        <f t="shared" si="47"/>
        <v>0</v>
      </c>
      <c r="H215" s="384">
        <f t="shared" si="47"/>
        <v>0</v>
      </c>
      <c r="I215" s="384">
        <f t="shared" si="47"/>
        <v>0</v>
      </c>
      <c r="J215" s="384">
        <f t="shared" si="47"/>
        <v>0</v>
      </c>
      <c r="K215" s="384">
        <f t="shared" si="47"/>
        <v>0</v>
      </c>
      <c r="L215" s="384">
        <f t="shared" si="47"/>
        <v>0</v>
      </c>
      <c r="M215" s="384">
        <f t="shared" si="47"/>
        <v>0</v>
      </c>
      <c r="N215" s="384">
        <f t="shared" si="47"/>
        <v>0</v>
      </c>
      <c r="O215" s="384">
        <f t="shared" si="47"/>
        <v>0</v>
      </c>
      <c r="P215" s="384">
        <f t="shared" si="47"/>
        <v>0</v>
      </c>
      <c r="Q215" s="384">
        <f t="shared" si="47"/>
        <v>0</v>
      </c>
      <c r="R215" s="384">
        <f t="shared" si="47"/>
        <v>0</v>
      </c>
      <c r="S215" s="384">
        <f t="shared" si="47"/>
        <v>0</v>
      </c>
      <c r="T215" s="384">
        <f t="shared" si="47"/>
        <v>0</v>
      </c>
      <c r="U215" s="384">
        <f t="shared" si="47"/>
        <v>0</v>
      </c>
      <c r="V215" s="384">
        <f t="shared" si="47"/>
        <v>0</v>
      </c>
      <c r="W215" s="384">
        <f t="shared" si="47"/>
        <v>0</v>
      </c>
      <c r="X215" s="384">
        <f t="shared" si="47"/>
        <v>0</v>
      </c>
      <c r="Y215" s="384">
        <f t="shared" si="47"/>
        <v>0</v>
      </c>
      <c r="Z215" s="384">
        <f t="shared" si="47"/>
        <v>0</v>
      </c>
      <c r="AA215" s="384">
        <f t="shared" si="47"/>
        <v>0</v>
      </c>
      <c r="AB215" s="384">
        <f t="shared" si="47"/>
        <v>0</v>
      </c>
      <c r="AC215" s="384">
        <f t="shared" si="47"/>
        <v>0</v>
      </c>
      <c r="AD215" s="384">
        <f t="shared" si="47"/>
        <v>0</v>
      </c>
      <c r="AE215" s="384">
        <f t="shared" si="47"/>
        <v>0</v>
      </c>
      <c r="AF215" s="384">
        <f t="shared" si="47"/>
        <v>0</v>
      </c>
      <c r="AG215" s="143"/>
    </row>
    <row r="216" hidden="1" outlineLevel="1">
      <c r="A216" s="385"/>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c r="AA216" s="176"/>
      <c r="AB216" s="176"/>
      <c r="AC216" s="176"/>
      <c r="AD216" s="176"/>
      <c r="AE216" s="176"/>
      <c r="AF216" s="176"/>
      <c r="AG216" s="143"/>
    </row>
    <row r="217" hidden="1" outlineLevel="1">
      <c r="A217" s="220" t="s">
        <v>533</v>
      </c>
      <c r="B217" s="384"/>
      <c r="C217" s="384"/>
      <c r="D217" s="384"/>
      <c r="E217" s="384"/>
      <c r="F217" s="384"/>
      <c r="G217" s="384"/>
      <c r="H217" s="384"/>
      <c r="I217" s="384"/>
      <c r="J217" s="384"/>
      <c r="K217" s="384"/>
      <c r="L217" s="384"/>
      <c r="M217" s="384"/>
      <c r="N217" s="384"/>
      <c r="O217" s="384"/>
      <c r="P217" s="384"/>
      <c r="Q217" s="384"/>
      <c r="R217" s="384"/>
      <c r="S217" s="384"/>
      <c r="T217" s="384"/>
      <c r="U217" s="384"/>
      <c r="V217" s="384"/>
      <c r="W217" s="384"/>
      <c r="X217" s="384"/>
      <c r="Y217" s="384"/>
      <c r="Z217" s="384"/>
      <c r="AA217" s="384"/>
      <c r="AB217" s="384"/>
      <c r="AC217" s="384"/>
      <c r="AD217" s="384"/>
      <c r="AE217" s="384"/>
      <c r="AF217" s="384"/>
      <c r="AG217" s="143"/>
    </row>
    <row r="218" hidden="1" outlineLevel="1">
      <c r="A218" s="216" t="s">
        <v>534</v>
      </c>
      <c r="B218" s="83">
        <v>0.0</v>
      </c>
      <c r="C218" s="83">
        <v>0.0</v>
      </c>
      <c r="D218" s="83">
        <v>0.0</v>
      </c>
      <c r="E218" s="83">
        <v>0.0</v>
      </c>
      <c r="F218" s="83">
        <v>0.0</v>
      </c>
      <c r="G218" s="83">
        <v>0.0</v>
      </c>
      <c r="H218" s="83">
        <v>0.0</v>
      </c>
      <c r="I218" s="83">
        <v>0.0</v>
      </c>
      <c r="J218" s="83">
        <v>0.0</v>
      </c>
      <c r="K218" s="83">
        <v>0.0</v>
      </c>
      <c r="L218" s="83">
        <v>0.0</v>
      </c>
      <c r="M218" s="83">
        <v>0.0</v>
      </c>
      <c r="N218" s="83">
        <v>0.0</v>
      </c>
      <c r="O218" s="83">
        <v>0.0</v>
      </c>
      <c r="P218" s="83">
        <v>0.0</v>
      </c>
      <c r="Q218" s="83">
        <v>0.0</v>
      </c>
      <c r="R218" s="83">
        <v>0.0</v>
      </c>
      <c r="S218" s="83">
        <v>0.0</v>
      </c>
      <c r="T218" s="83">
        <v>0.0</v>
      </c>
      <c r="U218" s="83">
        <v>0.0</v>
      </c>
      <c r="V218" s="83">
        <v>0.0</v>
      </c>
      <c r="W218" s="83">
        <v>0.0</v>
      </c>
      <c r="X218" s="190">
        <v>0.0</v>
      </c>
      <c r="Y218" s="190">
        <v>0.0</v>
      </c>
      <c r="Z218" s="190">
        <v>0.0</v>
      </c>
      <c r="AA218" s="190">
        <v>0.0</v>
      </c>
      <c r="AB218" s="190">
        <v>0.0</v>
      </c>
      <c r="AC218" s="190">
        <v>0.0</v>
      </c>
      <c r="AD218" s="190">
        <v>0.0</v>
      </c>
      <c r="AE218" s="176"/>
      <c r="AF218" s="176"/>
      <c r="AG218" s="143"/>
    </row>
    <row r="219" hidden="1" outlineLevel="1">
      <c r="A219" s="216" t="s">
        <v>535</v>
      </c>
      <c r="B219" s="83">
        <v>0.0</v>
      </c>
      <c r="C219" s="83">
        <v>0.0</v>
      </c>
      <c r="D219" s="83">
        <v>0.0</v>
      </c>
      <c r="E219" s="83">
        <v>0.0</v>
      </c>
      <c r="F219" s="83">
        <v>0.0</v>
      </c>
      <c r="G219" s="83">
        <v>0.0</v>
      </c>
      <c r="H219" s="83">
        <v>0.0</v>
      </c>
      <c r="I219" s="83">
        <v>0.0</v>
      </c>
      <c r="J219" s="83">
        <v>0.0</v>
      </c>
      <c r="K219" s="83">
        <v>0.0</v>
      </c>
      <c r="L219" s="83">
        <v>0.0</v>
      </c>
      <c r="M219" s="83">
        <v>0.0</v>
      </c>
      <c r="N219" s="83">
        <v>0.0</v>
      </c>
      <c r="O219" s="83">
        <v>0.0</v>
      </c>
      <c r="P219" s="83">
        <v>0.0</v>
      </c>
      <c r="Q219" s="83">
        <v>0.0</v>
      </c>
      <c r="R219" s="83">
        <v>0.0</v>
      </c>
      <c r="S219" s="83">
        <v>0.0</v>
      </c>
      <c r="T219" s="83">
        <v>0.0</v>
      </c>
      <c r="U219" s="83">
        <v>0.0</v>
      </c>
      <c r="V219" s="83">
        <v>0.0</v>
      </c>
      <c r="W219" s="83">
        <v>0.0</v>
      </c>
      <c r="X219" s="190">
        <v>0.0</v>
      </c>
      <c r="Y219" s="190">
        <v>0.0</v>
      </c>
      <c r="Z219" s="190">
        <v>0.0</v>
      </c>
      <c r="AA219" s="190">
        <v>0.0</v>
      </c>
      <c r="AB219" s="190">
        <v>0.0</v>
      </c>
      <c r="AC219" s="190">
        <v>0.0</v>
      </c>
      <c r="AD219" s="190">
        <v>0.0</v>
      </c>
      <c r="AE219" s="176"/>
      <c r="AF219" s="176"/>
      <c r="AG219" s="143"/>
    </row>
    <row r="220" hidden="1" outlineLevel="1">
      <c r="A220" s="216" t="s">
        <v>536</v>
      </c>
      <c r="B220" s="83">
        <v>0.0</v>
      </c>
      <c r="C220" s="83">
        <v>0.0</v>
      </c>
      <c r="D220" s="83">
        <v>0.0</v>
      </c>
      <c r="E220" s="83">
        <v>0.0</v>
      </c>
      <c r="F220" s="83">
        <v>0.0</v>
      </c>
      <c r="G220" s="83">
        <v>0.0</v>
      </c>
      <c r="H220" s="83">
        <v>0.0</v>
      </c>
      <c r="I220" s="83">
        <v>0.0</v>
      </c>
      <c r="J220" s="83">
        <v>0.0</v>
      </c>
      <c r="K220" s="83">
        <v>0.0</v>
      </c>
      <c r="L220" s="83">
        <v>0.0</v>
      </c>
      <c r="M220" s="83">
        <v>0.0</v>
      </c>
      <c r="N220" s="83">
        <v>0.0</v>
      </c>
      <c r="O220" s="83">
        <v>0.0</v>
      </c>
      <c r="P220" s="83">
        <v>0.0</v>
      </c>
      <c r="Q220" s="83">
        <v>0.0</v>
      </c>
      <c r="R220" s="83">
        <v>0.0</v>
      </c>
      <c r="S220" s="83">
        <v>0.0</v>
      </c>
      <c r="T220" s="83">
        <v>0.0</v>
      </c>
      <c r="U220" s="83">
        <v>0.0</v>
      </c>
      <c r="V220" s="83">
        <v>0.0</v>
      </c>
      <c r="W220" s="83">
        <v>0.0</v>
      </c>
      <c r="X220" s="190">
        <v>0.0</v>
      </c>
      <c r="Y220" s="190">
        <v>0.0</v>
      </c>
      <c r="Z220" s="190">
        <v>0.0</v>
      </c>
      <c r="AA220" s="190">
        <v>0.0</v>
      </c>
      <c r="AB220" s="190">
        <v>0.0</v>
      </c>
      <c r="AC220" s="190">
        <v>0.0</v>
      </c>
      <c r="AD220" s="190">
        <v>0.0</v>
      </c>
      <c r="AE220" s="176"/>
      <c r="AF220" s="176"/>
      <c r="AG220" s="143"/>
    </row>
    <row r="221" hidden="1" outlineLevel="1">
      <c r="A221" s="38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c r="AA221" s="176"/>
      <c r="AB221" s="176"/>
      <c r="AC221" s="176"/>
      <c r="AD221" s="176"/>
      <c r="AE221" s="176"/>
      <c r="AF221" s="176"/>
      <c r="AG221" s="143"/>
    </row>
    <row r="222" hidden="1" outlineLevel="1">
      <c r="A222" s="222" t="s">
        <v>316</v>
      </c>
      <c r="B222" s="384">
        <v>0.0</v>
      </c>
      <c r="C222" s="384">
        <v>0.0</v>
      </c>
      <c r="D222" s="384">
        <v>0.0</v>
      </c>
      <c r="E222" s="384">
        <v>0.0</v>
      </c>
      <c r="F222" s="384">
        <v>0.0</v>
      </c>
      <c r="G222" s="384">
        <v>0.0</v>
      </c>
      <c r="H222" s="384">
        <v>0.0</v>
      </c>
      <c r="I222" s="384">
        <v>0.0</v>
      </c>
      <c r="J222" s="384">
        <v>0.0</v>
      </c>
      <c r="K222" s="384">
        <v>0.0</v>
      </c>
      <c r="L222" s="384">
        <v>0.0</v>
      </c>
      <c r="M222" s="384">
        <v>0.0</v>
      </c>
      <c r="N222" s="384">
        <v>0.0</v>
      </c>
      <c r="O222" s="384">
        <v>0.0</v>
      </c>
      <c r="P222" s="384">
        <v>0.0</v>
      </c>
      <c r="Q222" s="384">
        <v>0.0</v>
      </c>
      <c r="R222" s="384">
        <v>0.0</v>
      </c>
      <c r="S222" s="384">
        <v>0.0</v>
      </c>
      <c r="T222" s="384">
        <v>0.0</v>
      </c>
      <c r="U222" s="384">
        <v>0.0</v>
      </c>
      <c r="V222" s="384">
        <v>0.0</v>
      </c>
      <c r="W222" s="384">
        <v>0.0</v>
      </c>
      <c r="X222" s="384">
        <v>0.0</v>
      </c>
      <c r="Y222" s="384">
        <v>0.0</v>
      </c>
      <c r="Z222" s="384">
        <v>0.0</v>
      </c>
      <c r="AA222" s="384">
        <v>0.0</v>
      </c>
      <c r="AB222" s="384">
        <v>0.0</v>
      </c>
      <c r="AC222" s="384">
        <v>0.0</v>
      </c>
      <c r="AD222" s="384">
        <v>0.0</v>
      </c>
      <c r="AE222" s="384"/>
      <c r="AF222" s="384"/>
      <c r="AG222" s="143"/>
    </row>
    <row r="223" hidden="1" outlineLevel="1">
      <c r="A223" s="222" t="s">
        <v>319</v>
      </c>
      <c r="B223" s="135"/>
      <c r="C223" s="135"/>
      <c r="D223" s="135"/>
      <c r="E223" s="135"/>
      <c r="F223" s="135"/>
      <c r="G223" s="135"/>
      <c r="H223" s="135"/>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143"/>
    </row>
    <row r="224" hidden="1" outlineLevel="1">
      <c r="A224" s="437"/>
      <c r="B224" s="438"/>
      <c r="C224" s="438"/>
      <c r="D224" s="438"/>
      <c r="E224" s="438"/>
      <c r="F224" s="438"/>
      <c r="G224" s="438"/>
      <c r="H224" s="438"/>
      <c r="I224" s="438"/>
      <c r="J224" s="438"/>
      <c r="K224" s="438"/>
      <c r="L224" s="438"/>
      <c r="M224" s="438"/>
      <c r="N224" s="438"/>
      <c r="O224" s="438"/>
      <c r="P224" s="438"/>
      <c r="Q224" s="438"/>
      <c r="R224" s="438"/>
      <c r="S224" s="438"/>
      <c r="T224" s="438"/>
      <c r="U224" s="438"/>
      <c r="V224" s="438"/>
      <c r="W224" s="438"/>
      <c r="X224" s="438"/>
      <c r="Y224" s="438"/>
      <c r="Z224" s="438"/>
      <c r="AA224" s="438"/>
      <c r="AB224" s="438"/>
      <c r="AC224" s="438"/>
      <c r="AD224" s="438"/>
      <c r="AE224" s="438"/>
      <c r="AF224" s="438"/>
      <c r="AG224" s="209"/>
    </row>
    <row r="225">
      <c r="A225" s="177"/>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09"/>
    </row>
    <row r="226" ht="22.5" customHeight="1">
      <c r="A226" s="439"/>
      <c r="B226" s="440"/>
      <c r="C226" s="440"/>
      <c r="D226" s="440"/>
      <c r="E226" s="440"/>
      <c r="F226" s="440"/>
      <c r="G226" s="440"/>
      <c r="H226" s="440"/>
      <c r="I226" s="440"/>
      <c r="J226" s="440"/>
      <c r="K226" s="440"/>
      <c r="L226" s="440"/>
      <c r="M226" s="440"/>
      <c r="N226" s="440"/>
      <c r="O226" s="440"/>
      <c r="P226" s="440"/>
      <c r="Q226" s="440"/>
      <c r="R226" s="440"/>
      <c r="S226" s="440"/>
      <c r="T226" s="440"/>
      <c r="U226" s="440"/>
      <c r="V226" s="440"/>
      <c r="W226" s="440"/>
      <c r="X226" s="440"/>
      <c r="Y226" s="440"/>
      <c r="Z226" s="440"/>
      <c r="AA226" s="440"/>
      <c r="AB226" s="440"/>
      <c r="AC226" s="440"/>
      <c r="AD226" s="440"/>
      <c r="AE226" s="440"/>
      <c r="AF226" s="440"/>
      <c r="AG226" s="441"/>
    </row>
    <row r="227">
      <c r="A227" s="177"/>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c r="AB227" s="230"/>
      <c r="AC227" s="230"/>
      <c r="AD227" s="230"/>
      <c r="AE227" s="230"/>
      <c r="AF227" s="230"/>
      <c r="AG227" s="209"/>
    </row>
    <row r="228" collapsed="1">
      <c r="A228" s="147" t="s">
        <v>660</v>
      </c>
      <c r="B228" s="165"/>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143"/>
    </row>
    <row r="229" hidden="1" outlineLevel="1">
      <c r="A229" s="311" t="s">
        <v>661</v>
      </c>
      <c r="B229" s="83">
        <v>0.0</v>
      </c>
      <c r="C229" s="83">
        <v>0.0</v>
      </c>
      <c r="D229" s="83">
        <v>0.0</v>
      </c>
      <c r="E229" s="83">
        <v>0.0</v>
      </c>
      <c r="F229" s="83">
        <v>0.0</v>
      </c>
      <c r="G229" s="83">
        <v>0.0</v>
      </c>
      <c r="H229" s="83">
        <v>0.0</v>
      </c>
      <c r="I229" s="83">
        <v>0.0</v>
      </c>
      <c r="J229" s="83">
        <v>0.0</v>
      </c>
      <c r="K229" s="83">
        <v>0.0</v>
      </c>
      <c r="L229" s="83">
        <v>0.0</v>
      </c>
      <c r="M229" s="83">
        <v>0.0</v>
      </c>
      <c r="N229" s="83"/>
      <c r="O229" s="83"/>
      <c r="P229" s="83"/>
      <c r="Q229" s="83"/>
      <c r="R229" s="83"/>
      <c r="S229" s="83"/>
      <c r="T229" s="83"/>
      <c r="U229" s="83"/>
      <c r="V229" s="83"/>
      <c r="W229" s="83"/>
      <c r="X229" s="83"/>
      <c r="Y229" s="83"/>
      <c r="Z229" s="167"/>
      <c r="AA229" s="83"/>
      <c r="AB229" s="83"/>
      <c r="AC229" s="167"/>
      <c r="AD229" s="167"/>
      <c r="AE229" s="167"/>
      <c r="AF229" s="167"/>
      <c r="AG229" s="143">
        <f t="shared" ref="AG229:AG233" si="48">sum(B229:AF229)</f>
        <v>0</v>
      </c>
    </row>
    <row r="230" hidden="1" outlineLevel="1">
      <c r="A230" s="311" t="s">
        <v>662</v>
      </c>
      <c r="B230" s="83">
        <v>0.0</v>
      </c>
      <c r="C230" s="83">
        <v>0.0</v>
      </c>
      <c r="D230" s="83">
        <v>0.0</v>
      </c>
      <c r="E230" s="83">
        <v>0.0</v>
      </c>
      <c r="F230" s="83">
        <v>0.0</v>
      </c>
      <c r="G230" s="83">
        <v>0.0</v>
      </c>
      <c r="H230" s="83">
        <v>0.0</v>
      </c>
      <c r="I230" s="83">
        <v>0.0</v>
      </c>
      <c r="J230" s="83">
        <v>0.0</v>
      </c>
      <c r="K230" s="83">
        <v>0.0</v>
      </c>
      <c r="L230" s="83">
        <v>0.0</v>
      </c>
      <c r="M230" s="83">
        <v>0.0</v>
      </c>
      <c r="N230" s="83"/>
      <c r="O230" s="83"/>
      <c r="P230" s="83"/>
      <c r="Q230" s="83"/>
      <c r="R230" s="83"/>
      <c r="S230" s="83"/>
      <c r="T230" s="83"/>
      <c r="U230" s="83"/>
      <c r="V230" s="83"/>
      <c r="W230" s="83"/>
      <c r="X230" s="83"/>
      <c r="Y230" s="83"/>
      <c r="Z230" s="167"/>
      <c r="AA230" s="83"/>
      <c r="AB230" s="83"/>
      <c r="AC230" s="167"/>
      <c r="AD230" s="167"/>
      <c r="AE230" s="167"/>
      <c r="AF230" s="167"/>
      <c r="AG230" s="143">
        <f t="shared" si="48"/>
        <v>0</v>
      </c>
    </row>
    <row r="231" hidden="1" outlineLevel="1">
      <c r="A231" s="311" t="s">
        <v>663</v>
      </c>
      <c r="B231" s="83">
        <v>0.0</v>
      </c>
      <c r="C231" s="83">
        <v>0.0</v>
      </c>
      <c r="D231" s="83">
        <v>0.0</v>
      </c>
      <c r="E231" s="83">
        <v>0.0</v>
      </c>
      <c r="F231" s="83">
        <v>0.0</v>
      </c>
      <c r="G231" s="83">
        <v>0.0</v>
      </c>
      <c r="H231" s="83">
        <v>0.0</v>
      </c>
      <c r="I231" s="83">
        <v>0.0</v>
      </c>
      <c r="J231" s="83">
        <v>0.0</v>
      </c>
      <c r="K231" s="83">
        <v>0.0</v>
      </c>
      <c r="L231" s="83">
        <v>0.0</v>
      </c>
      <c r="M231" s="83">
        <v>0.0</v>
      </c>
      <c r="N231" s="83"/>
      <c r="O231" s="83"/>
      <c r="P231" s="83"/>
      <c r="Q231" s="83"/>
      <c r="R231" s="83"/>
      <c r="S231" s="83"/>
      <c r="T231" s="83"/>
      <c r="U231" s="83"/>
      <c r="V231" s="83"/>
      <c r="W231" s="83"/>
      <c r="X231" s="83"/>
      <c r="Y231" s="83"/>
      <c r="Z231" s="168"/>
      <c r="AA231" s="83"/>
      <c r="AB231" s="83"/>
      <c r="AC231" s="83"/>
      <c r="AD231" s="83"/>
      <c r="AE231" s="83"/>
      <c r="AF231" s="83"/>
      <c r="AG231" s="143">
        <f t="shared" si="48"/>
        <v>0</v>
      </c>
    </row>
    <row r="232" hidden="1" outlineLevel="1">
      <c r="A232" s="311" t="s">
        <v>664</v>
      </c>
      <c r="B232" s="83">
        <v>0.0</v>
      </c>
      <c r="C232" s="83">
        <v>0.0</v>
      </c>
      <c r="D232" s="83">
        <v>0.0</v>
      </c>
      <c r="E232" s="83">
        <v>0.0</v>
      </c>
      <c r="F232" s="83">
        <v>0.0</v>
      </c>
      <c r="G232" s="83">
        <v>0.0</v>
      </c>
      <c r="H232" s="83">
        <v>0.0</v>
      </c>
      <c r="I232" s="83">
        <v>0.0</v>
      </c>
      <c r="J232" s="83">
        <v>0.0</v>
      </c>
      <c r="K232" s="83">
        <v>0.0</v>
      </c>
      <c r="L232" s="83">
        <v>0.0</v>
      </c>
      <c r="M232" s="83">
        <v>0.0</v>
      </c>
      <c r="N232" s="83"/>
      <c r="O232" s="83"/>
      <c r="P232" s="83"/>
      <c r="Q232" s="83"/>
      <c r="R232" s="83"/>
      <c r="S232" s="83"/>
      <c r="T232" s="83"/>
      <c r="U232" s="83"/>
      <c r="V232" s="83"/>
      <c r="W232" s="83"/>
      <c r="X232" s="83"/>
      <c r="Y232" s="83"/>
      <c r="Z232" s="168"/>
      <c r="AA232" s="83"/>
      <c r="AB232" s="83"/>
      <c r="AC232" s="83"/>
      <c r="AD232" s="83"/>
      <c r="AE232" s="83"/>
      <c r="AF232" s="83"/>
      <c r="AG232" s="143">
        <f t="shared" si="48"/>
        <v>0</v>
      </c>
    </row>
    <row r="233" hidden="1" outlineLevel="1">
      <c r="A233" s="442" t="s">
        <v>459</v>
      </c>
      <c r="B233" s="443">
        <f t="shared" ref="B233:AF233" si="49">SUM(B229:B232)</f>
        <v>0</v>
      </c>
      <c r="C233" s="443">
        <f t="shared" si="49"/>
        <v>0</v>
      </c>
      <c r="D233" s="443">
        <f t="shared" si="49"/>
        <v>0</v>
      </c>
      <c r="E233" s="443">
        <f t="shared" si="49"/>
        <v>0</v>
      </c>
      <c r="F233" s="443">
        <f t="shared" si="49"/>
        <v>0</v>
      </c>
      <c r="G233" s="443">
        <f t="shared" si="49"/>
        <v>0</v>
      </c>
      <c r="H233" s="443">
        <f t="shared" si="49"/>
        <v>0</v>
      </c>
      <c r="I233" s="443">
        <f t="shared" si="49"/>
        <v>0</v>
      </c>
      <c r="J233" s="443">
        <f t="shared" si="49"/>
        <v>0</v>
      </c>
      <c r="K233" s="443">
        <f t="shared" si="49"/>
        <v>0</v>
      </c>
      <c r="L233" s="443">
        <f t="shared" si="49"/>
        <v>0</v>
      </c>
      <c r="M233" s="443">
        <f t="shared" si="49"/>
        <v>0</v>
      </c>
      <c r="N233" s="443">
        <f t="shared" si="49"/>
        <v>0</v>
      </c>
      <c r="O233" s="443">
        <f t="shared" si="49"/>
        <v>0</v>
      </c>
      <c r="P233" s="443">
        <f t="shared" si="49"/>
        <v>0</v>
      </c>
      <c r="Q233" s="443">
        <f t="shared" si="49"/>
        <v>0</v>
      </c>
      <c r="R233" s="443">
        <f t="shared" si="49"/>
        <v>0</v>
      </c>
      <c r="S233" s="443">
        <f t="shared" si="49"/>
        <v>0</v>
      </c>
      <c r="T233" s="443">
        <f t="shared" si="49"/>
        <v>0</v>
      </c>
      <c r="U233" s="443">
        <f t="shared" si="49"/>
        <v>0</v>
      </c>
      <c r="V233" s="443">
        <f t="shared" si="49"/>
        <v>0</v>
      </c>
      <c r="W233" s="443">
        <f t="shared" si="49"/>
        <v>0</v>
      </c>
      <c r="X233" s="443">
        <f t="shared" si="49"/>
        <v>0</v>
      </c>
      <c r="Y233" s="443">
        <f t="shared" si="49"/>
        <v>0</v>
      </c>
      <c r="Z233" s="443">
        <f t="shared" si="49"/>
        <v>0</v>
      </c>
      <c r="AA233" s="443">
        <f t="shared" si="49"/>
        <v>0</v>
      </c>
      <c r="AB233" s="443">
        <f t="shared" si="49"/>
        <v>0</v>
      </c>
      <c r="AC233" s="443">
        <f t="shared" si="49"/>
        <v>0</v>
      </c>
      <c r="AD233" s="443">
        <f t="shared" si="49"/>
        <v>0</v>
      </c>
      <c r="AE233" s="443">
        <f t="shared" si="49"/>
        <v>0</v>
      </c>
      <c r="AF233" s="443">
        <f t="shared" si="49"/>
        <v>0</v>
      </c>
      <c r="AG233" s="143">
        <f t="shared" si="48"/>
        <v>0</v>
      </c>
    </row>
    <row r="234" hidden="1" outlineLevel="1">
      <c r="A234" s="98"/>
      <c r="B234" s="171"/>
      <c r="C234" s="171"/>
      <c r="D234" s="171"/>
      <c r="E234" s="171"/>
      <c r="F234" s="171"/>
      <c r="G234" s="171"/>
      <c r="H234" s="171"/>
      <c r="I234" s="171"/>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172"/>
    </row>
    <row r="235" hidden="1" outlineLevel="1">
      <c r="A235" s="311" t="s">
        <v>122</v>
      </c>
      <c r="B235" s="165">
        <v>0.0</v>
      </c>
      <c r="C235" s="165">
        <v>0.0</v>
      </c>
      <c r="D235" s="165">
        <v>0.0</v>
      </c>
      <c r="E235" s="165">
        <v>0.0</v>
      </c>
      <c r="F235" s="165">
        <v>0.0</v>
      </c>
      <c r="G235" s="165">
        <v>0.0</v>
      </c>
      <c r="H235" s="165">
        <v>0.0</v>
      </c>
      <c r="I235" s="165">
        <v>0.0</v>
      </c>
      <c r="J235" s="165">
        <v>0.0</v>
      </c>
      <c r="K235" s="165">
        <v>0.0</v>
      </c>
      <c r="L235" s="165">
        <v>0.0</v>
      </c>
      <c r="M235" s="165">
        <v>0.0</v>
      </c>
      <c r="N235" s="165"/>
      <c r="O235" s="165"/>
      <c r="P235" s="165"/>
      <c r="Q235" s="165"/>
      <c r="R235" s="165"/>
      <c r="S235" s="165"/>
      <c r="T235" s="165"/>
      <c r="U235" s="165"/>
      <c r="V235" s="83"/>
      <c r="W235" s="83"/>
      <c r="X235" s="83"/>
      <c r="Y235" s="83"/>
      <c r="Z235" s="173"/>
      <c r="AA235" s="83"/>
      <c r="AB235" s="83"/>
      <c r="AC235" s="173"/>
      <c r="AD235" s="173"/>
      <c r="AE235" s="173"/>
      <c r="AF235" s="173"/>
      <c r="AG235" s="143">
        <f t="shared" ref="AG235:AG243" si="50">sum(B235:AF235)</f>
        <v>0</v>
      </c>
    </row>
    <row r="236" hidden="1" outlineLevel="1">
      <c r="A236" s="311" t="s">
        <v>123</v>
      </c>
      <c r="B236" s="165">
        <v>0.0</v>
      </c>
      <c r="C236" s="165">
        <v>0.0</v>
      </c>
      <c r="D236" s="165">
        <v>0.0</v>
      </c>
      <c r="E236" s="165">
        <v>0.0</v>
      </c>
      <c r="F236" s="165">
        <v>0.0</v>
      </c>
      <c r="G236" s="165">
        <v>0.0</v>
      </c>
      <c r="H236" s="165">
        <v>0.0</v>
      </c>
      <c r="I236" s="165">
        <v>0.0</v>
      </c>
      <c r="J236" s="165">
        <v>0.0</v>
      </c>
      <c r="K236" s="165">
        <v>0.0</v>
      </c>
      <c r="L236" s="165">
        <v>0.0</v>
      </c>
      <c r="M236" s="165">
        <v>0.0</v>
      </c>
      <c r="N236" s="165"/>
      <c r="O236" s="165"/>
      <c r="P236" s="165"/>
      <c r="Q236" s="165"/>
      <c r="R236" s="165"/>
      <c r="S236" s="165"/>
      <c r="T236" s="165"/>
      <c r="U236" s="165"/>
      <c r="V236" s="83"/>
      <c r="W236" s="83"/>
      <c r="X236" s="83"/>
      <c r="Y236" s="83"/>
      <c r="Z236" s="167"/>
      <c r="AA236" s="174"/>
      <c r="AB236" s="83"/>
      <c r="AC236" s="174"/>
      <c r="AD236" s="174"/>
      <c r="AE236" s="174"/>
      <c r="AF236" s="174"/>
      <c r="AG236" s="143">
        <f t="shared" si="50"/>
        <v>0</v>
      </c>
    </row>
    <row r="237" hidden="1" outlineLevel="1">
      <c r="A237" s="311" t="s">
        <v>665</v>
      </c>
      <c r="B237" s="165">
        <v>0.0</v>
      </c>
      <c r="C237" s="165">
        <v>0.0</v>
      </c>
      <c r="D237" s="165">
        <v>0.0</v>
      </c>
      <c r="E237" s="165">
        <v>0.0</v>
      </c>
      <c r="F237" s="165">
        <v>0.0</v>
      </c>
      <c r="G237" s="165">
        <v>0.0</v>
      </c>
      <c r="H237" s="165">
        <v>0.0</v>
      </c>
      <c r="I237" s="165">
        <v>0.0</v>
      </c>
      <c r="J237" s="165">
        <v>0.0</v>
      </c>
      <c r="K237" s="165">
        <v>0.0</v>
      </c>
      <c r="L237" s="165">
        <v>0.0</v>
      </c>
      <c r="M237" s="165">
        <v>0.0</v>
      </c>
      <c r="N237" s="165"/>
      <c r="O237" s="165"/>
      <c r="P237" s="165"/>
      <c r="Q237" s="165"/>
      <c r="R237" s="165"/>
      <c r="S237" s="165"/>
      <c r="T237" s="165"/>
      <c r="U237" s="165"/>
      <c r="V237" s="165"/>
      <c r="W237" s="165"/>
      <c r="X237" s="165"/>
      <c r="Y237" s="165"/>
      <c r="Z237" s="175"/>
      <c r="AA237" s="165"/>
      <c r="AB237" s="165"/>
      <c r="AC237" s="175"/>
      <c r="AD237" s="175"/>
      <c r="AE237" s="175"/>
      <c r="AF237" s="175"/>
      <c r="AG237" s="143">
        <f t="shared" si="50"/>
        <v>0</v>
      </c>
    </row>
    <row r="238" hidden="1" outlineLevel="1">
      <c r="A238" s="311" t="s">
        <v>666</v>
      </c>
      <c r="B238" s="164">
        <v>0.0</v>
      </c>
      <c r="C238" s="164">
        <v>0.0</v>
      </c>
      <c r="D238" s="164">
        <v>0.0</v>
      </c>
      <c r="E238" s="164">
        <v>0.0</v>
      </c>
      <c r="F238" s="164">
        <v>0.0</v>
      </c>
      <c r="G238" s="164">
        <v>0.0</v>
      </c>
      <c r="H238" s="164">
        <v>0.0</v>
      </c>
      <c r="I238" s="164">
        <v>0.0</v>
      </c>
      <c r="J238" s="164">
        <v>0.0</v>
      </c>
      <c r="K238" s="164">
        <v>0.0</v>
      </c>
      <c r="L238" s="164">
        <v>0.0</v>
      </c>
      <c r="M238" s="164">
        <v>0.0</v>
      </c>
      <c r="N238" s="164"/>
      <c r="O238" s="164"/>
      <c r="P238" s="164"/>
      <c r="Q238" s="164"/>
      <c r="R238" s="164"/>
      <c r="S238" s="164"/>
      <c r="T238" s="164"/>
      <c r="U238" s="164"/>
      <c r="V238" s="165"/>
      <c r="W238" s="165"/>
      <c r="X238" s="165"/>
      <c r="Y238" s="165"/>
      <c r="Z238" s="175"/>
      <c r="AA238" s="165"/>
      <c r="AB238" s="165"/>
      <c r="AC238" s="175"/>
      <c r="AD238" s="175"/>
      <c r="AE238" s="175"/>
      <c r="AF238" s="175"/>
      <c r="AG238" s="143">
        <f t="shared" si="50"/>
        <v>0</v>
      </c>
    </row>
    <row r="239" hidden="1" outlineLevel="1">
      <c r="A239" s="311" t="s">
        <v>667</v>
      </c>
      <c r="B239" s="165">
        <v>0.0</v>
      </c>
      <c r="C239" s="165">
        <v>0.0</v>
      </c>
      <c r="D239" s="165">
        <v>0.0</v>
      </c>
      <c r="E239" s="165">
        <v>0.0</v>
      </c>
      <c r="F239" s="165">
        <v>0.0</v>
      </c>
      <c r="G239" s="165">
        <v>0.0</v>
      </c>
      <c r="H239" s="165">
        <v>0.0</v>
      </c>
      <c r="I239" s="165">
        <v>0.0</v>
      </c>
      <c r="J239" s="165">
        <v>0.0</v>
      </c>
      <c r="K239" s="165">
        <v>0.0</v>
      </c>
      <c r="L239" s="165">
        <v>0.0</v>
      </c>
      <c r="M239" s="165">
        <v>0.0</v>
      </c>
      <c r="N239" s="165"/>
      <c r="O239" s="165"/>
      <c r="P239" s="165"/>
      <c r="Q239" s="165"/>
      <c r="R239" s="165"/>
      <c r="S239" s="165"/>
      <c r="T239" s="165"/>
      <c r="U239" s="165"/>
      <c r="V239" s="165"/>
      <c r="W239" s="165"/>
      <c r="X239" s="165"/>
      <c r="Y239" s="165"/>
      <c r="Z239" s="165"/>
      <c r="AA239" s="83"/>
      <c r="AB239" s="165"/>
      <c r="AC239" s="175"/>
      <c r="AD239" s="175"/>
      <c r="AE239" s="175"/>
      <c r="AF239" s="175"/>
      <c r="AG239" s="143">
        <f t="shared" si="50"/>
        <v>0</v>
      </c>
    </row>
    <row r="240" hidden="1" outlineLevel="1">
      <c r="A240" s="311" t="s">
        <v>668</v>
      </c>
      <c r="B240" s="164">
        <v>0.0</v>
      </c>
      <c r="C240" s="164">
        <v>0.0</v>
      </c>
      <c r="D240" s="164">
        <v>0.0</v>
      </c>
      <c r="E240" s="164">
        <v>0.0</v>
      </c>
      <c r="F240" s="164">
        <v>0.0</v>
      </c>
      <c r="G240" s="164">
        <v>0.0</v>
      </c>
      <c r="H240" s="164">
        <v>0.0</v>
      </c>
      <c r="I240" s="164">
        <v>0.0</v>
      </c>
      <c r="J240" s="164">
        <v>0.0</v>
      </c>
      <c r="K240" s="164">
        <v>0.0</v>
      </c>
      <c r="L240" s="164">
        <v>0.0</v>
      </c>
      <c r="M240" s="164">
        <v>0.0</v>
      </c>
      <c r="N240" s="164"/>
      <c r="O240" s="164"/>
      <c r="P240" s="164"/>
      <c r="Q240" s="164"/>
      <c r="R240" s="164"/>
      <c r="S240" s="164"/>
      <c r="T240" s="164"/>
      <c r="U240" s="164"/>
      <c r="V240" s="165"/>
      <c r="W240" s="165"/>
      <c r="X240" s="165"/>
      <c r="Y240" s="165"/>
      <c r="Z240" s="165"/>
      <c r="AA240" s="83"/>
      <c r="AB240" s="165"/>
      <c r="AC240" s="175"/>
      <c r="AD240" s="175"/>
      <c r="AE240" s="175"/>
      <c r="AF240" s="175"/>
      <c r="AG240" s="143">
        <f t="shared" si="50"/>
        <v>0</v>
      </c>
    </row>
    <row r="241" hidden="1" outlineLevel="1">
      <c r="A241" s="311" t="s">
        <v>669</v>
      </c>
      <c r="B241" s="165">
        <v>0.0</v>
      </c>
      <c r="C241" s="165">
        <v>0.0</v>
      </c>
      <c r="D241" s="165">
        <v>0.0</v>
      </c>
      <c r="E241" s="165">
        <v>0.0</v>
      </c>
      <c r="F241" s="165">
        <v>0.0</v>
      </c>
      <c r="G241" s="165">
        <v>0.0</v>
      </c>
      <c r="H241" s="165">
        <v>0.0</v>
      </c>
      <c r="I241" s="165">
        <v>0.0</v>
      </c>
      <c r="J241" s="165">
        <v>0.0</v>
      </c>
      <c r="K241" s="165">
        <v>0.0</v>
      </c>
      <c r="L241" s="165">
        <v>0.0</v>
      </c>
      <c r="M241" s="165">
        <v>0.0</v>
      </c>
      <c r="N241" s="165"/>
      <c r="O241" s="165"/>
      <c r="P241" s="165"/>
      <c r="Q241" s="165"/>
      <c r="R241" s="165"/>
      <c r="S241" s="165"/>
      <c r="T241" s="165"/>
      <c r="U241" s="165"/>
      <c r="V241" s="165"/>
      <c r="W241" s="165"/>
      <c r="X241" s="165"/>
      <c r="Y241" s="165"/>
      <c r="Z241" s="165"/>
      <c r="AA241" s="83"/>
      <c r="AB241" s="165"/>
      <c r="AC241" s="175"/>
      <c r="AD241" s="175"/>
      <c r="AE241" s="175"/>
      <c r="AF241" s="175"/>
      <c r="AG241" s="143">
        <f t="shared" si="50"/>
        <v>0</v>
      </c>
    </row>
    <row r="242" hidden="1" outlineLevel="1">
      <c r="A242" s="311" t="s">
        <v>670</v>
      </c>
      <c r="B242" s="165">
        <v>0.0</v>
      </c>
      <c r="C242" s="165">
        <v>0.0</v>
      </c>
      <c r="D242" s="165">
        <v>0.0</v>
      </c>
      <c r="E242" s="165">
        <v>0.0</v>
      </c>
      <c r="F242" s="165">
        <v>0.0</v>
      </c>
      <c r="G242" s="165">
        <v>0.0</v>
      </c>
      <c r="H242" s="165">
        <v>0.0</v>
      </c>
      <c r="I242" s="165">
        <v>0.0</v>
      </c>
      <c r="J242" s="165">
        <v>0.0</v>
      </c>
      <c r="K242" s="165">
        <v>0.0</v>
      </c>
      <c r="L242" s="165">
        <v>0.0</v>
      </c>
      <c r="M242" s="165">
        <v>0.0</v>
      </c>
      <c r="N242" s="165"/>
      <c r="O242" s="165"/>
      <c r="P242" s="165"/>
      <c r="Q242" s="165"/>
      <c r="R242" s="165"/>
      <c r="S242" s="165"/>
      <c r="T242" s="165"/>
      <c r="U242" s="165"/>
      <c r="V242" s="165"/>
      <c r="W242" s="165"/>
      <c r="X242" s="165"/>
      <c r="Y242" s="165"/>
      <c r="Z242" s="165"/>
      <c r="AA242" s="83"/>
      <c r="AB242" s="165"/>
      <c r="AC242" s="175"/>
      <c r="AD242" s="175"/>
      <c r="AE242" s="175"/>
      <c r="AF242" s="175"/>
      <c r="AG242" s="143">
        <f t="shared" si="50"/>
        <v>0</v>
      </c>
    </row>
    <row r="243" hidden="1" outlineLevel="1">
      <c r="A243" s="442" t="s">
        <v>109</v>
      </c>
      <c r="B243" s="443">
        <f t="shared" ref="B243:AF243" si="51">SUM(B235:B242)</f>
        <v>0</v>
      </c>
      <c r="C243" s="443">
        <f t="shared" si="51"/>
        <v>0</v>
      </c>
      <c r="D243" s="443">
        <f t="shared" si="51"/>
        <v>0</v>
      </c>
      <c r="E243" s="443">
        <f t="shared" si="51"/>
        <v>0</v>
      </c>
      <c r="F243" s="443">
        <f t="shared" si="51"/>
        <v>0</v>
      </c>
      <c r="G243" s="443">
        <f t="shared" si="51"/>
        <v>0</v>
      </c>
      <c r="H243" s="443">
        <f t="shared" si="51"/>
        <v>0</v>
      </c>
      <c r="I243" s="443">
        <f t="shared" si="51"/>
        <v>0</v>
      </c>
      <c r="J243" s="443">
        <f t="shared" si="51"/>
        <v>0</v>
      </c>
      <c r="K243" s="443">
        <f t="shared" si="51"/>
        <v>0</v>
      </c>
      <c r="L243" s="443">
        <f t="shared" si="51"/>
        <v>0</v>
      </c>
      <c r="M243" s="443">
        <f t="shared" si="51"/>
        <v>0</v>
      </c>
      <c r="N243" s="443">
        <f t="shared" si="51"/>
        <v>0</v>
      </c>
      <c r="O243" s="443">
        <f t="shared" si="51"/>
        <v>0</v>
      </c>
      <c r="P243" s="443">
        <f t="shared" si="51"/>
        <v>0</v>
      </c>
      <c r="Q243" s="443">
        <f t="shared" si="51"/>
        <v>0</v>
      </c>
      <c r="R243" s="443">
        <f t="shared" si="51"/>
        <v>0</v>
      </c>
      <c r="S243" s="443">
        <f t="shared" si="51"/>
        <v>0</v>
      </c>
      <c r="T243" s="443">
        <f t="shared" si="51"/>
        <v>0</v>
      </c>
      <c r="U243" s="443">
        <f t="shared" si="51"/>
        <v>0</v>
      </c>
      <c r="V243" s="443">
        <f t="shared" si="51"/>
        <v>0</v>
      </c>
      <c r="W243" s="443">
        <f t="shared" si="51"/>
        <v>0</v>
      </c>
      <c r="X243" s="443">
        <f t="shared" si="51"/>
        <v>0</v>
      </c>
      <c r="Y243" s="443">
        <f t="shared" si="51"/>
        <v>0</v>
      </c>
      <c r="Z243" s="443">
        <f t="shared" si="51"/>
        <v>0</v>
      </c>
      <c r="AA243" s="443">
        <f t="shared" si="51"/>
        <v>0</v>
      </c>
      <c r="AB243" s="443">
        <f t="shared" si="51"/>
        <v>0</v>
      </c>
      <c r="AC243" s="443">
        <f t="shared" si="51"/>
        <v>0</v>
      </c>
      <c r="AD243" s="443">
        <f t="shared" si="51"/>
        <v>0</v>
      </c>
      <c r="AE243" s="443">
        <f t="shared" si="51"/>
        <v>0</v>
      </c>
      <c r="AF243" s="443">
        <f t="shared" si="51"/>
        <v>0</v>
      </c>
      <c r="AG243" s="143">
        <f t="shared" si="50"/>
        <v>0</v>
      </c>
    </row>
    <row r="244">
      <c r="A244" s="177"/>
      <c r="AG244" s="259"/>
    </row>
    <row r="245">
      <c r="A245" s="444" t="s">
        <v>323</v>
      </c>
      <c r="B245" s="445"/>
      <c r="C245" s="445"/>
      <c r="D245" s="445"/>
      <c r="E245" s="445"/>
      <c r="F245" s="445"/>
      <c r="G245" s="445"/>
      <c r="H245" s="445"/>
      <c r="I245" s="445"/>
      <c r="J245" s="445"/>
      <c r="K245" s="445"/>
      <c r="L245" s="445"/>
      <c r="M245" s="445"/>
      <c r="N245" s="445"/>
      <c r="O245" s="445"/>
      <c r="P245" s="445"/>
      <c r="Q245" s="445"/>
      <c r="R245" s="445"/>
      <c r="S245" s="445"/>
      <c r="T245" s="445"/>
      <c r="U245" s="445"/>
      <c r="V245" s="445"/>
      <c r="W245" s="445"/>
      <c r="X245" s="445"/>
      <c r="Y245" s="445"/>
      <c r="Z245" s="445"/>
      <c r="AA245" s="445"/>
      <c r="AB245" s="445"/>
      <c r="AC245" s="445"/>
      <c r="AD245" s="445"/>
      <c r="AE245" s="445"/>
      <c r="AF245" s="445"/>
      <c r="AG245" s="429"/>
    </row>
    <row r="246">
      <c r="A246" s="446" t="s">
        <v>324</v>
      </c>
      <c r="B246" s="447">
        <v>0.0</v>
      </c>
      <c r="C246" s="447">
        <v>0.0</v>
      </c>
      <c r="D246" s="447">
        <v>0.0</v>
      </c>
      <c r="E246" s="447">
        <v>0.0</v>
      </c>
      <c r="F246" s="447">
        <v>0.0</v>
      </c>
      <c r="G246" s="447">
        <v>0.0</v>
      </c>
      <c r="H246" s="447">
        <v>0.0</v>
      </c>
      <c r="I246" s="447">
        <v>0.0</v>
      </c>
      <c r="J246" s="447">
        <v>0.0</v>
      </c>
      <c r="K246" s="447">
        <v>0.0</v>
      </c>
      <c r="L246" s="447">
        <v>0.0</v>
      </c>
      <c r="M246" s="447">
        <v>0.0</v>
      </c>
      <c r="N246" s="447">
        <v>0.0</v>
      </c>
      <c r="O246" s="447">
        <v>0.0</v>
      </c>
      <c r="P246" s="447">
        <v>0.0</v>
      </c>
      <c r="Q246" s="447">
        <v>0.0</v>
      </c>
      <c r="R246" s="447">
        <v>0.0</v>
      </c>
      <c r="S246" s="447">
        <v>0.0</v>
      </c>
      <c r="T246" s="447">
        <v>0.0</v>
      </c>
      <c r="U246" s="447">
        <v>0.0</v>
      </c>
      <c r="V246" s="447">
        <v>0.0</v>
      </c>
      <c r="W246" s="447">
        <v>0.0</v>
      </c>
      <c r="X246" s="447">
        <v>0.0</v>
      </c>
      <c r="Y246" s="447">
        <v>0.0</v>
      </c>
      <c r="Z246" s="447">
        <v>0.0</v>
      </c>
      <c r="AA246" s="447">
        <v>0.0</v>
      </c>
      <c r="AB246" s="447">
        <v>0.0</v>
      </c>
      <c r="AC246" s="447">
        <v>0.0</v>
      </c>
      <c r="AD246" s="447">
        <v>0.0</v>
      </c>
      <c r="AE246" s="447">
        <v>0.0</v>
      </c>
      <c r="AF246" s="447">
        <v>0.0</v>
      </c>
      <c r="AG246" s="126">
        <f t="shared" ref="AG246:AG260" si="53">SUM(B246:AF246)</f>
        <v>0</v>
      </c>
    </row>
    <row r="247">
      <c r="A247" s="446" t="s">
        <v>671</v>
      </c>
      <c r="B247" s="142">
        <f t="shared" ref="B247:AF247" si="52">B122+B10</f>
        <v>0</v>
      </c>
      <c r="C247" s="142">
        <f t="shared" si="52"/>
        <v>0</v>
      </c>
      <c r="D247" s="142">
        <f t="shared" si="52"/>
        <v>0</v>
      </c>
      <c r="E247" s="142">
        <f t="shared" si="52"/>
        <v>0</v>
      </c>
      <c r="F247" s="142">
        <f t="shared" si="52"/>
        <v>0</v>
      </c>
      <c r="G247" s="142">
        <f t="shared" si="52"/>
        <v>0</v>
      </c>
      <c r="H247" s="142">
        <f t="shared" si="52"/>
        <v>0</v>
      </c>
      <c r="I247" s="142">
        <f t="shared" si="52"/>
        <v>0</v>
      </c>
      <c r="J247" s="142">
        <f t="shared" si="52"/>
        <v>0</v>
      </c>
      <c r="K247" s="142">
        <f t="shared" si="52"/>
        <v>0</v>
      </c>
      <c r="L247" s="142">
        <f t="shared" si="52"/>
        <v>0</v>
      </c>
      <c r="M247" s="142">
        <f t="shared" si="52"/>
        <v>0</v>
      </c>
      <c r="N247" s="142">
        <f t="shared" si="52"/>
        <v>0</v>
      </c>
      <c r="O247" s="142">
        <f t="shared" si="52"/>
        <v>0</v>
      </c>
      <c r="P247" s="142">
        <f t="shared" si="52"/>
        <v>0</v>
      </c>
      <c r="Q247" s="142">
        <f t="shared" si="52"/>
        <v>0</v>
      </c>
      <c r="R247" s="142">
        <f t="shared" si="52"/>
        <v>108.5318772</v>
      </c>
      <c r="S247" s="142">
        <f t="shared" si="52"/>
        <v>0</v>
      </c>
      <c r="T247" s="142">
        <f t="shared" si="52"/>
        <v>63.6818772</v>
      </c>
      <c r="U247" s="142">
        <f t="shared" si="52"/>
        <v>0</v>
      </c>
      <c r="V247" s="142">
        <f t="shared" si="52"/>
        <v>0</v>
      </c>
      <c r="W247" s="142">
        <f t="shared" si="52"/>
        <v>0</v>
      </c>
      <c r="X247" s="142">
        <f t="shared" si="52"/>
        <v>0</v>
      </c>
      <c r="Y247" s="142">
        <f t="shared" si="52"/>
        <v>0</v>
      </c>
      <c r="Z247" s="142">
        <f t="shared" si="52"/>
        <v>0</v>
      </c>
      <c r="AA247" s="142">
        <f t="shared" si="52"/>
        <v>0</v>
      </c>
      <c r="AB247" s="142">
        <f t="shared" si="52"/>
        <v>0</v>
      </c>
      <c r="AC247" s="142">
        <f t="shared" si="52"/>
        <v>0</v>
      </c>
      <c r="AD247" s="142">
        <f t="shared" si="52"/>
        <v>0</v>
      </c>
      <c r="AE247" s="142">
        <f t="shared" si="52"/>
        <v>63.6818772</v>
      </c>
      <c r="AF247" s="142">
        <f t="shared" si="52"/>
        <v>0</v>
      </c>
      <c r="AG247" s="126">
        <f t="shared" si="53"/>
        <v>235.8956316</v>
      </c>
    </row>
    <row r="248">
      <c r="A248" s="240" t="s">
        <v>672</v>
      </c>
      <c r="B248" s="244">
        <f>(B13+B14+B125+B126)*'Data - P&amp;L'!$C$3</f>
        <v>0</v>
      </c>
      <c r="C248" s="244">
        <f>(C13+C14+C125+C126)*'Data - P&amp;L'!$C$3</f>
        <v>0</v>
      </c>
      <c r="D248" s="244">
        <f>(D13+D14+D125+D126)*'Data - P&amp;L'!$C$3</f>
        <v>0</v>
      </c>
      <c r="E248" s="244">
        <f>(E13+E14+E125+E126)*'Data - P&amp;L'!$C$3</f>
        <v>0</v>
      </c>
      <c r="F248" s="244">
        <f>(F13+F14+F125+F126)*'Data - P&amp;L'!$C$3</f>
        <v>0</v>
      </c>
      <c r="G248" s="244">
        <f>(G13+G14+G125+G126)*'Data - P&amp;L'!$C$3</f>
        <v>0</v>
      </c>
      <c r="H248" s="244">
        <f>(H13+H14+H125+H126)*'Data - P&amp;L'!$C$3</f>
        <v>0</v>
      </c>
      <c r="I248" s="244">
        <f>(I13+I14+I125+I126)*'Data - P&amp;L'!$C$3</f>
        <v>0</v>
      </c>
      <c r="J248" s="244">
        <f>(J13+J14+J125+J126)*'Data - P&amp;L'!$C$3</f>
        <v>0</v>
      </c>
      <c r="K248" s="244">
        <f>(K13+K14+K125+K126)*'Data - P&amp;L'!$C$3</f>
        <v>0</v>
      </c>
      <c r="L248" s="244">
        <f>(L13+L14+L125+L126)*'Data - P&amp;L'!$C$3</f>
        <v>0</v>
      </c>
      <c r="M248" s="244">
        <f>(M13+M14+M125+M126)*'Data - P&amp;L'!$C$3</f>
        <v>0</v>
      </c>
      <c r="N248" s="244">
        <f>(N13+N14+N125+N126)*'Data - P&amp;L'!$C$3</f>
        <v>0</v>
      </c>
      <c r="O248" s="244">
        <f>(O13+O14+O125+O126)*'Data - P&amp;L'!$C$3</f>
        <v>0</v>
      </c>
      <c r="P248" s="244">
        <f>(P13+P14+P125+P126)*'Data - P&amp;L'!$C$3</f>
        <v>0</v>
      </c>
      <c r="Q248" s="244">
        <f>(Q13+Q14+Q125+Q126)*'Data - P&amp;L'!$C$3</f>
        <v>0</v>
      </c>
      <c r="R248" s="244">
        <f>(R13+R14+R125+R126)*'Data - P&amp;L'!$C$3</f>
        <v>0</v>
      </c>
      <c r="S248" s="244">
        <f>(S13+S14+S125+S126)*'Data - P&amp;L'!$C$3</f>
        <v>0</v>
      </c>
      <c r="T248" s="244">
        <f>(T13+T14+T125+T126)*'Data - P&amp;L'!$C$3</f>
        <v>0</v>
      </c>
      <c r="U248" s="244">
        <f>(U13+U14+U125+U126)*'Data - P&amp;L'!$C$3</f>
        <v>0</v>
      </c>
      <c r="V248" s="244">
        <f>(V13+V14+V125+V126)*'Data - P&amp;L'!$C$3</f>
        <v>0</v>
      </c>
      <c r="W248" s="244">
        <f>(W13+W14+W125+W126)*'Data - P&amp;L'!$C$3</f>
        <v>0</v>
      </c>
      <c r="X248" s="244">
        <f>(X13+X14+X125+X126)*'Data - P&amp;L'!$C$3</f>
        <v>0</v>
      </c>
      <c r="Y248" s="244">
        <f>(Y13+Y14+Y125+Y126)*'Data - P&amp;L'!$C$3</f>
        <v>0</v>
      </c>
      <c r="Z248" s="244">
        <f>(Z13+Z14+Z125+Z126)*'Data - P&amp;L'!$C$3</f>
        <v>0</v>
      </c>
      <c r="AA248" s="244">
        <f>(AA13+AA14+AA125+AA126)*'Data - P&amp;L'!$C$3</f>
        <v>0</v>
      </c>
      <c r="AB248" s="244">
        <f>(AB13+AB14+AB125+AB126)*'Data - P&amp;L'!$C$3</f>
        <v>0</v>
      </c>
      <c r="AC248" s="244">
        <f>(AC13+AC14+AC125+AC126)*'Data - P&amp;L'!$C$3</f>
        <v>0</v>
      </c>
      <c r="AD248" s="244">
        <f>(AD13+AD14+AD125+AD126)*'Data - P&amp;L'!$C$3</f>
        <v>0</v>
      </c>
      <c r="AE248" s="244">
        <f>(AE13+AE14+AE125+AE126)*'Data - P&amp;L'!$C$3</f>
        <v>0</v>
      </c>
      <c r="AF248" s="244">
        <f>(AF13+AF14+AF125+AF126)*'Data - P&amp;L'!$C$3</f>
        <v>0</v>
      </c>
      <c r="AG248" s="242">
        <f t="shared" si="53"/>
        <v>0</v>
      </c>
    </row>
    <row r="249" ht="19.5" customHeight="1">
      <c r="A249" s="243" t="s">
        <v>673</v>
      </c>
      <c r="B249" s="142">
        <f>(B15+B16+B127+B128)*'Data - P&amp;L'!$C$4</f>
        <v>0</v>
      </c>
      <c r="C249" s="142">
        <f>(C15+C16+C127+C128)*'Data - P&amp;L'!$C$4</f>
        <v>0</v>
      </c>
      <c r="D249" s="142">
        <f>(D15+D16+D127+D128)*'Data - P&amp;L'!$C$4</f>
        <v>0</v>
      </c>
      <c r="E249" s="142">
        <f>(E15+E16+E127+E128)*'Data - P&amp;L'!$C$4</f>
        <v>0</v>
      </c>
      <c r="F249" s="142">
        <f>(F15+F16+F127+F128)*'Data - P&amp;L'!$C$4</f>
        <v>0</v>
      </c>
      <c r="G249" s="142">
        <f>(G15+G16+G127+G128)*'Data - P&amp;L'!$C$4</f>
        <v>0</v>
      </c>
      <c r="H249" s="142">
        <f>(H15+H16+H127+H128)*'Data - P&amp;L'!$C$4</f>
        <v>0</v>
      </c>
      <c r="I249" s="142">
        <f>(I15+I16+I127+I128)*'Data - P&amp;L'!$C$4</f>
        <v>0</v>
      </c>
      <c r="J249" s="142">
        <f>(J15+J16+J127+J128)*'Data - P&amp;L'!$C$4</f>
        <v>0</v>
      </c>
      <c r="K249" s="142">
        <f>(K15+K16+K127+K128)*'Data - P&amp;L'!$C$4</f>
        <v>0</v>
      </c>
      <c r="L249" s="142">
        <f>(L15+L16+L127+L128)*'Data - P&amp;L'!$C$4</f>
        <v>0</v>
      </c>
      <c r="M249" s="142">
        <f>(M15+M16+M127+M128)*'Data - P&amp;L'!$C$4</f>
        <v>0</v>
      </c>
      <c r="N249" s="142">
        <f>(N15+N16+N127+N128)*'Data - P&amp;L'!$C$4</f>
        <v>0</v>
      </c>
      <c r="O249" s="142">
        <f>(O15+O16+O127+O128)*'Data - P&amp;L'!$C$4</f>
        <v>0</v>
      </c>
      <c r="P249" s="142">
        <f>(P15+P16+P127+P128)*'Data - P&amp;L'!$C$4</f>
        <v>0</v>
      </c>
      <c r="Q249" s="142">
        <f>(Q15+Q16+Q127+Q128)*'Data - P&amp;L'!$C$4</f>
        <v>0</v>
      </c>
      <c r="R249" s="142">
        <f>(R15+R16+R127+R128)*'Data - P&amp;L'!$C$4</f>
        <v>195.22</v>
      </c>
      <c r="S249" s="142">
        <f>(S15+S16+S127+S128)*'Data - P&amp;L'!$C$4</f>
        <v>0</v>
      </c>
      <c r="T249" s="142">
        <f>(T15+T16+T127+T128)*'Data - P&amp;L'!$C$4</f>
        <v>97.61</v>
      </c>
      <c r="U249" s="142">
        <f>(U15+U16+U127+U128)*'Data - P&amp;L'!$C$4</f>
        <v>0</v>
      </c>
      <c r="V249" s="142">
        <f>(V15+V16+V127+V128)*'Data - P&amp;L'!$C$4</f>
        <v>0</v>
      </c>
      <c r="W249" s="142">
        <f>(W15+W16+W127+W128)*'Data - P&amp;L'!$C$4</f>
        <v>0</v>
      </c>
      <c r="X249" s="142">
        <f>(X15+X16+X127+X128)*'Data - P&amp;L'!$C$4</f>
        <v>0</v>
      </c>
      <c r="Y249" s="142">
        <f>(Y15+Y16+Y127+Y128)*'Data - P&amp;L'!$C$4</f>
        <v>0</v>
      </c>
      <c r="Z249" s="142">
        <f>(Z15+Z16+Z127+Z128)*'Data - P&amp;L'!$C$4</f>
        <v>0</v>
      </c>
      <c r="AA249" s="142">
        <f>(AA15+AA16+AA127+AA128)*'Data - P&amp;L'!$C$4</f>
        <v>0</v>
      </c>
      <c r="AB249" s="142">
        <f>(AB15+AB16+AB127+AB128)*'Data - P&amp;L'!$C$4</f>
        <v>0</v>
      </c>
      <c r="AC249" s="142">
        <f>(AC15+AC16+AC127+AC128)*'Data - P&amp;L'!$C$4</f>
        <v>0</v>
      </c>
      <c r="AD249" s="142">
        <f>(AD15+AD16+AD127+AD128)*'Data - P&amp;L'!$C$4</f>
        <v>0</v>
      </c>
      <c r="AE249" s="142">
        <f>(AE15+AE16+AE127+AE128)*'Data - P&amp;L'!$C$4</f>
        <v>97.61</v>
      </c>
      <c r="AF249" s="142">
        <f>(AF15+AF16+AF127+AF128)*'Data - P&amp;L'!$C$4</f>
        <v>0</v>
      </c>
      <c r="AG249" s="126">
        <f t="shared" si="53"/>
        <v>390.44</v>
      </c>
    </row>
    <row r="250" ht="17.25" customHeight="1">
      <c r="A250" s="243" t="s">
        <v>674</v>
      </c>
      <c r="B250" s="142">
        <f>(B19+B131)*'Data - P&amp;L'!$C$6</f>
        <v>0</v>
      </c>
      <c r="C250" s="142">
        <f>(C19+C131)*'Data - P&amp;L'!$C$6</f>
        <v>0</v>
      </c>
      <c r="D250" s="142">
        <f>(D19+D131)*'Data - P&amp;L'!$C$6</f>
        <v>0</v>
      </c>
      <c r="E250" s="142">
        <f>(E19+E131)*'Data - P&amp;L'!$C$6</f>
        <v>0</v>
      </c>
      <c r="F250" s="142">
        <f>(F19+F131)*'Data - P&amp;L'!$C$6</f>
        <v>0</v>
      </c>
      <c r="G250" s="142">
        <f>(G19+G131)*'Data - P&amp;L'!$C$6</f>
        <v>0</v>
      </c>
      <c r="H250" s="142">
        <f>(H19+H131)*'Data - P&amp;L'!$C$6</f>
        <v>0</v>
      </c>
      <c r="I250" s="142">
        <f>(I19+I131)*'Data - P&amp;L'!$C$6</f>
        <v>0</v>
      </c>
      <c r="J250" s="142">
        <f>(J19+J131)*'Data - P&amp;L'!$C$6</f>
        <v>0</v>
      </c>
      <c r="K250" s="142">
        <f>(K19+K131)*'Data - P&amp;L'!$C$6</f>
        <v>0</v>
      </c>
      <c r="L250" s="142">
        <f>(L19+L131)*'Data - P&amp;L'!$C$6</f>
        <v>0</v>
      </c>
      <c r="M250" s="142">
        <f>(M19+M131)*'Data - P&amp;L'!$C$6</f>
        <v>0</v>
      </c>
      <c r="N250" s="142">
        <f>(N19+N131)*'Data - P&amp;L'!$C$6</f>
        <v>0</v>
      </c>
      <c r="O250" s="142">
        <f>(O19+O131)*'Data - P&amp;L'!$C$6</f>
        <v>0</v>
      </c>
      <c r="P250" s="142">
        <f>(P19+P131)*'Data - P&amp;L'!$C$6</f>
        <v>0</v>
      </c>
      <c r="Q250" s="142">
        <f>(Q19+Q131)*'Data - P&amp;L'!$C$6</f>
        <v>0</v>
      </c>
      <c r="R250" s="142">
        <f>(R19+R131)*'Data - P&amp;L'!$C$6</f>
        <v>0</v>
      </c>
      <c r="S250" s="142">
        <f>(S19+S131)*'Data - P&amp;L'!$C$6</f>
        <v>0</v>
      </c>
      <c r="T250" s="142">
        <f>(T19+T131)*'Data - P&amp;L'!$C$6</f>
        <v>0</v>
      </c>
      <c r="U250" s="142">
        <f>(U19+U131)*'Data - P&amp;L'!$C$6</f>
        <v>0</v>
      </c>
      <c r="V250" s="142">
        <f>(V19+V131)*'Data - P&amp;L'!$C$6</f>
        <v>0</v>
      </c>
      <c r="W250" s="142">
        <f>(W19+W131)*'Data - P&amp;L'!$C$6</f>
        <v>0</v>
      </c>
      <c r="X250" s="142">
        <f>(X19+X131)*'Data - P&amp;L'!$C$6</f>
        <v>0</v>
      </c>
      <c r="Y250" s="142">
        <f>(Y19+Y131)*'Data - P&amp;L'!$C$6</f>
        <v>0</v>
      </c>
      <c r="Z250" s="142">
        <f>(Z19+Z131)*'Data - P&amp;L'!$C$6</f>
        <v>0</v>
      </c>
      <c r="AA250" s="142">
        <f>(AA19+AA131)*'Data - P&amp;L'!$C$6</f>
        <v>0</v>
      </c>
      <c r="AB250" s="142">
        <f>(AB19+AB131)*'Data - P&amp;L'!$C$6</f>
        <v>0</v>
      </c>
      <c r="AC250" s="142">
        <f>(AC19+AC131)*'Data - P&amp;L'!$C$6</f>
        <v>0</v>
      </c>
      <c r="AD250" s="142">
        <f>(AD19+AD131)*'Data - P&amp;L'!$C$6</f>
        <v>0</v>
      </c>
      <c r="AE250" s="142">
        <f>(AE19+AE131)*'Data - P&amp;L'!$C$6</f>
        <v>0</v>
      </c>
      <c r="AF250" s="142">
        <f>(AF19+AF131)*'Data - P&amp;L'!$C$6</f>
        <v>0</v>
      </c>
      <c r="AG250" s="126">
        <f t="shared" si="53"/>
        <v>0</v>
      </c>
    </row>
    <row r="251">
      <c r="A251" s="243" t="s">
        <v>675</v>
      </c>
      <c r="B251" s="142">
        <f>(B20+B132)*'Data - P&amp;L'!$C$8</f>
        <v>0</v>
      </c>
      <c r="C251" s="142">
        <f>(C20+C132)*'Data - P&amp;L'!$C$8</f>
        <v>0</v>
      </c>
      <c r="D251" s="142">
        <f>(D20+D132)*'Data - P&amp;L'!$C$8</f>
        <v>0</v>
      </c>
      <c r="E251" s="142">
        <f>(E20+E132)*'Data - P&amp;L'!$C$8</f>
        <v>0</v>
      </c>
      <c r="F251" s="142">
        <f>(F20+F132)*'Data - P&amp;L'!$C$8</f>
        <v>0</v>
      </c>
      <c r="G251" s="142">
        <f>(G20+G132)*'Data - P&amp;L'!$C$8</f>
        <v>0</v>
      </c>
      <c r="H251" s="142">
        <f>(H20+H132)*'Data - P&amp;L'!$C$8</f>
        <v>0</v>
      </c>
      <c r="I251" s="142">
        <f>(I20+I132)*'Data - P&amp;L'!$C$8</f>
        <v>0</v>
      </c>
      <c r="J251" s="142">
        <f>(J20+J132)*'Data - P&amp;L'!$C$8</f>
        <v>0</v>
      </c>
      <c r="K251" s="142">
        <f>(K20+K132)*'Data - P&amp;L'!$C$8</f>
        <v>0</v>
      </c>
      <c r="L251" s="142">
        <f>(L20+L132)*'Data - P&amp;L'!$C$8</f>
        <v>0</v>
      </c>
      <c r="M251" s="142">
        <f>(M20+M132)*'Data - P&amp;L'!$C$8</f>
        <v>0</v>
      </c>
      <c r="N251" s="142">
        <f>(N20+N132)*'Data - P&amp;L'!$C$8</f>
        <v>0</v>
      </c>
      <c r="O251" s="142">
        <f>(O20+O132)*'Data - P&amp;L'!$C$8</f>
        <v>0</v>
      </c>
      <c r="P251" s="142">
        <f>(P20+P132)*'Data - P&amp;L'!$C$8</f>
        <v>0</v>
      </c>
      <c r="Q251" s="142">
        <f>(Q20+Q132)*'Data - P&amp;L'!$C$8</f>
        <v>0</v>
      </c>
      <c r="R251" s="142">
        <f>(R20+R132)*'Data - P&amp;L'!$C$8</f>
        <v>0</v>
      </c>
      <c r="S251" s="142">
        <f>(S20+S132)*'Data - P&amp;L'!$C$8</f>
        <v>0</v>
      </c>
      <c r="T251" s="142">
        <f>(T20+T132)*'Data - P&amp;L'!$C$8</f>
        <v>0</v>
      </c>
      <c r="U251" s="142">
        <f>(U20+U132)*'Data - P&amp;L'!$C$8</f>
        <v>0</v>
      </c>
      <c r="V251" s="142">
        <f>(V20+V132)*'Data - P&amp;L'!$C$8</f>
        <v>0</v>
      </c>
      <c r="W251" s="142">
        <f>(W20+W132)*'Data - P&amp;L'!$C$8</f>
        <v>0</v>
      </c>
      <c r="X251" s="142">
        <f>(X20+X132)*'Data - P&amp;L'!$C$8</f>
        <v>0</v>
      </c>
      <c r="Y251" s="142">
        <f>(Y20+Y132)*'Data - P&amp;L'!$C$8</f>
        <v>0</v>
      </c>
      <c r="Z251" s="142">
        <f>(Z20+Z132)*'Data - P&amp;L'!$C$8</f>
        <v>0</v>
      </c>
      <c r="AA251" s="142">
        <f>(AA20+AA132)*'Data - P&amp;L'!$C$8</f>
        <v>0</v>
      </c>
      <c r="AB251" s="142">
        <f>(AB20+AB132)*'Data - P&amp;L'!$C$8</f>
        <v>0</v>
      </c>
      <c r="AC251" s="142">
        <f>(AC20+AC132)*'Data - P&amp;L'!$C$8</f>
        <v>0</v>
      </c>
      <c r="AD251" s="142">
        <f>(AD20+AD132)*'Data - P&amp;L'!$C$8</f>
        <v>0</v>
      </c>
      <c r="AE251" s="142">
        <f>(AE20+AE132)*'Data - P&amp;L'!$C$8</f>
        <v>0</v>
      </c>
      <c r="AF251" s="142">
        <f>(AF20+AF132)*'Data - P&amp;L'!$C$8</f>
        <v>0</v>
      </c>
      <c r="AG251" s="126">
        <f t="shared" si="53"/>
        <v>0</v>
      </c>
    </row>
    <row r="252" ht="15.75" customHeight="1">
      <c r="A252" s="243" t="s">
        <v>676</v>
      </c>
      <c r="B252" s="142">
        <f>(B21+B22+B133+B134)*'Data - P&amp;L'!$C$9</f>
        <v>0</v>
      </c>
      <c r="C252" s="142">
        <f>(C21+C22+C133+C134)*'Data - P&amp;L'!$C$9</f>
        <v>0</v>
      </c>
      <c r="D252" s="142">
        <f>(D21+D22+D133+D134)*'Data - P&amp;L'!$C$9</f>
        <v>0</v>
      </c>
      <c r="E252" s="142">
        <f>(E21+E22+E133+E134)*'Data - P&amp;L'!$C$9</f>
        <v>0</v>
      </c>
      <c r="F252" s="142">
        <f>(F21+F22+F133+F134)*'Data - P&amp;L'!$C$9</f>
        <v>0</v>
      </c>
      <c r="G252" s="142">
        <f>(G21+G22+G133+G134)*'Data - P&amp;L'!$C$9</f>
        <v>0</v>
      </c>
      <c r="H252" s="142">
        <f>(H21+H22+H133+H134)*'Data - P&amp;L'!$C$9</f>
        <v>0</v>
      </c>
      <c r="I252" s="142">
        <f>(I21+I22+I133+I134)*'Data - P&amp;L'!$C$9</f>
        <v>0</v>
      </c>
      <c r="J252" s="142">
        <f>(J21+J22+J133+J134)*'Data - P&amp;L'!$C$9</f>
        <v>0</v>
      </c>
      <c r="K252" s="142">
        <f>(K21+K22+K133+K134)*'Data - P&amp;L'!$C$9</f>
        <v>0</v>
      </c>
      <c r="L252" s="142">
        <f>(L21+L22+L133+L134)*'Data - P&amp;L'!$C$9</f>
        <v>0</v>
      </c>
      <c r="M252" s="142">
        <f>(M21+M22+M133+M134)*'Data - P&amp;L'!$C$9</f>
        <v>0</v>
      </c>
      <c r="N252" s="142">
        <f>(N21+N22+N133+N134)*'Data - P&amp;L'!$C$9</f>
        <v>0</v>
      </c>
      <c r="O252" s="142">
        <f>(O21+O22+O133+O134)*'Data - P&amp;L'!$C$9</f>
        <v>0</v>
      </c>
      <c r="P252" s="142">
        <f>(P21+P22+P133+P134)*'Data - P&amp;L'!$C$9</f>
        <v>0</v>
      </c>
      <c r="Q252" s="142">
        <f>(Q21+Q22+Q133+Q134)*'Data - P&amp;L'!$C$9</f>
        <v>0</v>
      </c>
      <c r="R252" s="142">
        <f>(R21+R22+R133+R134)*'Data - P&amp;L'!$C$9</f>
        <v>0</v>
      </c>
      <c r="S252" s="142">
        <f>(S21+S22+S133+S134)*'Data - P&amp;L'!$C$9</f>
        <v>0</v>
      </c>
      <c r="T252" s="142">
        <f>(T21+T22+T133+T134)*'Data - P&amp;L'!$C$9</f>
        <v>0</v>
      </c>
      <c r="U252" s="142">
        <f>(U21+U22+U133+U134)*'Data - P&amp;L'!$C$9</f>
        <v>0</v>
      </c>
      <c r="V252" s="142">
        <f>(V21+V22+V133+V134)*'Data - P&amp;L'!$C$9</f>
        <v>0</v>
      </c>
      <c r="W252" s="142">
        <f>(W21+W22+W133+W134)*'Data - P&amp;L'!$C$9</f>
        <v>0</v>
      </c>
      <c r="X252" s="142">
        <f>(X21+X22+X133+X134)*'Data - P&amp;L'!$C$9</f>
        <v>0</v>
      </c>
      <c r="Y252" s="142">
        <f>(Y21+Y22+Y133+Y134)*'Data - P&amp;L'!$C$9</f>
        <v>0</v>
      </c>
      <c r="Z252" s="142">
        <f>(Z21+Z22+Z133+Z134)*'Data - P&amp;L'!$C$9</f>
        <v>0</v>
      </c>
      <c r="AA252" s="142">
        <f>(AA21+AA22+AA133+AA134)*'Data - P&amp;L'!$C$9</f>
        <v>0</v>
      </c>
      <c r="AB252" s="142">
        <f>(AB21+AB22+AB133+AB134)*'Data - P&amp;L'!$C$9</f>
        <v>0</v>
      </c>
      <c r="AC252" s="142">
        <f>(AC21+AC22+AC133+AC134)*'Data - P&amp;L'!$C$9</f>
        <v>0</v>
      </c>
      <c r="AD252" s="142">
        <f>(AD21+AD22+AD133+AD134)*'Data - P&amp;L'!$C$9</f>
        <v>0</v>
      </c>
      <c r="AE252" s="142">
        <f>(AE21+AE22+AE133+AE134)*'Data - P&amp;L'!$C$9</f>
        <v>0</v>
      </c>
      <c r="AF252" s="142">
        <f>(AF21+AF22+AF133+AF134)*'Data - P&amp;L'!$C$9</f>
        <v>0</v>
      </c>
      <c r="AG252" s="126">
        <f t="shared" si="53"/>
        <v>0</v>
      </c>
    </row>
    <row r="253" ht="18.0" customHeight="1">
      <c r="A253" s="243" t="s">
        <v>677</v>
      </c>
      <c r="B253" s="142">
        <f>(B23+B24+B135+B136)*'Data - P&amp;L'!$C$5</f>
        <v>0</v>
      </c>
      <c r="C253" s="142">
        <f>(C23+C24+C135+C136)*'Data - P&amp;L'!$C$5</f>
        <v>0</v>
      </c>
      <c r="D253" s="142">
        <f>(D23+D24+D135+D136)*'Data - P&amp;L'!$C$5</f>
        <v>0</v>
      </c>
      <c r="E253" s="142">
        <f>(E23+E24+E135+E136)*'Data - P&amp;L'!$C$5</f>
        <v>0</v>
      </c>
      <c r="F253" s="142">
        <f>(F23+F24+F135+F136)*'Data - P&amp;L'!$C$5</f>
        <v>0</v>
      </c>
      <c r="G253" s="142">
        <f>(G23+G24+G135+G136)*'Data - P&amp;L'!$C$5</f>
        <v>0</v>
      </c>
      <c r="H253" s="142">
        <f>(H23+H24+H135+H136)*'Data - P&amp;L'!$C$5</f>
        <v>0</v>
      </c>
      <c r="I253" s="142">
        <f>(I23+I24+I135+I136)*'Data - P&amp;L'!$C$5</f>
        <v>0</v>
      </c>
      <c r="J253" s="142">
        <f>(J23+J24+J135+J136)*'Data - P&amp;L'!$C$5</f>
        <v>0</v>
      </c>
      <c r="K253" s="142">
        <f>(K23+K24+K135+K136)*'Data - P&amp;L'!$C$5</f>
        <v>0</v>
      </c>
      <c r="L253" s="142">
        <f>(L23+L24+L135+L136)*'Data - P&amp;L'!$C$5</f>
        <v>0</v>
      </c>
      <c r="M253" s="142">
        <f>(M23+M24+M135+M136)*'Data - P&amp;L'!$C$5</f>
        <v>0</v>
      </c>
      <c r="N253" s="142">
        <f>(N23+N24+N135+N136)*'Data - P&amp;L'!$C$5</f>
        <v>0</v>
      </c>
      <c r="O253" s="142">
        <f>(O23+O24+O135+O136)*'Data - P&amp;L'!$C$5</f>
        <v>0</v>
      </c>
      <c r="P253" s="142">
        <f>(P23+P24+P135+P136)*'Data - P&amp;L'!$C$5</f>
        <v>0</v>
      </c>
      <c r="Q253" s="142">
        <f>(Q23+Q24+Q135+Q136)*'Data - P&amp;L'!$C$5</f>
        <v>0</v>
      </c>
      <c r="R253" s="142">
        <f>(R23+R24+R135+R136)*'Data - P&amp;L'!$C$5</f>
        <v>0</v>
      </c>
      <c r="S253" s="142">
        <f>(S23+S24+S135+S136)*'Data - P&amp;L'!$C$5</f>
        <v>0</v>
      </c>
      <c r="T253" s="142">
        <f>(T23+T24+T135+T136)*'Data - P&amp;L'!$C$5</f>
        <v>0</v>
      </c>
      <c r="U253" s="142">
        <f>(U23+U24+U135+U136)*'Data - P&amp;L'!$C$5</f>
        <v>0</v>
      </c>
      <c r="V253" s="142">
        <f>(V23+V24+V135+V136)*'Data - P&amp;L'!$C$5</f>
        <v>0</v>
      </c>
      <c r="W253" s="142">
        <f>(W23+W24+W135+W136)*'Data - P&amp;L'!$C$5</f>
        <v>0</v>
      </c>
      <c r="X253" s="142">
        <f>(X23+X24+X135+X136)*'Data - P&amp;L'!$C$5</f>
        <v>0</v>
      </c>
      <c r="Y253" s="142">
        <f>(Y23+Y24+Y135+Y136)*'Data - P&amp;L'!$C$5</f>
        <v>0</v>
      </c>
      <c r="Z253" s="142">
        <f>(Z23+Z24+Z135+Z136)*'Data - P&amp;L'!$C$5</f>
        <v>0</v>
      </c>
      <c r="AA253" s="142">
        <f>(AA23+AA24+AA135+AA136)*'Data - P&amp;L'!$C$5</f>
        <v>0</v>
      </c>
      <c r="AB253" s="142">
        <f>(AB23+AB24+AB135+AB136)*'Data - P&amp;L'!$C$5</f>
        <v>0</v>
      </c>
      <c r="AC253" s="142">
        <f>(AC23+AC24+AC135+AC136)*'Data - P&amp;L'!$C$5</f>
        <v>0</v>
      </c>
      <c r="AD253" s="142">
        <f>(AD23+AD24+AD135+AD136)*'Data - P&amp;L'!$C$5</f>
        <v>0</v>
      </c>
      <c r="AE253" s="142">
        <f>(AE23+AE24+AE135+AE136)*'Data - P&amp;L'!$C$5</f>
        <v>0</v>
      </c>
      <c r="AF253" s="142">
        <f>(AF23+AF24+AF135+AF136)*'Data - P&amp;L'!$C$5</f>
        <v>0</v>
      </c>
      <c r="AG253" s="126">
        <f t="shared" si="53"/>
        <v>0</v>
      </c>
    </row>
    <row r="254">
      <c r="A254" s="249" t="s">
        <v>678</v>
      </c>
      <c r="B254" s="250">
        <f>(B25+B26+B137+B138)*'Data - P&amp;L'!$C$10</f>
        <v>0</v>
      </c>
      <c r="C254" s="250">
        <f>(C25+C26+C137+C138)*'Data - P&amp;L'!$C$10</f>
        <v>0</v>
      </c>
      <c r="D254" s="250">
        <f>(D25+D26+D137+D138)*'Data - P&amp;L'!$C$10</f>
        <v>0</v>
      </c>
      <c r="E254" s="250">
        <f>(E25+E26+E137+E138)*'Data - P&amp;L'!$C$10</f>
        <v>0</v>
      </c>
      <c r="F254" s="250">
        <f>(F25+F26+F137+F138)*'Data - P&amp;L'!$C$10</f>
        <v>0</v>
      </c>
      <c r="G254" s="250">
        <f>(G25+G26+G137+G138)*'Data - P&amp;L'!$C$10</f>
        <v>0</v>
      </c>
      <c r="H254" s="250">
        <f>(H25+H26+H137+H138)*'Data - P&amp;L'!$C$10</f>
        <v>0</v>
      </c>
      <c r="I254" s="250">
        <f>(I25+I26+I137+I138)*'Data - P&amp;L'!$C$10</f>
        <v>0</v>
      </c>
      <c r="J254" s="250">
        <f>(J25+J26+J137+J138)*'Data - P&amp;L'!$C$10</f>
        <v>0</v>
      </c>
      <c r="K254" s="250">
        <f>(K25+K26+K137+K138)*'Data - P&amp;L'!$C$10</f>
        <v>0</v>
      </c>
      <c r="L254" s="250">
        <f>(L25+L26+L137+L138)*'Data - P&amp;L'!$C$10</f>
        <v>0</v>
      </c>
      <c r="M254" s="250">
        <f>(M25+M26+M137+M138)*'Data - P&amp;L'!$C$10</f>
        <v>0</v>
      </c>
      <c r="N254" s="250">
        <f>(N25+N26+N137+N138)*'Data - P&amp;L'!$C$10</f>
        <v>0</v>
      </c>
      <c r="O254" s="250">
        <f>(O25+O26+O137+O138)*'Data - P&amp;L'!$C$10</f>
        <v>0</v>
      </c>
      <c r="P254" s="250">
        <f>(P25+P26+P137+P138)*'Data - P&amp;L'!$C$10</f>
        <v>0</v>
      </c>
      <c r="Q254" s="250">
        <f>(Q25+Q26+Q137+Q138)*'Data - P&amp;L'!$C$10</f>
        <v>0</v>
      </c>
      <c r="R254" s="250">
        <f>(R25+R26+R137+R138)*'Data - P&amp;L'!$C$10</f>
        <v>0</v>
      </c>
      <c r="S254" s="250">
        <f>(S25+S26+S137+S138)*'Data - P&amp;L'!$C$10</f>
        <v>0</v>
      </c>
      <c r="T254" s="250">
        <f>(T25+T26+T137+T138)*'Data - P&amp;L'!$C$10</f>
        <v>0</v>
      </c>
      <c r="U254" s="250">
        <f>(U25+U26+U137+U138)*'Data - P&amp;L'!$C$10</f>
        <v>0</v>
      </c>
      <c r="V254" s="250">
        <f>(V25+V26+V137+V138)*'Data - P&amp;L'!$C$10</f>
        <v>0</v>
      </c>
      <c r="W254" s="250">
        <f>(W25+W26+W137+W138)*'Data - P&amp;L'!$C$10</f>
        <v>0</v>
      </c>
      <c r="X254" s="250">
        <f>(X25+X26+X137+X138)*'Data - P&amp;L'!$C$10</f>
        <v>0</v>
      </c>
      <c r="Y254" s="250">
        <f>(Y25+Y26+Y137+Y138)*'Data - P&amp;L'!$C$10</f>
        <v>0</v>
      </c>
      <c r="Z254" s="250">
        <f>(Z25+Z26+Z137+Z138)*'Data - P&amp;L'!$C$10</f>
        <v>0</v>
      </c>
      <c r="AA254" s="250">
        <f>(AA25+AA26+AA137+AA138)*'Data - P&amp;L'!$C$10</f>
        <v>0</v>
      </c>
      <c r="AB254" s="250">
        <f>(AB25+AB26+AB137+AB138)*'Data - P&amp;L'!$C$10</f>
        <v>0</v>
      </c>
      <c r="AC254" s="250">
        <f>(AC25+AC26+AC137+AC138)*'Data - P&amp;L'!$C$10</f>
        <v>0</v>
      </c>
      <c r="AD254" s="250">
        <f>(AD25+AD26+AD137+AD138)*'Data - P&amp;L'!$C$10</f>
        <v>0</v>
      </c>
      <c r="AE254" s="250">
        <f>(AE25+AE26+AE137+AE138)*'Data - P&amp;L'!$C$10</f>
        <v>0</v>
      </c>
      <c r="AF254" s="250">
        <f>(AF25+AF26+AF137+AF138)*'Data - P&amp;L'!$C$10</f>
        <v>0</v>
      </c>
      <c r="AG254" s="132">
        <f t="shared" si="53"/>
        <v>0</v>
      </c>
    </row>
    <row r="255" ht="16.5" customHeight="1">
      <c r="A255" s="448" t="s">
        <v>679</v>
      </c>
      <c r="B255" s="244">
        <f>(B17*'Data - P&amp;L'!$C$38)+(B129*'Data - P&amp;L'!$C$39)</f>
        <v>0</v>
      </c>
      <c r="C255" s="244">
        <f>(C17*'Data - P&amp;L'!$C$38)+(C129*'Data - P&amp;L'!$C$39)</f>
        <v>0</v>
      </c>
      <c r="D255" s="244">
        <f>(D17*'Data - P&amp;L'!$C$38)+(D129*'Data - P&amp;L'!$C$39)</f>
        <v>0</v>
      </c>
      <c r="E255" s="244">
        <f>(E17*'Data - P&amp;L'!$C$38)+(E129*'Data - P&amp;L'!$C$39)</f>
        <v>0</v>
      </c>
      <c r="F255" s="244">
        <f>(F17*'Data - P&amp;L'!$C$38)+(F129*'Data - P&amp;L'!$C$39)</f>
        <v>0</v>
      </c>
      <c r="G255" s="244">
        <f>(G17*'Data - P&amp;L'!$C$38)+(G129*'Data - P&amp;L'!$C$39)</f>
        <v>0</v>
      </c>
      <c r="H255" s="244">
        <f>(H17*'Data - P&amp;L'!$C$38)+(H129*'Data - P&amp;L'!$C$39)</f>
        <v>0</v>
      </c>
      <c r="I255" s="244">
        <f>(I17*'Data - P&amp;L'!$C$38)+(I129*'Data - P&amp;L'!$C$39)</f>
        <v>0</v>
      </c>
      <c r="J255" s="244">
        <f>(J17*'Data - P&amp;L'!$C$38)+(J129*'Data - P&amp;L'!$C$39)</f>
        <v>0</v>
      </c>
      <c r="K255" s="244">
        <f>(K17*'Data - P&amp;L'!$C$38)+(K129*'Data - P&amp;L'!$C$39)</f>
        <v>0</v>
      </c>
      <c r="L255" s="244">
        <f>(L17*'Data - P&amp;L'!$C$38)+(L129*'Data - P&amp;L'!$C$39)</f>
        <v>0</v>
      </c>
      <c r="M255" s="244">
        <f>(M17*'Data - P&amp;L'!$C$38)+(M129*'Data - P&amp;L'!$C$39)</f>
        <v>0</v>
      </c>
      <c r="N255" s="244">
        <f>(N17*'Data - P&amp;L'!$C$38)+(N129*'Data - P&amp;L'!$C$39)</f>
        <v>0</v>
      </c>
      <c r="O255" s="244">
        <f>(O17*'Data - P&amp;L'!$C$38)+(O129*'Data - P&amp;L'!$C$39)</f>
        <v>0</v>
      </c>
      <c r="P255" s="244">
        <f>(P17*'Data - P&amp;L'!$C$38)+(P129*'Data - P&amp;L'!$C$39)</f>
        <v>0</v>
      </c>
      <c r="Q255" s="244">
        <f>(Q17*'Data - P&amp;L'!$C$38)+(Q129*'Data - P&amp;L'!$C$39)</f>
        <v>0</v>
      </c>
      <c r="R255" s="244">
        <f>(R17*'Data - P&amp;L'!$C$38)+(R129*'Data - P&amp;L'!$C$39)</f>
        <v>23.88</v>
      </c>
      <c r="S255" s="244">
        <f>(S17*'Data - P&amp;L'!$C$38)+(S129*'Data - P&amp;L'!$C$39)</f>
        <v>0</v>
      </c>
      <c r="T255" s="244">
        <f>(T17*'Data - P&amp;L'!$C$38)+(T129*'Data - P&amp;L'!$C$39)</f>
        <v>11.94</v>
      </c>
      <c r="U255" s="244">
        <f>(U17*'Data - P&amp;L'!$C$38)+(U129*'Data - P&amp;L'!$C$39)</f>
        <v>0</v>
      </c>
      <c r="V255" s="244">
        <f>(V17*'Data - P&amp;L'!$C$38)+(V129*'Data - P&amp;L'!$C$39)</f>
        <v>0</v>
      </c>
      <c r="W255" s="244">
        <f>(W17*'Data - P&amp;L'!$C$38)+(W129*'Data - P&amp;L'!$C$39)</f>
        <v>0</v>
      </c>
      <c r="X255" s="244">
        <f>(X17*'Data - P&amp;L'!$C$38)+(X129*'Data - P&amp;L'!$C$39)</f>
        <v>0</v>
      </c>
      <c r="Y255" s="244">
        <f>(Y17*'Data - P&amp;L'!$C$38)+(Y129*'Data - P&amp;L'!$C$39)</f>
        <v>0</v>
      </c>
      <c r="Z255" s="244">
        <f>(Z17*'Data - P&amp;L'!$C$38)+(Z129*'Data - P&amp;L'!$C$39)</f>
        <v>0</v>
      </c>
      <c r="AA255" s="244">
        <f>(AA17*'Data - P&amp;L'!$C$38)+(AA129*'Data - P&amp;L'!$C$39)</f>
        <v>0</v>
      </c>
      <c r="AB255" s="244">
        <f>(AB17*'Data - P&amp;L'!$C$38)+(AB129*'Data - P&amp;L'!$C$39)</f>
        <v>0</v>
      </c>
      <c r="AC255" s="244">
        <f>(AC17*'Data - P&amp;L'!$C$38)+(AC129*'Data - P&amp;L'!$C$39)</f>
        <v>0</v>
      </c>
      <c r="AD255" s="244">
        <f>(AD17*'Data - P&amp;L'!$C$38)+(AD129*'Data - P&amp;L'!$C$39)</f>
        <v>0</v>
      </c>
      <c r="AE255" s="244">
        <f>(AE17*'Data - P&amp;L'!$C$38)+(AE129*'Data - P&amp;L'!$C$39)</f>
        <v>11.94</v>
      </c>
      <c r="AF255" s="244">
        <f>(AF17*'Data - P&amp;L'!$C$38)+(AF129*'Data - P&amp;L'!$C$39)</f>
        <v>0</v>
      </c>
      <c r="AG255" s="242">
        <f t="shared" si="53"/>
        <v>47.76</v>
      </c>
    </row>
    <row r="256" ht="20.25" customHeight="1">
      <c r="A256" s="243" t="s">
        <v>680</v>
      </c>
      <c r="B256" s="142">
        <f>(B17*'Data - P&amp;L'!$C$34)+(B129*'Data - P&amp;L'!$C$35)</f>
        <v>0</v>
      </c>
      <c r="C256" s="142">
        <f>(C17*'Data - P&amp;L'!$C$34)+(C129*'Data - P&amp;L'!$C$35)</f>
        <v>0</v>
      </c>
      <c r="D256" s="142">
        <f>(D17*'Data - P&amp;L'!$C$34)+(D129*'Data - P&amp;L'!$C$35)</f>
        <v>0</v>
      </c>
      <c r="E256" s="142">
        <f>(E17*'Data - P&amp;L'!$C$34)+(E129*'Data - P&amp;L'!$C$35)</f>
        <v>0</v>
      </c>
      <c r="F256" s="142">
        <f>(F17*'Data - P&amp;L'!$C$34)+(F129*'Data - P&amp;L'!$C$35)</f>
        <v>0</v>
      </c>
      <c r="G256" s="142">
        <f>(G17*'Data - P&amp;L'!$C$34)+(G129*'Data - P&amp;L'!$C$35)</f>
        <v>0</v>
      </c>
      <c r="H256" s="142">
        <f>(H17*'Data - P&amp;L'!$C$34)+(H129*'Data - P&amp;L'!$C$35)</f>
        <v>0</v>
      </c>
      <c r="I256" s="142">
        <f>(I17*'Data - P&amp;L'!$C$34)+(I129*'Data - P&amp;L'!$C$35)</f>
        <v>0</v>
      </c>
      <c r="J256" s="142">
        <f>(J17*'Data - P&amp;L'!$C$34)+(J129*'Data - P&amp;L'!$C$35)</f>
        <v>0</v>
      </c>
      <c r="K256" s="142">
        <f>(K17*'Data - P&amp;L'!$C$34)+(K129*'Data - P&amp;L'!$C$35)</f>
        <v>0</v>
      </c>
      <c r="L256" s="142">
        <f>(L17*'Data - P&amp;L'!$C$34)+(L129*'Data - P&amp;L'!$C$35)</f>
        <v>0</v>
      </c>
      <c r="M256" s="142">
        <f>(M17*'Data - P&amp;L'!$C$34)+(M129*'Data - P&amp;L'!$C$35)</f>
        <v>0</v>
      </c>
      <c r="N256" s="142">
        <f>(N17*'Data - P&amp;L'!$C$34)+(N129*'Data - P&amp;L'!$C$35)</f>
        <v>0</v>
      </c>
      <c r="O256" s="142">
        <f>(O17*'Data - P&amp;L'!$C$34)+(O129*'Data - P&amp;L'!$C$35)</f>
        <v>0</v>
      </c>
      <c r="P256" s="142">
        <f>(P17*'Data - P&amp;L'!$C$34)+(P129*'Data - P&amp;L'!$C$35)</f>
        <v>0</v>
      </c>
      <c r="Q256" s="142">
        <f>(Q17*'Data - P&amp;L'!$C$34)+(Q129*'Data - P&amp;L'!$C$35)</f>
        <v>0</v>
      </c>
      <c r="R256" s="142">
        <f>(R17*'Data - P&amp;L'!$C$34)+(R129*'Data - P&amp;L'!$C$35)</f>
        <v>58.64</v>
      </c>
      <c r="S256" s="142">
        <f>(S17*'Data - P&amp;L'!$C$34)+(S129*'Data - P&amp;L'!$C$35)</f>
        <v>0</v>
      </c>
      <c r="T256" s="142">
        <f>(T17*'Data - P&amp;L'!$C$34)+(T129*'Data - P&amp;L'!$C$35)</f>
        <v>43.58</v>
      </c>
      <c r="U256" s="142">
        <f>(U17*'Data - P&amp;L'!$C$34)+(U129*'Data - P&amp;L'!$C$35)</f>
        <v>0</v>
      </c>
      <c r="V256" s="142">
        <f>(V17*'Data - P&amp;L'!$C$34)+(V129*'Data - P&amp;L'!$C$35)</f>
        <v>0</v>
      </c>
      <c r="W256" s="142">
        <f>(W17*'Data - P&amp;L'!$C$34)+(W129*'Data - P&amp;L'!$C$35)</f>
        <v>0</v>
      </c>
      <c r="X256" s="142">
        <f>(X17*'Data - P&amp;L'!$C$34)+(X129*'Data - P&amp;L'!$C$35)</f>
        <v>0</v>
      </c>
      <c r="Y256" s="142">
        <f>(Y17*'Data - P&amp;L'!$C$34)+(Y129*'Data - P&amp;L'!$C$35)</f>
        <v>0</v>
      </c>
      <c r="Z256" s="142">
        <f>(Z17*'Data - P&amp;L'!$C$34)+(Z129*'Data - P&amp;L'!$C$35)</f>
        <v>0</v>
      </c>
      <c r="AA256" s="142">
        <f>(AA17*'Data - P&amp;L'!$C$34)+(AA129*'Data - P&amp;L'!$C$35)</f>
        <v>0</v>
      </c>
      <c r="AB256" s="142">
        <f>(AB17*'Data - P&amp;L'!$C$34)+(AB129*'Data - P&amp;L'!$C$35)</f>
        <v>0</v>
      </c>
      <c r="AC256" s="142">
        <f>(AC17*'Data - P&amp;L'!$C$34)+(AC129*'Data - P&amp;L'!$C$35)</f>
        <v>0</v>
      </c>
      <c r="AD256" s="142">
        <f>(AD17*'Data - P&amp;L'!$C$34)+(AD129*'Data - P&amp;L'!$C$35)</f>
        <v>0</v>
      </c>
      <c r="AE256" s="142">
        <f>(AE17*'Data - P&amp;L'!$C$34)+(AE129*'Data - P&amp;L'!$C$35)</f>
        <v>43.58</v>
      </c>
      <c r="AF256" s="142">
        <f>(AF17*'Data - P&amp;L'!$C$34)+(AF129*'Data - P&amp;L'!$C$35)</f>
        <v>0</v>
      </c>
      <c r="AG256" s="126">
        <f t="shared" si="53"/>
        <v>145.8</v>
      </c>
    </row>
    <row r="257" ht="20.25" customHeight="1">
      <c r="A257" s="243" t="s">
        <v>681</v>
      </c>
      <c r="B257" s="142">
        <f>(B27*'Data - P&amp;L'!$D$38)+(B139*'Data - P&amp;L'!$D$39)</f>
        <v>0</v>
      </c>
      <c r="C257" s="142">
        <f>(C27*'Data - P&amp;L'!$D$38)+(C139*'Data - P&amp;L'!$D$39)</f>
        <v>0</v>
      </c>
      <c r="D257" s="142">
        <f>(D27*'Data - P&amp;L'!$D$38)+(D139*'Data - P&amp;L'!$D$39)</f>
        <v>0</v>
      </c>
      <c r="E257" s="142">
        <f>(E27*'Data - P&amp;L'!$D$38)+(E139*'Data - P&amp;L'!$D$39)</f>
        <v>0</v>
      </c>
      <c r="F257" s="142">
        <f>(F27*'Data - P&amp;L'!$D$38)+(F139*'Data - P&amp;L'!$D$39)</f>
        <v>0</v>
      </c>
      <c r="G257" s="142">
        <f>(G27*'Data - P&amp;L'!$D$38)+(G139*'Data - P&amp;L'!$D$39)</f>
        <v>0</v>
      </c>
      <c r="H257" s="142">
        <f>(H27*'Data - P&amp;L'!$D$38)+(H139*'Data - P&amp;L'!$D$39)</f>
        <v>0</v>
      </c>
      <c r="I257" s="142">
        <f>(I27*'Data - P&amp;L'!$D$38)+(I139*'Data - P&amp;L'!$D$39)</f>
        <v>0</v>
      </c>
      <c r="J257" s="142">
        <f>(J27*'Data - P&amp;L'!$D$38)+(J139*'Data - P&amp;L'!$D$39)</f>
        <v>0</v>
      </c>
      <c r="K257" s="142">
        <f>(K27*'Data - P&amp;L'!$D$38)+(K139*'Data - P&amp;L'!$D$39)</f>
        <v>0</v>
      </c>
      <c r="L257" s="142">
        <f>(L27*'Data - P&amp;L'!$D$38)+(L139*'Data - P&amp;L'!$D$39)</f>
        <v>0</v>
      </c>
      <c r="M257" s="142">
        <f>(M27*'Data - P&amp;L'!$D$38)+(M139*'Data - P&amp;L'!$D$39)</f>
        <v>0</v>
      </c>
      <c r="N257" s="142">
        <f>(N27*'Data - P&amp;L'!$D$38)+(N139*'Data - P&amp;L'!$D$39)</f>
        <v>0</v>
      </c>
      <c r="O257" s="142">
        <f>(O27*'Data - P&amp;L'!$D$38)+(O139*'Data - P&amp;L'!$D$39)</f>
        <v>0</v>
      </c>
      <c r="P257" s="142">
        <f>(P27*'Data - P&amp;L'!$D$38)+(P139*'Data - P&amp;L'!$D$39)</f>
        <v>0</v>
      </c>
      <c r="Q257" s="142">
        <f>(Q27*'Data - P&amp;L'!$D$38)+(Q139*'Data - P&amp;L'!$D$39)</f>
        <v>0</v>
      </c>
      <c r="R257" s="142">
        <f>(R27*'Data - P&amp;L'!$D$38)+(R139*'Data - P&amp;L'!$D$39)</f>
        <v>0</v>
      </c>
      <c r="S257" s="142">
        <f>(S27*'Data - P&amp;L'!$D$38)+(S139*'Data - P&amp;L'!$D$39)</f>
        <v>0</v>
      </c>
      <c r="T257" s="142">
        <f>(T27*'Data - P&amp;L'!$D$38)+(T139*'Data - P&amp;L'!$D$39)</f>
        <v>0</v>
      </c>
      <c r="U257" s="142">
        <f>(U27*'Data - P&amp;L'!$D$38)+(U139*'Data - P&amp;L'!$D$39)</f>
        <v>0</v>
      </c>
      <c r="V257" s="142">
        <f>(V27*'Data - P&amp;L'!$D$38)+(V139*'Data - P&amp;L'!$D$39)</f>
        <v>0</v>
      </c>
      <c r="W257" s="142">
        <f>(W27*'Data - P&amp;L'!$D$38)+(W139*'Data - P&amp;L'!$D$39)</f>
        <v>0</v>
      </c>
      <c r="X257" s="142">
        <f>(X27*'Data - P&amp;L'!$D$38)+(X139*'Data - P&amp;L'!$D$39)</f>
        <v>0</v>
      </c>
      <c r="Y257" s="142">
        <f>(Y27*'Data - P&amp;L'!$D$38)+(Y139*'Data - P&amp;L'!$D$39)</f>
        <v>0</v>
      </c>
      <c r="Z257" s="142">
        <f>(Z27*'Data - P&amp;L'!$D$38)+(Z139*'Data - P&amp;L'!$D$39)</f>
        <v>0</v>
      </c>
      <c r="AA257" s="142">
        <f>(AA27*'Data - P&amp;L'!$D$38)+(AA139*'Data - P&amp;L'!$D$39)</f>
        <v>0</v>
      </c>
      <c r="AB257" s="142">
        <f>(AB27*'Data - P&amp;L'!$D$38)+(AB139*'Data - P&amp;L'!$D$39)</f>
        <v>0</v>
      </c>
      <c r="AC257" s="142">
        <f>(AC27*'Data - P&amp;L'!$D$38)+(AC139*'Data - P&amp;L'!$D$39)</f>
        <v>0</v>
      </c>
      <c r="AD257" s="142">
        <f>(AD27*'Data - P&amp;L'!$D$38)+(AD139*'Data - P&amp;L'!$D$39)</f>
        <v>0</v>
      </c>
      <c r="AE257" s="142">
        <f>(AE27*'Data - P&amp;L'!$D$38)+(AE139*'Data - P&amp;L'!$D$39)</f>
        <v>0</v>
      </c>
      <c r="AF257" s="142">
        <f>(AF27*'Data - P&amp;L'!$D$38)+(AF139*'Data - P&amp;L'!$D$39)</f>
        <v>0</v>
      </c>
      <c r="AG257" s="126">
        <f t="shared" si="53"/>
        <v>0</v>
      </c>
    </row>
    <row r="258" ht="20.25" customHeight="1">
      <c r="A258" s="249" t="s">
        <v>682</v>
      </c>
      <c r="B258" s="250">
        <f>(B27*'Data - P&amp;L'!$D$34)+(B139*'Data - P&amp;L'!$D$35)</f>
        <v>0</v>
      </c>
      <c r="C258" s="250">
        <f>(C27*'Data - P&amp;L'!$D$34)+(C139*'Data - P&amp;L'!$D$35)</f>
        <v>0</v>
      </c>
      <c r="D258" s="250">
        <f>(D27*'Data - P&amp;L'!$D$34)+(D139*'Data - P&amp;L'!$D$35)</f>
        <v>0</v>
      </c>
      <c r="E258" s="250">
        <f>(E27*'Data - P&amp;L'!$D$34)+(E139*'Data - P&amp;L'!$D$35)</f>
        <v>0</v>
      </c>
      <c r="F258" s="250">
        <f>(F27*'Data - P&amp;L'!$D$34)+(F139*'Data - P&amp;L'!$D$35)</f>
        <v>0</v>
      </c>
      <c r="G258" s="250">
        <f>(G27*'Data - P&amp;L'!$D$34)+(G139*'Data - P&amp;L'!$D$35)</f>
        <v>0</v>
      </c>
      <c r="H258" s="250">
        <f>(H27*'Data - P&amp;L'!$D$34)+(H139*'Data - P&amp;L'!$D$35)</f>
        <v>0</v>
      </c>
      <c r="I258" s="250">
        <f>(I27*'Data - P&amp;L'!$D$34)+(I139*'Data - P&amp;L'!$D$35)</f>
        <v>0</v>
      </c>
      <c r="J258" s="250">
        <f>(J27*'Data - P&amp;L'!$D$34)+(J139*'Data - P&amp;L'!$D$35)</f>
        <v>0</v>
      </c>
      <c r="K258" s="250">
        <f>(K27*'Data - P&amp;L'!$D$34)+(K139*'Data - P&amp;L'!$D$35)</f>
        <v>0</v>
      </c>
      <c r="L258" s="250">
        <f>(L27*'Data - P&amp;L'!$D$34)+(L139*'Data - P&amp;L'!$D$35)</f>
        <v>0</v>
      </c>
      <c r="M258" s="250">
        <f>(M27*'Data - P&amp;L'!$D$34)+(M139*'Data - P&amp;L'!$D$35)</f>
        <v>0</v>
      </c>
      <c r="N258" s="250">
        <f>(N27*'Data - P&amp;L'!$D$34)+(N139*'Data - P&amp;L'!$D$35)</f>
        <v>0</v>
      </c>
      <c r="O258" s="250">
        <f>(O27*'Data - P&amp;L'!$D$34)+(O139*'Data - P&amp;L'!$D$35)</f>
        <v>0</v>
      </c>
      <c r="P258" s="250">
        <f>(P27*'Data - P&amp;L'!$D$34)+(P139*'Data - P&amp;L'!$D$35)</f>
        <v>0</v>
      </c>
      <c r="Q258" s="250">
        <f>(Q27*'Data - P&amp;L'!$D$34)+(Q139*'Data - P&amp;L'!$D$35)</f>
        <v>0</v>
      </c>
      <c r="R258" s="250">
        <f>(R27*'Data - P&amp;L'!$D$34)+(R139*'Data - P&amp;L'!$D$35)</f>
        <v>0</v>
      </c>
      <c r="S258" s="250">
        <f>(S27*'Data - P&amp;L'!$D$34)+(S139*'Data - P&amp;L'!$D$35)</f>
        <v>0</v>
      </c>
      <c r="T258" s="250">
        <f>(T27*'Data - P&amp;L'!$D$34)+(T139*'Data - P&amp;L'!$D$35)</f>
        <v>0</v>
      </c>
      <c r="U258" s="250">
        <f>(U27*'Data - P&amp;L'!$D$34)+(U139*'Data - P&amp;L'!$D$35)</f>
        <v>0</v>
      </c>
      <c r="V258" s="250">
        <f>(V27*'Data - P&amp;L'!$D$34)+(V139*'Data - P&amp;L'!$D$35)</f>
        <v>0</v>
      </c>
      <c r="W258" s="250">
        <f>(W27*'Data - P&amp;L'!$D$34)+(W139*'Data - P&amp;L'!$D$35)</f>
        <v>0</v>
      </c>
      <c r="X258" s="250">
        <f>(X27*'Data - P&amp;L'!$D$34)+(X139*'Data - P&amp;L'!$D$35)</f>
        <v>0</v>
      </c>
      <c r="Y258" s="250">
        <f>(Y27*'Data - P&amp;L'!$D$34)+(Y139*'Data - P&amp;L'!$D$35)</f>
        <v>0</v>
      </c>
      <c r="Z258" s="250">
        <f>(Z27*'Data - P&amp;L'!$D$34)+(Z139*'Data - P&amp;L'!$D$35)</f>
        <v>0</v>
      </c>
      <c r="AA258" s="250">
        <f>(AA27*'Data - P&amp;L'!$D$34)+(AA139*'Data - P&amp;L'!$D$35)</f>
        <v>0</v>
      </c>
      <c r="AB258" s="250">
        <f>(AB27*'Data - P&amp;L'!$D$34)+(AB139*'Data - P&amp;L'!$D$35)</f>
        <v>0</v>
      </c>
      <c r="AC258" s="250">
        <f>(AC27*'Data - P&amp;L'!$D$34)+(AC139*'Data - P&amp;L'!$D$35)</f>
        <v>0</v>
      </c>
      <c r="AD258" s="250">
        <f>(AD27*'Data - P&amp;L'!$D$34)+(AD139*'Data - P&amp;L'!$D$35)</f>
        <v>0</v>
      </c>
      <c r="AE258" s="250">
        <f>(AE27*'Data - P&amp;L'!$D$34)+(AE139*'Data - P&amp;L'!$D$35)</f>
        <v>0</v>
      </c>
      <c r="AF258" s="250">
        <f>(AF27*'Data - P&amp;L'!$D$34)+(AF139*'Data - P&amp;L'!$D$35)</f>
        <v>0</v>
      </c>
      <c r="AG258" s="126">
        <f t="shared" si="53"/>
        <v>0</v>
      </c>
    </row>
    <row r="259">
      <c r="A259" s="240" t="s">
        <v>683</v>
      </c>
      <c r="B259" s="449">
        <f t="shared" ref="B259:AF259" si="54">B6</f>
        <v>0</v>
      </c>
      <c r="C259" s="449">
        <f t="shared" si="54"/>
        <v>0</v>
      </c>
      <c r="D259" s="449">
        <f t="shared" si="54"/>
        <v>0</v>
      </c>
      <c r="E259" s="449">
        <f t="shared" si="54"/>
        <v>0</v>
      </c>
      <c r="F259" s="449">
        <f t="shared" si="54"/>
        <v>0</v>
      </c>
      <c r="G259" s="449">
        <f t="shared" si="54"/>
        <v>0</v>
      </c>
      <c r="H259" s="449">
        <f t="shared" si="54"/>
        <v>0</v>
      </c>
      <c r="I259" s="449">
        <f t="shared" si="54"/>
        <v>0</v>
      </c>
      <c r="J259" s="449">
        <f t="shared" si="54"/>
        <v>0</v>
      </c>
      <c r="K259" s="449">
        <f t="shared" si="54"/>
        <v>0</v>
      </c>
      <c r="L259" s="449">
        <f t="shared" si="54"/>
        <v>0</v>
      </c>
      <c r="M259" s="449">
        <f t="shared" si="54"/>
        <v>0</v>
      </c>
      <c r="N259" s="449">
        <f t="shared" si="54"/>
        <v>0</v>
      </c>
      <c r="O259" s="449">
        <f t="shared" si="54"/>
        <v>0</v>
      </c>
      <c r="P259" s="449">
        <f t="shared" si="54"/>
        <v>0</v>
      </c>
      <c r="Q259" s="449">
        <f t="shared" si="54"/>
        <v>0</v>
      </c>
      <c r="R259" s="449">
        <f t="shared" si="54"/>
        <v>18.419386</v>
      </c>
      <c r="S259" s="449">
        <f t="shared" si="54"/>
        <v>0</v>
      </c>
      <c r="T259" s="449">
        <f t="shared" si="54"/>
        <v>18.419386</v>
      </c>
      <c r="U259" s="449">
        <f t="shared" si="54"/>
        <v>0</v>
      </c>
      <c r="V259" s="449">
        <f t="shared" si="54"/>
        <v>0</v>
      </c>
      <c r="W259" s="449">
        <f t="shared" si="54"/>
        <v>0</v>
      </c>
      <c r="X259" s="449">
        <f t="shared" si="54"/>
        <v>0</v>
      </c>
      <c r="Y259" s="449">
        <f t="shared" si="54"/>
        <v>0</v>
      </c>
      <c r="Z259" s="449">
        <f t="shared" si="54"/>
        <v>0</v>
      </c>
      <c r="AA259" s="449">
        <f t="shared" si="54"/>
        <v>0</v>
      </c>
      <c r="AB259" s="449">
        <f t="shared" si="54"/>
        <v>0</v>
      </c>
      <c r="AC259" s="449">
        <f t="shared" si="54"/>
        <v>0</v>
      </c>
      <c r="AD259" s="449">
        <f t="shared" si="54"/>
        <v>0</v>
      </c>
      <c r="AE259" s="449">
        <f t="shared" si="54"/>
        <v>18.419386</v>
      </c>
      <c r="AF259" s="449">
        <f t="shared" si="54"/>
        <v>0</v>
      </c>
      <c r="AG259" s="242">
        <f t="shared" si="53"/>
        <v>55.258158</v>
      </c>
    </row>
    <row r="260">
      <c r="A260" s="249" t="s">
        <v>684</v>
      </c>
      <c r="B260" s="450">
        <f t="shared" ref="B260:AF260" si="55">B118</f>
        <v>0</v>
      </c>
      <c r="C260" s="450">
        <f t="shared" si="55"/>
        <v>0</v>
      </c>
      <c r="D260" s="450">
        <f t="shared" si="55"/>
        <v>0</v>
      </c>
      <c r="E260" s="450">
        <f t="shared" si="55"/>
        <v>0</v>
      </c>
      <c r="F260" s="450">
        <f t="shared" si="55"/>
        <v>0</v>
      </c>
      <c r="G260" s="450">
        <f t="shared" si="55"/>
        <v>0</v>
      </c>
      <c r="H260" s="450">
        <f t="shared" si="55"/>
        <v>0</v>
      </c>
      <c r="I260" s="450">
        <f t="shared" si="55"/>
        <v>0</v>
      </c>
      <c r="J260" s="450">
        <f t="shared" si="55"/>
        <v>0</v>
      </c>
      <c r="K260" s="450">
        <f t="shared" si="55"/>
        <v>0</v>
      </c>
      <c r="L260" s="450">
        <f t="shared" si="55"/>
        <v>0</v>
      </c>
      <c r="M260" s="450">
        <f t="shared" si="55"/>
        <v>0</v>
      </c>
      <c r="N260" s="450">
        <f t="shared" si="55"/>
        <v>0</v>
      </c>
      <c r="O260" s="450">
        <f t="shared" si="55"/>
        <v>0</v>
      </c>
      <c r="P260" s="450">
        <f t="shared" si="55"/>
        <v>0</v>
      </c>
      <c r="Q260" s="450">
        <f t="shared" si="55"/>
        <v>0</v>
      </c>
      <c r="R260" s="450">
        <f t="shared" si="55"/>
        <v>0</v>
      </c>
      <c r="S260" s="450">
        <f t="shared" si="55"/>
        <v>0</v>
      </c>
      <c r="T260" s="450">
        <f t="shared" si="55"/>
        <v>0</v>
      </c>
      <c r="U260" s="450">
        <f t="shared" si="55"/>
        <v>0</v>
      </c>
      <c r="V260" s="450">
        <f t="shared" si="55"/>
        <v>0</v>
      </c>
      <c r="W260" s="450">
        <f t="shared" si="55"/>
        <v>0</v>
      </c>
      <c r="X260" s="450">
        <f t="shared" si="55"/>
        <v>0</v>
      </c>
      <c r="Y260" s="450">
        <f t="shared" si="55"/>
        <v>0</v>
      </c>
      <c r="Z260" s="450">
        <f t="shared" si="55"/>
        <v>0</v>
      </c>
      <c r="AA260" s="450">
        <f t="shared" si="55"/>
        <v>0</v>
      </c>
      <c r="AB260" s="450">
        <f t="shared" si="55"/>
        <v>0</v>
      </c>
      <c r="AC260" s="450">
        <f t="shared" si="55"/>
        <v>0</v>
      </c>
      <c r="AD260" s="450">
        <f t="shared" si="55"/>
        <v>0</v>
      </c>
      <c r="AE260" s="450">
        <f t="shared" si="55"/>
        <v>0</v>
      </c>
      <c r="AF260" s="450">
        <f t="shared" si="55"/>
        <v>0</v>
      </c>
      <c r="AG260" s="132">
        <f t="shared" si="53"/>
        <v>0</v>
      </c>
    </row>
    <row r="261">
      <c r="A261" s="451"/>
      <c r="B261" s="452"/>
      <c r="C261" s="452"/>
      <c r="D261" s="452"/>
      <c r="E261" s="452"/>
      <c r="F261" s="452"/>
      <c r="G261" s="452"/>
      <c r="H261" s="452"/>
      <c r="I261" s="452"/>
      <c r="J261" s="452"/>
      <c r="K261" s="452"/>
      <c r="L261" s="452"/>
      <c r="M261" s="452"/>
      <c r="N261" s="452"/>
      <c r="O261" s="452"/>
      <c r="P261" s="452"/>
      <c r="Q261" s="452"/>
      <c r="R261" s="452"/>
      <c r="S261" s="452"/>
      <c r="T261" s="452"/>
      <c r="U261" s="452"/>
      <c r="V261" s="452"/>
      <c r="W261" s="452"/>
      <c r="X261" s="452"/>
      <c r="Y261" s="452"/>
      <c r="Z261" s="452"/>
      <c r="AA261" s="452"/>
      <c r="AB261" s="452"/>
      <c r="AC261" s="452"/>
      <c r="AD261" s="452"/>
      <c r="AE261" s="452"/>
      <c r="AF261" s="452"/>
      <c r="AG261" s="242"/>
    </row>
    <row r="262">
      <c r="A262" s="318" t="s">
        <v>345</v>
      </c>
      <c r="B262" s="453">
        <f t="shared" ref="B262:AF262" si="56">SUM(B246:B260)</f>
        <v>0</v>
      </c>
      <c r="C262" s="257">
        <f t="shared" si="56"/>
        <v>0</v>
      </c>
      <c r="D262" s="257">
        <f t="shared" si="56"/>
        <v>0</v>
      </c>
      <c r="E262" s="257">
        <f t="shared" si="56"/>
        <v>0</v>
      </c>
      <c r="F262" s="257">
        <f t="shared" si="56"/>
        <v>0</v>
      </c>
      <c r="G262" s="257">
        <f t="shared" si="56"/>
        <v>0</v>
      </c>
      <c r="H262" s="257">
        <f t="shared" si="56"/>
        <v>0</v>
      </c>
      <c r="I262" s="257">
        <f t="shared" si="56"/>
        <v>0</v>
      </c>
      <c r="J262" s="257">
        <f t="shared" si="56"/>
        <v>0</v>
      </c>
      <c r="K262" s="257">
        <f t="shared" si="56"/>
        <v>0</v>
      </c>
      <c r="L262" s="257">
        <f t="shared" si="56"/>
        <v>0</v>
      </c>
      <c r="M262" s="257">
        <f t="shared" si="56"/>
        <v>0</v>
      </c>
      <c r="N262" s="257">
        <f t="shared" si="56"/>
        <v>0</v>
      </c>
      <c r="O262" s="257">
        <f t="shared" si="56"/>
        <v>0</v>
      </c>
      <c r="P262" s="257">
        <f t="shared" si="56"/>
        <v>0</v>
      </c>
      <c r="Q262" s="257">
        <f t="shared" si="56"/>
        <v>0</v>
      </c>
      <c r="R262" s="257">
        <f t="shared" si="56"/>
        <v>404.6912632</v>
      </c>
      <c r="S262" s="257">
        <f t="shared" si="56"/>
        <v>0</v>
      </c>
      <c r="T262" s="257">
        <f t="shared" si="56"/>
        <v>235.2312632</v>
      </c>
      <c r="U262" s="257">
        <f t="shared" si="56"/>
        <v>0</v>
      </c>
      <c r="V262" s="257">
        <f t="shared" si="56"/>
        <v>0</v>
      </c>
      <c r="W262" s="257">
        <f t="shared" si="56"/>
        <v>0</v>
      </c>
      <c r="X262" s="257">
        <f t="shared" si="56"/>
        <v>0</v>
      </c>
      <c r="Y262" s="257">
        <f t="shared" si="56"/>
        <v>0</v>
      </c>
      <c r="Z262" s="257">
        <f t="shared" si="56"/>
        <v>0</v>
      </c>
      <c r="AA262" s="257">
        <f t="shared" si="56"/>
        <v>0</v>
      </c>
      <c r="AB262" s="257">
        <f t="shared" si="56"/>
        <v>0</v>
      </c>
      <c r="AC262" s="257">
        <f t="shared" si="56"/>
        <v>0</v>
      </c>
      <c r="AD262" s="257">
        <f t="shared" si="56"/>
        <v>0</v>
      </c>
      <c r="AE262" s="257">
        <f t="shared" si="56"/>
        <v>235.2312632</v>
      </c>
      <c r="AF262" s="257">
        <f t="shared" si="56"/>
        <v>0</v>
      </c>
      <c r="AG262" s="454">
        <f>SUM(B262:AF262)</f>
        <v>875.1537896</v>
      </c>
    </row>
    <row r="263">
      <c r="A263" s="177"/>
      <c r="AG263" s="259"/>
    </row>
    <row r="264">
      <c r="A264" s="455" t="s">
        <v>350</v>
      </c>
      <c r="B264" s="456"/>
      <c r="C264" s="456"/>
      <c r="D264" s="456"/>
      <c r="E264" s="456"/>
      <c r="F264" s="456"/>
      <c r="G264" s="456"/>
      <c r="H264" s="456"/>
      <c r="I264" s="456"/>
      <c r="J264" s="456"/>
      <c r="K264" s="456"/>
      <c r="L264" s="456"/>
      <c r="M264" s="456"/>
      <c r="N264" s="456"/>
      <c r="O264" s="456"/>
      <c r="P264" s="456"/>
      <c r="Q264" s="456"/>
      <c r="R264" s="456"/>
      <c r="S264" s="456"/>
      <c r="T264" s="456"/>
      <c r="U264" s="456"/>
      <c r="V264" s="456"/>
      <c r="W264" s="456"/>
      <c r="X264" s="456"/>
      <c r="Y264" s="456"/>
      <c r="Z264" s="456"/>
      <c r="AA264" s="456"/>
      <c r="AB264" s="456"/>
      <c r="AC264" s="456"/>
      <c r="AD264" s="456"/>
      <c r="AE264" s="457"/>
      <c r="AF264" s="457"/>
      <c r="AG264" s="242"/>
    </row>
    <row r="265">
      <c r="A265" s="458" t="s">
        <v>685</v>
      </c>
      <c r="B265" s="403">
        <f t="shared" ref="B265:AF265" si="57">SUM(B266:B272)-B275</f>
        <v>0</v>
      </c>
      <c r="C265" s="403">
        <f t="shared" si="57"/>
        <v>0</v>
      </c>
      <c r="D265" s="403">
        <f t="shared" si="57"/>
        <v>-204.59</v>
      </c>
      <c r="E265" s="403">
        <f t="shared" si="57"/>
        <v>-246.06</v>
      </c>
      <c r="F265" s="403">
        <f t="shared" si="57"/>
        <v>0</v>
      </c>
      <c r="G265" s="403">
        <f t="shared" si="57"/>
        <v>0</v>
      </c>
      <c r="H265" s="403">
        <f t="shared" si="57"/>
        <v>0</v>
      </c>
      <c r="I265" s="403">
        <f t="shared" si="57"/>
        <v>-254.18</v>
      </c>
      <c r="J265" s="403">
        <f t="shared" si="57"/>
        <v>0</v>
      </c>
      <c r="K265" s="403">
        <f t="shared" si="57"/>
        <v>0</v>
      </c>
      <c r="L265" s="403">
        <f t="shared" si="57"/>
        <v>-403.53</v>
      </c>
      <c r="M265" s="403">
        <f t="shared" si="57"/>
        <v>-212.02</v>
      </c>
      <c r="N265" s="403">
        <f t="shared" si="57"/>
        <v>0</v>
      </c>
      <c r="O265" s="403">
        <f t="shared" si="57"/>
        <v>0</v>
      </c>
      <c r="P265" s="403">
        <f t="shared" si="57"/>
        <v>0</v>
      </c>
      <c r="Q265" s="403">
        <f t="shared" si="57"/>
        <v>0</v>
      </c>
      <c r="R265" s="403">
        <f t="shared" si="57"/>
        <v>0</v>
      </c>
      <c r="S265" s="403">
        <f t="shared" si="57"/>
        <v>0</v>
      </c>
      <c r="T265" s="403">
        <f t="shared" si="57"/>
        <v>0</v>
      </c>
      <c r="U265" s="403">
        <f t="shared" si="57"/>
        <v>0</v>
      </c>
      <c r="V265" s="403">
        <f t="shared" si="57"/>
        <v>0</v>
      </c>
      <c r="W265" s="403">
        <f t="shared" si="57"/>
        <v>0</v>
      </c>
      <c r="X265" s="403">
        <f t="shared" si="57"/>
        <v>0</v>
      </c>
      <c r="Y265" s="403">
        <f t="shared" si="57"/>
        <v>0</v>
      </c>
      <c r="Z265" s="403">
        <f t="shared" si="57"/>
        <v>0</v>
      </c>
      <c r="AA265" s="403">
        <f t="shared" si="57"/>
        <v>0</v>
      </c>
      <c r="AB265" s="403">
        <f t="shared" si="57"/>
        <v>0</v>
      </c>
      <c r="AC265" s="403">
        <f t="shared" si="57"/>
        <v>0</v>
      </c>
      <c r="AD265" s="403">
        <f t="shared" si="57"/>
        <v>0</v>
      </c>
      <c r="AE265" s="403">
        <f t="shared" si="57"/>
        <v>0</v>
      </c>
      <c r="AF265" s="403">
        <f t="shared" si="57"/>
        <v>0</v>
      </c>
      <c r="AG265" s="126">
        <f t="shared" ref="AG265:AG279" si="58">SUM(B265:AF265)</f>
        <v>-1320.38</v>
      </c>
    </row>
    <row r="266" outlineLevel="1">
      <c r="A266" s="272" t="s">
        <v>686</v>
      </c>
      <c r="B266" s="142">
        <f>(B32+B33+B144+B145)*'Data - P&amp;L'!$C$3</f>
        <v>0</v>
      </c>
      <c r="C266" s="142">
        <f>(C32+C33+C144+C145)*'Data - P&amp;L'!$C$3</f>
        <v>0</v>
      </c>
      <c r="D266" s="142">
        <f>(D32+D33+D144+D145)*'Data - P&amp;L'!$C$3</f>
        <v>0</v>
      </c>
      <c r="E266" s="142">
        <f>(E32+E33+E144+E145)*'Data - P&amp;L'!$C$3</f>
        <v>0</v>
      </c>
      <c r="F266" s="142">
        <f>(F32+F33+F144+F145)*'Data - P&amp;L'!$C$3</f>
        <v>0</v>
      </c>
      <c r="G266" s="142">
        <f>(G32+G33+G144+G145)*'Data - P&amp;L'!$C$3</f>
        <v>0</v>
      </c>
      <c r="H266" s="142">
        <f>(H32+H33+H144+H145)*'Data - P&amp;L'!$C$3</f>
        <v>0</v>
      </c>
      <c r="I266" s="142">
        <f>(I32+I33+I144+I145)*'Data - P&amp;L'!$C$3</f>
        <v>86.9</v>
      </c>
      <c r="J266" s="142">
        <f>(J32+J33+J144+J145)*'Data - P&amp;L'!$C$3</f>
        <v>0</v>
      </c>
      <c r="K266" s="142">
        <f>(K32+K33+K144+K145)*'Data - P&amp;L'!$C$3</f>
        <v>0</v>
      </c>
      <c r="L266" s="142">
        <f>(L32+L33+L144+L145)*'Data - P&amp;L'!$C$3</f>
        <v>0</v>
      </c>
      <c r="M266" s="142">
        <f>(M32+M33+M144+M145)*'Data - P&amp;L'!$C$3</f>
        <v>0</v>
      </c>
      <c r="N266" s="142">
        <f>(N32+N33+N144+N145)*'Data - P&amp;L'!$C$3</f>
        <v>0</v>
      </c>
      <c r="O266" s="142">
        <f>(O32+O33+O144+O145)*'Data - P&amp;L'!$C$3</f>
        <v>0</v>
      </c>
      <c r="P266" s="142">
        <f>(P32+P33+P144+P145)*'Data - P&amp;L'!$C$3</f>
        <v>0</v>
      </c>
      <c r="Q266" s="142">
        <f>(Q32+Q33+Q144+Q145)*'Data - P&amp;L'!$C$3</f>
        <v>0</v>
      </c>
      <c r="R266" s="142">
        <f>(R32+R33+R144+R145)*'Data - P&amp;L'!$C$3</f>
        <v>0</v>
      </c>
      <c r="S266" s="142">
        <f>(S32+S33+S144+S145)*'Data - P&amp;L'!$C$3</f>
        <v>0</v>
      </c>
      <c r="T266" s="142">
        <f>(T32+T33+T144+T145)*'Data - P&amp;L'!$C$3</f>
        <v>0</v>
      </c>
      <c r="U266" s="142">
        <f>(U32+U33+U144+U145)*'Data - P&amp;L'!$C$3</f>
        <v>0</v>
      </c>
      <c r="V266" s="142">
        <f>(V32+V33+V144+V145)*'Data - P&amp;L'!$C$3</f>
        <v>0</v>
      </c>
      <c r="W266" s="142">
        <f>(W32+W33+W144+W145)*'Data - P&amp;L'!$C$3</f>
        <v>0</v>
      </c>
      <c r="X266" s="142">
        <f>(X32+X33+X144+X145)*'Data - P&amp;L'!$C$3</f>
        <v>0</v>
      </c>
      <c r="Y266" s="142">
        <f>(Y32+Y33+Y144+Y145)*'Data - P&amp;L'!$C$3</f>
        <v>0</v>
      </c>
      <c r="Z266" s="142">
        <f>(Z32+Z33+Z144+Z145)*'Data - P&amp;L'!$C$3</f>
        <v>0</v>
      </c>
      <c r="AA266" s="142">
        <f>(AA32+AA33+AA144+AA145)*'Data - P&amp;L'!$C$3</f>
        <v>0</v>
      </c>
      <c r="AB266" s="142">
        <f>(AB32+AB33+AB144+AB145)*'Data - P&amp;L'!$C$3</f>
        <v>0</v>
      </c>
      <c r="AC266" s="142">
        <f>(AC32+AC33+AC144+AC145)*'Data - P&amp;L'!$C$3</f>
        <v>0</v>
      </c>
      <c r="AD266" s="142">
        <f>(AD32+AD33+AD144+AD145)*'Data - P&amp;L'!$C$3</f>
        <v>0</v>
      </c>
      <c r="AE266" s="142">
        <f>(AE32+AE33+AE144+AE145)*'Data - P&amp;L'!$C$3</f>
        <v>0</v>
      </c>
      <c r="AF266" s="142">
        <f>(AF32+AF33+AF144+AF145)*'Data - P&amp;L'!$C$3</f>
        <v>0</v>
      </c>
      <c r="AG266" s="126">
        <f t="shared" si="58"/>
        <v>86.9</v>
      </c>
    </row>
    <row r="267" outlineLevel="1">
      <c r="A267" s="272" t="s">
        <v>687</v>
      </c>
      <c r="B267" s="142">
        <f>(B34+B35+B146+B147)*'Data - P&amp;L'!$C$4</f>
        <v>0</v>
      </c>
      <c r="C267" s="142">
        <f>(C34+C35+C146+C147)*'Data - P&amp;L'!$C$4</f>
        <v>0</v>
      </c>
      <c r="D267" s="142">
        <f>(D34+D35+D146+D147)*'Data - P&amp;L'!$C$4</f>
        <v>97.61</v>
      </c>
      <c r="E267" s="142">
        <f>(E34+E35+E146+E147)*'Data - P&amp;L'!$C$4</f>
        <v>97.61</v>
      </c>
      <c r="F267" s="142">
        <f>(F34+F35+F146+F147)*'Data - P&amp;L'!$C$4</f>
        <v>0</v>
      </c>
      <c r="G267" s="142">
        <f>(G34+G35+G146+G147)*'Data - P&amp;L'!$C$4</f>
        <v>0</v>
      </c>
      <c r="H267" s="142">
        <f>(H34+H35+H146+H147)*'Data - P&amp;L'!$C$4</f>
        <v>0</v>
      </c>
      <c r="I267" s="142">
        <f>(I34+I35+I146+I147)*'Data - P&amp;L'!$C$4</f>
        <v>0</v>
      </c>
      <c r="J267" s="142">
        <f>(J34+J35+J146+J147)*'Data - P&amp;L'!$C$4</f>
        <v>0</v>
      </c>
      <c r="K267" s="142">
        <f>(K34+K35+K146+K147)*'Data - P&amp;L'!$C$4</f>
        <v>0</v>
      </c>
      <c r="L267" s="142">
        <f>(L34+L35+L146+L147)*'Data - P&amp;L'!$C$4</f>
        <v>195.22</v>
      </c>
      <c r="M267" s="142">
        <f>(M34+M35+M146+M147)*'Data - P&amp;L'!$C$4</f>
        <v>97.61</v>
      </c>
      <c r="N267" s="142">
        <f>(N34+N35+N146+N147)*'Data - P&amp;L'!$C$4</f>
        <v>0</v>
      </c>
      <c r="O267" s="142">
        <f>(O34+O35+O146+O147)*'Data - P&amp;L'!$C$4</f>
        <v>0</v>
      </c>
      <c r="P267" s="142">
        <f>(P34+P35+P146+P147)*'Data - P&amp;L'!$C$4</f>
        <v>0</v>
      </c>
      <c r="Q267" s="142">
        <f>(Q34+Q35+Q146+Q147)*'Data - P&amp;L'!$C$4</f>
        <v>0</v>
      </c>
      <c r="R267" s="142">
        <f>(R34+R35+R146+R147)*'Data - P&amp;L'!$C$4</f>
        <v>0</v>
      </c>
      <c r="S267" s="142">
        <f>(S34+S35+S146+S147)*'Data - P&amp;L'!$C$4</f>
        <v>0</v>
      </c>
      <c r="T267" s="142">
        <f>(T34+T35+T146+T147)*'Data - P&amp;L'!$C$4</f>
        <v>0</v>
      </c>
      <c r="U267" s="142">
        <f>(U34+U35+U146+U147)*'Data - P&amp;L'!$C$4</f>
        <v>0</v>
      </c>
      <c r="V267" s="142">
        <f>(V34+V35+V146+V147)*'Data - P&amp;L'!$C$4</f>
        <v>0</v>
      </c>
      <c r="W267" s="142">
        <f>(W34+W35+W146+W147)*'Data - P&amp;L'!$C$4</f>
        <v>0</v>
      </c>
      <c r="X267" s="142">
        <f>(X34+X35+X146+X147)*'Data - P&amp;L'!$C$4</f>
        <v>0</v>
      </c>
      <c r="Y267" s="142">
        <f>(Y34+Y35+Y146+Y147)*'Data - P&amp;L'!$C$4</f>
        <v>0</v>
      </c>
      <c r="Z267" s="142">
        <f>(Z34+Z35+Z146+Z147)*'Data - P&amp;L'!$C$4</f>
        <v>0</v>
      </c>
      <c r="AA267" s="142">
        <f>(AA34+AA35+AA146+AA147)*'Data - P&amp;L'!$C$4</f>
        <v>0</v>
      </c>
      <c r="AB267" s="142">
        <f>(AB34+AB35+AB146+AB147)*'Data - P&amp;L'!$C$4</f>
        <v>0</v>
      </c>
      <c r="AC267" s="142">
        <f>(AC34+AC35+AC146+AC147)*'Data - P&amp;L'!$C$4</f>
        <v>0</v>
      </c>
      <c r="AD267" s="142">
        <f>(AD34+AD35+AD146+AD147)*'Data - P&amp;L'!$C$4</f>
        <v>0</v>
      </c>
      <c r="AE267" s="142">
        <f>(AE34+AE35+AE146+AE147)*'Data - P&amp;L'!$C$4</f>
        <v>0</v>
      </c>
      <c r="AF267" s="142">
        <f>(AF34+AF35+AF146+AF147)*'Data - P&amp;L'!$C$4</f>
        <v>0</v>
      </c>
      <c r="AG267" s="126">
        <f t="shared" si="58"/>
        <v>488.05</v>
      </c>
    </row>
    <row r="268" outlineLevel="1">
      <c r="A268" s="272" t="s">
        <v>688</v>
      </c>
      <c r="B268" s="142">
        <f>(B39+B151)*'Data - P&amp;L'!$C$6</f>
        <v>0</v>
      </c>
      <c r="C268" s="142">
        <f>(C39+C151)*'Data - P&amp;L'!$C$6</f>
        <v>0</v>
      </c>
      <c r="D268" s="142">
        <f>(D39+D151)*'Data - P&amp;L'!$C$6</f>
        <v>0</v>
      </c>
      <c r="E268" s="142">
        <f>(E39+E151)*'Data - P&amp;L'!$C$6</f>
        <v>5.49</v>
      </c>
      <c r="F268" s="142">
        <f>(F39+F151)*'Data - P&amp;L'!$C$6</f>
        <v>0</v>
      </c>
      <c r="G268" s="142">
        <f>(G39+G151)*'Data - P&amp;L'!$C$6</f>
        <v>0</v>
      </c>
      <c r="H268" s="142">
        <f>(H39+H151)*'Data - P&amp;L'!$C$6</f>
        <v>0</v>
      </c>
      <c r="I268" s="142">
        <f>(I39+I151)*'Data - P&amp;L'!$C$6</f>
        <v>5.49</v>
      </c>
      <c r="J268" s="142">
        <f>(J39+J151)*'Data - P&amp;L'!$C$6</f>
        <v>0</v>
      </c>
      <c r="K268" s="142">
        <f>(K39+K151)*'Data - P&amp;L'!$C$6</f>
        <v>0</v>
      </c>
      <c r="L268" s="142">
        <f>(L39+L151)*'Data - P&amp;L'!$C$6</f>
        <v>0</v>
      </c>
      <c r="M268" s="142">
        <f>(M39+M151)*'Data - P&amp;L'!$C$6</f>
        <v>0</v>
      </c>
      <c r="N268" s="142">
        <f>(N39+N151)*'Data - P&amp;L'!$C$6</f>
        <v>0</v>
      </c>
      <c r="O268" s="142">
        <f>(O39+O151)*'Data - P&amp;L'!$C$6</f>
        <v>0</v>
      </c>
      <c r="P268" s="142">
        <f>(P39+P151)*'Data - P&amp;L'!$C$6</f>
        <v>0</v>
      </c>
      <c r="Q268" s="142">
        <f>(Q39+Q151)*'Data - P&amp;L'!$C$6</f>
        <v>0</v>
      </c>
      <c r="R268" s="142">
        <f>(R39+R151)*'Data - P&amp;L'!$C$6</f>
        <v>0</v>
      </c>
      <c r="S268" s="142">
        <f>(S39+S151)*'Data - P&amp;L'!$C$6</f>
        <v>0</v>
      </c>
      <c r="T268" s="142">
        <f>(T39+T151)*'Data - P&amp;L'!$C$6</f>
        <v>0</v>
      </c>
      <c r="U268" s="142">
        <f>(U39+U151)*'Data - P&amp;L'!$C$6</f>
        <v>0</v>
      </c>
      <c r="V268" s="142">
        <f>(V39+V151)*'Data - P&amp;L'!$C$6</f>
        <v>0</v>
      </c>
      <c r="W268" s="142">
        <f>(W39+W151)*'Data - P&amp;L'!$C$6</f>
        <v>0</v>
      </c>
      <c r="X268" s="142">
        <f>(X39+X151)*'Data - P&amp;L'!$C$6</f>
        <v>0</v>
      </c>
      <c r="Y268" s="142">
        <f>(Y39+Y151)*'Data - P&amp;L'!$C$6</f>
        <v>0</v>
      </c>
      <c r="Z268" s="142">
        <f>(Z39+Z151)*'Data - P&amp;L'!$C$6</f>
        <v>0</v>
      </c>
      <c r="AA268" s="142">
        <f>(AA39+AA151)*'Data - P&amp;L'!$C$6</f>
        <v>0</v>
      </c>
      <c r="AB268" s="142">
        <f>(AB39+AB151)*'Data - P&amp;L'!$C$6</f>
        <v>0</v>
      </c>
      <c r="AC268" s="142">
        <f>(AC39+AC151)*'Data - P&amp;L'!$C$6</f>
        <v>0</v>
      </c>
      <c r="AD268" s="142">
        <f>(AD39+AD151)*'Data - P&amp;L'!$C$6</f>
        <v>0</v>
      </c>
      <c r="AE268" s="142">
        <f>(AE39+AE151)*'Data - P&amp;L'!$C$6</f>
        <v>0</v>
      </c>
      <c r="AF268" s="142">
        <f>(AF39+AF151)*'Data - P&amp;L'!$C$6</f>
        <v>0</v>
      </c>
      <c r="AG268" s="126">
        <f t="shared" si="58"/>
        <v>10.98</v>
      </c>
    </row>
    <row r="269" outlineLevel="1">
      <c r="A269" s="272" t="s">
        <v>689</v>
      </c>
      <c r="B269" s="142">
        <f>(B40+B152)*'Data - P&amp;L'!$C$8</f>
        <v>0</v>
      </c>
      <c r="C269" s="142">
        <f>(C40+C152)*'Data - P&amp;L'!$C$8</f>
        <v>0</v>
      </c>
      <c r="D269" s="142">
        <f>(D40+D152)*'Data - P&amp;L'!$C$8</f>
        <v>0</v>
      </c>
      <c r="E269" s="142">
        <f>(E40+E152)*'Data - P&amp;L'!$C$8</f>
        <v>1.19</v>
      </c>
      <c r="F269" s="142">
        <f>(F40+F152)*'Data - P&amp;L'!$C$8</f>
        <v>0</v>
      </c>
      <c r="G269" s="142">
        <f>(G40+G152)*'Data - P&amp;L'!$C$8</f>
        <v>0</v>
      </c>
      <c r="H269" s="142">
        <f>(H40+H152)*'Data - P&amp;L'!$C$8</f>
        <v>0</v>
      </c>
      <c r="I269" s="142">
        <f>(I40+I152)*'Data - P&amp;L'!$C$8</f>
        <v>1.19</v>
      </c>
      <c r="J269" s="142">
        <f>(J40+J152)*'Data - P&amp;L'!$C$8</f>
        <v>0</v>
      </c>
      <c r="K269" s="142">
        <f>(K40+K152)*'Data - P&amp;L'!$C$8</f>
        <v>0</v>
      </c>
      <c r="L269" s="142">
        <f>(L40+L152)*'Data - P&amp;L'!$C$8</f>
        <v>1.19</v>
      </c>
      <c r="M269" s="142">
        <f>(M40+M152)*'Data - P&amp;L'!$C$8</f>
        <v>0</v>
      </c>
      <c r="N269" s="142">
        <f>(N40+N152)*'Data - P&amp;L'!$C$8</f>
        <v>0</v>
      </c>
      <c r="O269" s="142">
        <f>(O40+O152)*'Data - P&amp;L'!$C$8</f>
        <v>0</v>
      </c>
      <c r="P269" s="142">
        <f>(P40+P152)*'Data - P&amp;L'!$C$8</f>
        <v>0</v>
      </c>
      <c r="Q269" s="142">
        <f>(Q40+Q152)*'Data - P&amp;L'!$C$8</f>
        <v>0</v>
      </c>
      <c r="R269" s="142">
        <f>(R40+R152)*'Data - P&amp;L'!$C$8</f>
        <v>0</v>
      </c>
      <c r="S269" s="142">
        <f>(S40+S152)*'Data - P&amp;L'!$C$8</f>
        <v>0</v>
      </c>
      <c r="T269" s="142">
        <f>(T40+T152)*'Data - P&amp;L'!$C$8</f>
        <v>0</v>
      </c>
      <c r="U269" s="142">
        <f>(U40+U152)*'Data - P&amp;L'!$C$8</f>
        <v>0</v>
      </c>
      <c r="V269" s="142">
        <f>(V40+V152)*'Data - P&amp;L'!$C$8</f>
        <v>0</v>
      </c>
      <c r="W269" s="142">
        <f>(W40+W152)*'Data - P&amp;L'!$C$8</f>
        <v>0</v>
      </c>
      <c r="X269" s="142">
        <f>(X40+X152)*'Data - P&amp;L'!$C$8</f>
        <v>0</v>
      </c>
      <c r="Y269" s="142">
        <f>(Y40+Y152)*'Data - P&amp;L'!$C$8</f>
        <v>0</v>
      </c>
      <c r="Z269" s="142">
        <f>(Z40+Z152)*'Data - P&amp;L'!$C$8</f>
        <v>0</v>
      </c>
      <c r="AA269" s="142">
        <f>(AA40+AA152)*'Data - P&amp;L'!$C$8</f>
        <v>0</v>
      </c>
      <c r="AB269" s="142">
        <f>(AB40+AB152)*'Data - P&amp;L'!$C$8</f>
        <v>0</v>
      </c>
      <c r="AC269" s="142">
        <f>(AC40+AC152)*'Data - P&amp;L'!$C$8</f>
        <v>0</v>
      </c>
      <c r="AD269" s="142">
        <f>(AD40+AD152)*'Data - P&amp;L'!$C$8</f>
        <v>0</v>
      </c>
      <c r="AE269" s="142">
        <f>(AE40+AE152)*'Data - P&amp;L'!$C$8</f>
        <v>0</v>
      </c>
      <c r="AF269" s="142">
        <f>(AF40+AF152)*'Data - P&amp;L'!$C$8</f>
        <v>0</v>
      </c>
      <c r="AG269" s="126">
        <f t="shared" si="58"/>
        <v>3.57</v>
      </c>
    </row>
    <row r="270" outlineLevel="1">
      <c r="A270" s="272" t="s">
        <v>690</v>
      </c>
      <c r="B270" s="142">
        <f>(B41+B42+B153+B154)*'Data - P&amp;L'!$C$9</f>
        <v>0</v>
      </c>
      <c r="C270" s="142">
        <f>(C41+C42+C153+C154)*'Data - P&amp;L'!$C$9</f>
        <v>0</v>
      </c>
      <c r="D270" s="142">
        <f>(D41+D42+D153+D154)*'Data - P&amp;L'!$C$9</f>
        <v>0</v>
      </c>
      <c r="E270" s="142">
        <f>(E41+E42+E153+E154)*'Data - P&amp;L'!$C$9</f>
        <v>6.66</v>
      </c>
      <c r="F270" s="142">
        <f>(F41+F42+F153+F154)*'Data - P&amp;L'!$C$9</f>
        <v>0</v>
      </c>
      <c r="G270" s="142">
        <f>(G41+G42+G153+G154)*'Data - P&amp;L'!$C$9</f>
        <v>0</v>
      </c>
      <c r="H270" s="142">
        <f>(H41+H42+H153+H154)*'Data - P&amp;L'!$C$9</f>
        <v>0</v>
      </c>
      <c r="I270" s="142">
        <f>(I41+I42+I153+I154)*'Data - P&amp;L'!$C$9</f>
        <v>6.66</v>
      </c>
      <c r="J270" s="142">
        <f>(J41+J42+J153+J154)*'Data - P&amp;L'!$C$9</f>
        <v>0</v>
      </c>
      <c r="K270" s="142">
        <f>(K41+K42+K153+K154)*'Data - P&amp;L'!$C$9</f>
        <v>0</v>
      </c>
      <c r="L270" s="142">
        <f>(L41+L42+L153+L154)*'Data - P&amp;L'!$C$9</f>
        <v>0</v>
      </c>
      <c r="M270" s="142">
        <f>(M41+M42+M153+M154)*'Data - P&amp;L'!$C$9</f>
        <v>0</v>
      </c>
      <c r="N270" s="142">
        <f>(N41+N42+N153+N154)*'Data - P&amp;L'!$C$9</f>
        <v>0</v>
      </c>
      <c r="O270" s="142">
        <f>(O41+O42+O153+O154)*'Data - P&amp;L'!$C$9</f>
        <v>0</v>
      </c>
      <c r="P270" s="142">
        <f>(P41+P42+P153+P154)*'Data - P&amp;L'!$C$9</f>
        <v>0</v>
      </c>
      <c r="Q270" s="142">
        <f>(Q41+Q42+Q153+Q154)*'Data - P&amp;L'!$C$9</f>
        <v>0</v>
      </c>
      <c r="R270" s="142">
        <f>(R41+R42+R153+R154)*'Data - P&amp;L'!$C$9</f>
        <v>0</v>
      </c>
      <c r="S270" s="142">
        <f>(S41+S42+S153+S154)*'Data - P&amp;L'!$C$9</f>
        <v>0</v>
      </c>
      <c r="T270" s="142">
        <f>(T41+T42+T153+T154)*'Data - P&amp;L'!$C$9</f>
        <v>0</v>
      </c>
      <c r="U270" s="142">
        <f>(U41+U42+U153+U154)*'Data - P&amp;L'!$C$9</f>
        <v>0</v>
      </c>
      <c r="V270" s="142">
        <f>(V41+V42+V153+V154)*'Data - P&amp;L'!$C$9</f>
        <v>0</v>
      </c>
      <c r="W270" s="142">
        <f>(W41+W42+W153+W154)*'Data - P&amp;L'!$C$9</f>
        <v>0</v>
      </c>
      <c r="X270" s="142">
        <f>(X41+X42+X153+X154)*'Data - P&amp;L'!$C$9</f>
        <v>0</v>
      </c>
      <c r="Y270" s="142">
        <f>(Y41+Y42+Y153+Y154)*'Data - P&amp;L'!$C$9</f>
        <v>0</v>
      </c>
      <c r="Z270" s="142">
        <f>(Z41+Z42+Z153+Z154)*'Data - P&amp;L'!$C$9</f>
        <v>0</v>
      </c>
      <c r="AA270" s="142">
        <f>(AA41+AA42+AA153+AA154)*'Data - P&amp;L'!$C$9</f>
        <v>0</v>
      </c>
      <c r="AB270" s="142">
        <f>(AB41+AB42+AB153+AB154)*'Data - P&amp;L'!$C$9</f>
        <v>0</v>
      </c>
      <c r="AC270" s="142">
        <f>(AC41+AC42+AC153+AC154)*'Data - P&amp;L'!$C$9</f>
        <v>0</v>
      </c>
      <c r="AD270" s="142">
        <f>(AD41+AD42+AD153+AD154)*'Data - P&amp;L'!$C$9</f>
        <v>0</v>
      </c>
      <c r="AE270" s="142">
        <f>(AE41+AE42+AE153+AE154)*'Data - P&amp;L'!$C$9</f>
        <v>0</v>
      </c>
      <c r="AF270" s="142">
        <f>(AF41+AF42+AF153+AF154)*'Data - P&amp;L'!$C$9</f>
        <v>0</v>
      </c>
      <c r="AG270" s="126">
        <f t="shared" si="58"/>
        <v>13.32</v>
      </c>
    </row>
    <row r="271" outlineLevel="1">
      <c r="A271" s="272" t="s">
        <v>691</v>
      </c>
      <c r="B271" s="142">
        <f>(B43+B44+B155+B156)*'Data - P&amp;L'!$C$5</f>
        <v>0</v>
      </c>
      <c r="C271" s="142">
        <f>(C43+C44+C155+C156)*'Data - P&amp;L'!$C$5</f>
        <v>0</v>
      </c>
      <c r="D271" s="142">
        <f>(D43+D44+D155+D156)*'Data - P&amp;L'!$C$5</f>
        <v>0</v>
      </c>
      <c r="E271" s="142">
        <f>(E43+E44+E155+E156)*'Data - P&amp;L'!$C$5</f>
        <v>0</v>
      </c>
      <c r="F271" s="142">
        <f>(F43+F44+F155+F156)*'Data - P&amp;L'!$C$5</f>
        <v>0</v>
      </c>
      <c r="G271" s="142">
        <f>(G43+G44+G155+G156)*'Data - P&amp;L'!$C$5</f>
        <v>0</v>
      </c>
      <c r="H271" s="142">
        <f>(H43+H44+H155+H156)*'Data - P&amp;L'!$C$5</f>
        <v>0</v>
      </c>
      <c r="I271" s="142">
        <f>(I43+I44+I155+I156)*'Data - P&amp;L'!$C$5</f>
        <v>13.44</v>
      </c>
      <c r="J271" s="142">
        <f>(J43+J44+J155+J156)*'Data - P&amp;L'!$C$5</f>
        <v>0</v>
      </c>
      <c r="K271" s="142">
        <f>(K43+K44+K155+K156)*'Data - P&amp;L'!$C$5</f>
        <v>0</v>
      </c>
      <c r="L271" s="142">
        <f>(L43+L44+L155+L156)*'Data - P&amp;L'!$C$5</f>
        <v>0</v>
      </c>
      <c r="M271" s="142">
        <f>(M43+M44+M155+M156)*'Data - P&amp;L'!$C$5</f>
        <v>0</v>
      </c>
      <c r="N271" s="142">
        <f>(N43+N44+N155+N156)*'Data - P&amp;L'!$C$5</f>
        <v>0</v>
      </c>
      <c r="O271" s="142">
        <f>(O43+O44+O155+O156)*'Data - P&amp;L'!$C$5</f>
        <v>0</v>
      </c>
      <c r="P271" s="142">
        <f>(P43+P44+P155+P156)*'Data - P&amp;L'!$C$5</f>
        <v>0</v>
      </c>
      <c r="Q271" s="142">
        <f>(Q43+Q44+Q155+Q156)*'Data - P&amp;L'!$C$5</f>
        <v>0</v>
      </c>
      <c r="R271" s="142">
        <f>(R43+R44+R155+R156)*'Data - P&amp;L'!$C$5</f>
        <v>0</v>
      </c>
      <c r="S271" s="142">
        <f>(S43+S44+S155+S156)*'Data - P&amp;L'!$C$5</f>
        <v>0</v>
      </c>
      <c r="T271" s="142">
        <f>(T43+T44+T155+T156)*'Data - P&amp;L'!$C$5</f>
        <v>0</v>
      </c>
      <c r="U271" s="142">
        <f>(U43+U44+U155+U156)*'Data - P&amp;L'!$C$5</f>
        <v>0</v>
      </c>
      <c r="V271" s="142">
        <f>(V43+V44+V155+V156)*'Data - P&amp;L'!$C$5</f>
        <v>0</v>
      </c>
      <c r="W271" s="142">
        <f>(W43+W44+W155+W156)*'Data - P&amp;L'!$C$5</f>
        <v>0</v>
      </c>
      <c r="X271" s="142">
        <f>(X43+X44+X155+X156)*'Data - P&amp;L'!$C$5</f>
        <v>0</v>
      </c>
      <c r="Y271" s="142">
        <f>(Y43+Y44+Y155+Y156)*'Data - P&amp;L'!$C$5</f>
        <v>0</v>
      </c>
      <c r="Z271" s="142">
        <f>(Z43+Z44+Z155+Z156)*'Data - P&amp;L'!$C$5</f>
        <v>0</v>
      </c>
      <c r="AA271" s="142">
        <f>(AA43+AA44+AA155+AA156)*'Data - P&amp;L'!$C$5</f>
        <v>0</v>
      </c>
      <c r="AB271" s="142">
        <f>(AB43+AB44+AB155+AB156)*'Data - P&amp;L'!$C$5</f>
        <v>0</v>
      </c>
      <c r="AC271" s="142">
        <f>(AC43+AC44+AC155+AC156)*'Data - P&amp;L'!$C$5</f>
        <v>0</v>
      </c>
      <c r="AD271" s="142">
        <f>(AD43+AD44+AD155+AD156)*'Data - P&amp;L'!$C$5</f>
        <v>0</v>
      </c>
      <c r="AE271" s="142">
        <f>(AE43+AE44+AE155+AE156)*'Data - P&amp;L'!$C$5</f>
        <v>0</v>
      </c>
      <c r="AF271" s="142">
        <f>(AF43+AF44+AF155+AF156)*'Data - P&amp;L'!$C$5</f>
        <v>0</v>
      </c>
      <c r="AG271" s="126">
        <f t="shared" si="58"/>
        <v>13.44</v>
      </c>
    </row>
    <row r="272" outlineLevel="1">
      <c r="A272" s="272" t="s">
        <v>692</v>
      </c>
      <c r="B272" s="142">
        <f>(B45+B46+B157+B158)*'Data - P&amp;L'!$C$10</f>
        <v>0</v>
      </c>
      <c r="C272" s="142">
        <f>(C45+C46+C157+C158)*'Data - P&amp;L'!$C$10</f>
        <v>0</v>
      </c>
      <c r="D272" s="142">
        <f>(D45+D46+D157+D158)*'Data - P&amp;L'!$C$10</f>
        <v>0</v>
      </c>
      <c r="E272" s="142">
        <f>(E45+E46+E157+E158)*'Data - P&amp;L'!$C$10</f>
        <v>0</v>
      </c>
      <c r="F272" s="142">
        <f>(F45+F46+F157+F158)*'Data - P&amp;L'!$C$10</f>
        <v>0</v>
      </c>
      <c r="G272" s="142">
        <f>(G45+G46+G157+G158)*'Data - P&amp;L'!$C$10</f>
        <v>0</v>
      </c>
      <c r="H272" s="142">
        <f>(H45+H46+H157+H158)*'Data - P&amp;L'!$C$10</f>
        <v>0</v>
      </c>
      <c r="I272" s="142">
        <f>(I45+I46+I157+I158)*'Data - P&amp;L'!$C$10</f>
        <v>0</v>
      </c>
      <c r="J272" s="142">
        <f>(J45+J46+J157+J158)*'Data - P&amp;L'!$C$10</f>
        <v>0</v>
      </c>
      <c r="K272" s="142">
        <f>(K45+K46+K157+K158)*'Data - P&amp;L'!$C$10</f>
        <v>0</v>
      </c>
      <c r="L272" s="142">
        <f>(L45+L46+L157+L158)*'Data - P&amp;L'!$C$10</f>
        <v>0</v>
      </c>
      <c r="M272" s="142">
        <f>(M45+M46+M157+M158)*'Data - P&amp;L'!$C$10</f>
        <v>0</v>
      </c>
      <c r="N272" s="142">
        <f>(N45+N46+N157+N158)*'Data - P&amp;L'!$C$10</f>
        <v>0</v>
      </c>
      <c r="O272" s="142">
        <f>(O45+O46+O157+O158)*'Data - P&amp;L'!$C$10</f>
        <v>0</v>
      </c>
      <c r="P272" s="142">
        <f>(P45+P46+P157+P158)*'Data - P&amp;L'!$C$10</f>
        <v>0</v>
      </c>
      <c r="Q272" s="142">
        <f>(Q45+Q46+Q157+Q158)*'Data - P&amp;L'!$C$10</f>
        <v>0</v>
      </c>
      <c r="R272" s="142">
        <f>(R45+R46+R157+R158)*'Data - P&amp;L'!$C$10</f>
        <v>0</v>
      </c>
      <c r="S272" s="142">
        <f>(S45+S46+S157+S158)*'Data - P&amp;L'!$C$10</f>
        <v>0</v>
      </c>
      <c r="T272" s="142">
        <f>(T45+T46+T157+T158)*'Data - P&amp;L'!$C$10</f>
        <v>0</v>
      </c>
      <c r="U272" s="142">
        <f>(U45+U46+U157+U158)*'Data - P&amp;L'!$C$10</f>
        <v>0</v>
      </c>
      <c r="V272" s="142">
        <f>(V45+V46+V157+V158)*'Data - P&amp;L'!$C$10</f>
        <v>0</v>
      </c>
      <c r="W272" s="142">
        <f>(W45+W46+W157+W158)*'Data - P&amp;L'!$C$10</f>
        <v>0</v>
      </c>
      <c r="X272" s="142">
        <f>(X45+X46+X157+X158)*'Data - P&amp;L'!$C$10</f>
        <v>0</v>
      </c>
      <c r="Y272" s="142">
        <f>(Y45+Y46+Y157+Y158)*'Data - P&amp;L'!$C$10</f>
        <v>0</v>
      </c>
      <c r="Z272" s="142">
        <f>(Z45+Z46+Z157+Z158)*'Data - P&amp;L'!$C$10</f>
        <v>0</v>
      </c>
      <c r="AA272" s="142">
        <f>(AA45+AA46+AA157+AA158)*'Data - P&amp;L'!$C$10</f>
        <v>0</v>
      </c>
      <c r="AB272" s="142">
        <f>(AB45+AB46+AB157+AB158)*'Data - P&amp;L'!$C$10</f>
        <v>0</v>
      </c>
      <c r="AC272" s="142">
        <f>(AC45+AC46+AC157+AC158)*'Data - P&amp;L'!$C$10</f>
        <v>0</v>
      </c>
      <c r="AD272" s="142">
        <f>(AD45+AD46+AD157+AD158)*'Data - P&amp;L'!$C$10</f>
        <v>0</v>
      </c>
      <c r="AE272" s="142">
        <f>(AE45+AE46+AE157+AE158)*'Data - P&amp;L'!$C$10</f>
        <v>0</v>
      </c>
      <c r="AF272" s="142">
        <f>(AF45+AF46+AF157+AF158)*'Data - P&amp;L'!$C$10</f>
        <v>0</v>
      </c>
      <c r="AG272" s="126">
        <f t="shared" si="58"/>
        <v>0</v>
      </c>
    </row>
    <row r="273" outlineLevel="1">
      <c r="A273" s="272" t="s">
        <v>693</v>
      </c>
      <c r="B273" s="142">
        <f>((B64+B65+B148+B149*'Data - P&amp;L'!$C$38))*'Data - P&amp;L'!$C$54</f>
        <v>0</v>
      </c>
      <c r="C273" s="142">
        <f>((C64+C65+C148+C149*'Data - P&amp;L'!$C$38))*'Data - P&amp;L'!$C$54</f>
        <v>0</v>
      </c>
      <c r="D273" s="142">
        <f>((D64+D65+D148+D149*'Data - P&amp;L'!$C$38))*'Data - P&amp;L'!$C$54</f>
        <v>0</v>
      </c>
      <c r="E273" s="142">
        <f>((E64+E65+E148+E149*'Data - P&amp;L'!$C$38))*'Data - P&amp;L'!$C$54</f>
        <v>0</v>
      </c>
      <c r="F273" s="142">
        <f>((F64+F65+F148+F149*'Data - P&amp;L'!$C$38))*'Data - P&amp;L'!$C$54</f>
        <v>0</v>
      </c>
      <c r="G273" s="142">
        <f>((G64+G65+G148+G149*'Data - P&amp;L'!$C$38))*'Data - P&amp;L'!$C$54</f>
        <v>0</v>
      </c>
      <c r="H273" s="142">
        <f>((H64+H65+H148+H149*'Data - P&amp;L'!$C$38))*'Data - P&amp;L'!$C$54</f>
        <v>0</v>
      </c>
      <c r="I273" s="142">
        <f>((I64+I65+I148+I149*'Data - P&amp;L'!$C$38))*'Data - P&amp;L'!$C$54</f>
        <v>0</v>
      </c>
      <c r="J273" s="142">
        <f>((J64+J65+J148+J149*'Data - P&amp;L'!$C$38))*'Data - P&amp;L'!$C$54</f>
        <v>0</v>
      </c>
      <c r="K273" s="142">
        <f>((K64+K65+K148+K149*'Data - P&amp;L'!$C$38))*'Data - P&amp;L'!$C$54</f>
        <v>0</v>
      </c>
      <c r="L273" s="142">
        <f>((L64+L65+L148+L149*'Data - P&amp;L'!$C$38))*'Data - P&amp;L'!$C$54</f>
        <v>0</v>
      </c>
      <c r="M273" s="142">
        <f>((M64+M65+M148+M149*'Data - P&amp;L'!$C$38))*'Data - P&amp;L'!$C$54</f>
        <v>0.25</v>
      </c>
      <c r="N273" s="142">
        <f>((N64+N65+N148+N149*'Data - P&amp;L'!$C$38))*'Data - P&amp;L'!$C$54</f>
        <v>0</v>
      </c>
      <c r="O273" s="142">
        <f>((O64+O65+O148+O149*'Data - P&amp;L'!$C$38))*'Data - P&amp;L'!$C$54</f>
        <v>0</v>
      </c>
      <c r="P273" s="142">
        <f>((P64+P65+P148+P149*'Data - P&amp;L'!$C$38))*'Data - P&amp;L'!$C$54</f>
        <v>0</v>
      </c>
      <c r="Q273" s="142">
        <f>((Q64+Q65+Q148+Q149*'Data - P&amp;L'!$C$38))*'Data - P&amp;L'!$C$54</f>
        <v>0</v>
      </c>
      <c r="R273" s="142">
        <f>((R64+R65+R148+R149*'Data - P&amp;L'!$C$38))*'Data - P&amp;L'!$C$54</f>
        <v>0</v>
      </c>
      <c r="S273" s="142">
        <f>((S64+S65+S148+S149*'Data - P&amp;L'!$C$38))*'Data - P&amp;L'!$C$54</f>
        <v>0</v>
      </c>
      <c r="T273" s="142">
        <f>((T64+T65+T148+T149*'Data - P&amp;L'!$C$38))*'Data - P&amp;L'!$C$54</f>
        <v>0</v>
      </c>
      <c r="U273" s="142">
        <f>((U64+U65+U148+U149*'Data - P&amp;L'!$C$38))*'Data - P&amp;L'!$C$54</f>
        <v>0</v>
      </c>
      <c r="V273" s="142">
        <f>((V64+V65+V148+V149*'Data - P&amp;L'!$C$38))*'Data - P&amp;L'!$C$54</f>
        <v>0</v>
      </c>
      <c r="W273" s="142">
        <f>((W64+W65+W148+W149*'Data - P&amp;L'!$C$38))*'Data - P&amp;L'!$C$54</f>
        <v>0</v>
      </c>
      <c r="X273" s="142">
        <f>((X64+X65+X148+X149*'Data - P&amp;L'!$C$38))*'Data - P&amp;L'!$C$54</f>
        <v>0</v>
      </c>
      <c r="Y273" s="142">
        <f>((Y64+Y65+Y148+Y149*'Data - P&amp;L'!$C$38))*'Data - P&amp;L'!$C$54</f>
        <v>0</v>
      </c>
      <c r="Z273" s="142">
        <f>((Z64+Z65+Z148+Z149*'Data - P&amp;L'!$C$38))*'Data - P&amp;L'!$C$54</f>
        <v>0</v>
      </c>
      <c r="AA273" s="142">
        <f>((AA64+AA65+AA148+AA149*'Data - P&amp;L'!$C$38))*'Data - P&amp;L'!$C$54</f>
        <v>0</v>
      </c>
      <c r="AB273" s="142">
        <f>((AB64+AB65+AB148+AB149*'Data - P&amp;L'!$C$38))*'Data - P&amp;L'!$C$54</f>
        <v>0</v>
      </c>
      <c r="AC273" s="142">
        <f>((AC64+AC65+AC148+AC149*'Data - P&amp;L'!$C$38))*'Data - P&amp;L'!$C$54</f>
        <v>0</v>
      </c>
      <c r="AD273" s="142">
        <f>((AD64+AD65+AD148+AD149*'Data - P&amp;L'!$C$38))*'Data - P&amp;L'!$C$54</f>
        <v>0</v>
      </c>
      <c r="AE273" s="142">
        <f>((AE64+AE65+AE148+AE149*'Data - P&amp;L'!$C$38))*'Data - P&amp;L'!$C$54</f>
        <v>0</v>
      </c>
      <c r="AF273" s="142">
        <f>((AF64+AF65+AF148+AF149*'Data - P&amp;L'!$C$38))*'Data - P&amp;L'!$C$54</f>
        <v>0</v>
      </c>
      <c r="AG273" s="126">
        <f t="shared" si="58"/>
        <v>0.25</v>
      </c>
    </row>
    <row r="274" outlineLevel="1">
      <c r="A274" s="272" t="s">
        <v>694</v>
      </c>
      <c r="B274" s="142">
        <f>((SUM(B64+B65+B148+B149))*'Data - P&amp;L'!$C$34)</f>
        <v>0</v>
      </c>
      <c r="C274" s="142">
        <f>((SUM(C64+C65+C148+C149))*'Data - P&amp;L'!$C$34)</f>
        <v>0</v>
      </c>
      <c r="D274" s="142">
        <f>((SUM(D64+D65+D148+D149))*'Data - P&amp;L'!$C$34)</f>
        <v>0</v>
      </c>
      <c r="E274" s="142">
        <f>((SUM(E64+E65+E148+E149))*'Data - P&amp;L'!$C$34)</f>
        <v>0</v>
      </c>
      <c r="F274" s="142">
        <f>((SUM(F64+F65+F148+F149))*'Data - P&amp;L'!$C$34)</f>
        <v>0</v>
      </c>
      <c r="G274" s="142">
        <f>((SUM(G64+G65+G148+G149))*'Data - P&amp;L'!$C$34)</f>
        <v>0</v>
      </c>
      <c r="H274" s="142">
        <f>((SUM(H64+H65+H148+H149))*'Data - P&amp;L'!$C$34)</f>
        <v>0</v>
      </c>
      <c r="I274" s="142">
        <f>((SUM(I64+I65+I148+I149))*'Data - P&amp;L'!$C$34)</f>
        <v>0</v>
      </c>
      <c r="J274" s="142">
        <f>((SUM(J64+J65+J148+J149))*'Data - P&amp;L'!$C$34)</f>
        <v>0</v>
      </c>
      <c r="K274" s="142">
        <f>((SUM(K64+K65+K148+K149))*'Data - P&amp;L'!$C$34)</f>
        <v>0</v>
      </c>
      <c r="L274" s="142">
        <f>((SUM(L64+L65+L148+L149))*'Data - P&amp;L'!$C$34)</f>
        <v>0</v>
      </c>
      <c r="M274" s="142">
        <f>((SUM(M64+M65+M148+M149))*'Data - P&amp;L'!$C$34)</f>
        <v>43.58</v>
      </c>
      <c r="N274" s="142">
        <f>((SUM(N64+N65+N148+N149))*'Data - P&amp;L'!$C$34)</f>
        <v>0</v>
      </c>
      <c r="O274" s="142">
        <f>((SUM(O64+O65+O148+O149))*'Data - P&amp;L'!$C$34)</f>
        <v>0</v>
      </c>
      <c r="P274" s="142">
        <f>((SUM(P64+P65+P148+P149))*'Data - P&amp;L'!$C$34)</f>
        <v>0</v>
      </c>
      <c r="Q274" s="142">
        <f>((SUM(Q64+Q65+Q148+Q149))*'Data - P&amp;L'!$C$34)</f>
        <v>0</v>
      </c>
      <c r="R274" s="142">
        <f>((SUM(R64+R65+R148+R149))*'Data - P&amp;L'!$C$34)</f>
        <v>0</v>
      </c>
      <c r="S274" s="142">
        <f>((SUM(S64+S65+S148+S149))*'Data - P&amp;L'!$C$34)</f>
        <v>0</v>
      </c>
      <c r="T274" s="142">
        <f>((SUM(T64+T65+T148+T149))*'Data - P&amp;L'!$C$34)</f>
        <v>0</v>
      </c>
      <c r="U274" s="142">
        <f>((SUM(U64+U65+U148+U149))*'Data - P&amp;L'!$C$34)</f>
        <v>0</v>
      </c>
      <c r="V274" s="142">
        <f>((SUM(V64+V65+V148+V149))*'Data - P&amp;L'!$C$34)</f>
        <v>0</v>
      </c>
      <c r="W274" s="142">
        <f>((SUM(W64+W65+W148+W149))*'Data - P&amp;L'!$C$34)</f>
        <v>0</v>
      </c>
      <c r="X274" s="142">
        <f>((SUM(X64+X65+X148+X149))*'Data - P&amp;L'!$C$34)</f>
        <v>0</v>
      </c>
      <c r="Y274" s="142">
        <f>((SUM(Y64+Y65+Y148+Y149))*'Data - P&amp;L'!$C$34)</f>
        <v>0</v>
      </c>
      <c r="Z274" s="142">
        <f>((SUM(Z64+Z65+Z148+Z149))*'Data - P&amp;L'!$C$34)</f>
        <v>0</v>
      </c>
      <c r="AA274" s="142">
        <f>((SUM(AA64+AA65+AA148+AA149))*'Data - P&amp;L'!$C$34)</f>
        <v>0</v>
      </c>
      <c r="AB274" s="142">
        <f>((SUM(AB64+AB65+AB148+AB149))*'Data - P&amp;L'!$C$34)</f>
        <v>0</v>
      </c>
      <c r="AC274" s="142">
        <f>((SUM(AC64+AC65+AC148+AC149))*'Data - P&amp;L'!$C$34)</f>
        <v>0</v>
      </c>
      <c r="AD274" s="142">
        <f>((SUM(AD64+AD65+AD148+AD149))*'Data - P&amp;L'!$C$34)</f>
        <v>0</v>
      </c>
      <c r="AE274" s="142">
        <f>((SUM(AE64+AE65+AE148+AE149))*'Data - P&amp;L'!$C$34)</f>
        <v>0</v>
      </c>
      <c r="AF274" s="142">
        <f>((SUM(AF64+AF65+AF148+AF149))*'Data - P&amp;L'!$C$34)</f>
        <v>0</v>
      </c>
      <c r="AG274" s="126">
        <f t="shared" si="58"/>
        <v>43.58</v>
      </c>
    </row>
    <row r="275" outlineLevel="1">
      <c r="A275" s="459" t="s">
        <v>695</v>
      </c>
      <c r="B275" s="250">
        <f t="shared" ref="B275:AF275" si="59">B53+B57+B165+B169</f>
        <v>0</v>
      </c>
      <c r="C275" s="250">
        <f t="shared" si="59"/>
        <v>0</v>
      </c>
      <c r="D275" s="250">
        <f t="shared" si="59"/>
        <v>302.2</v>
      </c>
      <c r="E275" s="250">
        <f t="shared" si="59"/>
        <v>357.01</v>
      </c>
      <c r="F275" s="250">
        <f t="shared" si="59"/>
        <v>0</v>
      </c>
      <c r="G275" s="250">
        <f t="shared" si="59"/>
        <v>0</v>
      </c>
      <c r="H275" s="250">
        <f t="shared" si="59"/>
        <v>0</v>
      </c>
      <c r="I275" s="250">
        <f t="shared" si="59"/>
        <v>367.86</v>
      </c>
      <c r="J275" s="250">
        <f t="shared" si="59"/>
        <v>0</v>
      </c>
      <c r="K275" s="250">
        <f t="shared" si="59"/>
        <v>0</v>
      </c>
      <c r="L275" s="250">
        <f t="shared" si="59"/>
        <v>599.94</v>
      </c>
      <c r="M275" s="250">
        <f t="shared" si="59"/>
        <v>309.63</v>
      </c>
      <c r="N275" s="250">
        <f t="shared" si="59"/>
        <v>0</v>
      </c>
      <c r="O275" s="250">
        <f t="shared" si="59"/>
        <v>0</v>
      </c>
      <c r="P275" s="250">
        <f t="shared" si="59"/>
        <v>0</v>
      </c>
      <c r="Q275" s="250">
        <f t="shared" si="59"/>
        <v>0</v>
      </c>
      <c r="R275" s="250">
        <f t="shared" si="59"/>
        <v>0</v>
      </c>
      <c r="S275" s="250">
        <f t="shared" si="59"/>
        <v>0</v>
      </c>
      <c r="T275" s="250">
        <f t="shared" si="59"/>
        <v>0</v>
      </c>
      <c r="U275" s="250">
        <f t="shared" si="59"/>
        <v>0</v>
      </c>
      <c r="V275" s="250">
        <f t="shared" si="59"/>
        <v>0</v>
      </c>
      <c r="W275" s="250">
        <f t="shared" si="59"/>
        <v>0</v>
      </c>
      <c r="X275" s="250">
        <f t="shared" si="59"/>
        <v>0</v>
      </c>
      <c r="Y275" s="250">
        <f t="shared" si="59"/>
        <v>0</v>
      </c>
      <c r="Z275" s="250">
        <f t="shared" si="59"/>
        <v>0</v>
      </c>
      <c r="AA275" s="250">
        <f t="shared" si="59"/>
        <v>0</v>
      </c>
      <c r="AB275" s="250">
        <f t="shared" si="59"/>
        <v>0</v>
      </c>
      <c r="AC275" s="250">
        <f t="shared" si="59"/>
        <v>0</v>
      </c>
      <c r="AD275" s="250">
        <f t="shared" si="59"/>
        <v>0</v>
      </c>
      <c r="AE275" s="250">
        <f t="shared" si="59"/>
        <v>0</v>
      </c>
      <c r="AF275" s="250">
        <f t="shared" si="59"/>
        <v>0</v>
      </c>
      <c r="AG275" s="126">
        <f t="shared" si="58"/>
        <v>1936.64</v>
      </c>
    </row>
    <row r="276">
      <c r="A276" s="460" t="s">
        <v>696</v>
      </c>
      <c r="B276" s="461">
        <f t="shared" ref="B276:AF276" si="60">SUM(B277:B285)-B286-B287</f>
        <v>0</v>
      </c>
      <c r="C276" s="461">
        <f t="shared" si="60"/>
        <v>0</v>
      </c>
      <c r="D276" s="461">
        <f t="shared" si="60"/>
        <v>0</v>
      </c>
      <c r="E276" s="461">
        <f t="shared" si="60"/>
        <v>0</v>
      </c>
      <c r="F276" s="461">
        <f t="shared" si="60"/>
        <v>0</v>
      </c>
      <c r="G276" s="461">
        <f t="shared" si="60"/>
        <v>0</v>
      </c>
      <c r="H276" s="461">
        <f t="shared" si="60"/>
        <v>0</v>
      </c>
      <c r="I276" s="461">
        <f t="shared" si="60"/>
        <v>0</v>
      </c>
      <c r="J276" s="461">
        <f t="shared" si="60"/>
        <v>0</v>
      </c>
      <c r="K276" s="461">
        <f t="shared" si="60"/>
        <v>0</v>
      </c>
      <c r="L276" s="461">
        <f t="shared" si="60"/>
        <v>0</v>
      </c>
      <c r="M276" s="461">
        <f t="shared" si="60"/>
        <v>-305.2275</v>
      </c>
      <c r="N276" s="461">
        <f t="shared" si="60"/>
        <v>0</v>
      </c>
      <c r="O276" s="461">
        <f t="shared" si="60"/>
        <v>0</v>
      </c>
      <c r="P276" s="461">
        <f t="shared" si="60"/>
        <v>0</v>
      </c>
      <c r="Q276" s="461">
        <f t="shared" si="60"/>
        <v>0</v>
      </c>
      <c r="R276" s="461">
        <f t="shared" si="60"/>
        <v>0</v>
      </c>
      <c r="S276" s="461">
        <f t="shared" si="60"/>
        <v>0</v>
      </c>
      <c r="T276" s="461">
        <f t="shared" si="60"/>
        <v>0</v>
      </c>
      <c r="U276" s="461">
        <f t="shared" si="60"/>
        <v>0</v>
      </c>
      <c r="V276" s="461">
        <f t="shared" si="60"/>
        <v>0</v>
      </c>
      <c r="W276" s="461">
        <f t="shared" si="60"/>
        <v>0</v>
      </c>
      <c r="X276" s="461">
        <f t="shared" si="60"/>
        <v>0</v>
      </c>
      <c r="Y276" s="461">
        <f t="shared" si="60"/>
        <v>0</v>
      </c>
      <c r="Z276" s="461">
        <f t="shared" si="60"/>
        <v>0</v>
      </c>
      <c r="AA276" s="461">
        <f t="shared" si="60"/>
        <v>0</v>
      </c>
      <c r="AB276" s="461">
        <f t="shared" si="60"/>
        <v>0</v>
      </c>
      <c r="AC276" s="461">
        <f t="shared" si="60"/>
        <v>0</v>
      </c>
      <c r="AD276" s="461">
        <f t="shared" si="60"/>
        <v>0</v>
      </c>
      <c r="AE276" s="461">
        <f t="shared" si="60"/>
        <v>0</v>
      </c>
      <c r="AF276" s="461">
        <f t="shared" si="60"/>
        <v>0</v>
      </c>
      <c r="AG276" s="242">
        <f t="shared" si="58"/>
        <v>-305.2275</v>
      </c>
    </row>
    <row r="277" outlineLevel="1">
      <c r="A277" s="272" t="s">
        <v>365</v>
      </c>
      <c r="B277" s="142">
        <f>((B60+B61+B172+B173)*'Data - P&amp;L'!$C$3)*'Data - P&amp;L'!$C$54</f>
        <v>0</v>
      </c>
      <c r="C277" s="142">
        <f>((C60+C61+C172+C173)*'Data - P&amp;L'!$C$3)*'Data - P&amp;L'!$C$54</f>
        <v>0</v>
      </c>
      <c r="D277" s="142">
        <f>((D60+D61+D172+D173)*'Data - P&amp;L'!$C$3)*'Data - P&amp;L'!$C$54</f>
        <v>0</v>
      </c>
      <c r="E277" s="142">
        <f>((E60+E61+E172+E173)*'Data - P&amp;L'!$C$3)*'Data - P&amp;L'!$C$54</f>
        <v>0</v>
      </c>
      <c r="F277" s="142">
        <f>((F60+F61+F172+F173)*'Data - P&amp;L'!$C$3)*'Data - P&amp;L'!$C$54</f>
        <v>0</v>
      </c>
      <c r="G277" s="142">
        <f>((G60+G61+G172+G173)*'Data - P&amp;L'!$C$3)*'Data - P&amp;L'!$C$54</f>
        <v>0</v>
      </c>
      <c r="H277" s="142">
        <f>((H60+H61+H172+H173)*'Data - P&amp;L'!$C$3)*'Data - P&amp;L'!$C$54</f>
        <v>0</v>
      </c>
      <c r="I277" s="142">
        <f>((I60+I61+I172+I173)*'Data - P&amp;L'!$C$3)*'Data - P&amp;L'!$C$54</f>
        <v>0</v>
      </c>
      <c r="J277" s="142">
        <f>((J60+J61+J172+J173)*'Data - P&amp;L'!$C$3)*'Data - P&amp;L'!$C$54</f>
        <v>0</v>
      </c>
      <c r="K277" s="142">
        <f>((K60+K61+K172+K173)*'Data - P&amp;L'!$C$3)*'Data - P&amp;L'!$C$54</f>
        <v>0</v>
      </c>
      <c r="L277" s="142">
        <f>((L60+L61+L172+L173)*'Data - P&amp;L'!$C$3)*'Data - P&amp;L'!$C$54</f>
        <v>0</v>
      </c>
      <c r="M277" s="142">
        <f>((M60+M61+M172+M173)*'Data - P&amp;L'!$C$3)*'Data - P&amp;L'!$C$54</f>
        <v>0</v>
      </c>
      <c r="N277" s="142">
        <f>((N60+N61+N172+N173)*'Data - P&amp;L'!$C$3)*'Data - P&amp;L'!$C$54</f>
        <v>0</v>
      </c>
      <c r="O277" s="142">
        <f>((O60+O61+O172+O173)*'Data - P&amp;L'!$C$3)*'Data - P&amp;L'!$C$54</f>
        <v>0</v>
      </c>
      <c r="P277" s="142">
        <f>((P60+P61+P172+P173)*'Data - P&amp;L'!$C$3)*'Data - P&amp;L'!$C$54</f>
        <v>0</v>
      </c>
      <c r="Q277" s="142">
        <f>((Q60+Q61+Q172+Q173)*'Data - P&amp;L'!$C$3)*'Data - P&amp;L'!$C$54</f>
        <v>0</v>
      </c>
      <c r="R277" s="142">
        <f>((R60+R61+R172+R173)*'Data - P&amp;L'!$C$3)*'Data - P&amp;L'!$C$54</f>
        <v>0</v>
      </c>
      <c r="S277" s="142">
        <f>((S60+S61+S172+S173)*'Data - P&amp;L'!$C$3)*'Data - P&amp;L'!$C$54</f>
        <v>0</v>
      </c>
      <c r="T277" s="142">
        <f>((T60+T61+T172+T173)*'Data - P&amp;L'!$C$3)*'Data - P&amp;L'!$C$54</f>
        <v>0</v>
      </c>
      <c r="U277" s="142">
        <f>((U60+U61+U172+U173)*'Data - P&amp;L'!$C$3)*'Data - P&amp;L'!$C$54</f>
        <v>0</v>
      </c>
      <c r="V277" s="142">
        <f>((V60+V61+V172+V173)*'Data - P&amp;L'!$C$3)*'Data - P&amp;L'!$C$54</f>
        <v>0</v>
      </c>
      <c r="W277" s="142">
        <f>((W60+W61+W172+W173)*'Data - P&amp;L'!$C$3)*'Data - P&amp;L'!$C$54</f>
        <v>0</v>
      </c>
      <c r="X277" s="142">
        <f>((X60+X61+X172+X173)*'Data - P&amp;L'!$C$3)*'Data - P&amp;L'!$C$54</f>
        <v>0</v>
      </c>
      <c r="Y277" s="142">
        <f>((Y60+Y61+Y172+Y173)*'Data - P&amp;L'!$C$3)*'Data - P&amp;L'!$C$54</f>
        <v>0</v>
      </c>
      <c r="Z277" s="142">
        <f>((Z60+Z61+Z172+Z173)*'Data - P&amp;L'!$C$3)*'Data - P&amp;L'!$C$54</f>
        <v>0</v>
      </c>
      <c r="AA277" s="142">
        <f>((AA60+AA61+AA172+AA173)*'Data - P&amp;L'!$C$3)*'Data - P&amp;L'!$C$54</f>
        <v>0</v>
      </c>
      <c r="AB277" s="142">
        <f>((AB60+AB61+AB172+AB173)*'Data - P&amp;L'!$C$3)*'Data - P&amp;L'!$C$54</f>
        <v>0</v>
      </c>
      <c r="AC277" s="142">
        <f>((AC60+AC61+AC172+AC173)*'Data - P&amp;L'!$C$3)*'Data - P&amp;L'!$C$54</f>
        <v>0</v>
      </c>
      <c r="AD277" s="142">
        <f>((AD60+AD61+AD172+AD173)*'Data - P&amp;L'!$C$3)*'Data - P&amp;L'!$C$54</f>
        <v>0</v>
      </c>
      <c r="AE277" s="142">
        <f>((AE60+AE61+AE172+AE173)*'Data - P&amp;L'!$C$3)*'Data - P&amp;L'!$C$54</f>
        <v>0</v>
      </c>
      <c r="AF277" s="142">
        <f>((AF60+AF61+AF172+AF173)*'Data - P&amp;L'!$C$3)*'Data - P&amp;L'!$C$54</f>
        <v>0</v>
      </c>
      <c r="AG277" s="126">
        <f t="shared" si="58"/>
        <v>0</v>
      </c>
    </row>
    <row r="278" outlineLevel="1">
      <c r="A278" s="272" t="s">
        <v>366</v>
      </c>
      <c r="B278" s="142">
        <f>(B62+B63+B174+B175)*'Data - P&amp;L'!$C$4*'Data - P&amp;L'!$C$54</f>
        <v>0</v>
      </c>
      <c r="C278" s="142">
        <f>(C62+C63+C174+C175)*'Data - P&amp;L'!$C$4*'Data - P&amp;L'!$C$54</f>
        <v>0</v>
      </c>
      <c r="D278" s="142">
        <f>(D62+D63+D174+D175)*'Data - P&amp;L'!$C$4*'Data - P&amp;L'!$C$54</f>
        <v>0</v>
      </c>
      <c r="E278" s="142">
        <f>(E62+E63+E174+E175)*'Data - P&amp;L'!$C$4*'Data - P&amp;L'!$C$54</f>
        <v>0</v>
      </c>
      <c r="F278" s="142">
        <f>(F62+F63+F174+F175)*'Data - P&amp;L'!$C$4*'Data - P&amp;L'!$C$54</f>
        <v>0</v>
      </c>
      <c r="G278" s="142">
        <f>(G62+G63+G174+G175)*'Data - P&amp;L'!$C$4*'Data - P&amp;L'!$C$54</f>
        <v>0</v>
      </c>
      <c r="H278" s="142">
        <f>(H62+H63+H174+H175)*'Data - P&amp;L'!$C$4*'Data - P&amp;L'!$C$54</f>
        <v>0</v>
      </c>
      <c r="I278" s="142">
        <f>(I62+I63+I174+I175)*'Data - P&amp;L'!$C$4*'Data - P&amp;L'!$C$54</f>
        <v>0</v>
      </c>
      <c r="J278" s="142">
        <f>(J62+J63+J174+J175)*'Data - P&amp;L'!$C$4*'Data - P&amp;L'!$C$54</f>
        <v>0</v>
      </c>
      <c r="K278" s="142">
        <f>(K62+K63+K174+K175)*'Data - P&amp;L'!$C$4*'Data - P&amp;L'!$C$54</f>
        <v>0</v>
      </c>
      <c r="L278" s="142">
        <f>(L62+L63+L174+L175)*'Data - P&amp;L'!$C$4*'Data - P&amp;L'!$C$54</f>
        <v>0</v>
      </c>
      <c r="M278" s="142">
        <f>(M62+M63+M174+M175)*'Data - P&amp;L'!$C$4*'Data - P&amp;L'!$C$54</f>
        <v>24.4025</v>
      </c>
      <c r="N278" s="142">
        <f>(N62+N63+N174+N175)*'Data - P&amp;L'!$C$4*'Data - P&amp;L'!$C$54</f>
        <v>0</v>
      </c>
      <c r="O278" s="142">
        <f>(O62+O63+O174+O175)*'Data - P&amp;L'!$C$4*'Data - P&amp;L'!$C$54</f>
        <v>0</v>
      </c>
      <c r="P278" s="142">
        <f>(P62+P63+P174+P175)*'Data - P&amp;L'!$C$4*'Data - P&amp;L'!$C$54</f>
        <v>0</v>
      </c>
      <c r="Q278" s="142">
        <f>(Q62+Q63+Q174+Q175)*'Data - P&amp;L'!$C$4*'Data - P&amp;L'!$C$54</f>
        <v>0</v>
      </c>
      <c r="R278" s="142">
        <f>(R62+R63+R174+R175)*'Data - P&amp;L'!$C$4*'Data - P&amp;L'!$C$54</f>
        <v>0</v>
      </c>
      <c r="S278" s="142">
        <f>(S62+S63+S174+S175)*'Data - P&amp;L'!$C$4*'Data - P&amp;L'!$C$54</f>
        <v>0</v>
      </c>
      <c r="T278" s="142">
        <f>(T62+T63+T174+T175)*'Data - P&amp;L'!$C$4*'Data - P&amp;L'!$C$54</f>
        <v>0</v>
      </c>
      <c r="U278" s="142">
        <f>(U62+U63+U174+U175)*'Data - P&amp;L'!$C$4*'Data - P&amp;L'!$C$54</f>
        <v>0</v>
      </c>
      <c r="V278" s="142">
        <f>(V62+V63+V174+V175)*'Data - P&amp;L'!$C$4*'Data - P&amp;L'!$C$54</f>
        <v>0</v>
      </c>
      <c r="W278" s="142">
        <f>(W62+W63+W174+W175)*'Data - P&amp;L'!$C$4*'Data - P&amp;L'!$C$54</f>
        <v>0</v>
      </c>
      <c r="X278" s="142">
        <f>(X62+X63+X174+X175)*'Data - P&amp;L'!$C$4*'Data - P&amp;L'!$C$54</f>
        <v>0</v>
      </c>
      <c r="Y278" s="142">
        <f>(Y62+Y63+Y174+Y175)*'Data - P&amp;L'!$C$4*'Data - P&amp;L'!$C$54</f>
        <v>0</v>
      </c>
      <c r="Z278" s="142">
        <f>(Z62+Z63+Z174+Z175)*'Data - P&amp;L'!$C$4*'Data - P&amp;L'!$C$54</f>
        <v>0</v>
      </c>
      <c r="AA278" s="142">
        <f>(AA62+AA63+AA174+AA175)*'Data - P&amp;L'!$C$4*'Data - P&amp;L'!$C$54</f>
        <v>0</v>
      </c>
      <c r="AB278" s="142">
        <f>(AB62+AB63+AB174+AB175)*'Data - P&amp;L'!$C$4*'Data - P&amp;L'!$C$54</f>
        <v>0</v>
      </c>
      <c r="AC278" s="142">
        <f>(AC62+AC63+AC174+AC175)*'Data - P&amp;L'!$C$4*'Data - P&amp;L'!$C$54</f>
        <v>0</v>
      </c>
      <c r="AD278" s="142">
        <f>(AD62+AD63+AD174+AD175)*'Data - P&amp;L'!$C$4*'Data - P&amp;L'!$C$54</f>
        <v>0</v>
      </c>
      <c r="AE278" s="142">
        <f>(AE62+AE63+AE174+AE175)*'Data - P&amp;L'!$C$4*'Data - P&amp;L'!$C$54</f>
        <v>0</v>
      </c>
      <c r="AF278" s="142">
        <f>(AF62+AF63+AF174+AF175)*'Data - P&amp;L'!$C$4*'Data - P&amp;L'!$C$54</f>
        <v>0</v>
      </c>
      <c r="AG278" s="126">
        <f t="shared" si="58"/>
        <v>24.4025</v>
      </c>
    </row>
    <row r="279" outlineLevel="1">
      <c r="A279" s="272" t="s">
        <v>367</v>
      </c>
      <c r="B279" s="142">
        <f>(B67+B179)*'Data - P&amp;L'!$C$6*'Data - P&amp;L'!$C$54</f>
        <v>0</v>
      </c>
      <c r="C279" s="142">
        <f>(C67+C179)*'Data - P&amp;L'!$C$6*'Data - P&amp;L'!$C$54</f>
        <v>0</v>
      </c>
      <c r="D279" s="142">
        <f>(D67+D179)*'Data - P&amp;L'!$C$6*'Data - P&amp;L'!$C$54</f>
        <v>0</v>
      </c>
      <c r="E279" s="142">
        <f>(E67+E179)*'Data - P&amp;L'!$C$6*'Data - P&amp;L'!$C$54</f>
        <v>0</v>
      </c>
      <c r="F279" s="142">
        <f>(F67+F179)*'Data - P&amp;L'!$C$6*'Data - P&amp;L'!$C$54</f>
        <v>0</v>
      </c>
      <c r="G279" s="142">
        <f>(G67+G179)*'Data - P&amp;L'!$C$6*'Data - P&amp;L'!$C$54</f>
        <v>0</v>
      </c>
      <c r="H279" s="142">
        <f>(H67+H179)*'Data - P&amp;L'!$C$6*'Data - P&amp;L'!$C$54</f>
        <v>0</v>
      </c>
      <c r="I279" s="142">
        <f>(I67+I179)*'Data - P&amp;L'!$C$6*'Data - P&amp;L'!$C$54</f>
        <v>0</v>
      </c>
      <c r="J279" s="142">
        <f>(J67+J179)*'Data - P&amp;L'!$C$6*'Data - P&amp;L'!$C$54</f>
        <v>0</v>
      </c>
      <c r="K279" s="142">
        <f>(K67+K179)*'Data - P&amp;L'!$C$6*'Data - P&amp;L'!$C$54</f>
        <v>0</v>
      </c>
      <c r="L279" s="142">
        <f>(L67+L179)*'Data - P&amp;L'!$C$6*'Data - P&amp;L'!$C$54</f>
        <v>0</v>
      </c>
      <c r="M279" s="142">
        <f>(M67+M179)*'Data - P&amp;L'!$C$6*'Data - P&amp;L'!$C$54</f>
        <v>0</v>
      </c>
      <c r="N279" s="142">
        <f>(N67+N179)*'Data - P&amp;L'!$C$6*'Data - P&amp;L'!$C$54</f>
        <v>0</v>
      </c>
      <c r="O279" s="142">
        <f>(O67+O179)*'Data - P&amp;L'!$C$6*'Data - P&amp;L'!$C$54</f>
        <v>0</v>
      </c>
      <c r="P279" s="142">
        <f>(P67+P179)*'Data - P&amp;L'!$C$6*'Data - P&amp;L'!$C$54</f>
        <v>0</v>
      </c>
      <c r="Q279" s="142">
        <f>(Q67+Q179)*'Data - P&amp;L'!$C$6*'Data - P&amp;L'!$C$54</f>
        <v>0</v>
      </c>
      <c r="R279" s="142">
        <f>(R67+R179)*'Data - P&amp;L'!$C$6*'Data - P&amp;L'!$C$54</f>
        <v>0</v>
      </c>
      <c r="S279" s="142">
        <f>(S67+S179)*'Data - P&amp;L'!$C$6*'Data - P&amp;L'!$C$54</f>
        <v>0</v>
      </c>
      <c r="T279" s="142">
        <f>(T67+T179)*'Data - P&amp;L'!$C$6*'Data - P&amp;L'!$C$54</f>
        <v>0</v>
      </c>
      <c r="U279" s="142">
        <f>(U67+U179)*'Data - P&amp;L'!$C$6*'Data - P&amp;L'!$C$54</f>
        <v>0</v>
      </c>
      <c r="V279" s="142">
        <f>(V67+V179)*'Data - P&amp;L'!$C$6*'Data - P&amp;L'!$C$54</f>
        <v>0</v>
      </c>
      <c r="W279" s="142">
        <f>(W67+W179)*'Data - P&amp;L'!$C$6*'Data - P&amp;L'!$C$54</f>
        <v>0</v>
      </c>
      <c r="X279" s="142">
        <f>(X67+X179)*'Data - P&amp;L'!$C$6*'Data - P&amp;L'!$C$54</f>
        <v>0</v>
      </c>
      <c r="Y279" s="142">
        <f>(Y67+Y179)*'Data - P&amp;L'!$C$6*'Data - P&amp;L'!$C$54</f>
        <v>0</v>
      </c>
      <c r="Z279" s="142">
        <f>(Z67+Z179)*'Data - P&amp;L'!$C$6*'Data - P&amp;L'!$C$54</f>
        <v>0</v>
      </c>
      <c r="AA279" s="142">
        <f>(AA67+AA179)*'Data - P&amp;L'!$C$6*'Data - P&amp;L'!$C$54</f>
        <v>0</v>
      </c>
      <c r="AB279" s="142">
        <f>(AB67+AB179)*'Data - P&amp;L'!$C$6*'Data - P&amp;L'!$C$54</f>
        <v>0</v>
      </c>
      <c r="AC279" s="142">
        <f>(AC67+AC179)*'Data - P&amp;L'!$C$6*'Data - P&amp;L'!$C$54</f>
        <v>0</v>
      </c>
      <c r="AD279" s="142">
        <f>(AD67+AD179)*'Data - P&amp;L'!$C$6*'Data - P&amp;L'!$C$54</f>
        <v>0</v>
      </c>
      <c r="AE279" s="142">
        <f>(AE67+AE179)*'Data - P&amp;L'!$C$6*'Data - P&amp;L'!$C$54</f>
        <v>0</v>
      </c>
      <c r="AF279" s="142">
        <f>(AF67+AF179)*'Data - P&amp;L'!$C$6*'Data - P&amp;L'!$C$54</f>
        <v>0</v>
      </c>
      <c r="AG279" s="126">
        <f t="shared" si="58"/>
        <v>0</v>
      </c>
    </row>
    <row r="280" outlineLevel="1">
      <c r="A280" s="272" t="s">
        <v>368</v>
      </c>
      <c r="B280" s="142">
        <f>(B68+B180)*'Data - P&amp;L'!$C$8*'Data - P&amp;L'!$C$54</f>
        <v>0</v>
      </c>
      <c r="C280" s="142">
        <f>(C68+C180)*'Data - P&amp;L'!$C$8*'Data - P&amp;L'!$C$54</f>
        <v>0</v>
      </c>
      <c r="D280" s="142">
        <f>(D68+D180)*'Data - P&amp;L'!$C$8*'Data - P&amp;L'!$C$54</f>
        <v>0</v>
      </c>
      <c r="E280" s="142">
        <f>(E68+E180)*'Data - P&amp;L'!$C$8*'Data - P&amp;L'!$C$54</f>
        <v>0</v>
      </c>
      <c r="F280" s="142">
        <f>(F68+F180)*'Data - P&amp;L'!$C$8*'Data - P&amp;L'!$C$54</f>
        <v>0</v>
      </c>
      <c r="G280" s="142">
        <f>(G68+G180)*'Data - P&amp;L'!$C$8*'Data - P&amp;L'!$C$54</f>
        <v>0</v>
      </c>
      <c r="H280" s="142">
        <f>(H68+H180)*'Data - P&amp;L'!$C$8*'Data - P&amp;L'!$C$54</f>
        <v>0</v>
      </c>
      <c r="I280" s="142">
        <f>(I68+I180)*'Data - P&amp;L'!$C$8*'Data - P&amp;L'!$C$54</f>
        <v>0</v>
      </c>
      <c r="J280" s="142">
        <f>(J68+J180)*'Data - P&amp;L'!$C$8*'Data - P&amp;L'!$C$54</f>
        <v>0</v>
      </c>
      <c r="K280" s="142">
        <f>(K68+K180)*'Data - P&amp;L'!$C$8*'Data - P&amp;L'!$C$54</f>
        <v>0</v>
      </c>
      <c r="L280" s="142">
        <f>(L68+L180)*'Data - P&amp;L'!$C$8*'Data - P&amp;L'!$C$54</f>
        <v>0</v>
      </c>
      <c r="M280" s="142">
        <f>(M68+M180)*'Data - P&amp;L'!$C$8*'Data - P&amp;L'!$C$54</f>
        <v>0</v>
      </c>
      <c r="N280" s="142">
        <f>(N68+N180)*'Data - P&amp;L'!$C$8*'Data - P&amp;L'!$C$54</f>
        <v>0</v>
      </c>
      <c r="O280" s="142">
        <f>(O68+O180)*'Data - P&amp;L'!$C$8*'Data - P&amp;L'!$C$54</f>
        <v>0</v>
      </c>
      <c r="P280" s="142">
        <f>(P68+P180)*'Data - P&amp;L'!$C$8*'Data - P&amp;L'!$C$54</f>
        <v>0</v>
      </c>
      <c r="Q280" s="142">
        <f>(Q68+Q180)*'Data - P&amp;L'!$C$8*'Data - P&amp;L'!$C$54</f>
        <v>0</v>
      </c>
      <c r="R280" s="142">
        <f>(R68+R180)*'Data - P&amp;L'!$C$8*'Data - P&amp;L'!$C$54</f>
        <v>0</v>
      </c>
      <c r="S280" s="142">
        <f>(S68+S180)*'Data - P&amp;L'!$C$8*'Data - P&amp;L'!$C$54</f>
        <v>0</v>
      </c>
      <c r="T280" s="142">
        <f>(T68+T180)*'Data - P&amp;L'!$C$8*'Data - P&amp;L'!$C$54</f>
        <v>0</v>
      </c>
      <c r="U280" s="142">
        <f>(U68+U180)*'Data - P&amp;L'!$C$8*'Data - P&amp;L'!$C$54</f>
        <v>0</v>
      </c>
      <c r="V280" s="142">
        <f>(V68+V180)*'Data - P&amp;L'!$C$8*'Data - P&amp;L'!$C$54</f>
        <v>0</v>
      </c>
      <c r="W280" s="142">
        <f>(W68+W180)*'Data - P&amp;L'!$C$8*'Data - P&amp;L'!$C$54</f>
        <v>0</v>
      </c>
      <c r="X280" s="142">
        <f>(X68+X180)*'Data - P&amp;L'!$C$8*'Data - P&amp;L'!$C$54</f>
        <v>0</v>
      </c>
      <c r="Y280" s="142">
        <f>(Y68+Y180)*'Data - P&amp;L'!$C$8*'Data - P&amp;L'!$C$54</f>
        <v>0</v>
      </c>
      <c r="Z280" s="142">
        <f>(Z68+Z180)*'Data - P&amp;L'!$C$8*'Data - P&amp;L'!$C$54</f>
        <v>0</v>
      </c>
      <c r="AA280" s="142">
        <f>(AA68+AA180)*'Data - P&amp;L'!$C$8*'Data - P&amp;L'!$C$54</f>
        <v>0</v>
      </c>
      <c r="AB280" s="142">
        <f>(AB68+AB180)*'Data - P&amp;L'!$C$8*'Data - P&amp;L'!$C$54</f>
        <v>0</v>
      </c>
      <c r="AC280" s="142">
        <f>(AC68+AC180)*'Data - P&amp;L'!$C$8*'Data - P&amp;L'!$C$54</f>
        <v>0</v>
      </c>
      <c r="AD280" s="142">
        <f>(AD68+AD180)*'Data - P&amp;L'!$C$8*'Data - P&amp;L'!$C$54</f>
        <v>0</v>
      </c>
      <c r="AE280" s="142">
        <f>(AE68+AE180)*'Data - P&amp;L'!$C$8*'Data - P&amp;L'!$C$54</f>
        <v>0</v>
      </c>
      <c r="AF280" s="142">
        <f>(AF68+AF180)*'Data - P&amp;L'!$C$8*'Data - P&amp;L'!$C$54</f>
        <v>0</v>
      </c>
      <c r="AG280" s="126">
        <f>SUM(AG266:AG279)</f>
        <v>2315.905</v>
      </c>
    </row>
    <row r="281" outlineLevel="1">
      <c r="A281" s="272" t="s">
        <v>356</v>
      </c>
      <c r="B281" s="142">
        <f>(B69+B70+B181+B182)*'Data - P&amp;L'!$C$9*'Data - P&amp;L'!$C$54</f>
        <v>0</v>
      </c>
      <c r="C281" s="142">
        <f>(C69+C70+C181+C182)*'Data - P&amp;L'!$C$9*'Data - P&amp;L'!$C$54</f>
        <v>0</v>
      </c>
      <c r="D281" s="142">
        <f>(D69+D70+D181+D182)*'Data - P&amp;L'!$C$9*'Data - P&amp;L'!$C$54</f>
        <v>0</v>
      </c>
      <c r="E281" s="142">
        <f>(E69+E70+E181+E182)*'Data - P&amp;L'!$C$9*'Data - P&amp;L'!$C$54</f>
        <v>0</v>
      </c>
      <c r="F281" s="142">
        <f>(F69+F70+F181+F182)*'Data - P&amp;L'!$C$9*'Data - P&amp;L'!$C$54</f>
        <v>0</v>
      </c>
      <c r="G281" s="142">
        <f>(G69+G70+G181+G182)*'Data - P&amp;L'!$C$9*'Data - P&amp;L'!$C$54</f>
        <v>0</v>
      </c>
      <c r="H281" s="142">
        <f>(H69+H70+H181+H182)*'Data - P&amp;L'!$C$9*'Data - P&amp;L'!$C$54</f>
        <v>0</v>
      </c>
      <c r="I281" s="142">
        <f>(I69+I70+I181+I182)*'Data - P&amp;L'!$C$9*'Data - P&amp;L'!$C$54</f>
        <v>0</v>
      </c>
      <c r="J281" s="142">
        <f>(J69+J70+J181+J182)*'Data - P&amp;L'!$C$9*'Data - P&amp;L'!$C$54</f>
        <v>0</v>
      </c>
      <c r="K281" s="142">
        <f>(K69+K70+K181+K182)*'Data - P&amp;L'!$C$9*'Data - P&amp;L'!$C$54</f>
        <v>0</v>
      </c>
      <c r="L281" s="142">
        <f>(L69+L70+L181+L182)*'Data - P&amp;L'!$C$9*'Data - P&amp;L'!$C$54</f>
        <v>0</v>
      </c>
      <c r="M281" s="142">
        <f>(M69+M70+M181+M182)*'Data - P&amp;L'!$C$9*'Data - P&amp;L'!$C$54</f>
        <v>0</v>
      </c>
      <c r="N281" s="142">
        <f>(N69+N70+N181+N182)*'Data - P&amp;L'!$C$9*'Data - P&amp;L'!$C$54</f>
        <v>0</v>
      </c>
      <c r="O281" s="142">
        <f>(O69+O70+O181+O182)*'Data - P&amp;L'!$C$9*'Data - P&amp;L'!$C$54</f>
        <v>0</v>
      </c>
      <c r="P281" s="142">
        <f>(P69+P70+P181+P182)*'Data - P&amp;L'!$C$9*'Data - P&amp;L'!$C$54</f>
        <v>0</v>
      </c>
      <c r="Q281" s="142">
        <f>(Q69+Q70+Q181+Q182)*'Data - P&amp;L'!$C$9*'Data - P&amp;L'!$C$54</f>
        <v>0</v>
      </c>
      <c r="R281" s="142">
        <f>(R69+R70+R181+R182)*'Data - P&amp;L'!$C$9*'Data - P&amp;L'!$C$54</f>
        <v>0</v>
      </c>
      <c r="S281" s="142">
        <f>(S69+S70+S181+S182)*'Data - P&amp;L'!$C$9*'Data - P&amp;L'!$C$54</f>
        <v>0</v>
      </c>
      <c r="T281" s="142">
        <f>(T69+T70+T181+T182)*'Data - P&amp;L'!$C$9*'Data - P&amp;L'!$C$54</f>
        <v>0</v>
      </c>
      <c r="U281" s="142">
        <f>(U69+U70+U181+U182)*'Data - P&amp;L'!$C$9*'Data - P&amp;L'!$C$54</f>
        <v>0</v>
      </c>
      <c r="V281" s="142">
        <f>(V69+V70+V181+V182)*'Data - P&amp;L'!$C$9*'Data - P&amp;L'!$C$54</f>
        <v>0</v>
      </c>
      <c r="W281" s="142">
        <f>(W69+W70+W181+W182)*'Data - P&amp;L'!$C$9*'Data - P&amp;L'!$C$54</f>
        <v>0</v>
      </c>
      <c r="X281" s="142">
        <f>(X69+X70+X181+X182)*'Data - P&amp;L'!$C$9*'Data - P&amp;L'!$C$54</f>
        <v>0</v>
      </c>
      <c r="Y281" s="142">
        <f>(Y69+Y70+Y181+Y182)*'Data - P&amp;L'!$C$9*'Data - P&amp;L'!$C$54</f>
        <v>0</v>
      </c>
      <c r="Z281" s="142">
        <f>(Z69+Z70+Z181+Z182)*'Data - P&amp;L'!$C$9*'Data - P&amp;L'!$C$54</f>
        <v>0</v>
      </c>
      <c r="AA281" s="142">
        <f>(AA69+AA70+AA181+AA182)*'Data - P&amp;L'!$C$9*'Data - P&amp;L'!$C$54</f>
        <v>0</v>
      </c>
      <c r="AB281" s="142">
        <f>(AB69+AB70+AB181+AB182)*'Data - P&amp;L'!$C$9*'Data - P&amp;L'!$C$54</f>
        <v>0</v>
      </c>
      <c r="AC281" s="142">
        <f>(AC69+AC70+AC181+AC182)*'Data - P&amp;L'!$C$9*'Data - P&amp;L'!$C$54</f>
        <v>0</v>
      </c>
      <c r="AD281" s="142">
        <f>(AD69+AD70+AD181+AD182)*'Data - P&amp;L'!$C$9*'Data - P&amp;L'!$C$54</f>
        <v>0</v>
      </c>
      <c r="AE281" s="142">
        <f>(AE69+AE70+AE181+AE182)*'Data - P&amp;L'!$C$9*'Data - P&amp;L'!$C$54</f>
        <v>0</v>
      </c>
      <c r="AF281" s="142">
        <f>(AF69+AF70+AF181+AF182)*'Data - P&amp;L'!$C$9*'Data - P&amp;L'!$C$54</f>
        <v>0</v>
      </c>
      <c r="AG281" s="126">
        <f t="shared" ref="AG281:AG299" si="61">SUM(B281:AF281)</f>
        <v>0</v>
      </c>
    </row>
    <row r="282" outlineLevel="1">
      <c r="A282" s="272" t="s">
        <v>357</v>
      </c>
      <c r="B282" s="142">
        <f>(B71+B72+B183+B184)*'Data - P&amp;L'!$C$5*'Data - P&amp;L'!$C$54</f>
        <v>0</v>
      </c>
      <c r="C282" s="142">
        <f>(C71+C72+C183+C184)*'Data - P&amp;L'!$C$5*'Data - P&amp;L'!$C$54</f>
        <v>0</v>
      </c>
      <c r="D282" s="142">
        <f>(D71+D72+D183+D184)*'Data - P&amp;L'!$C$5*'Data - P&amp;L'!$C$54</f>
        <v>0</v>
      </c>
      <c r="E282" s="142">
        <f>(E71+E72+E183+E184)*'Data - P&amp;L'!$C$5*'Data - P&amp;L'!$C$54</f>
        <v>0</v>
      </c>
      <c r="F282" s="142">
        <f>(F71+F72+F183+F184)*'Data - P&amp;L'!$C$5*'Data - P&amp;L'!$C$54</f>
        <v>0</v>
      </c>
      <c r="G282" s="142">
        <f>(G71+G72+G183+G184)*'Data - P&amp;L'!$C$5*'Data - P&amp;L'!$C$54</f>
        <v>0</v>
      </c>
      <c r="H282" s="142">
        <f>(H71+H72+H183+H184)*'Data - P&amp;L'!$C$5*'Data - P&amp;L'!$C$54</f>
        <v>0</v>
      </c>
      <c r="I282" s="142">
        <f>(I71+I72+I183+I184)*'Data - P&amp;L'!$C$5*'Data - P&amp;L'!$C$54</f>
        <v>0</v>
      </c>
      <c r="J282" s="142">
        <f>(J71+J72+J183+J184)*'Data - P&amp;L'!$C$5*'Data - P&amp;L'!$C$54</f>
        <v>0</v>
      </c>
      <c r="K282" s="142">
        <f>(K71+K72+K183+K184)*'Data - P&amp;L'!$C$5*'Data - P&amp;L'!$C$54</f>
        <v>0</v>
      </c>
      <c r="L282" s="142">
        <f>(L71+L72+L183+L184)*'Data - P&amp;L'!$C$5*'Data - P&amp;L'!$C$54</f>
        <v>0</v>
      </c>
      <c r="M282" s="142">
        <f>(M71+M72+M183+M184)*'Data - P&amp;L'!$C$5*'Data - P&amp;L'!$C$54</f>
        <v>0</v>
      </c>
      <c r="N282" s="142">
        <f>(N71+N72+N183+N184)*'Data - P&amp;L'!$C$5*'Data - P&amp;L'!$C$54</f>
        <v>0</v>
      </c>
      <c r="O282" s="142">
        <f>(O71+O72+O183+O184)*'Data - P&amp;L'!$C$5*'Data - P&amp;L'!$C$54</f>
        <v>0</v>
      </c>
      <c r="P282" s="142">
        <f>(P71+P72+P183+P184)*'Data - P&amp;L'!$C$5*'Data - P&amp;L'!$C$54</f>
        <v>0</v>
      </c>
      <c r="Q282" s="142">
        <f>(Q71+Q72+Q183+Q184)*'Data - P&amp;L'!$C$5*'Data - P&amp;L'!$C$54</f>
        <v>0</v>
      </c>
      <c r="R282" s="142">
        <f>(R71+R72+R183+R184)*'Data - P&amp;L'!$C$5*'Data - P&amp;L'!$C$54</f>
        <v>0</v>
      </c>
      <c r="S282" s="142">
        <f>(S71+S72+S183+S184)*'Data - P&amp;L'!$C$5*'Data - P&amp;L'!$C$54</f>
        <v>0</v>
      </c>
      <c r="T282" s="142">
        <f>(T71+T72+T183+T184)*'Data - P&amp;L'!$C$5*'Data - P&amp;L'!$C$54</f>
        <v>0</v>
      </c>
      <c r="U282" s="142">
        <f>(U71+U72+U183+U184)*'Data - P&amp;L'!$C$5*'Data - P&amp;L'!$C$54</f>
        <v>0</v>
      </c>
      <c r="V282" s="142">
        <f>(V71+V72+V183+V184)*'Data - P&amp;L'!$C$5*'Data - P&amp;L'!$C$54</f>
        <v>0</v>
      </c>
      <c r="W282" s="142">
        <f>(W71+W72+W183+W184)*'Data - P&amp;L'!$C$5*'Data - P&amp;L'!$C$54</f>
        <v>0</v>
      </c>
      <c r="X282" s="142">
        <f>(X71+X72+X183+X184)*'Data - P&amp;L'!$C$5*'Data - P&amp;L'!$C$54</f>
        <v>0</v>
      </c>
      <c r="Y282" s="142">
        <f>(Y71+Y72+Y183+Y184)*'Data - P&amp;L'!$C$5*'Data - P&amp;L'!$C$54</f>
        <v>0</v>
      </c>
      <c r="Z282" s="142">
        <f>(Z71+Z72+Z183+Z184)*'Data - P&amp;L'!$C$5*'Data - P&amp;L'!$C$54</f>
        <v>0</v>
      </c>
      <c r="AA282" s="142">
        <f>(AA71+AA72+AA183+AA184)*'Data - P&amp;L'!$C$5*'Data - P&amp;L'!$C$54</f>
        <v>0</v>
      </c>
      <c r="AB282" s="142">
        <f>(AB71+AB72+AB183+AB184)*'Data - P&amp;L'!$C$5*'Data - P&amp;L'!$C$54</f>
        <v>0</v>
      </c>
      <c r="AC282" s="142">
        <f>(AC71+AC72+AC183+AC184)*'Data - P&amp;L'!$C$5*'Data - P&amp;L'!$C$54</f>
        <v>0</v>
      </c>
      <c r="AD282" s="142">
        <f>(AD71+AD72+AD183+AD184)*'Data - P&amp;L'!$C$5*'Data - P&amp;L'!$C$54</f>
        <v>0</v>
      </c>
      <c r="AE282" s="142">
        <f>(AE71+AE72+AE183+AE184)*'Data - P&amp;L'!$C$5*'Data - P&amp;L'!$C$54</f>
        <v>0</v>
      </c>
      <c r="AF282" s="142">
        <f>(AF71+AF72+AF183+AF184)*'Data - P&amp;L'!$C$5*'Data - P&amp;L'!$C$54</f>
        <v>0</v>
      </c>
      <c r="AG282" s="126">
        <f t="shared" si="61"/>
        <v>0</v>
      </c>
    </row>
    <row r="283" outlineLevel="1">
      <c r="A283" s="272" t="s">
        <v>358</v>
      </c>
      <c r="B283" s="142">
        <f>(B73+B74+B185+B186)*'Data - P&amp;L'!$C$10*'Data - P&amp;L'!$C$54</f>
        <v>0</v>
      </c>
      <c r="C283" s="142">
        <f>(C73+C74+C185+C186)*'Data - P&amp;L'!$C$10*'Data - P&amp;L'!$C$54</f>
        <v>0</v>
      </c>
      <c r="D283" s="142">
        <f>(D73+D74+D185+D186)*'Data - P&amp;L'!$C$10*'Data - P&amp;L'!$C$54</f>
        <v>0</v>
      </c>
      <c r="E283" s="142">
        <f>(E73+E74+E185+E186)*'Data - P&amp;L'!$C$10*'Data - P&amp;L'!$C$54</f>
        <v>0</v>
      </c>
      <c r="F283" s="142">
        <f>(F73+F74+F185+F186)*'Data - P&amp;L'!$C$10*'Data - P&amp;L'!$C$54</f>
        <v>0</v>
      </c>
      <c r="G283" s="142">
        <f>(G73+G74+G185+G186)*'Data - P&amp;L'!$C$10*'Data - P&amp;L'!$C$54</f>
        <v>0</v>
      </c>
      <c r="H283" s="142">
        <f>(H73+H74+H185+H186)*'Data - P&amp;L'!$C$10*'Data - P&amp;L'!$C$54</f>
        <v>0</v>
      </c>
      <c r="I283" s="142">
        <f>(I73+I74+I185+I186)*'Data - P&amp;L'!$C$10*'Data - P&amp;L'!$C$54</f>
        <v>0</v>
      </c>
      <c r="J283" s="142">
        <f>(J73+J74+J185+J186)*'Data - P&amp;L'!$C$10*'Data - P&amp;L'!$C$54</f>
        <v>0</v>
      </c>
      <c r="K283" s="142">
        <f>(K73+K74+K185+K186)*'Data - P&amp;L'!$C$10*'Data - P&amp;L'!$C$54</f>
        <v>0</v>
      </c>
      <c r="L283" s="142">
        <f>(L73+L74+L185+L186)*'Data - P&amp;L'!$C$10*'Data - P&amp;L'!$C$54</f>
        <v>0</v>
      </c>
      <c r="M283" s="142">
        <f>(M73+M74+M185+M186)*'Data - P&amp;L'!$C$10*'Data - P&amp;L'!$C$54</f>
        <v>0</v>
      </c>
      <c r="N283" s="142">
        <f>(N73+N74+N185+N186)*'Data - P&amp;L'!$C$10*'Data - P&amp;L'!$C$54</f>
        <v>0</v>
      </c>
      <c r="O283" s="142">
        <f>(O73+O74+O185+O186)*'Data - P&amp;L'!$C$10*'Data - P&amp;L'!$C$54</f>
        <v>0</v>
      </c>
      <c r="P283" s="142">
        <f>(P73+P74+P185+P186)*'Data - P&amp;L'!$C$10*'Data - P&amp;L'!$C$54</f>
        <v>0</v>
      </c>
      <c r="Q283" s="142">
        <f>(Q73+Q74+Q185+Q186)*'Data - P&amp;L'!$C$10*'Data - P&amp;L'!$C$54</f>
        <v>0</v>
      </c>
      <c r="R283" s="142">
        <f>(R73+R74+R185+R186)*'Data - P&amp;L'!$C$10*'Data - P&amp;L'!$C$54</f>
        <v>0</v>
      </c>
      <c r="S283" s="142">
        <f>(S73+S74+S185+S186)*'Data - P&amp;L'!$C$10*'Data - P&amp;L'!$C$54</f>
        <v>0</v>
      </c>
      <c r="T283" s="142">
        <f>(T73+T74+T185+T186)*'Data - P&amp;L'!$C$10*'Data - P&amp;L'!$C$54</f>
        <v>0</v>
      </c>
      <c r="U283" s="142">
        <f>(U73+U74+U185+U186)*'Data - P&amp;L'!$C$10*'Data - P&amp;L'!$C$54</f>
        <v>0</v>
      </c>
      <c r="V283" s="142">
        <f>(V73+V74+V185+V186)*'Data - P&amp;L'!$C$10*'Data - P&amp;L'!$C$54</f>
        <v>0</v>
      </c>
      <c r="W283" s="142">
        <f>(W73+W74+W185+W186)*'Data - P&amp;L'!$C$10*'Data - P&amp;L'!$C$54</f>
        <v>0</v>
      </c>
      <c r="X283" s="142">
        <f>(X73+X74+X185+X186)*'Data - P&amp;L'!$C$10*'Data - P&amp;L'!$C$54</f>
        <v>0</v>
      </c>
      <c r="Y283" s="142">
        <f>(Y73+Y74+Y185+Y186)*'Data - P&amp;L'!$C$10*'Data - P&amp;L'!$C$54</f>
        <v>0</v>
      </c>
      <c r="Z283" s="142">
        <f>(Z73+Z74+Z185+Z186)*'Data - P&amp;L'!$C$10*'Data - P&amp;L'!$C$54</f>
        <v>0</v>
      </c>
      <c r="AA283" s="142">
        <f>(AA73+AA74+AA185+AA186)*'Data - P&amp;L'!$C$10*'Data - P&amp;L'!$C$54</f>
        <v>0</v>
      </c>
      <c r="AB283" s="142">
        <f>(AB73+AB74+AB185+AB186)*'Data - P&amp;L'!$C$10*'Data - P&amp;L'!$C$54</f>
        <v>0</v>
      </c>
      <c r="AC283" s="142">
        <f>(AC73+AC74+AC185+AC186)*'Data - P&amp;L'!$C$10*'Data - P&amp;L'!$C$54</f>
        <v>0</v>
      </c>
      <c r="AD283" s="142">
        <f>(AD73+AD74+AD185+AD186)*'Data - P&amp;L'!$C$10*'Data - P&amp;L'!$C$54</f>
        <v>0</v>
      </c>
      <c r="AE283" s="142">
        <f>(AE73+AE74+AE185+AE186)*'Data - P&amp;L'!$C$10*'Data - P&amp;L'!$C$54</f>
        <v>0</v>
      </c>
      <c r="AF283" s="142">
        <f>(AF73+AF74+AF185+AF186)*'Data - P&amp;L'!$C$10*'Data - P&amp;L'!$C$54</f>
        <v>0</v>
      </c>
      <c r="AG283" s="126">
        <f t="shared" si="61"/>
        <v>0</v>
      </c>
    </row>
    <row r="284" outlineLevel="1">
      <c r="A284" s="272" t="s">
        <v>359</v>
      </c>
      <c r="B284" s="142">
        <f>((B64*'Data - P&amp;L'!$C$38)+(B176*'Data - P&amp;L'!$C$38))*'Data - P&amp;L'!$C$54</f>
        <v>0</v>
      </c>
      <c r="C284" s="142">
        <f>((C64*'Data - P&amp;L'!$C$38)+(C176*'Data - P&amp;L'!$C$38))*'Data - P&amp;L'!$C$54</f>
        <v>0</v>
      </c>
      <c r="D284" s="142">
        <f>((D64*'Data - P&amp;L'!$C$38)+(D176*'Data - P&amp;L'!$C$38))*'Data - P&amp;L'!$C$54</f>
        <v>0</v>
      </c>
      <c r="E284" s="142">
        <f>((E64*'Data - P&amp;L'!$C$38)+(E176*'Data - P&amp;L'!$C$38))*'Data - P&amp;L'!$C$54</f>
        <v>0</v>
      </c>
      <c r="F284" s="142">
        <f>((F64*'Data - P&amp;L'!$C$38)+(F176*'Data - P&amp;L'!$C$38))*'Data - P&amp;L'!$C$54</f>
        <v>0</v>
      </c>
      <c r="G284" s="142">
        <f>((G64*'Data - P&amp;L'!$C$38)+(G176*'Data - P&amp;L'!$C$38))*'Data - P&amp;L'!$C$54</f>
        <v>0</v>
      </c>
      <c r="H284" s="142">
        <f>((H64*'Data - P&amp;L'!$C$38)+(H176*'Data - P&amp;L'!$C$38))*'Data - P&amp;L'!$C$54</f>
        <v>0</v>
      </c>
      <c r="I284" s="142">
        <f>((I64*'Data - P&amp;L'!$C$38)+(I176*'Data - P&amp;L'!$C$38))*'Data - P&amp;L'!$C$54</f>
        <v>0</v>
      </c>
      <c r="J284" s="142">
        <f>((J64*'Data - P&amp;L'!$C$38)+(J176*'Data - P&amp;L'!$C$38))*'Data - P&amp;L'!$C$54</f>
        <v>0</v>
      </c>
      <c r="K284" s="142">
        <f>((K64*'Data - P&amp;L'!$C$38)+(K176*'Data - P&amp;L'!$C$38))*'Data - P&amp;L'!$C$54</f>
        <v>0</v>
      </c>
      <c r="L284" s="142">
        <f>((L64*'Data - P&amp;L'!$C$38)+(L176*'Data - P&amp;L'!$C$38))*'Data - P&amp;L'!$C$54</f>
        <v>0</v>
      </c>
      <c r="M284" s="142">
        <f>((M64*'Data - P&amp;L'!$C$38)+(M176*'Data - P&amp;L'!$C$38))*'Data - P&amp;L'!$C$54</f>
        <v>0</v>
      </c>
      <c r="N284" s="142">
        <f>((N64*'Data - P&amp;L'!$C$38)+(N176*'Data - P&amp;L'!$C$38))*'Data - P&amp;L'!$C$54</f>
        <v>0</v>
      </c>
      <c r="O284" s="142">
        <f>((O64*'Data - P&amp;L'!$C$38)+(O176*'Data - P&amp;L'!$C$38))*'Data - P&amp;L'!$C$54</f>
        <v>0</v>
      </c>
      <c r="P284" s="142">
        <f>((P64*'Data - P&amp;L'!$C$38)+(P176*'Data - P&amp;L'!$C$38))*'Data - P&amp;L'!$C$54</f>
        <v>0</v>
      </c>
      <c r="Q284" s="142">
        <f>((Q64*'Data - P&amp;L'!$C$38)+(Q176*'Data - P&amp;L'!$C$38))*'Data - P&amp;L'!$C$54</f>
        <v>0</v>
      </c>
      <c r="R284" s="142">
        <f>((R64*'Data - P&amp;L'!$C$38)+(R176*'Data - P&amp;L'!$C$38))*'Data - P&amp;L'!$C$54</f>
        <v>0</v>
      </c>
      <c r="S284" s="142">
        <f>((S64*'Data - P&amp;L'!$C$38)+(S176*'Data - P&amp;L'!$C$38))*'Data - P&amp;L'!$C$54</f>
        <v>0</v>
      </c>
      <c r="T284" s="142">
        <f>((T64*'Data - P&amp;L'!$C$38)+(T176*'Data - P&amp;L'!$C$38))*'Data - P&amp;L'!$C$54</f>
        <v>0</v>
      </c>
      <c r="U284" s="142">
        <f>((U64*'Data - P&amp;L'!$C$38)+(U176*'Data - P&amp;L'!$C$38))*'Data - P&amp;L'!$C$54</f>
        <v>0</v>
      </c>
      <c r="V284" s="142">
        <f>((V64*'Data - P&amp;L'!$C$38)+(V176*'Data - P&amp;L'!$C$38))*'Data - P&amp;L'!$C$54</f>
        <v>0</v>
      </c>
      <c r="W284" s="142">
        <f>((W64*'Data - P&amp;L'!$C$38)+(W176*'Data - P&amp;L'!$C$38))*'Data - P&amp;L'!$C$54</f>
        <v>0</v>
      </c>
      <c r="X284" s="142">
        <f>((X64*'Data - P&amp;L'!$C$38)+(X176*'Data - P&amp;L'!$C$38))*'Data - P&amp;L'!$C$54</f>
        <v>0</v>
      </c>
      <c r="Y284" s="142">
        <f>((Y64*'Data - P&amp;L'!$C$38)+(Y176*'Data - P&amp;L'!$C$38))*'Data - P&amp;L'!$C$54</f>
        <v>0</v>
      </c>
      <c r="Z284" s="142">
        <f>((Z64*'Data - P&amp;L'!$C$38)+(Z176*'Data - P&amp;L'!$C$38))*'Data - P&amp;L'!$C$54</f>
        <v>0</v>
      </c>
      <c r="AA284" s="142">
        <f>((AA64*'Data - P&amp;L'!$C$38)+(AA176*'Data - P&amp;L'!$C$38))*'Data - P&amp;L'!$C$54</f>
        <v>0</v>
      </c>
      <c r="AB284" s="142">
        <f>((AB64*'Data - P&amp;L'!$C$38)+(AB176*'Data - P&amp;L'!$C$38))*'Data - P&amp;L'!$C$54</f>
        <v>0</v>
      </c>
      <c r="AC284" s="142">
        <f>((AC64*'Data - P&amp;L'!$C$38)+(AC176*'Data - P&amp;L'!$C$38))*'Data - P&amp;L'!$C$54</f>
        <v>0</v>
      </c>
      <c r="AD284" s="142">
        <f>((AD64*'Data - P&amp;L'!$C$38)+(AD176*'Data - P&amp;L'!$C$38))*'Data - P&amp;L'!$C$54</f>
        <v>0</v>
      </c>
      <c r="AE284" s="142">
        <f>((AE64*'Data - P&amp;L'!$C$38)+(AE176*'Data - P&amp;L'!$C$38))*'Data - P&amp;L'!$C$54</f>
        <v>0</v>
      </c>
      <c r="AF284" s="142">
        <f>((AF64*'Data - P&amp;L'!$C$38)+(AF176*'Data - P&amp;L'!$C$38))*'Data - P&amp;L'!$C$54</f>
        <v>0</v>
      </c>
      <c r="AG284" s="126">
        <f t="shared" si="61"/>
        <v>0</v>
      </c>
    </row>
    <row r="285" outlineLevel="1">
      <c r="A285" s="272" t="s">
        <v>361</v>
      </c>
      <c r="B285" s="142">
        <f>((B75*'Data - P&amp;L'!$D$38)+(B187*'Data - P&amp;L'!$D$38))*'Data - P&amp;L'!$C$54</f>
        <v>0</v>
      </c>
      <c r="C285" s="142">
        <f>((C75*'Data - P&amp;L'!$D$38)+(C187*'Data - P&amp;L'!$D$38))*'Data - P&amp;L'!$C$54</f>
        <v>0</v>
      </c>
      <c r="D285" s="142">
        <f>((D75*'Data - P&amp;L'!$D$38)+(D187*'Data - P&amp;L'!$D$38))*'Data - P&amp;L'!$C$54</f>
        <v>0</v>
      </c>
      <c r="E285" s="142">
        <f>((E75*'Data - P&amp;L'!$D$38)+(E187*'Data - P&amp;L'!$D$38))*'Data - P&amp;L'!$C$54</f>
        <v>0</v>
      </c>
      <c r="F285" s="142">
        <f>((F75*'Data - P&amp;L'!$D$38)+(F187*'Data - P&amp;L'!$D$38))*'Data - P&amp;L'!$C$54</f>
        <v>0</v>
      </c>
      <c r="G285" s="142">
        <f>((G75*'Data - P&amp;L'!$D$38)+(G187*'Data - P&amp;L'!$D$38))*'Data - P&amp;L'!$C$54</f>
        <v>0</v>
      </c>
      <c r="H285" s="142">
        <f>((H75*'Data - P&amp;L'!$D$38)+(H187*'Data - P&amp;L'!$D$38))*'Data - P&amp;L'!$C$54</f>
        <v>0</v>
      </c>
      <c r="I285" s="142">
        <f>((I75*'Data - P&amp;L'!$D$38)+(I187*'Data - P&amp;L'!$D$38))*'Data - P&amp;L'!$C$54</f>
        <v>0</v>
      </c>
      <c r="J285" s="142">
        <f>((J75*'Data - P&amp;L'!$D$38)+(J187*'Data - P&amp;L'!$D$38))*'Data - P&amp;L'!$C$54</f>
        <v>0</v>
      </c>
      <c r="K285" s="142">
        <f>((K75*'Data - P&amp;L'!$D$38)+(K187*'Data - P&amp;L'!$D$38))*'Data - P&amp;L'!$C$54</f>
        <v>0</v>
      </c>
      <c r="L285" s="142">
        <f>((L75*'Data - P&amp;L'!$D$38)+(L187*'Data - P&amp;L'!$D$38))*'Data - P&amp;L'!$C$54</f>
        <v>0</v>
      </c>
      <c r="M285" s="142">
        <f>((M75*'Data - P&amp;L'!$D$38)+(M187*'Data - P&amp;L'!$D$38))*'Data - P&amp;L'!$C$54</f>
        <v>0</v>
      </c>
      <c r="N285" s="142">
        <f>((N75*'Data - P&amp;L'!$D$38)+(N187*'Data - P&amp;L'!$D$38))*'Data - P&amp;L'!$C$54</f>
        <v>0</v>
      </c>
      <c r="O285" s="142">
        <f>((O75*'Data - P&amp;L'!$D$38)+(O187*'Data - P&amp;L'!$D$38))*'Data - P&amp;L'!$C$54</f>
        <v>0</v>
      </c>
      <c r="P285" s="142">
        <f>((P75*'Data - P&amp;L'!$D$38)+(P187*'Data - P&amp;L'!$D$38))*'Data - P&amp;L'!$C$54</f>
        <v>0</v>
      </c>
      <c r="Q285" s="142">
        <f>((Q75*'Data - P&amp;L'!$D$38)+(Q187*'Data - P&amp;L'!$D$38))*'Data - P&amp;L'!$C$54</f>
        <v>0</v>
      </c>
      <c r="R285" s="142">
        <f>((R75*'Data - P&amp;L'!$D$38)+(R187*'Data - P&amp;L'!$D$38))*'Data - P&amp;L'!$C$54</f>
        <v>0</v>
      </c>
      <c r="S285" s="142">
        <f>((S75*'Data - P&amp;L'!$D$38)+(S187*'Data - P&amp;L'!$D$38))*'Data - P&amp;L'!$C$54</f>
        <v>0</v>
      </c>
      <c r="T285" s="142">
        <f>((T75*'Data - P&amp;L'!$D$38)+(T187*'Data - P&amp;L'!$D$38))*'Data - P&amp;L'!$C$54</f>
        <v>0</v>
      </c>
      <c r="U285" s="142">
        <f>((U75*'Data - P&amp;L'!$D$38)+(U187*'Data - P&amp;L'!$D$38))*'Data - P&amp;L'!$C$54</f>
        <v>0</v>
      </c>
      <c r="V285" s="142">
        <f>((V75*'Data - P&amp;L'!$D$38)+(V187*'Data - P&amp;L'!$D$38))*'Data - P&amp;L'!$C$54</f>
        <v>0</v>
      </c>
      <c r="W285" s="142">
        <f>((W75*'Data - P&amp;L'!$D$38)+(W187*'Data - P&amp;L'!$D$38))*'Data - P&amp;L'!$C$54</f>
        <v>0</v>
      </c>
      <c r="X285" s="142">
        <f>((X75*'Data - P&amp;L'!$D$38)+(X187*'Data - P&amp;L'!$D$38))*'Data - P&amp;L'!$C$54</f>
        <v>0</v>
      </c>
      <c r="Y285" s="142">
        <f>((Y75*'Data - P&amp;L'!$D$38)+(Y187*'Data - P&amp;L'!$D$38))*'Data - P&amp;L'!$C$54</f>
        <v>0</v>
      </c>
      <c r="Z285" s="142">
        <f>((Z75*'Data - P&amp;L'!$D$38)+(Z187*'Data - P&amp;L'!$D$38))*'Data - P&amp;L'!$C$54</f>
        <v>0</v>
      </c>
      <c r="AA285" s="142">
        <f>((AA75*'Data - P&amp;L'!$D$38)+(AA187*'Data - P&amp;L'!$D$38))*'Data - P&amp;L'!$C$54</f>
        <v>0</v>
      </c>
      <c r="AB285" s="142">
        <f>((AB75*'Data - P&amp;L'!$D$38)+(AB187*'Data - P&amp;L'!$D$38))*'Data - P&amp;L'!$C$54</f>
        <v>0</v>
      </c>
      <c r="AC285" s="142">
        <f>((AC75*'Data - P&amp;L'!$D$38)+(AC187*'Data - P&amp;L'!$D$38))*'Data - P&amp;L'!$C$54</f>
        <v>0</v>
      </c>
      <c r="AD285" s="142">
        <f>((AD75*'Data - P&amp;L'!$D$38)+(AD187*'Data - P&amp;L'!$D$38))*'Data - P&amp;L'!$C$54</f>
        <v>0</v>
      </c>
      <c r="AE285" s="142">
        <f>((AE75*'Data - P&amp;L'!$D$38)+(AE187*'Data - P&amp;L'!$D$38))*'Data - P&amp;L'!$C$54</f>
        <v>0</v>
      </c>
      <c r="AF285" s="142">
        <f>((AF75*'Data - P&amp;L'!$D$38)+(AF187*'Data - P&amp;L'!$D$38))*'Data - P&amp;L'!$C$54</f>
        <v>0</v>
      </c>
      <c r="AG285" s="126">
        <f t="shared" si="61"/>
        <v>0</v>
      </c>
    </row>
    <row r="286" outlineLevel="1">
      <c r="A286" s="272" t="s">
        <v>369</v>
      </c>
      <c r="B286" s="462">
        <f>B77*'Data - P&amp;L'!$R$3</f>
        <v>0</v>
      </c>
      <c r="C286" s="462">
        <f>C77*'Data - P&amp;L'!$R$3</f>
        <v>0</v>
      </c>
      <c r="D286" s="462">
        <f>D77*'Data - P&amp;L'!$R$3</f>
        <v>0</v>
      </c>
      <c r="E286" s="462">
        <f>E77*'Data - P&amp;L'!$R$3</f>
        <v>0</v>
      </c>
      <c r="F286" s="462">
        <f>F77*'Data - P&amp;L'!$R$3</f>
        <v>0</v>
      </c>
      <c r="G286" s="462">
        <f>G77*'Data - P&amp;L'!$R$3</f>
        <v>0</v>
      </c>
      <c r="H286" s="462">
        <f>H77*'Data - P&amp;L'!$R$3</f>
        <v>0</v>
      </c>
      <c r="I286" s="462">
        <f>I77*'Data - P&amp;L'!$R$3</f>
        <v>0</v>
      </c>
      <c r="J286" s="462">
        <f>J77*'Data - P&amp;L'!$R$3</f>
        <v>0</v>
      </c>
      <c r="K286" s="462">
        <f>K77*'Data - P&amp;L'!$R$3</f>
        <v>0</v>
      </c>
      <c r="L286" s="462">
        <f>L77*'Data - P&amp;L'!$R$3</f>
        <v>0</v>
      </c>
      <c r="M286" s="462">
        <f>M77*'Data - P&amp;L'!$R$3</f>
        <v>0</v>
      </c>
      <c r="N286" s="462">
        <f>N77*'Data - P&amp;L'!$R$3</f>
        <v>0</v>
      </c>
      <c r="O286" s="462">
        <f>O77*'Data - P&amp;L'!$R$3</f>
        <v>0</v>
      </c>
      <c r="P286" s="462">
        <f>P77*'Data - P&amp;L'!$R$3</f>
        <v>0</v>
      </c>
      <c r="Q286" s="462">
        <f>Q77*'Data - P&amp;L'!$R$3</f>
        <v>0</v>
      </c>
      <c r="R286" s="462">
        <f>R77*'Data - P&amp;L'!$R$3</f>
        <v>0</v>
      </c>
      <c r="S286" s="462">
        <f>S77*'Data - P&amp;L'!$R$3</f>
        <v>0</v>
      </c>
      <c r="T286" s="462">
        <f>T77*'Data - P&amp;L'!$R$3</f>
        <v>0</v>
      </c>
      <c r="U286" s="462">
        <f>U77*'Data - P&amp;L'!$R$3</f>
        <v>0</v>
      </c>
      <c r="V286" s="462">
        <f>V77*'Data - P&amp;L'!$R$3</f>
        <v>0</v>
      </c>
      <c r="W286" s="462">
        <f>W77*'Data - P&amp;L'!$R$3</f>
        <v>0</v>
      </c>
      <c r="X286" s="462">
        <f>X77*'Data - P&amp;L'!$R$3</f>
        <v>0</v>
      </c>
      <c r="Y286" s="462">
        <f>Y77*'Data - P&amp;L'!$R$3</f>
        <v>0</v>
      </c>
      <c r="Z286" s="462">
        <f>Z77*'Data - P&amp;L'!$R$3</f>
        <v>0</v>
      </c>
      <c r="AA286" s="462">
        <f>AA77*'Data - P&amp;L'!$R$3</f>
        <v>0</v>
      </c>
      <c r="AB286" s="462">
        <f>AB77*'Data - P&amp;L'!$R$3</f>
        <v>0</v>
      </c>
      <c r="AC286" s="462">
        <f>AC77*'Data - P&amp;L'!$R$3</f>
        <v>0</v>
      </c>
      <c r="AD286" s="462">
        <f>AD77*'Data - P&amp;L'!$R$3</f>
        <v>0</v>
      </c>
      <c r="AE286" s="462">
        <f>AE77*'Data - P&amp;L'!$R$3</f>
        <v>0</v>
      </c>
      <c r="AF286" s="462">
        <f>AF77*'Data - P&amp;L'!$R$3</f>
        <v>0</v>
      </c>
      <c r="AG286" s="126">
        <f t="shared" si="61"/>
        <v>0</v>
      </c>
    </row>
    <row r="287" outlineLevel="1">
      <c r="A287" s="459" t="s">
        <v>370</v>
      </c>
      <c r="B287" s="250">
        <f t="shared" ref="B287:AF287" si="62">B83+B193</f>
        <v>0</v>
      </c>
      <c r="C287" s="250">
        <f t="shared" si="62"/>
        <v>0</v>
      </c>
      <c r="D287" s="250">
        <f t="shared" si="62"/>
        <v>0</v>
      </c>
      <c r="E287" s="250">
        <f t="shared" si="62"/>
        <v>0</v>
      </c>
      <c r="F287" s="250">
        <f t="shared" si="62"/>
        <v>0</v>
      </c>
      <c r="G287" s="250">
        <f t="shared" si="62"/>
        <v>0</v>
      </c>
      <c r="H287" s="250">
        <f t="shared" si="62"/>
        <v>0</v>
      </c>
      <c r="I287" s="250">
        <f t="shared" si="62"/>
        <v>0</v>
      </c>
      <c r="J287" s="250">
        <f t="shared" si="62"/>
        <v>0</v>
      </c>
      <c r="K287" s="250">
        <f t="shared" si="62"/>
        <v>0</v>
      </c>
      <c r="L287" s="250">
        <f t="shared" si="62"/>
        <v>0</v>
      </c>
      <c r="M287" s="250">
        <f t="shared" si="62"/>
        <v>329.63</v>
      </c>
      <c r="N287" s="250">
        <f t="shared" si="62"/>
        <v>0</v>
      </c>
      <c r="O287" s="250">
        <f t="shared" si="62"/>
        <v>0</v>
      </c>
      <c r="P287" s="250">
        <f t="shared" si="62"/>
        <v>0</v>
      </c>
      <c r="Q287" s="250">
        <f t="shared" si="62"/>
        <v>0</v>
      </c>
      <c r="R287" s="250">
        <f t="shared" si="62"/>
        <v>0</v>
      </c>
      <c r="S287" s="250">
        <f t="shared" si="62"/>
        <v>0</v>
      </c>
      <c r="T287" s="250">
        <f t="shared" si="62"/>
        <v>0</v>
      </c>
      <c r="U287" s="250">
        <f t="shared" si="62"/>
        <v>0</v>
      </c>
      <c r="V287" s="250">
        <f t="shared" si="62"/>
        <v>0</v>
      </c>
      <c r="W287" s="250">
        <f t="shared" si="62"/>
        <v>0</v>
      </c>
      <c r="X287" s="250">
        <f t="shared" si="62"/>
        <v>0</v>
      </c>
      <c r="Y287" s="250">
        <f t="shared" si="62"/>
        <v>0</v>
      </c>
      <c r="Z287" s="250">
        <f t="shared" si="62"/>
        <v>0</v>
      </c>
      <c r="AA287" s="250">
        <f t="shared" si="62"/>
        <v>0</v>
      </c>
      <c r="AB287" s="250">
        <f t="shared" si="62"/>
        <v>0</v>
      </c>
      <c r="AC287" s="250">
        <f t="shared" si="62"/>
        <v>0</v>
      </c>
      <c r="AD287" s="250">
        <f t="shared" si="62"/>
        <v>0</v>
      </c>
      <c r="AE287" s="250">
        <f t="shared" si="62"/>
        <v>0</v>
      </c>
      <c r="AF287" s="250">
        <f t="shared" si="62"/>
        <v>0</v>
      </c>
      <c r="AG287" s="126">
        <f t="shared" si="61"/>
        <v>329.63</v>
      </c>
    </row>
    <row r="288">
      <c r="A288" s="460" t="s">
        <v>697</v>
      </c>
      <c r="B288" s="461">
        <f t="shared" ref="B288:AF288" si="63">sum(B289:B299)-B302</f>
        <v>0</v>
      </c>
      <c r="C288" s="461">
        <f t="shared" si="63"/>
        <v>0</v>
      </c>
      <c r="D288" s="461">
        <f t="shared" si="63"/>
        <v>0</v>
      </c>
      <c r="E288" s="461">
        <f t="shared" si="63"/>
        <v>0</v>
      </c>
      <c r="F288" s="461">
        <f t="shared" si="63"/>
        <v>0</v>
      </c>
      <c r="G288" s="461">
        <f t="shared" si="63"/>
        <v>0</v>
      </c>
      <c r="H288" s="461">
        <f t="shared" si="63"/>
        <v>0</v>
      </c>
      <c r="I288" s="461">
        <f t="shared" si="63"/>
        <v>0</v>
      </c>
      <c r="J288" s="461">
        <f t="shared" si="63"/>
        <v>0</v>
      </c>
      <c r="K288" s="461">
        <f t="shared" si="63"/>
        <v>0</v>
      </c>
      <c r="L288" s="461">
        <f t="shared" si="63"/>
        <v>0</v>
      </c>
      <c r="M288" s="461">
        <f t="shared" si="63"/>
        <v>0</v>
      </c>
      <c r="N288" s="461">
        <f t="shared" si="63"/>
        <v>0</v>
      </c>
      <c r="O288" s="461">
        <f t="shared" si="63"/>
        <v>0</v>
      </c>
      <c r="P288" s="461">
        <f t="shared" si="63"/>
        <v>0</v>
      </c>
      <c r="Q288" s="461">
        <f t="shared" si="63"/>
        <v>0</v>
      </c>
      <c r="R288" s="461">
        <f t="shared" si="63"/>
        <v>0</v>
      </c>
      <c r="S288" s="461">
        <f t="shared" si="63"/>
        <v>0</v>
      </c>
      <c r="T288" s="461">
        <f t="shared" si="63"/>
        <v>0</v>
      </c>
      <c r="U288" s="461">
        <f t="shared" si="63"/>
        <v>0</v>
      </c>
      <c r="V288" s="461">
        <f t="shared" si="63"/>
        <v>0</v>
      </c>
      <c r="W288" s="461">
        <f t="shared" si="63"/>
        <v>0</v>
      </c>
      <c r="X288" s="461">
        <f t="shared" si="63"/>
        <v>0</v>
      </c>
      <c r="Y288" s="461">
        <f t="shared" si="63"/>
        <v>0</v>
      </c>
      <c r="Z288" s="461">
        <f t="shared" si="63"/>
        <v>0</v>
      </c>
      <c r="AA288" s="461">
        <f t="shared" si="63"/>
        <v>0</v>
      </c>
      <c r="AB288" s="461">
        <f t="shared" si="63"/>
        <v>0</v>
      </c>
      <c r="AC288" s="461">
        <f t="shared" si="63"/>
        <v>0</v>
      </c>
      <c r="AD288" s="461">
        <f t="shared" si="63"/>
        <v>0</v>
      </c>
      <c r="AE288" s="461">
        <f t="shared" si="63"/>
        <v>0</v>
      </c>
      <c r="AF288" s="461">
        <f t="shared" si="63"/>
        <v>0</v>
      </c>
      <c r="AG288" s="242">
        <f t="shared" si="61"/>
        <v>0</v>
      </c>
    </row>
    <row r="289" outlineLevel="1">
      <c r="A289" s="272" t="s">
        <v>352</v>
      </c>
      <c r="B289" s="142">
        <f>(B94+B204)*'Data - P&amp;L'!$C$3*'Data - P&amp;L'!$C$55</f>
        <v>0</v>
      </c>
      <c r="C289" s="142">
        <f>(C94+C204)*'Data - P&amp;L'!$C$3*'Data - P&amp;L'!$C$55</f>
        <v>0</v>
      </c>
      <c r="D289" s="142">
        <f>(D94+D204)*'Data - P&amp;L'!$C$3*'Data - P&amp;L'!$C$55</f>
        <v>0</v>
      </c>
      <c r="E289" s="142">
        <f>(E94+E204)*'Data - P&amp;L'!$C$3*'Data - P&amp;L'!$C$55</f>
        <v>0</v>
      </c>
      <c r="F289" s="142">
        <f>(F94+F204)*'Data - P&amp;L'!$C$3*'Data - P&amp;L'!$C$55</f>
        <v>0</v>
      </c>
      <c r="G289" s="142">
        <f>(G94+G204)*'Data - P&amp;L'!$C$3*'Data - P&amp;L'!$C$55</f>
        <v>0</v>
      </c>
      <c r="H289" s="142">
        <f>(H94+H204)*'Data - P&amp;L'!$C$3*'Data - P&amp;L'!$C$55</f>
        <v>0</v>
      </c>
      <c r="I289" s="142">
        <f>(I94+I204)*'Data - P&amp;L'!$C$3*'Data - P&amp;L'!$C$55</f>
        <v>0</v>
      </c>
      <c r="J289" s="142">
        <f>(J94+J204)*'Data - P&amp;L'!$C$3*'Data - P&amp;L'!$C$55</f>
        <v>0</v>
      </c>
      <c r="K289" s="142">
        <f>(K94+K204)*'Data - P&amp;L'!$C$3*'Data - P&amp;L'!$C$55</f>
        <v>0</v>
      </c>
      <c r="L289" s="142">
        <f>(L94+L204)*'Data - P&amp;L'!$C$3*'Data - P&amp;L'!$C$55</f>
        <v>0</v>
      </c>
      <c r="M289" s="142">
        <f>(M94+M204)*'Data - P&amp;L'!$C$3*'Data - P&amp;L'!$C$55</f>
        <v>0</v>
      </c>
      <c r="N289" s="142">
        <f>(N94+N204)*'Data - P&amp;L'!$C$3*'Data - P&amp;L'!$C$55</f>
        <v>0</v>
      </c>
      <c r="O289" s="142">
        <f>(O94+O204)*'Data - P&amp;L'!$C$3*'Data - P&amp;L'!$C$55</f>
        <v>0</v>
      </c>
      <c r="P289" s="142">
        <f>(P94+P204)*'Data - P&amp;L'!$C$3*'Data - P&amp;L'!$C$55</f>
        <v>0</v>
      </c>
      <c r="Q289" s="142">
        <f>(Q94+Q204)*'Data - P&amp;L'!$C$3*'Data - P&amp;L'!$C$55</f>
        <v>0</v>
      </c>
      <c r="R289" s="142">
        <f>(R94+R204)*'Data - P&amp;L'!$C$3*'Data - P&amp;L'!$C$55</f>
        <v>0</v>
      </c>
      <c r="S289" s="142">
        <f>(S94+S204)*'Data - P&amp;L'!$C$3*'Data - P&amp;L'!$C$55</f>
        <v>0</v>
      </c>
      <c r="T289" s="142">
        <f>(T94+T204)*'Data - P&amp;L'!$C$3*'Data - P&amp;L'!$C$55</f>
        <v>0</v>
      </c>
      <c r="U289" s="142">
        <f>(U94+U204)*'Data - P&amp;L'!$C$3*'Data - P&amp;L'!$C$55</f>
        <v>0</v>
      </c>
      <c r="V289" s="142">
        <f>(V94+V204)*'Data - P&amp;L'!$C$3*'Data - P&amp;L'!$C$55</f>
        <v>0</v>
      </c>
      <c r="W289" s="142">
        <f>(W94+W204)*'Data - P&amp;L'!$C$3*'Data - P&amp;L'!$C$55</f>
        <v>0</v>
      </c>
      <c r="X289" s="142">
        <f>(X94+X204)*'Data - P&amp;L'!$C$3*'Data - P&amp;L'!$C$55</f>
        <v>0</v>
      </c>
      <c r="Y289" s="142">
        <f>(Y94+Y204)*'Data - P&amp;L'!$C$3*'Data - P&amp;L'!$C$55</f>
        <v>0</v>
      </c>
      <c r="Z289" s="142">
        <f>(Z94+Z204)*'Data - P&amp;L'!$C$3*'Data - P&amp;L'!$C$55</f>
        <v>0</v>
      </c>
      <c r="AA289" s="142">
        <f>(AA94+AA204)*'Data - P&amp;L'!$C$3*'Data - P&amp;L'!$C$55</f>
        <v>0</v>
      </c>
      <c r="AB289" s="142">
        <f>(AB94+AB204)*'Data - P&amp;L'!$C$3*'Data - P&amp;L'!$C$55</f>
        <v>0</v>
      </c>
      <c r="AC289" s="142">
        <f>(AC94+AC204)*'Data - P&amp;L'!$C$3*'Data - P&amp;L'!$C$55</f>
        <v>0</v>
      </c>
      <c r="AD289" s="142">
        <f>(AD94+AD204)*'Data - P&amp;L'!$C$3*'Data - P&amp;L'!$C$55</f>
        <v>0</v>
      </c>
      <c r="AE289" s="142">
        <f>(AE94+AE204)*'Data - P&amp;L'!$C$3*'Data - P&amp;L'!$C$55</f>
        <v>0</v>
      </c>
      <c r="AF289" s="142">
        <f>(AF94+AF204)*'Data - P&amp;L'!$C$3*'Data - P&amp;L'!$C$55</f>
        <v>0</v>
      </c>
      <c r="AG289" s="126">
        <f t="shared" si="61"/>
        <v>0</v>
      </c>
    </row>
    <row r="290" outlineLevel="1">
      <c r="A290" s="272" t="s">
        <v>353</v>
      </c>
      <c r="B290" s="142">
        <f>(B95+B205)*'Data - P&amp;L'!$C$4*'Data - P&amp;L'!$C$55</f>
        <v>0</v>
      </c>
      <c r="C290" s="142">
        <f>(C95+C205)*'Data - P&amp;L'!$C$4*'Data - P&amp;L'!$C$55</f>
        <v>0</v>
      </c>
      <c r="D290" s="142">
        <f>(D95+D205)*'Data - P&amp;L'!$C$4*'Data - P&amp;L'!$C$55</f>
        <v>0</v>
      </c>
      <c r="E290" s="142">
        <f>(E95+E205)*'Data - P&amp;L'!$C$4*'Data - P&amp;L'!$C$55</f>
        <v>0</v>
      </c>
      <c r="F290" s="142">
        <f>(F95+F205)*'Data - P&amp;L'!$C$4*'Data - P&amp;L'!$C$55</f>
        <v>0</v>
      </c>
      <c r="G290" s="142">
        <f>(G95+G205)*'Data - P&amp;L'!$C$4*'Data - P&amp;L'!$C$55</f>
        <v>0</v>
      </c>
      <c r="H290" s="142">
        <f>(H95+H205)*'Data - P&amp;L'!$C$4*'Data - P&amp;L'!$C$55</f>
        <v>0</v>
      </c>
      <c r="I290" s="142">
        <f>(I95+I205)*'Data - P&amp;L'!$C$4*'Data - P&amp;L'!$C$55</f>
        <v>0</v>
      </c>
      <c r="J290" s="142">
        <f>(J95+J205)*'Data - P&amp;L'!$C$4*'Data - P&amp;L'!$C$55</f>
        <v>0</v>
      </c>
      <c r="K290" s="142">
        <f>(K95+K205)*'Data - P&amp;L'!$C$4*'Data - P&amp;L'!$C$55</f>
        <v>0</v>
      </c>
      <c r="L290" s="142">
        <f>(L95+L205)*'Data - P&amp;L'!$C$4*'Data - P&amp;L'!$C$55</f>
        <v>0</v>
      </c>
      <c r="M290" s="142">
        <f>(M95+M205)*'Data - P&amp;L'!$C$4*'Data - P&amp;L'!$C$55</f>
        <v>0</v>
      </c>
      <c r="N290" s="142">
        <f>(N95+N205)*'Data - P&amp;L'!$C$4*'Data - P&amp;L'!$C$55</f>
        <v>0</v>
      </c>
      <c r="O290" s="142">
        <f>(O95+O205)*'Data - P&amp;L'!$C$4*'Data - P&amp;L'!$C$55</f>
        <v>0</v>
      </c>
      <c r="P290" s="142">
        <f>(P95+P205)*'Data - P&amp;L'!$C$4*'Data - P&amp;L'!$C$55</f>
        <v>0</v>
      </c>
      <c r="Q290" s="142">
        <f>(Q95+Q205)*'Data - P&amp;L'!$C$4*'Data - P&amp;L'!$C$55</f>
        <v>0</v>
      </c>
      <c r="R290" s="142">
        <f>(R95+R205)*'Data - P&amp;L'!$C$4*'Data - P&amp;L'!$C$55</f>
        <v>0</v>
      </c>
      <c r="S290" s="142">
        <f>(S95+S205)*'Data - P&amp;L'!$C$4*'Data - P&amp;L'!$C$55</f>
        <v>0</v>
      </c>
      <c r="T290" s="142">
        <f>(T95+T205)*'Data - P&amp;L'!$C$4*'Data - P&amp;L'!$C$55</f>
        <v>0</v>
      </c>
      <c r="U290" s="142">
        <f>(U95+U205)*'Data - P&amp;L'!$C$4*'Data - P&amp;L'!$C$55</f>
        <v>0</v>
      </c>
      <c r="V290" s="142">
        <f>(V95+V205)*'Data - P&amp;L'!$C$4*'Data - P&amp;L'!$C$55</f>
        <v>0</v>
      </c>
      <c r="W290" s="142">
        <f>(W95+W205)*'Data - P&amp;L'!$C$4*'Data - P&amp;L'!$C$55</f>
        <v>0</v>
      </c>
      <c r="X290" s="142">
        <f>(X95+X205)*'Data - P&amp;L'!$C$4*'Data - P&amp;L'!$C$55</f>
        <v>0</v>
      </c>
      <c r="Y290" s="142">
        <f>(Y95+Y205)*'Data - P&amp;L'!$C$4*'Data - P&amp;L'!$C$55</f>
        <v>0</v>
      </c>
      <c r="Z290" s="142">
        <f>(Z95+Z205)*'Data - P&amp;L'!$C$4*'Data - P&amp;L'!$C$55</f>
        <v>0</v>
      </c>
      <c r="AA290" s="142">
        <f>(AA95+AA205)*'Data - P&amp;L'!$C$4*'Data - P&amp;L'!$C$55</f>
        <v>0</v>
      </c>
      <c r="AB290" s="142">
        <f>(AB95+AB205)*'Data - P&amp;L'!$C$4*'Data - P&amp;L'!$C$55</f>
        <v>0</v>
      </c>
      <c r="AC290" s="142">
        <f>(AC95+AC205)*'Data - P&amp;L'!$C$4*'Data - P&amp;L'!$C$55</f>
        <v>0</v>
      </c>
      <c r="AD290" s="142">
        <f>(AD95+AD205)*'Data - P&amp;L'!$C$4*'Data - P&amp;L'!$C$55</f>
        <v>0</v>
      </c>
      <c r="AE290" s="142">
        <f>(AE95+AE205)*'Data - P&amp;L'!$C$4*'Data - P&amp;L'!$C$55</f>
        <v>0</v>
      </c>
      <c r="AF290" s="142">
        <f>(AF95+AF205)*'Data - P&amp;L'!$C$4*'Data - P&amp;L'!$C$55</f>
        <v>0</v>
      </c>
      <c r="AG290" s="126">
        <f t="shared" si="61"/>
        <v>0</v>
      </c>
    </row>
    <row r="291" outlineLevel="1">
      <c r="A291" s="272" t="s">
        <v>354</v>
      </c>
      <c r="B291" s="142">
        <f>(B97+B207)*'Data - P&amp;L'!$C$6*'Data - P&amp;L'!$C$55</f>
        <v>0</v>
      </c>
      <c r="C291" s="142">
        <f>(C97+C207)*'Data - P&amp;L'!$C$6*'Data - P&amp;L'!$C$55</f>
        <v>0</v>
      </c>
      <c r="D291" s="142">
        <f>(D97+D207)*'Data - P&amp;L'!$C$6*'Data - P&amp;L'!$C$55</f>
        <v>0</v>
      </c>
      <c r="E291" s="142">
        <f>(E97+E207)*'Data - P&amp;L'!$C$6*'Data - P&amp;L'!$C$55</f>
        <v>0</v>
      </c>
      <c r="F291" s="142">
        <f>(F97+F207)*'Data - P&amp;L'!$C$6*'Data - P&amp;L'!$C$55</f>
        <v>0</v>
      </c>
      <c r="G291" s="142">
        <f>(G97+G207)*'Data - P&amp;L'!$C$6*'Data - P&amp;L'!$C$55</f>
        <v>0</v>
      </c>
      <c r="H291" s="142">
        <f>(H97+H207)*'Data - P&amp;L'!$C$6*'Data - P&amp;L'!$C$55</f>
        <v>0</v>
      </c>
      <c r="I291" s="142">
        <f>(I97+I207)*'Data - P&amp;L'!$C$6*'Data - P&amp;L'!$C$55</f>
        <v>0</v>
      </c>
      <c r="J291" s="142">
        <f>(J97+J207)*'Data - P&amp;L'!$C$6*'Data - P&amp;L'!$C$55</f>
        <v>0</v>
      </c>
      <c r="K291" s="142">
        <f>(K97+K207)*'Data - P&amp;L'!$C$6*'Data - P&amp;L'!$C$55</f>
        <v>0</v>
      </c>
      <c r="L291" s="142">
        <f>(L97+L207)*'Data - P&amp;L'!$C$6*'Data - P&amp;L'!$C$55</f>
        <v>0</v>
      </c>
      <c r="M291" s="142">
        <f>(M97+M207)*'Data - P&amp;L'!$C$6*'Data - P&amp;L'!$C$55</f>
        <v>0</v>
      </c>
      <c r="N291" s="142">
        <f>(N97+N207)*'Data - P&amp;L'!$C$6*'Data - P&amp;L'!$C$55</f>
        <v>0</v>
      </c>
      <c r="O291" s="142">
        <f>(O97+O207)*'Data - P&amp;L'!$C$6*'Data - P&amp;L'!$C$55</f>
        <v>0</v>
      </c>
      <c r="P291" s="142">
        <f>(P97+P207)*'Data - P&amp;L'!$C$6*'Data - P&amp;L'!$C$55</f>
        <v>0</v>
      </c>
      <c r="Q291" s="142">
        <f>(Q97+Q207)*'Data - P&amp;L'!$C$6*'Data - P&amp;L'!$C$55</f>
        <v>0</v>
      </c>
      <c r="R291" s="142">
        <f>(R97+R207)*'Data - P&amp;L'!$C$6*'Data - P&amp;L'!$C$55</f>
        <v>0</v>
      </c>
      <c r="S291" s="142">
        <f>(S97+S207)*'Data - P&amp;L'!$C$6*'Data - P&amp;L'!$C$55</f>
        <v>0</v>
      </c>
      <c r="T291" s="142">
        <f>(T97+T207)*'Data - P&amp;L'!$C$6*'Data - P&amp;L'!$C$55</f>
        <v>0</v>
      </c>
      <c r="U291" s="142">
        <f>(U97+U207)*'Data - P&amp;L'!$C$6*'Data - P&amp;L'!$C$55</f>
        <v>0</v>
      </c>
      <c r="V291" s="142">
        <f>(V97+V207)*'Data - P&amp;L'!$C$6*'Data - P&amp;L'!$C$55</f>
        <v>0</v>
      </c>
      <c r="W291" s="142">
        <f>(W97+W207)*'Data - P&amp;L'!$C$6*'Data - P&amp;L'!$C$55</f>
        <v>0</v>
      </c>
      <c r="X291" s="142">
        <f>(X97+X207)*'Data - P&amp;L'!$C$6*'Data - P&amp;L'!$C$55</f>
        <v>0</v>
      </c>
      <c r="Y291" s="142">
        <f>(Y97+Y207)*'Data - P&amp;L'!$C$6*'Data - P&amp;L'!$C$55</f>
        <v>0</v>
      </c>
      <c r="Z291" s="142">
        <f>(Z97+Z207)*'Data - P&amp;L'!$C$6*'Data - P&amp;L'!$C$55</f>
        <v>0</v>
      </c>
      <c r="AA291" s="142">
        <f>(AA97+AA207)*'Data - P&amp;L'!$C$6*'Data - P&amp;L'!$C$55</f>
        <v>0</v>
      </c>
      <c r="AB291" s="142">
        <f>(AB97+AB207)*'Data - P&amp;L'!$C$6*'Data - P&amp;L'!$C$55</f>
        <v>0</v>
      </c>
      <c r="AC291" s="142">
        <f>(AC97+AC207)*'Data - P&amp;L'!$C$6*'Data - P&amp;L'!$C$55</f>
        <v>0</v>
      </c>
      <c r="AD291" s="142">
        <f>(AD97+AD207)*'Data - P&amp;L'!$C$6*'Data - P&amp;L'!$C$55</f>
        <v>0</v>
      </c>
      <c r="AE291" s="142">
        <f>(AE97+AE207)*'Data - P&amp;L'!$C$6*'Data - P&amp;L'!$C$55</f>
        <v>0</v>
      </c>
      <c r="AF291" s="142">
        <f>(AF97+AF207)*'Data - P&amp;L'!$C$6*'Data - P&amp;L'!$C$55</f>
        <v>0</v>
      </c>
      <c r="AG291" s="126">
        <f t="shared" si="61"/>
        <v>0</v>
      </c>
    </row>
    <row r="292" outlineLevel="1">
      <c r="A292" s="272" t="s">
        <v>355</v>
      </c>
      <c r="B292" s="142">
        <f>(B98+B208)*'Data - P&amp;L'!$C$8*'Data - P&amp;L'!$C$55</f>
        <v>0</v>
      </c>
      <c r="C292" s="142">
        <f>(C98+C208)*'Data - P&amp;L'!$C$8*'Data - P&amp;L'!$C$55</f>
        <v>0</v>
      </c>
      <c r="D292" s="142">
        <f>(D98+D208)*'Data - P&amp;L'!$C$8*'Data - P&amp;L'!$C$55</f>
        <v>0</v>
      </c>
      <c r="E292" s="142">
        <f>(E98+E208)*'Data - P&amp;L'!$C$8*'Data - P&amp;L'!$C$55</f>
        <v>0</v>
      </c>
      <c r="F292" s="142">
        <f>(F98+F208)*'Data - P&amp;L'!$C$8*'Data - P&amp;L'!$C$55</f>
        <v>0</v>
      </c>
      <c r="G292" s="142">
        <f>(G98+G208)*'Data - P&amp;L'!$C$8*'Data - P&amp;L'!$C$55</f>
        <v>0</v>
      </c>
      <c r="H292" s="142">
        <f>(H98+H208)*'Data - P&amp;L'!$C$8*'Data - P&amp;L'!$C$55</f>
        <v>0</v>
      </c>
      <c r="I292" s="142">
        <f>(I98+I208)*'Data - P&amp;L'!$C$8*'Data - P&amp;L'!$C$55</f>
        <v>0</v>
      </c>
      <c r="J292" s="142">
        <f>(J98+J208)*'Data - P&amp;L'!$C$8*'Data - P&amp;L'!$C$55</f>
        <v>0</v>
      </c>
      <c r="K292" s="142">
        <f>(K98+K208)*'Data - P&amp;L'!$C$8*'Data - P&amp;L'!$C$55</f>
        <v>0</v>
      </c>
      <c r="L292" s="142">
        <f>(L98+L208)*'Data - P&amp;L'!$C$8*'Data - P&amp;L'!$C$55</f>
        <v>0</v>
      </c>
      <c r="M292" s="142">
        <f>(M98+M208)*'Data - P&amp;L'!$C$8*'Data - P&amp;L'!$C$55</f>
        <v>0</v>
      </c>
      <c r="N292" s="142">
        <f>(N98+N208)*'Data - P&amp;L'!$C$8*'Data - P&amp;L'!$C$55</f>
        <v>0</v>
      </c>
      <c r="O292" s="142">
        <f>(O98+O208)*'Data - P&amp;L'!$C$8*'Data - P&amp;L'!$C$55</f>
        <v>0</v>
      </c>
      <c r="P292" s="142">
        <f>(P98+P208)*'Data - P&amp;L'!$C$8*'Data - P&amp;L'!$C$55</f>
        <v>0</v>
      </c>
      <c r="Q292" s="142">
        <f>(Q98+Q208)*'Data - P&amp;L'!$C$8*'Data - P&amp;L'!$C$55</f>
        <v>0</v>
      </c>
      <c r="R292" s="142">
        <f>(R98+R208)*'Data - P&amp;L'!$C$8*'Data - P&amp;L'!$C$55</f>
        <v>0</v>
      </c>
      <c r="S292" s="142">
        <f>(S98+S208)*'Data - P&amp;L'!$C$8*'Data - P&amp;L'!$C$55</f>
        <v>0</v>
      </c>
      <c r="T292" s="142">
        <f>(T98+T208)*'Data - P&amp;L'!$C$8*'Data - P&amp;L'!$C$55</f>
        <v>0</v>
      </c>
      <c r="U292" s="142">
        <f>(U98+U208)*'Data - P&amp;L'!$C$8*'Data - P&amp;L'!$C$55</f>
        <v>0</v>
      </c>
      <c r="V292" s="142">
        <f>(V98+V208)*'Data - P&amp;L'!$C$8*'Data - P&amp;L'!$C$55</f>
        <v>0</v>
      </c>
      <c r="W292" s="142">
        <f>(W98+W208)*'Data - P&amp;L'!$C$8*'Data - P&amp;L'!$C$55</f>
        <v>0</v>
      </c>
      <c r="X292" s="142">
        <f>(X98+X208)*'Data - P&amp;L'!$C$8*'Data - P&amp;L'!$C$55</f>
        <v>0</v>
      </c>
      <c r="Y292" s="142">
        <f>(Y98+Y208)*'Data - P&amp;L'!$C$8*'Data - P&amp;L'!$C$55</f>
        <v>0</v>
      </c>
      <c r="Z292" s="142">
        <f>(Z98+Z208)*'Data - P&amp;L'!$C$8*'Data - P&amp;L'!$C$55</f>
        <v>0</v>
      </c>
      <c r="AA292" s="142">
        <f>(AA98+AA208)*'Data - P&amp;L'!$C$8*'Data - P&amp;L'!$C$55</f>
        <v>0</v>
      </c>
      <c r="AB292" s="142">
        <f>(AB98+AB208)*'Data - P&amp;L'!$C$8*'Data - P&amp;L'!$C$55</f>
        <v>0</v>
      </c>
      <c r="AC292" s="142">
        <f>(AC98+AC208)*'Data - P&amp;L'!$C$8*'Data - P&amp;L'!$C$55</f>
        <v>0</v>
      </c>
      <c r="AD292" s="142">
        <f>(AD98+AD208)*'Data - P&amp;L'!$C$8*'Data - P&amp;L'!$C$55</f>
        <v>0</v>
      </c>
      <c r="AE292" s="142">
        <f>(AE98+AE208)*'Data - P&amp;L'!$C$8*'Data - P&amp;L'!$C$55</f>
        <v>0</v>
      </c>
      <c r="AF292" s="142">
        <f>(AF98+AF208)*'Data - P&amp;L'!$C$8*'Data - P&amp;L'!$C$55</f>
        <v>0</v>
      </c>
      <c r="AG292" s="126">
        <f t="shared" si="61"/>
        <v>0</v>
      </c>
    </row>
    <row r="293" outlineLevel="1">
      <c r="A293" s="272" t="s">
        <v>356</v>
      </c>
      <c r="B293" s="142">
        <f>(B99+B100+B209+B210)*'Data - P&amp;L'!$C$9*'Data - P&amp;L'!$C$55</f>
        <v>0</v>
      </c>
      <c r="C293" s="142">
        <f>(C99+C100+C209+C210)*'Data - P&amp;L'!$C$9*'Data - P&amp;L'!$C$55</f>
        <v>0</v>
      </c>
      <c r="D293" s="142">
        <f>(D99+D100+D209+D210)*'Data - P&amp;L'!$C$9*'Data - P&amp;L'!$C$55</f>
        <v>0</v>
      </c>
      <c r="E293" s="142">
        <f>(E99+E100+E209+E210)*'Data - P&amp;L'!$C$9*'Data - P&amp;L'!$C$55</f>
        <v>0</v>
      </c>
      <c r="F293" s="142">
        <f>(F99+F100+F209+F210)*'Data - P&amp;L'!$C$9*'Data - P&amp;L'!$C$55</f>
        <v>0</v>
      </c>
      <c r="G293" s="142">
        <f>(G99+G100+G209+G210)*'Data - P&amp;L'!$C$9*'Data - P&amp;L'!$C$55</f>
        <v>0</v>
      </c>
      <c r="H293" s="142">
        <f>(H99+H100+H209+H210)*'Data - P&amp;L'!$C$9*'Data - P&amp;L'!$C$55</f>
        <v>0</v>
      </c>
      <c r="I293" s="142">
        <f>(I99+I100+I209+I210)*'Data - P&amp;L'!$C$9*'Data - P&amp;L'!$C$55</f>
        <v>0</v>
      </c>
      <c r="J293" s="142">
        <f>(J99+J100+J209+J210)*'Data - P&amp;L'!$C$9*'Data - P&amp;L'!$C$55</f>
        <v>0</v>
      </c>
      <c r="K293" s="142">
        <f>(K99+K100+K209+K210)*'Data - P&amp;L'!$C$9*'Data - P&amp;L'!$C$55</f>
        <v>0</v>
      </c>
      <c r="L293" s="142">
        <f>(L99+L100+L209+L210)*'Data - P&amp;L'!$C$9*'Data - P&amp;L'!$C$55</f>
        <v>0</v>
      </c>
      <c r="M293" s="142">
        <f>(M99+M100+M209+M210)*'Data - P&amp;L'!$C$9*'Data - P&amp;L'!$C$55</f>
        <v>0</v>
      </c>
      <c r="N293" s="142">
        <f>(N99+N100+N209+N210)*'Data - P&amp;L'!$C$9*'Data - P&amp;L'!$C$55</f>
        <v>0</v>
      </c>
      <c r="O293" s="142">
        <f>(O99+O100+O209+O210)*'Data - P&amp;L'!$C$9*'Data - P&amp;L'!$C$55</f>
        <v>0</v>
      </c>
      <c r="P293" s="142">
        <f>(P99+P100+P209+P210)*'Data - P&amp;L'!$C$9*'Data - P&amp;L'!$C$55</f>
        <v>0</v>
      </c>
      <c r="Q293" s="142">
        <f>(Q99+Q100+Q209+Q210)*'Data - P&amp;L'!$C$9*'Data - P&amp;L'!$C$55</f>
        <v>0</v>
      </c>
      <c r="R293" s="142">
        <f>(R99+R100+R209+R210)*'Data - P&amp;L'!$C$9*'Data - P&amp;L'!$C$55</f>
        <v>0</v>
      </c>
      <c r="S293" s="142">
        <f>(S99+S100+S209+S210)*'Data - P&amp;L'!$C$9*'Data - P&amp;L'!$C$55</f>
        <v>0</v>
      </c>
      <c r="T293" s="142">
        <f>(T99+T100+T209+T210)*'Data - P&amp;L'!$C$9*'Data - P&amp;L'!$C$55</f>
        <v>0</v>
      </c>
      <c r="U293" s="142">
        <f>(U99+U100+U209+U210)*'Data - P&amp;L'!$C$9*'Data - P&amp;L'!$C$55</f>
        <v>0</v>
      </c>
      <c r="V293" s="142">
        <f>(V99+V100+V209+V210)*'Data - P&amp;L'!$C$9*'Data - P&amp;L'!$C$55</f>
        <v>0</v>
      </c>
      <c r="W293" s="142">
        <f>(W99+W100+W209+W210)*'Data - P&amp;L'!$C$9*'Data - P&amp;L'!$C$55</f>
        <v>0</v>
      </c>
      <c r="X293" s="142">
        <f>(X99+X100+X209+X210)*'Data - P&amp;L'!$C$9*'Data - P&amp;L'!$C$55</f>
        <v>0</v>
      </c>
      <c r="Y293" s="142">
        <f>(Y99+Y100+Y209+Y210)*'Data - P&amp;L'!$C$9*'Data - P&amp;L'!$C$55</f>
        <v>0</v>
      </c>
      <c r="Z293" s="142">
        <f>(Z99+Z100+Z209+Z210)*'Data - P&amp;L'!$C$9*'Data - P&amp;L'!$C$55</f>
        <v>0</v>
      </c>
      <c r="AA293" s="142">
        <f>(AA99+AA100+AA209+AA210)*'Data - P&amp;L'!$C$9*'Data - P&amp;L'!$C$55</f>
        <v>0</v>
      </c>
      <c r="AB293" s="142">
        <f>(AB99+AB100+AB209+AB210)*'Data - P&amp;L'!$C$9*'Data - P&amp;L'!$C$55</f>
        <v>0</v>
      </c>
      <c r="AC293" s="142">
        <f>(AC99+AC100+AC209+AC210)*'Data - P&amp;L'!$C$9*'Data - P&amp;L'!$C$55</f>
        <v>0</v>
      </c>
      <c r="AD293" s="142">
        <f>(AD99+AD100+AD209+AD210)*'Data - P&amp;L'!$C$9*'Data - P&amp;L'!$C$55</f>
        <v>0</v>
      </c>
      <c r="AE293" s="142">
        <f>(AE99+AE100+AE209+AE210)*'Data - P&amp;L'!$C$9*'Data - P&amp;L'!$C$55</f>
        <v>0</v>
      </c>
      <c r="AF293" s="142">
        <f>(AF99+AF100+AF209+AF210)*'Data - P&amp;L'!$C$9*'Data - P&amp;L'!$C$55</f>
        <v>0</v>
      </c>
      <c r="AG293" s="126">
        <f t="shared" si="61"/>
        <v>0</v>
      </c>
    </row>
    <row r="294" outlineLevel="1">
      <c r="A294" s="272" t="s">
        <v>357</v>
      </c>
      <c r="B294" s="142">
        <f>(B101+B102+B211+B212)*'Data - P&amp;L'!$C$5*'Data - P&amp;L'!$C$55</f>
        <v>0</v>
      </c>
      <c r="C294" s="142">
        <f>(C101+C102+C211+C212)*'Data - P&amp;L'!$C$5*'Data - P&amp;L'!$C$55</f>
        <v>0</v>
      </c>
      <c r="D294" s="142">
        <f>(D101+D102+D211+D212)*'Data - P&amp;L'!$C$5*'Data - P&amp;L'!$C$55</f>
        <v>0</v>
      </c>
      <c r="E294" s="142">
        <f>(E101+E102+E211+E212)*'Data - P&amp;L'!$C$5*'Data - P&amp;L'!$C$55</f>
        <v>0</v>
      </c>
      <c r="F294" s="142">
        <f>(F101+F102+F211+F212)*'Data - P&amp;L'!$C$5*'Data - P&amp;L'!$C$55</f>
        <v>0</v>
      </c>
      <c r="G294" s="142">
        <f>(G101+G102+G211+G212)*'Data - P&amp;L'!$C$5*'Data - P&amp;L'!$C$55</f>
        <v>0</v>
      </c>
      <c r="H294" s="142">
        <f>(H101+H102+H211+H212)*'Data - P&amp;L'!$C$5*'Data - P&amp;L'!$C$55</f>
        <v>0</v>
      </c>
      <c r="I294" s="142">
        <f>(I101+I102+I211+I212)*'Data - P&amp;L'!$C$5*'Data - P&amp;L'!$C$55</f>
        <v>0</v>
      </c>
      <c r="J294" s="142">
        <f>(J101+J102+J211+J212)*'Data - P&amp;L'!$C$5*'Data - P&amp;L'!$C$55</f>
        <v>0</v>
      </c>
      <c r="K294" s="142">
        <f>(K101+K102+K211+K212)*'Data - P&amp;L'!$C$5*'Data - P&amp;L'!$C$55</f>
        <v>0</v>
      </c>
      <c r="L294" s="142">
        <f>(L101+L102+L211+L212)*'Data - P&amp;L'!$C$5*'Data - P&amp;L'!$C$55</f>
        <v>0</v>
      </c>
      <c r="M294" s="142">
        <f>(M101+M102+M211+M212)*'Data - P&amp;L'!$C$5*'Data - P&amp;L'!$C$55</f>
        <v>0</v>
      </c>
      <c r="N294" s="142">
        <f>(N101+N102+N211+N212)*'Data - P&amp;L'!$C$5*'Data - P&amp;L'!$C$55</f>
        <v>0</v>
      </c>
      <c r="O294" s="142">
        <f>(O101+O102+O211+O212)*'Data - P&amp;L'!$C$5*'Data - P&amp;L'!$C$55</f>
        <v>0</v>
      </c>
      <c r="P294" s="142">
        <f>(P101+P102+P211+P212)*'Data - P&amp;L'!$C$5*'Data - P&amp;L'!$C$55</f>
        <v>0</v>
      </c>
      <c r="Q294" s="142">
        <f>(Q101+Q102+Q211+Q212)*'Data - P&amp;L'!$C$5*'Data - P&amp;L'!$C$55</f>
        <v>0</v>
      </c>
      <c r="R294" s="142">
        <f>(R101+R102+R211+R212)*'Data - P&amp;L'!$C$5*'Data - P&amp;L'!$C$55</f>
        <v>0</v>
      </c>
      <c r="S294" s="142">
        <f>(S101+S102+S211+S212)*'Data - P&amp;L'!$C$5*'Data - P&amp;L'!$C$55</f>
        <v>0</v>
      </c>
      <c r="T294" s="142">
        <f>(T101+T102+T211+T212)*'Data - P&amp;L'!$C$5*'Data - P&amp;L'!$C$55</f>
        <v>0</v>
      </c>
      <c r="U294" s="142">
        <f>(U101+U102+U211+U212)*'Data - P&amp;L'!$C$5*'Data - P&amp;L'!$C$55</f>
        <v>0</v>
      </c>
      <c r="V294" s="142">
        <f>(V101+V102+V211+V212)*'Data - P&amp;L'!$C$5*'Data - P&amp;L'!$C$55</f>
        <v>0</v>
      </c>
      <c r="W294" s="142">
        <f>(W101+W102+W211+W212)*'Data - P&amp;L'!$C$5*'Data - P&amp;L'!$C$55</f>
        <v>0</v>
      </c>
      <c r="X294" s="142">
        <f>(X101+X102+X211+X212)*'Data - P&amp;L'!$C$5*'Data - P&amp;L'!$C$55</f>
        <v>0</v>
      </c>
      <c r="Y294" s="142">
        <f>(Y101+Y102+Y211+Y212)*'Data - P&amp;L'!$C$5*'Data - P&amp;L'!$C$55</f>
        <v>0</v>
      </c>
      <c r="Z294" s="142">
        <f>(Z101+Z102+Z211+Z212)*'Data - P&amp;L'!$C$5*'Data - P&amp;L'!$C$55</f>
        <v>0</v>
      </c>
      <c r="AA294" s="142">
        <f>(AA101+AA102+AA211+AA212)*'Data - P&amp;L'!$C$5*'Data - P&amp;L'!$C$55</f>
        <v>0</v>
      </c>
      <c r="AB294" s="142">
        <f>(AB101+AB102+AB211+AB212)*'Data - P&amp;L'!$C$5*'Data - P&amp;L'!$C$55</f>
        <v>0</v>
      </c>
      <c r="AC294" s="142">
        <f>(AC101+AC102+AC211+AC212)*'Data - P&amp;L'!$C$5*'Data - P&amp;L'!$C$55</f>
        <v>0</v>
      </c>
      <c r="AD294" s="142">
        <f>(AD101+AD102+AD211+AD212)*'Data - P&amp;L'!$C$5*'Data - P&amp;L'!$C$55</f>
        <v>0</v>
      </c>
      <c r="AE294" s="142">
        <f>(AE101+AE102+AE211+AE212)*'Data - P&amp;L'!$C$5*'Data - P&amp;L'!$C$55</f>
        <v>0</v>
      </c>
      <c r="AF294" s="142">
        <f>(AF101+AF102+AF211+AF212)*'Data - P&amp;L'!$C$5*'Data - P&amp;L'!$C$55</f>
        <v>0</v>
      </c>
      <c r="AG294" s="126">
        <f t="shared" si="61"/>
        <v>0</v>
      </c>
    </row>
    <row r="295" outlineLevel="1">
      <c r="A295" s="272" t="s">
        <v>358</v>
      </c>
      <c r="B295" s="142">
        <f>(B103+B104+B213+B214)*'Data - P&amp;L'!$C$10*'Data - P&amp;L'!$C$55</f>
        <v>0</v>
      </c>
      <c r="C295" s="142">
        <f>(C103+C104+C213+C214)*'Data - P&amp;L'!$C$10*'Data - P&amp;L'!$C$55</f>
        <v>0</v>
      </c>
      <c r="D295" s="142">
        <f>(D103+D104+D213+D214)*'Data - P&amp;L'!$C$10*'Data - P&amp;L'!$C$55</f>
        <v>0</v>
      </c>
      <c r="E295" s="142">
        <f>(E103+E104+E213+E214)*'Data - P&amp;L'!$C$10*'Data - P&amp;L'!$C$55</f>
        <v>0</v>
      </c>
      <c r="F295" s="142">
        <f>(F103+F104+F213+F214)*'Data - P&amp;L'!$C$10*'Data - P&amp;L'!$C$55</f>
        <v>0</v>
      </c>
      <c r="G295" s="142">
        <f>(G103+G104+G213+G214)*'Data - P&amp;L'!$C$10*'Data - P&amp;L'!$C$55</f>
        <v>0</v>
      </c>
      <c r="H295" s="142">
        <f>(H103+H104+H213+H214)*'Data - P&amp;L'!$C$10*'Data - P&amp;L'!$C$55</f>
        <v>0</v>
      </c>
      <c r="I295" s="142">
        <f>(I103+I104+I213+I214)*'Data - P&amp;L'!$C$10*'Data - P&amp;L'!$C$55</f>
        <v>0</v>
      </c>
      <c r="J295" s="142">
        <f>(J103+J104+J213+J214)*'Data - P&amp;L'!$C$10*'Data - P&amp;L'!$C$55</f>
        <v>0</v>
      </c>
      <c r="K295" s="142">
        <f>(K103+K104+K213+K214)*'Data - P&amp;L'!$C$10*'Data - P&amp;L'!$C$55</f>
        <v>0</v>
      </c>
      <c r="L295" s="142">
        <f>(L103+L104+L213+L214)*'Data - P&amp;L'!$C$10*'Data - P&amp;L'!$C$55</f>
        <v>0</v>
      </c>
      <c r="M295" s="142">
        <f>(M103+M104+M213+M214)*'Data - P&amp;L'!$C$10*'Data - P&amp;L'!$C$55</f>
        <v>0</v>
      </c>
      <c r="N295" s="142">
        <f>(N103+N104+N213+N214)*'Data - P&amp;L'!$C$10*'Data - P&amp;L'!$C$55</f>
        <v>0</v>
      </c>
      <c r="O295" s="142">
        <f>(O103+O104+O213+O214)*'Data - P&amp;L'!$C$10*'Data - P&amp;L'!$C$55</f>
        <v>0</v>
      </c>
      <c r="P295" s="142">
        <f>(P103+P104+P213+P214)*'Data - P&amp;L'!$C$10*'Data - P&amp;L'!$C$55</f>
        <v>0</v>
      </c>
      <c r="Q295" s="142">
        <f>(Q103+Q104+Q213+Q214)*'Data - P&amp;L'!$C$10*'Data - P&amp;L'!$C$55</f>
        <v>0</v>
      </c>
      <c r="R295" s="142">
        <f>(R103+R104+R213+R214)*'Data - P&amp;L'!$C$10*'Data - P&amp;L'!$C$55</f>
        <v>0</v>
      </c>
      <c r="S295" s="142">
        <f>(S103+S104+S213+S214)*'Data - P&amp;L'!$C$10*'Data - P&amp;L'!$C$55</f>
        <v>0</v>
      </c>
      <c r="T295" s="142">
        <f>(T103+T104+T213+T214)*'Data - P&amp;L'!$C$10*'Data - P&amp;L'!$C$55</f>
        <v>0</v>
      </c>
      <c r="U295" s="142">
        <f>(U103+U104+U213+U214)*'Data - P&amp;L'!$C$10*'Data - P&amp;L'!$C$55</f>
        <v>0</v>
      </c>
      <c r="V295" s="142">
        <f>(V103+V104+V213+V214)*'Data - P&amp;L'!$C$10*'Data - P&amp;L'!$C$55</f>
        <v>0</v>
      </c>
      <c r="W295" s="142">
        <f>(W103+W104+W213+W214)*'Data - P&amp;L'!$C$10*'Data - P&amp;L'!$C$55</f>
        <v>0</v>
      </c>
      <c r="X295" s="142">
        <f>(X103+X104+X213+X214)*'Data - P&amp;L'!$C$10*'Data - P&amp;L'!$C$55</f>
        <v>0</v>
      </c>
      <c r="Y295" s="142">
        <f>(Y103+Y104+Y213+Y214)*'Data - P&amp;L'!$C$10*'Data - P&amp;L'!$C$55</f>
        <v>0</v>
      </c>
      <c r="Z295" s="142">
        <f>(Z103+Z104+Z213+Z214)*'Data - P&amp;L'!$C$10*'Data - P&amp;L'!$C$55</f>
        <v>0</v>
      </c>
      <c r="AA295" s="142">
        <f>(AA103+AA104+AA213+AA214)*'Data - P&amp;L'!$C$10*'Data - P&amp;L'!$C$55</f>
        <v>0</v>
      </c>
      <c r="AB295" s="142">
        <f>(AB103+AB104+AB213+AB214)*'Data - P&amp;L'!$C$10*'Data - P&amp;L'!$C$55</f>
        <v>0</v>
      </c>
      <c r="AC295" s="142">
        <f>(AC103+AC104+AC213+AC214)*'Data - P&amp;L'!$C$10*'Data - P&amp;L'!$C$55</f>
        <v>0</v>
      </c>
      <c r="AD295" s="142">
        <f>(AD103+AD104+AD213+AD214)*'Data - P&amp;L'!$C$10*'Data - P&amp;L'!$C$55</f>
        <v>0</v>
      </c>
      <c r="AE295" s="142">
        <f>(AE103+AE104+AE213+AE214)*'Data - P&amp;L'!$C$10*'Data - P&amp;L'!$C$55</f>
        <v>0</v>
      </c>
      <c r="AF295" s="142">
        <f>(AF103+AF104+AF213+AF214)*'Data - P&amp;L'!$C$10*'Data - P&amp;L'!$C$55</f>
        <v>0</v>
      </c>
      <c r="AG295" s="126">
        <f t="shared" si="61"/>
        <v>0</v>
      </c>
    </row>
    <row r="296" outlineLevel="1">
      <c r="A296" s="272" t="s">
        <v>372</v>
      </c>
      <c r="B296" s="142">
        <f>((B108+B109+B218+B219)*'Data - P&amp;L'!$C$13)*'Data - P&amp;L'!$C$55</f>
        <v>0</v>
      </c>
      <c r="C296" s="142">
        <f>((C108+C109+C218+C219)*'Data - P&amp;L'!$C$13)*'Data - P&amp;L'!$C$55</f>
        <v>0</v>
      </c>
      <c r="D296" s="142">
        <f>((D108+D109+D218+D219)*'Data - P&amp;L'!$C$13)*'Data - P&amp;L'!$C$55</f>
        <v>0</v>
      </c>
      <c r="E296" s="142">
        <f>((E108+E109+E218+E219)*'Data - P&amp;L'!$C$13)*'Data - P&amp;L'!$C$55</f>
        <v>0</v>
      </c>
      <c r="F296" s="142">
        <f>((F108+F109+F218+F219)*'Data - P&amp;L'!$C$13)*'Data - P&amp;L'!$C$55</f>
        <v>0</v>
      </c>
      <c r="G296" s="142">
        <f>((G108+G109+G218+G219)*'Data - P&amp;L'!$C$13)*'Data - P&amp;L'!$C$55</f>
        <v>0</v>
      </c>
      <c r="H296" s="142">
        <f>((H108+H109+H218+H219)*'Data - P&amp;L'!$C$13)*'Data - P&amp;L'!$C$55</f>
        <v>0</v>
      </c>
      <c r="I296" s="142">
        <f>((I108+I109+I218+I219)*'Data - P&amp;L'!$C$13)*'Data - P&amp;L'!$C$55</f>
        <v>0</v>
      </c>
      <c r="J296" s="142">
        <f>((J108+J109+J218+J219)*'Data - P&amp;L'!$C$13)*'Data - P&amp;L'!$C$55</f>
        <v>0</v>
      </c>
      <c r="K296" s="142">
        <f>((K108+K109+K218+K219)*'Data - P&amp;L'!$C$13)*'Data - P&amp;L'!$C$55</f>
        <v>0</v>
      </c>
      <c r="L296" s="142">
        <f>((L108+L109+L218+L219)*'Data - P&amp;L'!$C$13)*'Data - P&amp;L'!$C$55</f>
        <v>0</v>
      </c>
      <c r="M296" s="142">
        <f>((M108+M109+M218+M219)*'Data - P&amp;L'!$C$13)*'Data - P&amp;L'!$C$55</f>
        <v>0</v>
      </c>
      <c r="N296" s="142">
        <f>((N108+N109+N218+N219)*'Data - P&amp;L'!$C$13)*'Data - P&amp;L'!$C$55</f>
        <v>0</v>
      </c>
      <c r="O296" s="142">
        <f>((O108+O109+O218+O219)*'Data - P&amp;L'!$C$13)*'Data - P&amp;L'!$C$55</f>
        <v>0</v>
      </c>
      <c r="P296" s="142">
        <f>((P108+P109+P218+P219)*'Data - P&amp;L'!$C$13)*'Data - P&amp;L'!$C$55</f>
        <v>0</v>
      </c>
      <c r="Q296" s="142">
        <f>((Q108+Q109+Q218+Q219)*'Data - P&amp;L'!$C$13)*'Data - P&amp;L'!$C$55</f>
        <v>0</v>
      </c>
      <c r="R296" s="142">
        <f>((R108+R109+R218+R219)*'Data - P&amp;L'!$C$13)*'Data - P&amp;L'!$C$55</f>
        <v>0</v>
      </c>
      <c r="S296" s="142">
        <f>((S108+S109+S218+S219)*'Data - P&amp;L'!$C$13)*'Data - P&amp;L'!$C$55</f>
        <v>0</v>
      </c>
      <c r="T296" s="142">
        <f>((T108+T109+T218+T219)*'Data - P&amp;L'!$C$13)*'Data - P&amp;L'!$C$55</f>
        <v>0</v>
      </c>
      <c r="U296" s="142">
        <f>((U108+U109+U218+U219)*'Data - P&amp;L'!$C$13)*'Data - P&amp;L'!$C$55</f>
        <v>0</v>
      </c>
      <c r="V296" s="142">
        <f>((V108+V109+V218+V219)*'Data - P&amp;L'!$C$13)*'Data - P&amp;L'!$C$55</f>
        <v>0</v>
      </c>
      <c r="W296" s="142">
        <f>((W108+W109+W218+W219)*'Data - P&amp;L'!$C$13)*'Data - P&amp;L'!$C$55</f>
        <v>0</v>
      </c>
      <c r="X296" s="142">
        <f>((X108+X109+X218+X219)*'Data - P&amp;L'!$C$13)*'Data - P&amp;L'!$C$55</f>
        <v>0</v>
      </c>
      <c r="Y296" s="142">
        <f>((Y108+Y109+Y218+Y219)*'Data - P&amp;L'!$C$13)*'Data - P&amp;L'!$C$55</f>
        <v>0</v>
      </c>
      <c r="Z296" s="142">
        <f>((Z108+Z109+Z218+Z219)*'Data - P&amp;L'!$C$13)*'Data - P&amp;L'!$C$55</f>
        <v>0</v>
      </c>
      <c r="AA296" s="142">
        <f>((AA108+AA109+AA218+AA219)*'Data - P&amp;L'!$C$13)*'Data - P&amp;L'!$C$55</f>
        <v>0</v>
      </c>
      <c r="AB296" s="142">
        <f>((AB108+AB109+AB218+AB219)*'Data - P&amp;L'!$C$13)*'Data - P&amp;L'!$C$55</f>
        <v>0</v>
      </c>
      <c r="AC296" s="142">
        <f>((AC108+AC109+AC218+AC219)*'Data - P&amp;L'!$C$13)*'Data - P&amp;L'!$C$55</f>
        <v>0</v>
      </c>
      <c r="AD296" s="142">
        <f>((AD108+AD109+AD218+AD219)*'Data - P&amp;L'!$C$13)*'Data - P&amp;L'!$C$55</f>
        <v>0</v>
      </c>
      <c r="AE296" s="142">
        <f>((AE108+AE109+AE218+AE219)*'Data - P&amp;L'!$C$13)*'Data - P&amp;L'!$C$55</f>
        <v>0</v>
      </c>
      <c r="AF296" s="142">
        <f>((AF108+AF109+AF218+AF219)*'Data - P&amp;L'!$C$13)*'Data - P&amp;L'!$C$55</f>
        <v>0</v>
      </c>
      <c r="AG296" s="126">
        <f t="shared" si="61"/>
        <v>0</v>
      </c>
    </row>
    <row r="297" outlineLevel="1">
      <c r="A297" s="272" t="s">
        <v>373</v>
      </c>
      <c r="B297" s="142">
        <f>((B110+B220)*'Data - P&amp;L'!$C$14)*'Data - P&amp;L'!$C$55</f>
        <v>0</v>
      </c>
      <c r="C297" s="142">
        <f>((C110+C220)*'Data - P&amp;L'!$C$14)*'Data - P&amp;L'!$C$55</f>
        <v>0</v>
      </c>
      <c r="D297" s="142">
        <f>((D110+D220)*'Data - P&amp;L'!$C$14)*'Data - P&amp;L'!$C$55</f>
        <v>0</v>
      </c>
      <c r="E297" s="142">
        <f>((E110+E220)*'Data - P&amp;L'!$C$14)*'Data - P&amp;L'!$C$55</f>
        <v>0</v>
      </c>
      <c r="F297" s="142">
        <f>((F110+F220)*'Data - P&amp;L'!$C$14)*'Data - P&amp;L'!$C$55</f>
        <v>0</v>
      </c>
      <c r="G297" s="142">
        <f>((G110+G220)*'Data - P&amp;L'!$C$14)*'Data - P&amp;L'!$C$55</f>
        <v>0</v>
      </c>
      <c r="H297" s="142">
        <f>((H110+H220)*'Data - P&amp;L'!$C$14)*'Data - P&amp;L'!$C$55</f>
        <v>0</v>
      </c>
      <c r="I297" s="142">
        <f>((I110+I220)*'Data - P&amp;L'!$C$14)*'Data - P&amp;L'!$C$55</f>
        <v>0</v>
      </c>
      <c r="J297" s="142">
        <f>((J110+J220)*'Data - P&amp;L'!$C$14)*'Data - P&amp;L'!$C$55</f>
        <v>0</v>
      </c>
      <c r="K297" s="142">
        <f>((K110+K220)*'Data - P&amp;L'!$C$14)*'Data - P&amp;L'!$C$55</f>
        <v>0</v>
      </c>
      <c r="L297" s="142">
        <f>((L110+L220)*'Data - P&amp;L'!$C$14)*'Data - P&amp;L'!$C$55</f>
        <v>0</v>
      </c>
      <c r="M297" s="142">
        <f>((M110+M220)*'Data - P&amp;L'!$C$14)*'Data - P&amp;L'!$C$55</f>
        <v>0</v>
      </c>
      <c r="N297" s="142">
        <f>((N110+N220)*'Data - P&amp;L'!$C$14)*'Data - P&amp;L'!$C$55</f>
        <v>0</v>
      </c>
      <c r="O297" s="142">
        <f>((O110+O220)*'Data - P&amp;L'!$C$14)*'Data - P&amp;L'!$C$55</f>
        <v>0</v>
      </c>
      <c r="P297" s="142">
        <f>((P110+P220)*'Data - P&amp;L'!$C$14)*'Data - P&amp;L'!$C$55</f>
        <v>0</v>
      </c>
      <c r="Q297" s="142">
        <f>((Q110+Q220)*'Data - P&amp;L'!$C$14)*'Data - P&amp;L'!$C$55</f>
        <v>0</v>
      </c>
      <c r="R297" s="142">
        <f>((R110+R220)*'Data - P&amp;L'!$C$14)*'Data - P&amp;L'!$C$55</f>
        <v>0</v>
      </c>
      <c r="S297" s="142">
        <f>((S110+S220)*'Data - P&amp;L'!$C$14)*'Data - P&amp;L'!$C$55</f>
        <v>0</v>
      </c>
      <c r="T297" s="142">
        <f>((T110+T220)*'Data - P&amp;L'!$C$14)*'Data - P&amp;L'!$C$55</f>
        <v>0</v>
      </c>
      <c r="U297" s="142">
        <f>((U110+U220)*'Data - P&amp;L'!$C$14)*'Data - P&amp;L'!$C$55</f>
        <v>0</v>
      </c>
      <c r="V297" s="142">
        <f>((V110+V220)*'Data - P&amp;L'!$C$14)*'Data - P&amp;L'!$C$55</f>
        <v>0</v>
      </c>
      <c r="W297" s="142">
        <f>((W110+W220)*'Data - P&amp;L'!$C$14)*'Data - P&amp;L'!$C$55</f>
        <v>0</v>
      </c>
      <c r="X297" s="142">
        <f>((X110+X220)*'Data - P&amp;L'!$C$14)*'Data - P&amp;L'!$C$55</f>
        <v>0</v>
      </c>
      <c r="Y297" s="142">
        <f>((Y110+Y220)*'Data - P&amp;L'!$C$14)*'Data - P&amp;L'!$C$55</f>
        <v>0</v>
      </c>
      <c r="Z297" s="142">
        <f>((Z110+Z220)*'Data - P&amp;L'!$C$14)*'Data - P&amp;L'!$C$55</f>
        <v>0</v>
      </c>
      <c r="AA297" s="142">
        <f>((AA110+AA220)*'Data - P&amp;L'!$C$14)*'Data - P&amp;L'!$C$55</f>
        <v>0</v>
      </c>
      <c r="AB297" s="142">
        <f>((AB110+AB220)*'Data - P&amp;L'!$C$14)*'Data - P&amp;L'!$C$55</f>
        <v>0</v>
      </c>
      <c r="AC297" s="142">
        <f>((AC110+AC220)*'Data - P&amp;L'!$C$14)*'Data - P&amp;L'!$C$55</f>
        <v>0</v>
      </c>
      <c r="AD297" s="142">
        <f>((AD110+AD220)*'Data - P&amp;L'!$C$14)*'Data - P&amp;L'!$C$55</f>
        <v>0</v>
      </c>
      <c r="AE297" s="142">
        <f>((AE110+AE220)*'Data - P&amp;L'!$C$14)*'Data - P&amp;L'!$C$55</f>
        <v>0</v>
      </c>
      <c r="AF297" s="142">
        <f>((AF110+AF220)*'Data - P&amp;L'!$C$14)*'Data - P&amp;L'!$C$55</f>
        <v>0</v>
      </c>
      <c r="AG297" s="126">
        <f t="shared" si="61"/>
        <v>0</v>
      </c>
    </row>
    <row r="298" outlineLevel="1">
      <c r="A298" s="272" t="s">
        <v>359</v>
      </c>
      <c r="B298" s="142">
        <f>(((B94+B204)*'Data - P&amp;L'!$C$38)+((B95+B205)*'Data - P&amp;L'!$C$38))*'Data - P&amp;L'!$C$55</f>
        <v>0</v>
      </c>
      <c r="C298" s="142">
        <f>(((C94+C204)*'Data - P&amp;L'!$C$38)+((C95+C205)*'Data - P&amp;L'!$C$38))*'Data - P&amp;L'!$C$55</f>
        <v>0</v>
      </c>
      <c r="D298" s="142">
        <f>(((D94+D204)*'Data - P&amp;L'!$C$38)+((D95+D205)*'Data - P&amp;L'!$C$38))*'Data - P&amp;L'!$C$55</f>
        <v>0</v>
      </c>
      <c r="E298" s="142">
        <f>(((E94+E204)*'Data - P&amp;L'!$C$38)+((E95+E205)*'Data - P&amp;L'!$C$38))*'Data - P&amp;L'!$C$55</f>
        <v>0</v>
      </c>
      <c r="F298" s="142">
        <f>(((F94+F204)*'Data - P&amp;L'!$C$38)+((F95+F205)*'Data - P&amp;L'!$C$38))*'Data - P&amp;L'!$C$55</f>
        <v>0</v>
      </c>
      <c r="G298" s="142">
        <f>(((G94+G204)*'Data - P&amp;L'!$C$38)+((G95+G205)*'Data - P&amp;L'!$C$38))*'Data - P&amp;L'!$C$55</f>
        <v>0</v>
      </c>
      <c r="H298" s="142">
        <f>(((H94+H204)*'Data - P&amp;L'!$C$38)+((H95+H205)*'Data - P&amp;L'!$C$38))*'Data - P&amp;L'!$C$55</f>
        <v>0</v>
      </c>
      <c r="I298" s="142">
        <f>(((I94+I204)*'Data - P&amp;L'!$C$38)+((I95+I205)*'Data - P&amp;L'!$C$38))*'Data - P&amp;L'!$C$55</f>
        <v>0</v>
      </c>
      <c r="J298" s="142">
        <f>(((J94+J204)*'Data - P&amp;L'!$C$38)+((J95+J205)*'Data - P&amp;L'!$C$38))*'Data - P&amp;L'!$C$55</f>
        <v>0</v>
      </c>
      <c r="K298" s="142">
        <f>(((K94+K204)*'Data - P&amp;L'!$C$38)+((K95+K205)*'Data - P&amp;L'!$C$38))*'Data - P&amp;L'!$C$55</f>
        <v>0</v>
      </c>
      <c r="L298" s="142">
        <f>(((L94+L204)*'Data - P&amp;L'!$C$38)+((L95+L205)*'Data - P&amp;L'!$C$38))*'Data - P&amp;L'!$C$55</f>
        <v>0</v>
      </c>
      <c r="M298" s="142">
        <f>(((M94+M204)*'Data - P&amp;L'!$C$38)+((M95+M205)*'Data - P&amp;L'!$C$38))*'Data - P&amp;L'!$C$55</f>
        <v>0</v>
      </c>
      <c r="N298" s="142">
        <f>(((N94+N204)*'Data - P&amp;L'!$C$38)+((N95+N205)*'Data - P&amp;L'!$C$38))*'Data - P&amp;L'!$C$55</f>
        <v>0</v>
      </c>
      <c r="O298" s="142">
        <f>(((O94+O204)*'Data - P&amp;L'!$C$38)+((O95+O205)*'Data - P&amp;L'!$C$38))*'Data - P&amp;L'!$C$55</f>
        <v>0</v>
      </c>
      <c r="P298" s="142">
        <f>(((P94+P204)*'Data - P&amp;L'!$C$38)+((P95+P205)*'Data - P&amp;L'!$C$38))*'Data - P&amp;L'!$C$55</f>
        <v>0</v>
      </c>
      <c r="Q298" s="142">
        <f>(((Q94+Q204)*'Data - P&amp;L'!$C$38)+((Q95+Q205)*'Data - P&amp;L'!$C$38))*'Data - P&amp;L'!$C$55</f>
        <v>0</v>
      </c>
      <c r="R298" s="142">
        <f>(((R94+R204)*'Data - P&amp;L'!$C$38)+((R95+R205)*'Data - P&amp;L'!$C$38))*'Data - P&amp;L'!$C$55</f>
        <v>0</v>
      </c>
      <c r="S298" s="142">
        <f>(((S94+S204)*'Data - P&amp;L'!$C$38)+((S95+S205)*'Data - P&amp;L'!$C$38))*'Data - P&amp;L'!$C$55</f>
        <v>0</v>
      </c>
      <c r="T298" s="142">
        <f>(((T94+T204)*'Data - P&amp;L'!$C$38)+((T95+T205)*'Data - P&amp;L'!$C$38))*'Data - P&amp;L'!$C$55</f>
        <v>0</v>
      </c>
      <c r="U298" s="142">
        <f>(((U94+U204)*'Data - P&amp;L'!$C$38)+((U95+U205)*'Data - P&amp;L'!$C$38))*'Data - P&amp;L'!$C$55</f>
        <v>0</v>
      </c>
      <c r="V298" s="142">
        <f>(((V94+V204)*'Data - P&amp;L'!$C$38)+((V95+V205)*'Data - P&amp;L'!$C$38))*'Data - P&amp;L'!$C$55</f>
        <v>0</v>
      </c>
      <c r="W298" s="142">
        <f>(((W94+W204)*'Data - P&amp;L'!$C$38)+((W95+W205)*'Data - P&amp;L'!$C$38))*'Data - P&amp;L'!$C$55</f>
        <v>0</v>
      </c>
      <c r="X298" s="142">
        <f>(((X94+X204)*'Data - P&amp;L'!$C$38)+((X95+X205)*'Data - P&amp;L'!$C$38))*'Data - P&amp;L'!$C$55</f>
        <v>0</v>
      </c>
      <c r="Y298" s="142">
        <f>(((Y94+Y204)*'Data - P&amp;L'!$C$38)+((Y95+Y205)*'Data - P&amp;L'!$C$38))*'Data - P&amp;L'!$C$55</f>
        <v>0</v>
      </c>
      <c r="Z298" s="142">
        <f>(((Z94+Z204)*'Data - P&amp;L'!$C$38)+((Z95+Z205)*'Data - P&amp;L'!$C$38))*'Data - P&amp;L'!$C$55</f>
        <v>0</v>
      </c>
      <c r="AA298" s="142">
        <f>(((AA94+AA204)*'Data - P&amp;L'!$C$38)+((AA95+AA205)*'Data - P&amp;L'!$C$38))*'Data - P&amp;L'!$C$55</f>
        <v>0</v>
      </c>
      <c r="AB298" s="142">
        <f>(((AB94+AB204)*'Data - P&amp;L'!$C$38)+((AB95+AB205)*'Data - P&amp;L'!$C$38))*'Data - P&amp;L'!$C$55</f>
        <v>0</v>
      </c>
      <c r="AC298" s="142">
        <f>(((AC94+AC204)*'Data - P&amp;L'!$C$38)+((AC95+AC205)*'Data - P&amp;L'!$C$38))*'Data - P&amp;L'!$C$55</f>
        <v>0</v>
      </c>
      <c r="AD298" s="142">
        <f>(((AD94+AD204)*'Data - P&amp;L'!$C$38)+((AD95+AD205)*'Data - P&amp;L'!$C$38))*'Data - P&amp;L'!$C$55</f>
        <v>0</v>
      </c>
      <c r="AE298" s="142">
        <f>(((AE94+AE204)*'Data - P&amp;L'!$C$38)+((AE95+AE205)*'Data - P&amp;L'!$C$38))*'Data - P&amp;L'!$C$55</f>
        <v>0</v>
      </c>
      <c r="AF298" s="142">
        <f>(((AF94+AF204)*'Data - P&amp;L'!$C$38)+((AF95+AF205)*'Data - P&amp;L'!$C$38))*'Data - P&amp;L'!$C$55</f>
        <v>0</v>
      </c>
      <c r="AG298" s="126">
        <f t="shared" si="61"/>
        <v>0</v>
      </c>
    </row>
    <row r="299" outlineLevel="1">
      <c r="A299" s="272" t="s">
        <v>361</v>
      </c>
      <c r="B299" s="142">
        <f>((B191*'Data - P&amp;L'!$D$38)+(B206*'Data - P&amp;L'!$D$39))*'Data - P&amp;L'!$C$55</f>
        <v>0</v>
      </c>
      <c r="C299" s="142">
        <f>((C191*'Data - P&amp;L'!$D$38)+(C206*'Data - P&amp;L'!$D$39))*'Data - P&amp;L'!$C$55</f>
        <v>0</v>
      </c>
      <c r="D299" s="142">
        <f>((D191*'Data - P&amp;L'!$D$38)+(D206*'Data - P&amp;L'!$D$39))*'Data - P&amp;L'!$C$55</f>
        <v>0</v>
      </c>
      <c r="E299" s="142">
        <f>((E191*'Data - P&amp;L'!$D$38)+(E206*'Data - P&amp;L'!$D$39))*'Data - P&amp;L'!$C$55</f>
        <v>0</v>
      </c>
      <c r="F299" s="142">
        <f>((F191*'Data - P&amp;L'!$D$38)+(F206*'Data - P&amp;L'!$D$39))*'Data - P&amp;L'!$C$55</f>
        <v>0</v>
      </c>
      <c r="G299" s="142">
        <f>((G191*'Data - P&amp;L'!$D$38)+(G206*'Data - P&amp;L'!$D$39))*'Data - P&amp;L'!$C$55</f>
        <v>0</v>
      </c>
      <c r="H299" s="142">
        <f>((H191*'Data - P&amp;L'!$D$38)+(H206*'Data - P&amp;L'!$D$39))*'Data - P&amp;L'!$C$55</f>
        <v>0</v>
      </c>
      <c r="I299" s="142">
        <f>((I191*'Data - P&amp;L'!$D$38)+(I206*'Data - P&amp;L'!$D$39))*'Data - P&amp;L'!$C$55</f>
        <v>0</v>
      </c>
      <c r="J299" s="142">
        <f>((J191*'Data - P&amp;L'!$D$38)+(J206*'Data - P&amp;L'!$D$39))*'Data - P&amp;L'!$C$55</f>
        <v>0</v>
      </c>
      <c r="K299" s="142">
        <f>((K191*'Data - P&amp;L'!$D$38)+(K206*'Data - P&amp;L'!$D$39))*'Data - P&amp;L'!$C$55</f>
        <v>0</v>
      </c>
      <c r="L299" s="142">
        <f>((L191*'Data - P&amp;L'!$D$38)+(L206*'Data - P&amp;L'!$D$39))*'Data - P&amp;L'!$C$55</f>
        <v>0</v>
      </c>
      <c r="M299" s="142">
        <f>((M191*'Data - P&amp;L'!$D$38)+(M206*'Data - P&amp;L'!$D$39))*'Data - P&amp;L'!$C$55</f>
        <v>0</v>
      </c>
      <c r="N299" s="142">
        <f>((N191*'Data - P&amp;L'!$D$38)+(N206*'Data - P&amp;L'!$D$39))*'Data - P&amp;L'!$C$55</f>
        <v>0</v>
      </c>
      <c r="O299" s="142">
        <f>((O191*'Data - P&amp;L'!$D$38)+(O206*'Data - P&amp;L'!$D$39))*'Data - P&amp;L'!$C$55</f>
        <v>0</v>
      </c>
      <c r="P299" s="142">
        <f>((P191*'Data - P&amp;L'!$D$38)+(P206*'Data - P&amp;L'!$D$39))*'Data - P&amp;L'!$C$55</f>
        <v>0</v>
      </c>
      <c r="Q299" s="142">
        <f>((Q191*'Data - P&amp;L'!$D$38)+(Q206*'Data - P&amp;L'!$D$39))*'Data - P&amp;L'!$C$55</f>
        <v>0</v>
      </c>
      <c r="R299" s="142">
        <f>((R191*'Data - P&amp;L'!$D$38)+(R206*'Data - P&amp;L'!$D$39))*'Data - P&amp;L'!$C$55</f>
        <v>0</v>
      </c>
      <c r="S299" s="142">
        <f>((S191*'Data - P&amp;L'!$D$38)+(S206*'Data - P&amp;L'!$D$39))*'Data - P&amp;L'!$C$55</f>
        <v>0</v>
      </c>
      <c r="T299" s="142">
        <f>((T191*'Data - P&amp;L'!$D$38)+(T206*'Data - P&amp;L'!$D$39))*'Data - P&amp;L'!$C$55</f>
        <v>0</v>
      </c>
      <c r="U299" s="142">
        <f>((U191*'Data - P&amp;L'!$D$38)+(U206*'Data - P&amp;L'!$D$39))*'Data - P&amp;L'!$C$55</f>
        <v>0</v>
      </c>
      <c r="V299" s="142">
        <f>((V191*'Data - P&amp;L'!$D$38)+(V206*'Data - P&amp;L'!$D$39))*'Data - P&amp;L'!$C$55</f>
        <v>0</v>
      </c>
      <c r="W299" s="142">
        <f>((W191*'Data - P&amp;L'!$D$38)+(W206*'Data - P&amp;L'!$D$39))*'Data - P&amp;L'!$C$55</f>
        <v>0</v>
      </c>
      <c r="X299" s="142">
        <f>((X191*'Data - P&amp;L'!$D$38)+(X206*'Data - P&amp;L'!$D$39))*'Data - P&amp;L'!$C$55</f>
        <v>0</v>
      </c>
      <c r="Y299" s="142">
        <f>((Y191*'Data - P&amp;L'!$D$38)+(Y206*'Data - P&amp;L'!$D$39))*'Data - P&amp;L'!$C$55</f>
        <v>0</v>
      </c>
      <c r="Z299" s="142">
        <f>((Z191*'Data - P&amp;L'!$D$38)+(Z206*'Data - P&amp;L'!$D$39))*'Data - P&amp;L'!$C$55</f>
        <v>0</v>
      </c>
      <c r="AA299" s="142">
        <f>((AA191*'Data - P&amp;L'!$D$38)+(AA206*'Data - P&amp;L'!$D$39))*'Data - P&amp;L'!$C$55</f>
        <v>0</v>
      </c>
      <c r="AB299" s="142">
        <f>((AB191*'Data - P&amp;L'!$D$38)+(AB206*'Data - P&amp;L'!$D$39))*'Data - P&amp;L'!$C$55</f>
        <v>0</v>
      </c>
      <c r="AC299" s="142">
        <f>((AC191*'Data - P&amp;L'!$D$38)+(AC206*'Data - P&amp;L'!$D$39))*'Data - P&amp;L'!$C$55</f>
        <v>0</v>
      </c>
      <c r="AD299" s="142">
        <f>((AD191*'Data - P&amp;L'!$D$38)+(AD206*'Data - P&amp;L'!$D$39))*'Data - P&amp;L'!$C$55</f>
        <v>0</v>
      </c>
      <c r="AE299" s="142">
        <f>((AE191*'Data - P&amp;L'!$D$38)+(AE206*'Data - P&amp;L'!$D$39))*'Data - P&amp;L'!$C$55</f>
        <v>0</v>
      </c>
      <c r="AF299" s="142">
        <f>((AF191*'Data - P&amp;L'!$D$38)+(AF206*'Data - P&amp;L'!$D$39))*'Data - P&amp;L'!$C$55</f>
        <v>0</v>
      </c>
      <c r="AG299" s="126">
        <f t="shared" si="61"/>
        <v>0</v>
      </c>
    </row>
    <row r="300" outlineLevel="1">
      <c r="A300" s="272" t="s">
        <v>374</v>
      </c>
      <c r="B300" s="463"/>
      <c r="C300" s="463"/>
      <c r="D300" s="463"/>
      <c r="E300" s="463"/>
      <c r="F300" s="463"/>
      <c r="G300" s="463"/>
      <c r="H300" s="463"/>
      <c r="I300" s="463"/>
      <c r="J300" s="463"/>
      <c r="K300" s="463"/>
      <c r="L300" s="463"/>
      <c r="M300" s="463"/>
      <c r="N300" s="463"/>
      <c r="O300" s="463"/>
      <c r="P300" s="463"/>
      <c r="Q300" s="463"/>
      <c r="R300" s="463"/>
      <c r="S300" s="463"/>
      <c r="T300" s="463"/>
      <c r="U300" s="463"/>
      <c r="V300" s="463"/>
      <c r="W300" s="463"/>
      <c r="X300" s="463"/>
      <c r="Y300" s="463"/>
      <c r="Z300" s="463"/>
      <c r="AA300" s="463"/>
      <c r="AB300" s="463"/>
      <c r="AC300" s="463"/>
      <c r="AD300" s="463"/>
      <c r="AE300" s="463"/>
      <c r="AF300" s="463"/>
      <c r="AG300" s="126"/>
    </row>
    <row r="301" outlineLevel="1">
      <c r="A301" s="272" t="s">
        <v>375</v>
      </c>
      <c r="B301" s="463"/>
      <c r="C301" s="463"/>
      <c r="D301" s="463"/>
      <c r="E301" s="463"/>
      <c r="F301" s="463"/>
      <c r="G301" s="463"/>
      <c r="H301" s="463"/>
      <c r="I301" s="463"/>
      <c r="J301" s="463"/>
      <c r="K301" s="463"/>
      <c r="L301" s="463"/>
      <c r="M301" s="463"/>
      <c r="N301" s="463"/>
      <c r="O301" s="463"/>
      <c r="P301" s="463"/>
      <c r="Q301" s="463"/>
      <c r="R301" s="463"/>
      <c r="S301" s="463"/>
      <c r="T301" s="463"/>
      <c r="U301" s="463"/>
      <c r="V301" s="463"/>
      <c r="W301" s="463"/>
      <c r="X301" s="463"/>
      <c r="Y301" s="463"/>
      <c r="Z301" s="463"/>
      <c r="AA301" s="463"/>
      <c r="AB301" s="463"/>
      <c r="AC301" s="463"/>
      <c r="AD301" s="463"/>
      <c r="AE301" s="463"/>
      <c r="AF301" s="463"/>
      <c r="AG301" s="126"/>
    </row>
    <row r="302" outlineLevel="1">
      <c r="A302" s="459" t="s">
        <v>376</v>
      </c>
      <c r="B302" s="250">
        <f>(B208*'Data - P&amp;L'!$R$3)+('Data - P&amp;L'!$R$4*B209)</f>
        <v>0</v>
      </c>
      <c r="C302" s="250">
        <f>(C208*'Data - P&amp;L'!$R$3)+('Data - P&amp;L'!$R$4*C209)</f>
        <v>0</v>
      </c>
      <c r="D302" s="250">
        <f>(D208*'Data - P&amp;L'!$R$3)+('Data - P&amp;L'!$R$4*D209)</f>
        <v>0</v>
      </c>
      <c r="E302" s="250">
        <f>(E208*'Data - P&amp;L'!$R$3)+('Data - P&amp;L'!$R$4*E209)</f>
        <v>0</v>
      </c>
      <c r="F302" s="250">
        <f>(F208*'Data - P&amp;L'!$R$3)+('Data - P&amp;L'!$R$4*F209)</f>
        <v>0</v>
      </c>
      <c r="G302" s="250">
        <f>(G208*'Data - P&amp;L'!$R$3)+('Data - P&amp;L'!$R$4*G209)</f>
        <v>0</v>
      </c>
      <c r="H302" s="250">
        <f>(H208*'Data - P&amp;L'!$R$3)+('Data - P&amp;L'!$R$4*H209)</f>
        <v>0</v>
      </c>
      <c r="I302" s="250">
        <f>(I208*'Data - P&amp;L'!$R$3)+('Data - P&amp;L'!$R$4*I209)</f>
        <v>0</v>
      </c>
      <c r="J302" s="250">
        <f>(J208*'Data - P&amp;L'!$R$3)+('Data - P&amp;L'!$R$4*J209)</f>
        <v>0</v>
      </c>
      <c r="K302" s="250">
        <f>(K208*'Data - P&amp;L'!$R$3)+('Data - P&amp;L'!$R$4*K209)</f>
        <v>0</v>
      </c>
      <c r="L302" s="250">
        <f>(L208*'Data - P&amp;L'!$R$3)+('Data - P&amp;L'!$R$4*L209)</f>
        <v>0</v>
      </c>
      <c r="M302" s="250">
        <f>(M208*'Data - P&amp;L'!$R$3)+('Data - P&amp;L'!$R$4*M209)</f>
        <v>0</v>
      </c>
      <c r="N302" s="250">
        <f>(N208*'Data - P&amp;L'!$R$3)+('Data - P&amp;L'!$R$4*N209)</f>
        <v>0</v>
      </c>
      <c r="O302" s="250">
        <f>(O208*'Data - P&amp;L'!$R$3)+('Data - P&amp;L'!$R$4*O209)</f>
        <v>0</v>
      </c>
      <c r="P302" s="250">
        <f>(P208*'Data - P&amp;L'!$R$3)+('Data - P&amp;L'!$R$4*P209)</f>
        <v>0</v>
      </c>
      <c r="Q302" s="250">
        <f>(Q208*'Data - P&amp;L'!$R$3)+('Data - P&amp;L'!$R$4*Q209)</f>
        <v>0</v>
      </c>
      <c r="R302" s="250">
        <f>(R208*'Data - P&amp;L'!$R$3)+('Data - P&amp;L'!$R$4*R209)</f>
        <v>0</v>
      </c>
      <c r="S302" s="250">
        <f>(S208*'Data - P&amp;L'!$R$3)+('Data - P&amp;L'!$R$4*S209)</f>
        <v>0</v>
      </c>
      <c r="T302" s="250">
        <f>(T208*'Data - P&amp;L'!$R$3)+('Data - P&amp;L'!$R$4*T209)</f>
        <v>0</v>
      </c>
      <c r="U302" s="250">
        <f>(U208*'Data - P&amp;L'!$R$3)+('Data - P&amp;L'!$R$4*U209)</f>
        <v>0</v>
      </c>
      <c r="V302" s="250">
        <f>(V208*'Data - P&amp;L'!$R$3)+('Data - P&amp;L'!$R$4*V209)</f>
        <v>0</v>
      </c>
      <c r="W302" s="250">
        <f>(W208*'Data - P&amp;L'!$R$3)+('Data - P&amp;L'!$R$4*W209)</f>
        <v>0</v>
      </c>
      <c r="X302" s="250">
        <f>(X208*'Data - P&amp;L'!$R$3)+('Data - P&amp;L'!$R$4*X209)</f>
        <v>0</v>
      </c>
      <c r="Y302" s="250">
        <f>(Y208*'Data - P&amp;L'!$R$3)+('Data - P&amp;L'!$R$4*Y209)</f>
        <v>0</v>
      </c>
      <c r="Z302" s="250">
        <f>(Z208*'Data - P&amp;L'!$R$3)+('Data - P&amp;L'!$R$4*Z209)</f>
        <v>0</v>
      </c>
      <c r="AA302" s="250">
        <f>(AA208*'Data - P&amp;L'!$R$3)+('Data - P&amp;L'!$R$4*AA209)</f>
        <v>0</v>
      </c>
      <c r="AB302" s="250">
        <f>(AB208*'Data - P&amp;L'!$R$3)+('Data - P&amp;L'!$R$4*AB209)</f>
        <v>0</v>
      </c>
      <c r="AC302" s="250">
        <f>(AC208*'Data - P&amp;L'!$R$3)+('Data - P&amp;L'!$R$4*AC209)</f>
        <v>0</v>
      </c>
      <c r="AD302" s="250">
        <f>(AD208*'Data - P&amp;L'!$R$3)+('Data - P&amp;L'!$R$4*AD209)</f>
        <v>0</v>
      </c>
      <c r="AE302" s="250">
        <f>(AE208*'Data - P&amp;L'!$R$3)+('Data - P&amp;L'!$R$4*AE209)</f>
        <v>0</v>
      </c>
      <c r="AF302" s="250">
        <f>(AF208*'Data - P&amp;L'!$R$3)+('Data - P&amp;L'!$R$4*AF209)</f>
        <v>0</v>
      </c>
      <c r="AG302" s="126">
        <f t="shared" ref="AG302:AG316" si="65">SUM(B302:AF302)</f>
        <v>0</v>
      </c>
    </row>
    <row r="303" outlineLevel="1">
      <c r="A303" s="460" t="s">
        <v>377</v>
      </c>
      <c r="B303" s="461">
        <f t="shared" ref="B303:AF303" si="64">sum(B304:B316)</f>
        <v>0</v>
      </c>
      <c r="C303" s="461">
        <f t="shared" si="64"/>
        <v>0</v>
      </c>
      <c r="D303" s="461">
        <f t="shared" si="64"/>
        <v>0</v>
      </c>
      <c r="E303" s="461">
        <f t="shared" si="64"/>
        <v>0</v>
      </c>
      <c r="F303" s="461">
        <f t="shared" si="64"/>
        <v>0</v>
      </c>
      <c r="G303" s="461">
        <f t="shared" si="64"/>
        <v>0</v>
      </c>
      <c r="H303" s="461">
        <f t="shared" si="64"/>
        <v>0</v>
      </c>
      <c r="I303" s="461">
        <f t="shared" si="64"/>
        <v>0</v>
      </c>
      <c r="J303" s="461">
        <f t="shared" si="64"/>
        <v>0</v>
      </c>
      <c r="K303" s="461">
        <f t="shared" si="64"/>
        <v>0</v>
      </c>
      <c r="L303" s="461">
        <f t="shared" si="64"/>
        <v>0</v>
      </c>
      <c r="M303" s="461">
        <f t="shared" si="64"/>
        <v>0</v>
      </c>
      <c r="N303" s="461">
        <f t="shared" si="64"/>
        <v>0</v>
      </c>
      <c r="O303" s="461">
        <f t="shared" si="64"/>
        <v>0</v>
      </c>
      <c r="P303" s="461">
        <f t="shared" si="64"/>
        <v>0</v>
      </c>
      <c r="Q303" s="461">
        <f t="shared" si="64"/>
        <v>0</v>
      </c>
      <c r="R303" s="461">
        <f t="shared" si="64"/>
        <v>0</v>
      </c>
      <c r="S303" s="461">
        <f t="shared" si="64"/>
        <v>0</v>
      </c>
      <c r="T303" s="461">
        <f t="shared" si="64"/>
        <v>0</v>
      </c>
      <c r="U303" s="461">
        <f t="shared" si="64"/>
        <v>0</v>
      </c>
      <c r="V303" s="461">
        <f t="shared" si="64"/>
        <v>0</v>
      </c>
      <c r="W303" s="461">
        <f t="shared" si="64"/>
        <v>0</v>
      </c>
      <c r="X303" s="461">
        <f t="shared" si="64"/>
        <v>0</v>
      </c>
      <c r="Y303" s="461">
        <f t="shared" si="64"/>
        <v>0</v>
      </c>
      <c r="Z303" s="461">
        <f t="shared" si="64"/>
        <v>0</v>
      </c>
      <c r="AA303" s="461">
        <f t="shared" si="64"/>
        <v>0</v>
      </c>
      <c r="AB303" s="461">
        <f t="shared" si="64"/>
        <v>0</v>
      </c>
      <c r="AC303" s="461">
        <f t="shared" si="64"/>
        <v>0</v>
      </c>
      <c r="AD303" s="461">
        <f t="shared" si="64"/>
        <v>0</v>
      </c>
      <c r="AE303" s="461">
        <f t="shared" si="64"/>
        <v>0</v>
      </c>
      <c r="AF303" s="461">
        <f t="shared" si="64"/>
        <v>0</v>
      </c>
      <c r="AG303" s="242">
        <f t="shared" si="65"/>
        <v>0</v>
      </c>
    </row>
    <row r="304" outlineLevel="1">
      <c r="A304" s="272" t="s">
        <v>378</v>
      </c>
      <c r="B304" s="142">
        <f>(B94+B204)*'Data - P&amp;L'!$C$3</f>
        <v>0</v>
      </c>
      <c r="C304" s="142">
        <f>(C94+C204)*'Data - P&amp;L'!$C$3</f>
        <v>0</v>
      </c>
      <c r="D304" s="142">
        <f>(D94+D204)*'Data - P&amp;L'!$C$3</f>
        <v>0</v>
      </c>
      <c r="E304" s="142">
        <f>(E94+E204)*'Data - P&amp;L'!$C$3</f>
        <v>0</v>
      </c>
      <c r="F304" s="142">
        <f>(F94+F204)*'Data - P&amp;L'!$C$3</f>
        <v>0</v>
      </c>
      <c r="G304" s="142">
        <f>(G94+G204)*'Data - P&amp;L'!$C$3</f>
        <v>0</v>
      </c>
      <c r="H304" s="142">
        <f>(H94+H204)*'Data - P&amp;L'!$C$3</f>
        <v>0</v>
      </c>
      <c r="I304" s="142">
        <f>(I94+I204)*'Data - P&amp;L'!$C$3</f>
        <v>0</v>
      </c>
      <c r="J304" s="142">
        <f>(J94+J204)*'Data - P&amp;L'!$C$3</f>
        <v>0</v>
      </c>
      <c r="K304" s="142">
        <f>(K94+K204)*'Data - P&amp;L'!$C$3</f>
        <v>0</v>
      </c>
      <c r="L304" s="142">
        <f>(L94+L204)*'Data - P&amp;L'!$C$3</f>
        <v>0</v>
      </c>
      <c r="M304" s="142">
        <f>(M94+M204)*'Data - P&amp;L'!$C$3</f>
        <v>0</v>
      </c>
      <c r="N304" s="142">
        <f>(N94+N204)*'Data - P&amp;L'!$C$3</f>
        <v>0</v>
      </c>
      <c r="O304" s="142">
        <f>(O94+O204)*'Data - P&amp;L'!$C$3</f>
        <v>0</v>
      </c>
      <c r="P304" s="142">
        <f>(P94+P204)*'Data - P&amp;L'!$C$3</f>
        <v>0</v>
      </c>
      <c r="Q304" s="142">
        <f>(Q94+Q204)*'Data - P&amp;L'!$C$3</f>
        <v>0</v>
      </c>
      <c r="R304" s="142">
        <f>(R94+R204)*'Data - P&amp;L'!$C$3</f>
        <v>0</v>
      </c>
      <c r="S304" s="142">
        <f>(S94+S204)*'Data - P&amp;L'!$C$3</f>
        <v>0</v>
      </c>
      <c r="T304" s="142">
        <f>(T94+T204)*'Data - P&amp;L'!$C$3</f>
        <v>0</v>
      </c>
      <c r="U304" s="142">
        <f>(U94+U204)*'Data - P&amp;L'!$C$3</f>
        <v>0</v>
      </c>
      <c r="V304" s="142">
        <f>(V94+V204)*'Data - P&amp;L'!$C$3</f>
        <v>0</v>
      </c>
      <c r="W304" s="142">
        <f>(W94+W204)*'Data - P&amp;L'!$C$3</f>
        <v>0</v>
      </c>
      <c r="X304" s="142">
        <f>(X94+X204)*'Data - P&amp;L'!$C$3</f>
        <v>0</v>
      </c>
      <c r="Y304" s="142">
        <f>(Y94+Y204)*'Data - P&amp;L'!$C$3</f>
        <v>0</v>
      </c>
      <c r="Z304" s="142">
        <f>(Z94+Z204)*'Data - P&amp;L'!$C$3</f>
        <v>0</v>
      </c>
      <c r="AA304" s="142">
        <f>(AA94+AA204)*'Data - P&amp;L'!$C$3</f>
        <v>0</v>
      </c>
      <c r="AB304" s="142">
        <f>(AB94+AB204)*'Data - P&amp;L'!$C$3</f>
        <v>0</v>
      </c>
      <c r="AC304" s="142">
        <f>(AC94+AC204)*'Data - P&amp;L'!$C$3</f>
        <v>0</v>
      </c>
      <c r="AD304" s="142">
        <f>(AD94+AD204)*'Data - P&amp;L'!$C$3</f>
        <v>0</v>
      </c>
      <c r="AE304" s="142">
        <f>(AE94+AE204)*'Data - P&amp;L'!$C$3</f>
        <v>0</v>
      </c>
      <c r="AF304" s="142">
        <f>(AF94+AF204)*'Data - P&amp;L'!$C$3</f>
        <v>0</v>
      </c>
      <c r="AG304" s="126">
        <f t="shared" si="65"/>
        <v>0</v>
      </c>
    </row>
    <row r="305" outlineLevel="1">
      <c r="A305" s="272" t="s">
        <v>379</v>
      </c>
      <c r="B305" s="142">
        <f>(B95+B205)*'Data - P&amp;L'!$C$4</f>
        <v>0</v>
      </c>
      <c r="C305" s="142">
        <f>(C95+C205)*'Data - P&amp;L'!$C$4</f>
        <v>0</v>
      </c>
      <c r="D305" s="142">
        <f>(D95+D205)*'Data - P&amp;L'!$C$4</f>
        <v>0</v>
      </c>
      <c r="E305" s="142">
        <f>(E95+E205)*'Data - P&amp;L'!$C$4</f>
        <v>0</v>
      </c>
      <c r="F305" s="142">
        <f>(F95+F205)*'Data - P&amp;L'!$C$4</f>
        <v>0</v>
      </c>
      <c r="G305" s="142">
        <f>(G95+G205)*'Data - P&amp;L'!$C$4</f>
        <v>0</v>
      </c>
      <c r="H305" s="142">
        <f>(H95+H205)*'Data - P&amp;L'!$C$4</f>
        <v>0</v>
      </c>
      <c r="I305" s="142">
        <f>(I95+I205)*'Data - P&amp;L'!$C$4</f>
        <v>0</v>
      </c>
      <c r="J305" s="142">
        <f>(J95+J205)*'Data - P&amp;L'!$C$4</f>
        <v>0</v>
      </c>
      <c r="K305" s="142">
        <f>(K95+K205)*'Data - P&amp;L'!$C$4</f>
        <v>0</v>
      </c>
      <c r="L305" s="142">
        <f>(L95+L205)*'Data - P&amp;L'!$C$4</f>
        <v>0</v>
      </c>
      <c r="M305" s="142">
        <f>(M95+M205)*'Data - P&amp;L'!$C$4</f>
        <v>0</v>
      </c>
      <c r="N305" s="142">
        <f>(N95+N205)*'Data - P&amp;L'!$C$4</f>
        <v>0</v>
      </c>
      <c r="O305" s="142">
        <f>(O95+O205)*'Data - P&amp;L'!$C$4</f>
        <v>0</v>
      </c>
      <c r="P305" s="142">
        <f>(P95+P205)*'Data - P&amp;L'!$C$4</f>
        <v>0</v>
      </c>
      <c r="Q305" s="142">
        <f>(Q95+Q205)*'Data - P&amp;L'!$C$4</f>
        <v>0</v>
      </c>
      <c r="R305" s="142">
        <f>(R95+R205)*'Data - P&amp;L'!$C$4</f>
        <v>0</v>
      </c>
      <c r="S305" s="142">
        <f>(S95+S205)*'Data - P&amp;L'!$C$4</f>
        <v>0</v>
      </c>
      <c r="T305" s="142">
        <f>(T95+T205)*'Data - P&amp;L'!$C$4</f>
        <v>0</v>
      </c>
      <c r="U305" s="142">
        <f>(U95+U205)*'Data - P&amp;L'!$C$4</f>
        <v>0</v>
      </c>
      <c r="V305" s="142">
        <f>(V95+V205)*'Data - P&amp;L'!$C$4</f>
        <v>0</v>
      </c>
      <c r="W305" s="142">
        <f>(W95+W205)*'Data - P&amp;L'!$C$4</f>
        <v>0</v>
      </c>
      <c r="X305" s="142">
        <f>(X95+X205)*'Data - P&amp;L'!$C$4</f>
        <v>0</v>
      </c>
      <c r="Y305" s="142">
        <f>(Y95+Y205)*'Data - P&amp;L'!$C$4</f>
        <v>0</v>
      </c>
      <c r="Z305" s="142">
        <f>(Z95+Z205)*'Data - P&amp;L'!$C$4</f>
        <v>0</v>
      </c>
      <c r="AA305" s="142">
        <f>(AA95+AA205)*'Data - P&amp;L'!$C$4</f>
        <v>0</v>
      </c>
      <c r="AB305" s="142">
        <f>(AB95+AB205)*'Data - P&amp;L'!$C$4</f>
        <v>0</v>
      </c>
      <c r="AC305" s="142">
        <f>(AC95+AC205)*'Data - P&amp;L'!$C$4</f>
        <v>0</v>
      </c>
      <c r="AD305" s="142">
        <f>(AD95+AD205)*'Data - P&amp;L'!$C$4</f>
        <v>0</v>
      </c>
      <c r="AE305" s="142">
        <f>(AE95+AE205)*'Data - P&amp;L'!$C$4</f>
        <v>0</v>
      </c>
      <c r="AF305" s="142">
        <f>(AF95+AF205)*'Data - P&amp;L'!$C$4</f>
        <v>0</v>
      </c>
      <c r="AG305" s="126">
        <f t="shared" si="65"/>
        <v>0</v>
      </c>
    </row>
    <row r="306" outlineLevel="1">
      <c r="A306" s="272" t="s">
        <v>380</v>
      </c>
      <c r="B306" s="142">
        <f>(B97+B207)*'Data - P&amp;L'!$C$6</f>
        <v>0</v>
      </c>
      <c r="C306" s="142">
        <f>(C97+C207)*'Data - P&amp;L'!$C$6</f>
        <v>0</v>
      </c>
      <c r="D306" s="142">
        <f>(D97+D207)*'Data - P&amp;L'!$C$6</f>
        <v>0</v>
      </c>
      <c r="E306" s="142">
        <f>(E97+E207)*'Data - P&amp;L'!$C$6</f>
        <v>0</v>
      </c>
      <c r="F306" s="142">
        <f>(F97+F207)*'Data - P&amp;L'!$C$6</f>
        <v>0</v>
      </c>
      <c r="G306" s="142">
        <f>(G97+G207)*'Data - P&amp;L'!$C$6</f>
        <v>0</v>
      </c>
      <c r="H306" s="142">
        <f>(H97+H207)*'Data - P&amp;L'!$C$6</f>
        <v>0</v>
      </c>
      <c r="I306" s="142">
        <f>(I97+I207)*'Data - P&amp;L'!$C$6</f>
        <v>0</v>
      </c>
      <c r="J306" s="142">
        <f>(J97+J207)*'Data - P&amp;L'!$C$6</f>
        <v>0</v>
      </c>
      <c r="K306" s="142">
        <f>(K97+K207)*'Data - P&amp;L'!$C$6</f>
        <v>0</v>
      </c>
      <c r="L306" s="142">
        <f>(L97+L207)*'Data - P&amp;L'!$C$6</f>
        <v>0</v>
      </c>
      <c r="M306" s="142">
        <f>(M97+M207)*'Data - P&amp;L'!$C$6</f>
        <v>0</v>
      </c>
      <c r="N306" s="142">
        <f>(N97+N207)*'Data - P&amp;L'!$C$6</f>
        <v>0</v>
      </c>
      <c r="O306" s="142">
        <f>(O97+O207)*'Data - P&amp;L'!$C$6</f>
        <v>0</v>
      </c>
      <c r="P306" s="142">
        <f>(P97+P207)*'Data - P&amp;L'!$C$6</f>
        <v>0</v>
      </c>
      <c r="Q306" s="142">
        <f>(Q97+Q207)*'Data - P&amp;L'!$C$6</f>
        <v>0</v>
      </c>
      <c r="R306" s="142">
        <f>(R97+R207)*'Data - P&amp;L'!$C$6</f>
        <v>0</v>
      </c>
      <c r="S306" s="142">
        <f>(S97+S207)*'Data - P&amp;L'!$C$6</f>
        <v>0</v>
      </c>
      <c r="T306" s="142">
        <f>(T97+T207)*'Data - P&amp;L'!$C$6</f>
        <v>0</v>
      </c>
      <c r="U306" s="142">
        <f>(U97+U207)*'Data - P&amp;L'!$C$6</f>
        <v>0</v>
      </c>
      <c r="V306" s="142">
        <f>(V97+V207)*'Data - P&amp;L'!$C$6</f>
        <v>0</v>
      </c>
      <c r="W306" s="142">
        <f>(W97+W207)*'Data - P&amp;L'!$C$6</f>
        <v>0</v>
      </c>
      <c r="X306" s="142">
        <f>(X97+X207)*'Data - P&amp;L'!$C$6</f>
        <v>0</v>
      </c>
      <c r="Y306" s="142">
        <f>(Y97+Y207)*'Data - P&amp;L'!$C$6</f>
        <v>0</v>
      </c>
      <c r="Z306" s="142">
        <f>(Z97+Z207)*'Data - P&amp;L'!$C$6</f>
        <v>0</v>
      </c>
      <c r="AA306" s="142">
        <f>(AA97+AA207)*'Data - P&amp;L'!$C$6</f>
        <v>0</v>
      </c>
      <c r="AB306" s="142">
        <f>(AB97+AB207)*'Data - P&amp;L'!$C$6</f>
        <v>0</v>
      </c>
      <c r="AC306" s="142">
        <f>(AC97+AC207)*'Data - P&amp;L'!$C$6</f>
        <v>0</v>
      </c>
      <c r="AD306" s="142">
        <f>(AD97+AD207)*'Data - P&amp;L'!$C$6</f>
        <v>0</v>
      </c>
      <c r="AE306" s="142">
        <f>(AE97+AE207)*'Data - P&amp;L'!$C$6</f>
        <v>0</v>
      </c>
      <c r="AF306" s="142">
        <f>(AF97+AF207)*'Data - P&amp;L'!$C$6</f>
        <v>0</v>
      </c>
      <c r="AG306" s="126">
        <f t="shared" si="65"/>
        <v>0</v>
      </c>
    </row>
    <row r="307" outlineLevel="1">
      <c r="A307" s="272" t="s">
        <v>381</v>
      </c>
      <c r="B307" s="142">
        <f>(B98+B208)*'Data - P&amp;L'!$C$8</f>
        <v>0</v>
      </c>
      <c r="C307" s="142">
        <f>(C98+C208)*'Data - P&amp;L'!$C$8</f>
        <v>0</v>
      </c>
      <c r="D307" s="142">
        <f>(D98+D208)*'Data - P&amp;L'!$C$8</f>
        <v>0</v>
      </c>
      <c r="E307" s="142">
        <f>(E98+E208)*'Data - P&amp;L'!$C$8</f>
        <v>0</v>
      </c>
      <c r="F307" s="142">
        <f>(F98+F208)*'Data - P&amp;L'!$C$8</f>
        <v>0</v>
      </c>
      <c r="G307" s="142">
        <f>(G98+G208)*'Data - P&amp;L'!$C$8</f>
        <v>0</v>
      </c>
      <c r="H307" s="142">
        <f>(H98+H208)*'Data - P&amp;L'!$C$8</f>
        <v>0</v>
      </c>
      <c r="I307" s="142">
        <f>(I98+I208)*'Data - P&amp;L'!$C$8</f>
        <v>0</v>
      </c>
      <c r="J307" s="142">
        <f>(J98+J208)*'Data - P&amp;L'!$C$8</f>
        <v>0</v>
      </c>
      <c r="K307" s="142">
        <f>(K98+K208)*'Data - P&amp;L'!$C$8</f>
        <v>0</v>
      </c>
      <c r="L307" s="142">
        <f>(L98+L208)*'Data - P&amp;L'!$C$8</f>
        <v>0</v>
      </c>
      <c r="M307" s="142">
        <f>(M98+M208)*'Data - P&amp;L'!$C$8</f>
        <v>0</v>
      </c>
      <c r="N307" s="142">
        <f>(N98+N208)*'Data - P&amp;L'!$C$8</f>
        <v>0</v>
      </c>
      <c r="O307" s="142">
        <f>(O98+O208)*'Data - P&amp;L'!$C$8</f>
        <v>0</v>
      </c>
      <c r="P307" s="142">
        <f>(P98+P208)*'Data - P&amp;L'!$C$8</f>
        <v>0</v>
      </c>
      <c r="Q307" s="142">
        <f>(Q98+Q208)*'Data - P&amp;L'!$C$8</f>
        <v>0</v>
      </c>
      <c r="R307" s="142">
        <f>(R98+R208)*'Data - P&amp;L'!$C$8</f>
        <v>0</v>
      </c>
      <c r="S307" s="142">
        <f>(S98+S208)*'Data - P&amp;L'!$C$8</f>
        <v>0</v>
      </c>
      <c r="T307" s="142">
        <f>(T98+T208)*'Data - P&amp;L'!$C$8</f>
        <v>0</v>
      </c>
      <c r="U307" s="142">
        <f>(U98+U208)*'Data - P&amp;L'!$C$8</f>
        <v>0</v>
      </c>
      <c r="V307" s="142">
        <f>(V98+V208)*'Data - P&amp;L'!$C$8</f>
        <v>0</v>
      </c>
      <c r="W307" s="142">
        <f>(W98+W208)*'Data - P&amp;L'!$C$8</f>
        <v>0</v>
      </c>
      <c r="X307" s="142">
        <f>(X98+X208)*'Data - P&amp;L'!$C$8</f>
        <v>0</v>
      </c>
      <c r="Y307" s="142">
        <f>(Y98+Y208)*'Data - P&amp;L'!$C$8</f>
        <v>0</v>
      </c>
      <c r="Z307" s="142">
        <f>(Z98+Z208)*'Data - P&amp;L'!$C$8</f>
        <v>0</v>
      </c>
      <c r="AA307" s="142">
        <f>(AA98+AA208)*'Data - P&amp;L'!$C$8</f>
        <v>0</v>
      </c>
      <c r="AB307" s="142">
        <f>(AB98+AB208)*'Data - P&amp;L'!$C$8</f>
        <v>0</v>
      </c>
      <c r="AC307" s="142">
        <f>(AC98+AC208)*'Data - P&amp;L'!$C$8</f>
        <v>0</v>
      </c>
      <c r="AD307" s="142">
        <f>(AD98+AD208)*'Data - P&amp;L'!$C$8</f>
        <v>0</v>
      </c>
      <c r="AE307" s="142">
        <f>(AE98+AE208)*'Data - P&amp;L'!$C$8</f>
        <v>0</v>
      </c>
      <c r="AF307" s="142">
        <f>(AF98+AF208)*'Data - P&amp;L'!$C$8</f>
        <v>0</v>
      </c>
      <c r="AG307" s="126">
        <f t="shared" si="65"/>
        <v>0</v>
      </c>
    </row>
    <row r="308" outlineLevel="1">
      <c r="A308" s="272" t="s">
        <v>382</v>
      </c>
      <c r="B308" s="142">
        <f>(B99+B100+B209+B210)*'Data - P&amp;L'!$C$9</f>
        <v>0</v>
      </c>
      <c r="C308" s="142">
        <f>(C99+C100+C209+C210)*'Data - P&amp;L'!$C$9</f>
        <v>0</v>
      </c>
      <c r="D308" s="142">
        <f>(D99+D100+D209+D210)*'Data - P&amp;L'!$C$9</f>
        <v>0</v>
      </c>
      <c r="E308" s="142">
        <f>(E99+E100+E209+E210)*'Data - P&amp;L'!$C$9</f>
        <v>0</v>
      </c>
      <c r="F308" s="142">
        <f>(F99+F100+F209+F210)*'Data - P&amp;L'!$C$9</f>
        <v>0</v>
      </c>
      <c r="G308" s="142">
        <f>(G99+G100+G209+G210)*'Data - P&amp;L'!$C$9</f>
        <v>0</v>
      </c>
      <c r="H308" s="142">
        <f>(H99+H100+H209+H210)*'Data - P&amp;L'!$C$9</f>
        <v>0</v>
      </c>
      <c r="I308" s="142">
        <f>(I99+I100+I209+I210)*'Data - P&amp;L'!$C$9</f>
        <v>0</v>
      </c>
      <c r="J308" s="142">
        <f>(J99+J100+J209+J210)*'Data - P&amp;L'!$C$9</f>
        <v>0</v>
      </c>
      <c r="K308" s="142">
        <f>(K99+K100+K209+K210)*'Data - P&amp;L'!$C$9</f>
        <v>0</v>
      </c>
      <c r="L308" s="142">
        <f>(L99+L100+L209+L210)*'Data - P&amp;L'!$C$9</f>
        <v>0</v>
      </c>
      <c r="M308" s="142">
        <f>(M99+M100+M209+M210)*'Data - P&amp;L'!$C$9</f>
        <v>0</v>
      </c>
      <c r="N308" s="142">
        <f>(N99+N100+N209+N210)*'Data - P&amp;L'!$C$9</f>
        <v>0</v>
      </c>
      <c r="O308" s="142">
        <f>(O99+O100+O209+O210)*'Data - P&amp;L'!$C$9</f>
        <v>0</v>
      </c>
      <c r="P308" s="142">
        <f>(P99+P100+P209+P210)*'Data - P&amp;L'!$C$9</f>
        <v>0</v>
      </c>
      <c r="Q308" s="142">
        <f>(Q99+Q100+Q209+Q210)*'Data - P&amp;L'!$C$9</f>
        <v>0</v>
      </c>
      <c r="R308" s="142">
        <f>(R99+R100+R209+R210)*'Data - P&amp;L'!$C$9</f>
        <v>0</v>
      </c>
      <c r="S308" s="142">
        <f>(S99+S100+S209+S210)*'Data - P&amp;L'!$C$9</f>
        <v>0</v>
      </c>
      <c r="T308" s="142">
        <f>(T99+T100+T209+T210)*'Data - P&amp;L'!$C$9</f>
        <v>0</v>
      </c>
      <c r="U308" s="142">
        <f>(U99+U100+U209+U210)*'Data - P&amp;L'!$C$9</f>
        <v>0</v>
      </c>
      <c r="V308" s="142">
        <f>(V99+V100+V209+V210)*'Data - P&amp;L'!$C$9</f>
        <v>0</v>
      </c>
      <c r="W308" s="142">
        <f>(W99+W100+W209+W210)*'Data - P&amp;L'!$C$9</f>
        <v>0</v>
      </c>
      <c r="X308" s="142">
        <f>(X99+X100+X209+X210)*'Data - P&amp;L'!$C$9</f>
        <v>0</v>
      </c>
      <c r="Y308" s="142">
        <f>(Y99+Y100+Y209+Y210)*'Data - P&amp;L'!$C$9</f>
        <v>0</v>
      </c>
      <c r="Z308" s="142">
        <f>(Z99+Z100+Z209+Z210)*'Data - P&amp;L'!$C$9</f>
        <v>0</v>
      </c>
      <c r="AA308" s="142">
        <f>(AA99+AA100+AA209+AA210)*'Data - P&amp;L'!$C$9</f>
        <v>0</v>
      </c>
      <c r="AB308" s="142">
        <f>(AB99+AB100+AB209+AB210)*'Data - P&amp;L'!$C$9</f>
        <v>0</v>
      </c>
      <c r="AC308" s="142">
        <f>(AC99+AC100+AC209+AC210)*'Data - P&amp;L'!$C$9</f>
        <v>0</v>
      </c>
      <c r="AD308" s="142">
        <f>(AD99+AD100+AD209+AD210)*'Data - P&amp;L'!$C$9</f>
        <v>0</v>
      </c>
      <c r="AE308" s="142">
        <f>(AE99+AE100+AE209+AE210)*'Data - P&amp;L'!$C$9</f>
        <v>0</v>
      </c>
      <c r="AF308" s="142">
        <f>(AF99+AF100+AF209+AF210)*'Data - P&amp;L'!$C$9</f>
        <v>0</v>
      </c>
      <c r="AG308" s="126">
        <f t="shared" si="65"/>
        <v>0</v>
      </c>
    </row>
    <row r="309" outlineLevel="1">
      <c r="A309" s="272" t="s">
        <v>383</v>
      </c>
      <c r="B309" s="142">
        <f>(B101+B102+B211+B212)*'Data - P&amp;L'!$C$5</f>
        <v>0</v>
      </c>
      <c r="C309" s="142">
        <f>(C101+C102+C211+C212)*'Data - P&amp;L'!$C$5</f>
        <v>0</v>
      </c>
      <c r="D309" s="142">
        <f>(D101+D102+D211+D212)*'Data - P&amp;L'!$C$5</f>
        <v>0</v>
      </c>
      <c r="E309" s="142">
        <f>(E101+E102+E211+E212)*'Data - P&amp;L'!$C$5</f>
        <v>0</v>
      </c>
      <c r="F309" s="142">
        <f>(F101+F102+F211+F212)*'Data - P&amp;L'!$C$5</f>
        <v>0</v>
      </c>
      <c r="G309" s="142">
        <f>(G101+G102+G211+G212)*'Data - P&amp;L'!$C$5</f>
        <v>0</v>
      </c>
      <c r="H309" s="142">
        <f>(H101+H102+H211+H212)*'Data - P&amp;L'!$C$5</f>
        <v>0</v>
      </c>
      <c r="I309" s="142">
        <f>(I101+I102+I211+I212)*'Data - P&amp;L'!$C$5</f>
        <v>0</v>
      </c>
      <c r="J309" s="142">
        <f>(J101+J102+J211+J212)*'Data - P&amp;L'!$C$5</f>
        <v>0</v>
      </c>
      <c r="K309" s="142">
        <f>(K101+K102+K211+K212)*'Data - P&amp;L'!$C$5</f>
        <v>0</v>
      </c>
      <c r="L309" s="142">
        <f>(L101+L102+L211+L212)*'Data - P&amp;L'!$C$5</f>
        <v>0</v>
      </c>
      <c r="M309" s="142">
        <f>(M101+M102+M211+M212)*'Data - P&amp;L'!$C$5</f>
        <v>0</v>
      </c>
      <c r="N309" s="142">
        <f>(N101+N102+N211+N212)*'Data - P&amp;L'!$C$5</f>
        <v>0</v>
      </c>
      <c r="O309" s="142">
        <f>(O101+O102+O211+O212)*'Data - P&amp;L'!$C$5</f>
        <v>0</v>
      </c>
      <c r="P309" s="142">
        <f>(P101+P102+P211+P212)*'Data - P&amp;L'!$C$5</f>
        <v>0</v>
      </c>
      <c r="Q309" s="142">
        <f>(Q101+Q102+Q211+Q212)*'Data - P&amp;L'!$C$5</f>
        <v>0</v>
      </c>
      <c r="R309" s="142">
        <f>(R101+R102+R211+R212)*'Data - P&amp;L'!$C$5</f>
        <v>0</v>
      </c>
      <c r="S309" s="142">
        <f>(S101+S102+S211+S212)*'Data - P&amp;L'!$C$5</f>
        <v>0</v>
      </c>
      <c r="T309" s="142">
        <f>(T101+T102+T211+T212)*'Data - P&amp;L'!$C$5</f>
        <v>0</v>
      </c>
      <c r="U309" s="142">
        <f>(U101+U102+U211+U212)*'Data - P&amp;L'!$C$5</f>
        <v>0</v>
      </c>
      <c r="V309" s="142">
        <f>(V101+V102+V211+V212)*'Data - P&amp;L'!$C$5</f>
        <v>0</v>
      </c>
      <c r="W309" s="142">
        <f>(W101+W102+W211+W212)*'Data - P&amp;L'!$C$5</f>
        <v>0</v>
      </c>
      <c r="X309" s="142">
        <f>(X101+X102+X211+X212)*'Data - P&amp;L'!$C$5</f>
        <v>0</v>
      </c>
      <c r="Y309" s="142">
        <f>(Y101+Y102+Y211+Y212)*'Data - P&amp;L'!$C$5</f>
        <v>0</v>
      </c>
      <c r="Z309" s="142">
        <f>(Z101+Z102+Z211+Z212)*'Data - P&amp;L'!$C$5</f>
        <v>0</v>
      </c>
      <c r="AA309" s="142">
        <f>(AA101+AA102+AA211+AA212)*'Data - P&amp;L'!$C$5</f>
        <v>0</v>
      </c>
      <c r="AB309" s="142">
        <f>(AB101+AB102+AB211+AB212)*'Data - P&amp;L'!$C$5</f>
        <v>0</v>
      </c>
      <c r="AC309" s="142">
        <f>(AC101+AC102+AC211+AC212)*'Data - P&amp;L'!$C$5</f>
        <v>0</v>
      </c>
      <c r="AD309" s="142">
        <f>(AD101+AD102+AD211+AD212)*'Data - P&amp;L'!$C$5</f>
        <v>0</v>
      </c>
      <c r="AE309" s="142">
        <f>(AE101+AE102+AE211+AE212)*'Data - P&amp;L'!$C$5</f>
        <v>0</v>
      </c>
      <c r="AF309" s="142">
        <f>(AF101+AF102+AF211+AF212)*'Data - P&amp;L'!$C$5</f>
        <v>0</v>
      </c>
      <c r="AG309" s="126">
        <f t="shared" si="65"/>
        <v>0</v>
      </c>
    </row>
    <row r="310" outlineLevel="1">
      <c r="A310" s="272" t="s">
        <v>384</v>
      </c>
      <c r="B310" s="142">
        <f>(B103+B104+B213+B214)*'Data - P&amp;L'!$C$10</f>
        <v>0</v>
      </c>
      <c r="C310" s="142">
        <f>(C103+C104+C213+C214)*'Data - P&amp;L'!$C$10</f>
        <v>0</v>
      </c>
      <c r="D310" s="142">
        <f>(D103+D104+D213+D214)*'Data - P&amp;L'!$C$10</f>
        <v>0</v>
      </c>
      <c r="E310" s="142">
        <f>(E103+E104+E213+E214)*'Data - P&amp;L'!$C$10</f>
        <v>0</v>
      </c>
      <c r="F310" s="142">
        <f>(F103+F104+F213+F214)*'Data - P&amp;L'!$C$10</f>
        <v>0</v>
      </c>
      <c r="G310" s="142">
        <f>(G103+G104+G213+G214)*'Data - P&amp;L'!$C$10</f>
        <v>0</v>
      </c>
      <c r="H310" s="142">
        <f>(H103+H104+H213+H214)*'Data - P&amp;L'!$C$10</f>
        <v>0</v>
      </c>
      <c r="I310" s="142">
        <f>(I103+I104+I213+I214)*'Data - P&amp;L'!$C$10</f>
        <v>0</v>
      </c>
      <c r="J310" s="142">
        <f>(J103+J104+J213+J214)*'Data - P&amp;L'!$C$10</f>
        <v>0</v>
      </c>
      <c r="K310" s="142">
        <f>(K103+K104+K213+K214)*'Data - P&amp;L'!$C$10</f>
        <v>0</v>
      </c>
      <c r="L310" s="142">
        <f>(L103+L104+L213+L214)*'Data - P&amp;L'!$C$10</f>
        <v>0</v>
      </c>
      <c r="M310" s="142">
        <f>(M103+M104+M213+M214)*'Data - P&amp;L'!$C$10</f>
        <v>0</v>
      </c>
      <c r="N310" s="142">
        <f>(N103+N104+N213+N214)*'Data - P&amp;L'!$C$10</f>
        <v>0</v>
      </c>
      <c r="O310" s="142">
        <f>(O103+O104+O213+O214)*'Data - P&amp;L'!$C$10</f>
        <v>0</v>
      </c>
      <c r="P310" s="142">
        <f>(P103+P104+P213+P214)*'Data - P&amp;L'!$C$10</f>
        <v>0</v>
      </c>
      <c r="Q310" s="142">
        <f>(Q103+Q104+Q213+Q214)*'Data - P&amp;L'!$C$10</f>
        <v>0</v>
      </c>
      <c r="R310" s="142">
        <f>(R103+R104+R213+R214)*'Data - P&amp;L'!$C$10</f>
        <v>0</v>
      </c>
      <c r="S310" s="142">
        <f>(S103+S104+S213+S214)*'Data - P&amp;L'!$C$10</f>
        <v>0</v>
      </c>
      <c r="T310" s="142">
        <f>(T103+T104+T213+T214)*'Data - P&amp;L'!$C$10</f>
        <v>0</v>
      </c>
      <c r="U310" s="142">
        <f>(U103+U104+U213+U214)*'Data - P&amp;L'!$C$10</f>
        <v>0</v>
      </c>
      <c r="V310" s="142">
        <f>(V103+V104+V213+V214)*'Data - P&amp;L'!$C$10</f>
        <v>0</v>
      </c>
      <c r="W310" s="142">
        <f>(W103+W104+W213+W214)*'Data - P&amp;L'!$C$10</f>
        <v>0</v>
      </c>
      <c r="X310" s="142">
        <f>(X103+X104+X213+X214)*'Data - P&amp;L'!$C$10</f>
        <v>0</v>
      </c>
      <c r="Y310" s="142">
        <f>(Y103+Y104+Y213+Y214)*'Data - P&amp;L'!$C$10</f>
        <v>0</v>
      </c>
      <c r="Z310" s="142">
        <f>(Z103+Z104+Z213+Z214)*'Data - P&amp;L'!$C$10</f>
        <v>0</v>
      </c>
      <c r="AA310" s="142">
        <f>(AA103+AA104+AA213+AA214)*'Data - P&amp;L'!$C$10</f>
        <v>0</v>
      </c>
      <c r="AB310" s="142">
        <f>(AB103+AB104+AB213+AB214)*'Data - P&amp;L'!$C$10</f>
        <v>0</v>
      </c>
      <c r="AC310" s="142">
        <f>(AC103+AC104+AC213+AC214)*'Data - P&amp;L'!$C$10</f>
        <v>0</v>
      </c>
      <c r="AD310" s="142">
        <f>(AD103+AD104+AD213+AD214)*'Data - P&amp;L'!$C$10</f>
        <v>0</v>
      </c>
      <c r="AE310" s="142">
        <f>(AE103+AE104+AE213+AE214)*'Data - P&amp;L'!$C$10</f>
        <v>0</v>
      </c>
      <c r="AF310" s="142">
        <f>(AF103+AF104+AF213+AF214)*'Data - P&amp;L'!$C$10</f>
        <v>0</v>
      </c>
      <c r="AG310" s="126">
        <f t="shared" si="65"/>
        <v>0</v>
      </c>
    </row>
    <row r="311" outlineLevel="1">
      <c r="A311" s="272" t="s">
        <v>385</v>
      </c>
      <c r="B311" s="142">
        <f>(B108+B109+B218+B219)*'Data - P&amp;L'!$C$13</f>
        <v>0</v>
      </c>
      <c r="C311" s="142">
        <f>(C108+C109+C218+C219)*'Data - P&amp;L'!$C$13</f>
        <v>0</v>
      </c>
      <c r="D311" s="142">
        <f>(D108+D109+D218+D219)*'Data - P&amp;L'!$C$13</f>
        <v>0</v>
      </c>
      <c r="E311" s="142">
        <f>(E108+E109+E218+E219)*'Data - P&amp;L'!$C$13</f>
        <v>0</v>
      </c>
      <c r="F311" s="142">
        <f>(F108+F109+F218+F219)*'Data - P&amp;L'!$C$13</f>
        <v>0</v>
      </c>
      <c r="G311" s="142">
        <f>(G108+G109+G218+G219)*'Data - P&amp;L'!$C$13</f>
        <v>0</v>
      </c>
      <c r="H311" s="142">
        <f>(H108+H109+H218+H219)*'Data - P&amp;L'!$C$13</f>
        <v>0</v>
      </c>
      <c r="I311" s="142">
        <f>(I108+I109+I218+I219)*'Data - P&amp;L'!$C$13</f>
        <v>0</v>
      </c>
      <c r="J311" s="142">
        <f>(J108+J109+J218+J219)*'Data - P&amp;L'!$C$13</f>
        <v>0</v>
      </c>
      <c r="K311" s="142">
        <f>(K108+K109+K218+K219)*'Data - P&amp;L'!$C$13</f>
        <v>0</v>
      </c>
      <c r="L311" s="142">
        <f>(L108+L109+L218+L219)*'Data - P&amp;L'!$C$13</f>
        <v>0</v>
      </c>
      <c r="M311" s="142">
        <f>(M108+M109+M218+M219)*'Data - P&amp;L'!$C$13</f>
        <v>0</v>
      </c>
      <c r="N311" s="142">
        <f>(N108+N109+N218+N219)*'Data - P&amp;L'!$C$13</f>
        <v>0</v>
      </c>
      <c r="O311" s="142">
        <f>(O108+O109+O218+O219)*'Data - P&amp;L'!$C$13</f>
        <v>0</v>
      </c>
      <c r="P311" s="142">
        <f>(P108+P109+P218+P219)*'Data - P&amp;L'!$C$13</f>
        <v>0</v>
      </c>
      <c r="Q311" s="142">
        <f>(Q108+Q109+Q218+Q219)*'Data - P&amp;L'!$C$13</f>
        <v>0</v>
      </c>
      <c r="R311" s="142">
        <f>(R108+R109+R218+R219)*'Data - P&amp;L'!$C$13</f>
        <v>0</v>
      </c>
      <c r="S311" s="142">
        <f>(S108+S109+S218+S219)*'Data - P&amp;L'!$C$13</f>
        <v>0</v>
      </c>
      <c r="T311" s="142">
        <f>(T108+T109+T218+T219)*'Data - P&amp;L'!$C$13</f>
        <v>0</v>
      </c>
      <c r="U311" s="142">
        <f>(U108+U109+U218+U219)*'Data - P&amp;L'!$C$13</f>
        <v>0</v>
      </c>
      <c r="V311" s="142">
        <f>(V108+V109+V218+V219)*'Data - P&amp;L'!$C$13</f>
        <v>0</v>
      </c>
      <c r="W311" s="142">
        <f>(W108+W109+W218+W219)*'Data - P&amp;L'!$C$13</f>
        <v>0</v>
      </c>
      <c r="X311" s="142">
        <f>(X108+X109+X218+X219)*'Data - P&amp;L'!$C$13</f>
        <v>0</v>
      </c>
      <c r="Y311" s="142">
        <f>(Y108+Y109+Y218+Y219)*'Data - P&amp;L'!$C$13</f>
        <v>0</v>
      </c>
      <c r="Z311" s="142">
        <f>(Z108+Z109+Z218+Z219)*'Data - P&amp;L'!$C$13</f>
        <v>0</v>
      </c>
      <c r="AA311" s="142">
        <f>(AA108+AA109+AA218+AA219)*'Data - P&amp;L'!$C$13</f>
        <v>0</v>
      </c>
      <c r="AB311" s="142">
        <f>(AB108+AB109+AB218+AB219)*'Data - P&amp;L'!$C$13</f>
        <v>0</v>
      </c>
      <c r="AC311" s="142">
        <f>(AC108+AC109+AC218+AC219)*'Data - P&amp;L'!$C$13</f>
        <v>0</v>
      </c>
      <c r="AD311" s="142">
        <f>(AD108+AD109+AD218+AD219)*'Data - P&amp;L'!$C$13</f>
        <v>0</v>
      </c>
      <c r="AE311" s="142">
        <f>(AE108+AE109+AE218+AE219)*'Data - P&amp;L'!$C$13</f>
        <v>0</v>
      </c>
      <c r="AF311" s="142">
        <f>(AF108+AF109+AF218+AF219)*'Data - P&amp;L'!$C$13</f>
        <v>0</v>
      </c>
      <c r="AG311" s="126">
        <f t="shared" si="65"/>
        <v>0</v>
      </c>
    </row>
    <row r="312" outlineLevel="1">
      <c r="A312" s="272" t="s">
        <v>386</v>
      </c>
      <c r="B312" s="142">
        <f>(B110+B220)*'Data - P&amp;L'!$C$14</f>
        <v>0</v>
      </c>
      <c r="C312" s="142">
        <f>(C110+C220)*'Data - P&amp;L'!$C$14</f>
        <v>0</v>
      </c>
      <c r="D312" s="142">
        <f>(D110+D220)*'Data - P&amp;L'!$C$14</f>
        <v>0</v>
      </c>
      <c r="E312" s="142">
        <f>(E110+E220)*'Data - P&amp;L'!$C$14</f>
        <v>0</v>
      </c>
      <c r="F312" s="142">
        <f>(F110+F220)*'Data - P&amp;L'!$C$14</f>
        <v>0</v>
      </c>
      <c r="G312" s="142">
        <f>(G110+G220)*'Data - P&amp;L'!$C$14</f>
        <v>0</v>
      </c>
      <c r="H312" s="142">
        <f>(H110+H220)*'Data - P&amp;L'!$C$14</f>
        <v>0</v>
      </c>
      <c r="I312" s="142">
        <f>(I110+I220)*'Data - P&amp;L'!$C$14</f>
        <v>0</v>
      </c>
      <c r="J312" s="142">
        <f>(J110+J220)*'Data - P&amp;L'!$C$14</f>
        <v>0</v>
      </c>
      <c r="K312" s="142">
        <f>(K110+K220)*'Data - P&amp;L'!$C$14</f>
        <v>0</v>
      </c>
      <c r="L312" s="142">
        <f>(L110+L220)*'Data - P&amp;L'!$C$14</f>
        <v>0</v>
      </c>
      <c r="M312" s="142">
        <f>(M110+M220)*'Data - P&amp;L'!$C$14</f>
        <v>0</v>
      </c>
      <c r="N312" s="142">
        <f>(N110+N220)*'Data - P&amp;L'!$C$14</f>
        <v>0</v>
      </c>
      <c r="O312" s="142">
        <f>(O110+O220)*'Data - P&amp;L'!$C$14</f>
        <v>0</v>
      </c>
      <c r="P312" s="142">
        <f>(P110+P220)*'Data - P&amp;L'!$C$14</f>
        <v>0</v>
      </c>
      <c r="Q312" s="142">
        <f>(Q110+Q220)*'Data - P&amp;L'!$C$14</f>
        <v>0</v>
      </c>
      <c r="R312" s="142">
        <f>(R110+R220)*'Data - P&amp;L'!$C$14</f>
        <v>0</v>
      </c>
      <c r="S312" s="142">
        <f>(S110+S220)*'Data - P&amp;L'!$C$14</f>
        <v>0</v>
      </c>
      <c r="T312" s="142">
        <f>(T110+T220)*'Data - P&amp;L'!$C$14</f>
        <v>0</v>
      </c>
      <c r="U312" s="142">
        <f>(U110+U220)*'Data - P&amp;L'!$C$14</f>
        <v>0</v>
      </c>
      <c r="V312" s="142">
        <f>(V110+V220)*'Data - P&amp;L'!$C$14</f>
        <v>0</v>
      </c>
      <c r="W312" s="142">
        <f>(W110+W220)*'Data - P&amp;L'!$C$14</f>
        <v>0</v>
      </c>
      <c r="X312" s="142">
        <f>(X110+X220)*'Data - P&amp;L'!$C$14</f>
        <v>0</v>
      </c>
      <c r="Y312" s="142">
        <f>(Y110+Y220)*'Data - P&amp;L'!$C$14</f>
        <v>0</v>
      </c>
      <c r="Z312" s="142">
        <f>(Z110+Z220)*'Data - P&amp;L'!$C$14</f>
        <v>0</v>
      </c>
      <c r="AA312" s="142">
        <f>(AA110+AA220)*'Data - P&amp;L'!$C$14</f>
        <v>0</v>
      </c>
      <c r="AB312" s="142">
        <f>(AB110+AB220)*'Data - P&amp;L'!$C$14</f>
        <v>0</v>
      </c>
      <c r="AC312" s="142">
        <f>(AC110+AC220)*'Data - P&amp;L'!$C$14</f>
        <v>0</v>
      </c>
      <c r="AD312" s="142">
        <f>(AD110+AD220)*'Data - P&amp;L'!$C$14</f>
        <v>0</v>
      </c>
      <c r="AE312" s="142">
        <f>(AE110+AE220)*'Data - P&amp;L'!$C$14</f>
        <v>0</v>
      </c>
      <c r="AF312" s="142">
        <f>(AF110+AF220)*'Data - P&amp;L'!$C$14</f>
        <v>0</v>
      </c>
      <c r="AG312" s="126">
        <f t="shared" si="65"/>
        <v>0</v>
      </c>
    </row>
    <row r="313" outlineLevel="1">
      <c r="A313" s="272" t="s">
        <v>387</v>
      </c>
      <c r="B313" s="142">
        <f>(((B94+B204)*'Data - P&amp;L'!$C$38)+((B95+B205)*'Data - P&amp;L'!$C$38))*'Data - P&amp;L'!$C$55</f>
        <v>0</v>
      </c>
      <c r="C313" s="142">
        <f>(((C94+C204)*'Data - P&amp;L'!$C$38)+((C95+C205)*'Data - P&amp;L'!$C$38))*'Data - P&amp;L'!$C$55</f>
        <v>0</v>
      </c>
      <c r="D313" s="142">
        <f>(((D94+D204)*'Data - P&amp;L'!$C$38)+((D95+D205)*'Data - P&amp;L'!$C$38))*'Data - P&amp;L'!$C$55</f>
        <v>0</v>
      </c>
      <c r="E313" s="142">
        <f>(((E94+E204)*'Data - P&amp;L'!$C$38)+((E95+E205)*'Data - P&amp;L'!$C$38))*'Data - P&amp;L'!$C$55</f>
        <v>0</v>
      </c>
      <c r="F313" s="142">
        <f>(((F94+F204)*'Data - P&amp;L'!$C$38)+((F95+F205)*'Data - P&amp;L'!$C$38))*'Data - P&amp;L'!$C$55</f>
        <v>0</v>
      </c>
      <c r="G313" s="142">
        <f>(((G94+G204)*'Data - P&amp;L'!$C$38)+((G95+G205)*'Data - P&amp;L'!$C$38))*'Data - P&amp;L'!$C$55</f>
        <v>0</v>
      </c>
      <c r="H313" s="142">
        <f>(((H94+H204)*'Data - P&amp;L'!$C$38)+((H95+H205)*'Data - P&amp;L'!$C$38))*'Data - P&amp;L'!$C$55</f>
        <v>0</v>
      </c>
      <c r="I313" s="142">
        <f>(((I94+I204)*'Data - P&amp;L'!$C$38)+((I95+I205)*'Data - P&amp;L'!$C$38))*'Data - P&amp;L'!$C$55</f>
        <v>0</v>
      </c>
      <c r="J313" s="142">
        <f>(((J94+J204)*'Data - P&amp;L'!$C$38)+((J95+J205)*'Data - P&amp;L'!$C$38))*'Data - P&amp;L'!$C$55</f>
        <v>0</v>
      </c>
      <c r="K313" s="142">
        <f>(((K94+K204)*'Data - P&amp;L'!$C$38)+((K95+K205)*'Data - P&amp;L'!$C$38))*'Data - P&amp;L'!$C$55</f>
        <v>0</v>
      </c>
      <c r="L313" s="142">
        <f>(((L94+L204)*'Data - P&amp;L'!$C$38)+((L95+L205)*'Data - P&amp;L'!$C$38))*'Data - P&amp;L'!$C$55</f>
        <v>0</v>
      </c>
      <c r="M313" s="142">
        <f>(((M94+M204)*'Data - P&amp;L'!$C$38)+((M95+M205)*'Data - P&amp;L'!$C$38))*'Data - P&amp;L'!$C$55</f>
        <v>0</v>
      </c>
      <c r="N313" s="142">
        <f>(((N94+N204)*'Data - P&amp;L'!$C$38)+((N95+N205)*'Data - P&amp;L'!$C$38))*'Data - P&amp;L'!$C$55</f>
        <v>0</v>
      </c>
      <c r="O313" s="142">
        <f>(((O94+O204)*'Data - P&amp;L'!$C$38)+((O95+O205)*'Data - P&amp;L'!$C$38))*'Data - P&amp;L'!$C$55</f>
        <v>0</v>
      </c>
      <c r="P313" s="142">
        <f>(((P94+P204)*'Data - P&amp;L'!$C$38)+((P95+P205)*'Data - P&amp;L'!$C$38))*'Data - P&amp;L'!$C$55</f>
        <v>0</v>
      </c>
      <c r="Q313" s="142">
        <f>(((Q94+Q204)*'Data - P&amp;L'!$C$38)+((Q95+Q205)*'Data - P&amp;L'!$C$38))*'Data - P&amp;L'!$C$55</f>
        <v>0</v>
      </c>
      <c r="R313" s="142">
        <f>(((R94+R204)*'Data - P&amp;L'!$C$38)+((R95+R205)*'Data - P&amp;L'!$C$38))*'Data - P&amp;L'!$C$55</f>
        <v>0</v>
      </c>
      <c r="S313" s="142">
        <f>(((S94+S204)*'Data - P&amp;L'!$C$38)+((S95+S205)*'Data - P&amp;L'!$C$38))*'Data - P&amp;L'!$C$55</f>
        <v>0</v>
      </c>
      <c r="T313" s="142">
        <f>(((T94+T204)*'Data - P&amp;L'!$C$38)+((T95+T205)*'Data - P&amp;L'!$C$38))*'Data - P&amp;L'!$C$55</f>
        <v>0</v>
      </c>
      <c r="U313" s="142">
        <f>(((U94+U204)*'Data - P&amp;L'!$C$38)+((U95+U205)*'Data - P&amp;L'!$C$38))*'Data - P&amp;L'!$C$55</f>
        <v>0</v>
      </c>
      <c r="V313" s="142">
        <f>(((V94+V204)*'Data - P&amp;L'!$C$38)+((V95+V205)*'Data - P&amp;L'!$C$38))*'Data - P&amp;L'!$C$55</f>
        <v>0</v>
      </c>
      <c r="W313" s="142">
        <f>(((W94+W204)*'Data - P&amp;L'!$C$38)+((W95+W205)*'Data - P&amp;L'!$C$38))*'Data - P&amp;L'!$C$55</f>
        <v>0</v>
      </c>
      <c r="X313" s="142">
        <f>(((X94+X204)*'Data - P&amp;L'!$C$38)+((X95+X205)*'Data - P&amp;L'!$C$38))*'Data - P&amp;L'!$C$55</f>
        <v>0</v>
      </c>
      <c r="Y313" s="142">
        <f>(((Y94+Y204)*'Data - P&amp;L'!$C$38)+((Y95+Y205)*'Data - P&amp;L'!$C$38))*'Data - P&amp;L'!$C$55</f>
        <v>0</v>
      </c>
      <c r="Z313" s="142">
        <f>(((Z94+Z204)*'Data - P&amp;L'!$C$38)+((Z95+Z205)*'Data - P&amp;L'!$C$38))*'Data - P&amp;L'!$C$55</f>
        <v>0</v>
      </c>
      <c r="AA313" s="142">
        <f>(((AA94+AA204)*'Data - P&amp;L'!$C$38)+((AA95+AA205)*'Data - P&amp;L'!$C$38))*'Data - P&amp;L'!$C$55</f>
        <v>0</v>
      </c>
      <c r="AB313" s="142">
        <f>(((AB94+AB204)*'Data - P&amp;L'!$C$38)+((AB95+AB205)*'Data - P&amp;L'!$C$38))*'Data - P&amp;L'!$C$55</f>
        <v>0</v>
      </c>
      <c r="AC313" s="142">
        <f>(((AC94+AC204)*'Data - P&amp;L'!$C$38)+((AC95+AC205)*'Data - P&amp;L'!$C$38))*'Data - P&amp;L'!$C$55</f>
        <v>0</v>
      </c>
      <c r="AD313" s="142">
        <f>(((AD94+AD204)*'Data - P&amp;L'!$C$38)+((AD95+AD205)*'Data - P&amp;L'!$C$38))*'Data - P&amp;L'!$C$55</f>
        <v>0</v>
      </c>
      <c r="AE313" s="142">
        <f>(((AE94+AE204)*'Data - P&amp;L'!$C$38)+((AE95+AE205)*'Data - P&amp;L'!$C$38))*'Data - P&amp;L'!$C$55</f>
        <v>0</v>
      </c>
      <c r="AF313" s="142">
        <f>(((AF94+AF204)*'Data - P&amp;L'!$C$38)+((AF95+AF205)*'Data - P&amp;L'!$C$38))*'Data - P&amp;L'!$C$55</f>
        <v>0</v>
      </c>
      <c r="AG313" s="126">
        <f t="shared" si="65"/>
        <v>0</v>
      </c>
    </row>
    <row r="314" outlineLevel="1">
      <c r="A314" s="272" t="s">
        <v>388</v>
      </c>
      <c r="B314" s="142">
        <f>((B90+B91+B92+B93)*'Data - P&amp;L'!$C$34)+((B200+B201+B202+B203)*'Data - P&amp;L'!$C$34)</f>
        <v>0</v>
      </c>
      <c r="C314" s="142">
        <f>((C90+C91+C92+C93)*'Data - P&amp;L'!$C$34)+((C200+C201+C202+C203)*'Data - P&amp;L'!$C$34)</f>
        <v>0</v>
      </c>
      <c r="D314" s="142">
        <f>((D90+D91+D92+D93)*'Data - P&amp;L'!$C$34)+((D200+D201+D202+D203)*'Data - P&amp;L'!$C$34)</f>
        <v>0</v>
      </c>
      <c r="E314" s="142">
        <f>((E90+E91+E92+E93)*'Data - P&amp;L'!$C$34)+((E200+E201+E202+E203)*'Data - P&amp;L'!$C$34)</f>
        <v>0</v>
      </c>
      <c r="F314" s="142">
        <f>((F90+F91+F92+F93)*'Data - P&amp;L'!$C$34)+((F200+F201+F202+F203)*'Data - P&amp;L'!$C$34)</f>
        <v>0</v>
      </c>
      <c r="G314" s="142">
        <f>((G90+G91+G92+G93)*'Data - P&amp;L'!$C$34)+((G200+G201+G202+G203)*'Data - P&amp;L'!$C$34)</f>
        <v>0</v>
      </c>
      <c r="H314" s="142">
        <f>((H90+H91+H92+H93)*'Data - P&amp;L'!$C$34)+((H200+H201+H202+H203)*'Data - P&amp;L'!$C$34)</f>
        <v>0</v>
      </c>
      <c r="I314" s="142">
        <f>((I90+I91+I92+I93)*'Data - P&amp;L'!$C$34)+((I200+I201+I202+I203)*'Data - P&amp;L'!$C$34)</f>
        <v>0</v>
      </c>
      <c r="J314" s="142">
        <f>((J90+J91+J92+J93)*'Data - P&amp;L'!$C$34)+((J200+J201+J202+J203)*'Data - P&amp;L'!$C$34)</f>
        <v>0</v>
      </c>
      <c r="K314" s="142">
        <f>((K90+K91+K92+K93)*'Data - P&amp;L'!$C$34)+((K200+K201+K202+K203)*'Data - P&amp;L'!$C$34)</f>
        <v>0</v>
      </c>
      <c r="L314" s="142">
        <f>((L90+L91+L92+L93)*'Data - P&amp;L'!$C$34)+((L200+L201+L202+L203)*'Data - P&amp;L'!$C$34)</f>
        <v>0</v>
      </c>
      <c r="M314" s="142">
        <f>((M90+M91+M92+M93)*'Data - P&amp;L'!$C$34)+((M200+M201+M202+M203)*'Data - P&amp;L'!$C$34)</f>
        <v>0</v>
      </c>
      <c r="N314" s="142">
        <f>((N90+N91+N92+N93)*'Data - P&amp;L'!$C$34)+((N200+N201+N202+N203)*'Data - P&amp;L'!$C$34)</f>
        <v>0</v>
      </c>
      <c r="O314" s="142">
        <f>((O90+O91+O92+O93)*'Data - P&amp;L'!$C$34)+((O200+O201+O202+O203)*'Data - P&amp;L'!$C$34)</f>
        <v>0</v>
      </c>
      <c r="P314" s="142">
        <f>((P90+P91+P92+P93)*'Data - P&amp;L'!$C$34)+((P200+P201+P202+P203)*'Data - P&amp;L'!$C$34)</f>
        <v>0</v>
      </c>
      <c r="Q314" s="142">
        <f>((Q90+Q91+Q92+Q93)*'Data - P&amp;L'!$C$34)+((Q200+Q201+Q202+Q203)*'Data - P&amp;L'!$C$34)</f>
        <v>0</v>
      </c>
      <c r="R314" s="142">
        <f>((R90+R91+R92+R93)*'Data - P&amp;L'!$C$34)+((R200+R201+R202+R203)*'Data - P&amp;L'!$C$34)</f>
        <v>0</v>
      </c>
      <c r="S314" s="142">
        <f>((S90+S91+S92+S93)*'Data - P&amp;L'!$C$34)+((S200+S201+S202+S203)*'Data - P&amp;L'!$C$34)</f>
        <v>0</v>
      </c>
      <c r="T314" s="142">
        <f>((T90+T91+T92+T93)*'Data - P&amp;L'!$C$34)+((T200+T201+T202+T203)*'Data - P&amp;L'!$C$34)</f>
        <v>0</v>
      </c>
      <c r="U314" s="142">
        <f>((U90+U91+U92+U93)*'Data - P&amp;L'!$C$34)+((U200+U201+U202+U203)*'Data - P&amp;L'!$C$34)</f>
        <v>0</v>
      </c>
      <c r="V314" s="142">
        <f>((V90+V91+V92+V93)*'Data - P&amp;L'!$C$34)+((V200+V201+V202+V203)*'Data - P&amp;L'!$C$34)</f>
        <v>0</v>
      </c>
      <c r="W314" s="142">
        <f>((W90+W91+W92+W93)*'Data - P&amp;L'!$C$34)+((W200+W201+W202+W203)*'Data - P&amp;L'!$C$34)</f>
        <v>0</v>
      </c>
      <c r="X314" s="142">
        <f>((X90+X91+X92+X93)*'Data - P&amp;L'!$C$34)+((X200+X201+X202+X203)*'Data - P&amp;L'!$C$34)</f>
        <v>0</v>
      </c>
      <c r="Y314" s="142">
        <f>((Y90+Y91+Y92+Y93)*'Data - P&amp;L'!$C$34)+((Y200+Y201+Y202+Y203)*'Data - P&amp;L'!$C$34)</f>
        <v>0</v>
      </c>
      <c r="Z314" s="142">
        <f>((Z90+Z91+Z92+Z93)*'Data - P&amp;L'!$C$34)+((Z200+Z201+Z202+Z203)*'Data - P&amp;L'!$C$34)</f>
        <v>0</v>
      </c>
      <c r="AA314" s="142">
        <f>((AA90+AA91+AA92+AA93)*'Data - P&amp;L'!$C$34)+((AA200+AA201+AA202+AA203)*'Data - P&amp;L'!$C$34)</f>
        <v>0</v>
      </c>
      <c r="AB314" s="142">
        <f>((AB90+AB91+AB92+AB93)*'Data - P&amp;L'!$C$34)+((AB200+AB201+AB202+AB203)*'Data - P&amp;L'!$C$34)</f>
        <v>0</v>
      </c>
      <c r="AC314" s="142">
        <f>((AC90+AC91+AC92+AC93)*'Data - P&amp;L'!$C$34)+((AC200+AC201+AC202+AC203)*'Data - P&amp;L'!$C$34)</f>
        <v>0</v>
      </c>
      <c r="AD314" s="142">
        <f>((AD90+AD91+AD92+AD93)*'Data - P&amp;L'!$C$34)+((AD200+AD201+AD202+AD203)*'Data - P&amp;L'!$C$34)</f>
        <v>0</v>
      </c>
      <c r="AE314" s="142">
        <f>((AE90+AE91+AE92+AE93)*'Data - P&amp;L'!$C$34)+((AE200+AE201+AE202+AE203)*'Data - P&amp;L'!$C$34)</f>
        <v>0</v>
      </c>
      <c r="AF314" s="142">
        <f>((AF90+AF91+AF92+AF93)*'Data - P&amp;L'!$C$34)+((AF200+AF201+AF202+AF203)*'Data - P&amp;L'!$C$34)</f>
        <v>0</v>
      </c>
      <c r="AG314" s="126">
        <f t="shared" si="65"/>
        <v>0</v>
      </c>
    </row>
    <row r="315" outlineLevel="1">
      <c r="A315" s="272" t="s">
        <v>389</v>
      </c>
      <c r="B315" s="142">
        <f>((B191*'Data - P&amp;L'!$D$38)+(B206*'Data - P&amp;L'!$D$39))*'Data - P&amp;L'!$C$55</f>
        <v>0</v>
      </c>
      <c r="C315" s="142">
        <f>((C191*'Data - P&amp;L'!$D$38)+(C206*'Data - P&amp;L'!$D$39))*'Data - P&amp;L'!$C$55</f>
        <v>0</v>
      </c>
      <c r="D315" s="142">
        <f>((D191*'Data - P&amp;L'!$D$38)+(D206*'Data - P&amp;L'!$D$39))*'Data - P&amp;L'!$C$55</f>
        <v>0</v>
      </c>
      <c r="E315" s="142">
        <f>((E191*'Data - P&amp;L'!$D$38)+(E206*'Data - P&amp;L'!$D$39))*'Data - P&amp;L'!$C$55</f>
        <v>0</v>
      </c>
      <c r="F315" s="142">
        <f>((F191*'Data - P&amp;L'!$D$38)+(F206*'Data - P&amp;L'!$D$39))*'Data - P&amp;L'!$C$55</f>
        <v>0</v>
      </c>
      <c r="G315" s="142">
        <f>((G191*'Data - P&amp;L'!$D$38)+(G206*'Data - P&amp;L'!$D$39))*'Data - P&amp;L'!$C$55</f>
        <v>0</v>
      </c>
      <c r="H315" s="142">
        <f>((H191*'Data - P&amp;L'!$D$38)+(H206*'Data - P&amp;L'!$D$39))*'Data - P&amp;L'!$C$55</f>
        <v>0</v>
      </c>
      <c r="I315" s="142">
        <f>((I191*'Data - P&amp;L'!$D$38)+(I206*'Data - P&amp;L'!$D$39))*'Data - P&amp;L'!$C$55</f>
        <v>0</v>
      </c>
      <c r="J315" s="142">
        <f>((J191*'Data - P&amp;L'!$D$38)+(J206*'Data - P&amp;L'!$D$39))*'Data - P&amp;L'!$C$55</f>
        <v>0</v>
      </c>
      <c r="K315" s="142">
        <f>((K191*'Data - P&amp;L'!$D$38)+(K206*'Data - P&amp;L'!$D$39))*'Data - P&amp;L'!$C$55</f>
        <v>0</v>
      </c>
      <c r="L315" s="142">
        <f>((L191*'Data - P&amp;L'!$D$38)+(L206*'Data - P&amp;L'!$D$39))*'Data - P&amp;L'!$C$55</f>
        <v>0</v>
      </c>
      <c r="M315" s="142">
        <f>((M191*'Data - P&amp;L'!$D$38)+(M206*'Data - P&amp;L'!$D$39))*'Data - P&amp;L'!$C$55</f>
        <v>0</v>
      </c>
      <c r="N315" s="142">
        <f>((N191*'Data - P&amp;L'!$D$38)+(N206*'Data - P&amp;L'!$D$39))*'Data - P&amp;L'!$C$55</f>
        <v>0</v>
      </c>
      <c r="O315" s="142">
        <f>((O191*'Data - P&amp;L'!$D$38)+(O206*'Data - P&amp;L'!$D$39))*'Data - P&amp;L'!$C$55</f>
        <v>0</v>
      </c>
      <c r="P315" s="142">
        <f>((P191*'Data - P&amp;L'!$D$38)+(P206*'Data - P&amp;L'!$D$39))*'Data - P&amp;L'!$C$55</f>
        <v>0</v>
      </c>
      <c r="Q315" s="142">
        <f>((Q191*'Data - P&amp;L'!$D$38)+(Q206*'Data - P&amp;L'!$D$39))*'Data - P&amp;L'!$C$55</f>
        <v>0</v>
      </c>
      <c r="R315" s="142">
        <f>((R191*'Data - P&amp;L'!$D$38)+(R206*'Data - P&amp;L'!$D$39))*'Data - P&amp;L'!$C$55</f>
        <v>0</v>
      </c>
      <c r="S315" s="142">
        <f>((S191*'Data - P&amp;L'!$D$38)+(S206*'Data - P&amp;L'!$D$39))*'Data - P&amp;L'!$C$55</f>
        <v>0</v>
      </c>
      <c r="T315" s="142">
        <f>((T191*'Data - P&amp;L'!$D$38)+(T206*'Data - P&amp;L'!$D$39))*'Data - P&amp;L'!$C$55</f>
        <v>0</v>
      </c>
      <c r="U315" s="142">
        <f>((U191*'Data - P&amp;L'!$D$38)+(U206*'Data - P&amp;L'!$D$39))*'Data - P&amp;L'!$C$55</f>
        <v>0</v>
      </c>
      <c r="V315" s="142">
        <f>((V191*'Data - P&amp;L'!$D$38)+(V206*'Data - P&amp;L'!$D$39))*'Data - P&amp;L'!$C$55</f>
        <v>0</v>
      </c>
      <c r="W315" s="142">
        <f>((W191*'Data - P&amp;L'!$D$38)+(W206*'Data - P&amp;L'!$D$39))*'Data - P&amp;L'!$C$55</f>
        <v>0</v>
      </c>
      <c r="X315" s="142">
        <f>((X191*'Data - P&amp;L'!$D$38)+(X206*'Data - P&amp;L'!$D$39))*'Data - P&amp;L'!$C$55</f>
        <v>0</v>
      </c>
      <c r="Y315" s="142">
        <f>((Y191*'Data - P&amp;L'!$D$38)+(Y206*'Data - P&amp;L'!$D$39))*'Data - P&amp;L'!$C$55</f>
        <v>0</v>
      </c>
      <c r="Z315" s="142">
        <f>((Z191*'Data - P&amp;L'!$D$38)+(Z206*'Data - P&amp;L'!$D$39))*'Data - P&amp;L'!$C$55</f>
        <v>0</v>
      </c>
      <c r="AA315" s="142">
        <f>((AA191*'Data - P&amp;L'!$D$38)+(AA206*'Data - P&amp;L'!$D$39))*'Data - P&amp;L'!$C$55</f>
        <v>0</v>
      </c>
      <c r="AB315" s="142">
        <f>((AB191*'Data - P&amp;L'!$D$38)+(AB206*'Data - P&amp;L'!$D$39))*'Data - P&amp;L'!$C$55</f>
        <v>0</v>
      </c>
      <c r="AC315" s="142">
        <f>((AC191*'Data - P&amp;L'!$D$38)+(AC206*'Data - P&amp;L'!$D$39))*'Data - P&amp;L'!$C$55</f>
        <v>0</v>
      </c>
      <c r="AD315" s="142">
        <f>((AD191*'Data - P&amp;L'!$D$38)+(AD206*'Data - P&amp;L'!$D$39))*'Data - P&amp;L'!$C$55</f>
        <v>0</v>
      </c>
      <c r="AE315" s="142">
        <f>((AE191*'Data - P&amp;L'!$D$38)+(AE206*'Data - P&amp;L'!$D$39))*'Data - P&amp;L'!$C$55</f>
        <v>0</v>
      </c>
      <c r="AF315" s="142">
        <f>((AF191*'Data - P&amp;L'!$D$38)+(AF206*'Data - P&amp;L'!$D$39))*'Data - P&amp;L'!$C$55</f>
        <v>0</v>
      </c>
      <c r="AG315" s="126">
        <f t="shared" si="65"/>
        <v>0</v>
      </c>
    </row>
    <row r="316" outlineLevel="1">
      <c r="A316" s="459" t="s">
        <v>390</v>
      </c>
      <c r="B316" s="250">
        <f>(B105*'Data - P&amp;L'!$D$34)+(B215*'Data - P&amp;L'!$D$34)</f>
        <v>0</v>
      </c>
      <c r="C316" s="250">
        <f>(C105*'Data - P&amp;L'!$D$34)+(C215*'Data - P&amp;L'!$D$34)</f>
        <v>0</v>
      </c>
      <c r="D316" s="250">
        <f>(D105*'Data - P&amp;L'!$D$34)+(D215*'Data - P&amp;L'!$D$34)</f>
        <v>0</v>
      </c>
      <c r="E316" s="250">
        <f>(E105*'Data - P&amp;L'!$D$34)+(E215*'Data - P&amp;L'!$D$34)</f>
        <v>0</v>
      </c>
      <c r="F316" s="250">
        <f>(F105*'Data - P&amp;L'!$D$34)+(F215*'Data - P&amp;L'!$D$34)</f>
        <v>0</v>
      </c>
      <c r="G316" s="250">
        <f>(G105*'Data - P&amp;L'!$D$34)+(G215*'Data - P&amp;L'!$D$34)</f>
        <v>0</v>
      </c>
      <c r="H316" s="250">
        <f>(H105*'Data - P&amp;L'!$D$34)+(H215*'Data - P&amp;L'!$D$34)</f>
        <v>0</v>
      </c>
      <c r="I316" s="250">
        <f>(I105*'Data - P&amp;L'!$D$34)+(I215*'Data - P&amp;L'!$D$34)</f>
        <v>0</v>
      </c>
      <c r="J316" s="250">
        <f>(J105*'Data - P&amp;L'!$D$34)+(J215*'Data - P&amp;L'!$D$34)</f>
        <v>0</v>
      </c>
      <c r="K316" s="250">
        <f>(K105*'Data - P&amp;L'!$D$34)+(K215*'Data - P&amp;L'!$D$34)</f>
        <v>0</v>
      </c>
      <c r="L316" s="250">
        <f>(L105*'Data - P&amp;L'!$D$34)+(L215*'Data - P&amp;L'!$D$34)</f>
        <v>0</v>
      </c>
      <c r="M316" s="250">
        <f>(M105*'Data - P&amp;L'!$D$34)+(M215*'Data - P&amp;L'!$D$34)</f>
        <v>0</v>
      </c>
      <c r="N316" s="250">
        <f>(N105*'Data - P&amp;L'!$D$34)+(N215*'Data - P&amp;L'!$D$34)</f>
        <v>0</v>
      </c>
      <c r="O316" s="250">
        <f>(O105*'Data - P&amp;L'!$D$34)+(O215*'Data - P&amp;L'!$D$34)</f>
        <v>0</v>
      </c>
      <c r="P316" s="250">
        <f>(P105*'Data - P&amp;L'!$D$34)+(P215*'Data - P&amp;L'!$D$34)</f>
        <v>0</v>
      </c>
      <c r="Q316" s="250">
        <f>(Q105*'Data - P&amp;L'!$D$34)+(Q215*'Data - P&amp;L'!$D$34)</f>
        <v>0</v>
      </c>
      <c r="R316" s="250">
        <f>(R105*'Data - P&amp;L'!$D$34)+(R215*'Data - P&amp;L'!$D$34)</f>
        <v>0</v>
      </c>
      <c r="S316" s="250">
        <f>(S105*'Data - P&amp;L'!$D$34)+(S215*'Data - P&amp;L'!$D$34)</f>
        <v>0</v>
      </c>
      <c r="T316" s="250">
        <f>(T105*'Data - P&amp;L'!$D$34)+(T215*'Data - P&amp;L'!$D$34)</f>
        <v>0</v>
      </c>
      <c r="U316" s="250">
        <f>(U105*'Data - P&amp;L'!$D$34)+(U215*'Data - P&amp;L'!$D$34)</f>
        <v>0</v>
      </c>
      <c r="V316" s="250">
        <f>(V105*'Data - P&amp;L'!$D$34)+(V215*'Data - P&amp;L'!$D$34)</f>
        <v>0</v>
      </c>
      <c r="W316" s="250">
        <f>(W105*'Data - P&amp;L'!$D$34)+(W215*'Data - P&amp;L'!$D$34)</f>
        <v>0</v>
      </c>
      <c r="X316" s="250">
        <f>(X105*'Data - P&amp;L'!$D$34)+(X215*'Data - P&amp;L'!$D$34)</f>
        <v>0</v>
      </c>
      <c r="Y316" s="250">
        <f>(Y105*'Data - P&amp;L'!$D$34)+(Y215*'Data - P&amp;L'!$D$34)</f>
        <v>0</v>
      </c>
      <c r="Z316" s="250">
        <f>(Z105*'Data - P&amp;L'!$D$34)+(Z215*'Data - P&amp;L'!$D$34)</f>
        <v>0</v>
      </c>
      <c r="AA316" s="250">
        <f>(AA105*'Data - P&amp;L'!$D$34)+(AA215*'Data - P&amp;L'!$D$34)</f>
        <v>0</v>
      </c>
      <c r="AB316" s="250">
        <f>(AB105*'Data - P&amp;L'!$D$34)+(AB215*'Data - P&amp;L'!$D$34)</f>
        <v>0</v>
      </c>
      <c r="AC316" s="250">
        <f>(AC105*'Data - P&amp;L'!$D$34)+(AC215*'Data - P&amp;L'!$D$34)</f>
        <v>0</v>
      </c>
      <c r="AD316" s="250">
        <f>(AD105*'Data - P&amp;L'!$D$34)+(AD215*'Data - P&amp;L'!$D$34)</f>
        <v>0</v>
      </c>
      <c r="AE316" s="250">
        <f>(AE105*'Data - P&amp;L'!$D$34)+(AE215*'Data - P&amp;L'!$D$34)</f>
        <v>0</v>
      </c>
      <c r="AF316" s="250">
        <f>(AF105*'Data - P&amp;L'!$D$34)+(AF215*'Data - P&amp;L'!$D$34)</f>
        <v>0</v>
      </c>
      <c r="AG316" s="126">
        <f t="shared" si="65"/>
        <v>0</v>
      </c>
    </row>
    <row r="317" outlineLevel="1">
      <c r="A317" s="464" t="s">
        <v>391</v>
      </c>
      <c r="B317" s="465"/>
      <c r="C317" s="465"/>
      <c r="D317" s="465"/>
      <c r="E317" s="465"/>
      <c r="F317" s="465"/>
      <c r="G317" s="465"/>
      <c r="H317" s="465"/>
      <c r="I317" s="465"/>
      <c r="J317" s="465"/>
      <c r="K317" s="465"/>
      <c r="L317" s="465"/>
      <c r="M317" s="465"/>
      <c r="N317" s="465"/>
      <c r="O317" s="465"/>
      <c r="P317" s="465"/>
      <c r="Q317" s="465"/>
      <c r="R317" s="465"/>
      <c r="S317" s="465"/>
      <c r="T317" s="465"/>
      <c r="U317" s="465"/>
      <c r="V317" s="465"/>
      <c r="W317" s="465"/>
      <c r="X317" s="465"/>
      <c r="Y317" s="465"/>
      <c r="Z317" s="465"/>
      <c r="AA317" s="465"/>
      <c r="AB317" s="465"/>
      <c r="AC317" s="465"/>
      <c r="AD317" s="465"/>
      <c r="AE317" s="465"/>
      <c r="AF317" s="465"/>
      <c r="AG317" s="242"/>
    </row>
    <row r="318" outlineLevel="1">
      <c r="A318" s="272" t="s">
        <v>392</v>
      </c>
      <c r="B318" s="463"/>
      <c r="C318" s="463"/>
      <c r="D318" s="463"/>
      <c r="E318" s="463"/>
      <c r="F318" s="463"/>
      <c r="G318" s="463"/>
      <c r="H318" s="463"/>
      <c r="I318" s="463"/>
      <c r="J318" s="463"/>
      <c r="K318" s="463"/>
      <c r="L318" s="463"/>
      <c r="M318" s="463"/>
      <c r="N318" s="463"/>
      <c r="O318" s="463"/>
      <c r="P318" s="463"/>
      <c r="Q318" s="463"/>
      <c r="R318" s="463"/>
      <c r="S318" s="463"/>
      <c r="T318" s="463"/>
      <c r="U318" s="463"/>
      <c r="V318" s="463"/>
      <c r="W318" s="463"/>
      <c r="X318" s="463"/>
      <c r="Y318" s="463"/>
      <c r="Z318" s="463"/>
      <c r="AA318" s="463"/>
      <c r="AB318" s="463"/>
      <c r="AC318" s="463"/>
      <c r="AD318" s="463"/>
      <c r="AE318" s="463"/>
      <c r="AF318" s="463"/>
      <c r="AG318" s="126"/>
    </row>
    <row r="319" outlineLevel="1">
      <c r="A319" s="272" t="s">
        <v>393</v>
      </c>
      <c r="B319" s="463"/>
      <c r="C319" s="463"/>
      <c r="D319" s="463"/>
      <c r="E319" s="463"/>
      <c r="F319" s="463"/>
      <c r="G319" s="463"/>
      <c r="H319" s="463"/>
      <c r="I319" s="463"/>
      <c r="J319" s="463"/>
      <c r="K319" s="463"/>
      <c r="L319" s="463"/>
      <c r="M319" s="463"/>
      <c r="N319" s="463"/>
      <c r="O319" s="463"/>
      <c r="P319" s="463"/>
      <c r="Q319" s="463"/>
      <c r="R319" s="463"/>
      <c r="S319" s="463"/>
      <c r="T319" s="463"/>
      <c r="U319" s="463"/>
      <c r="V319" s="463"/>
      <c r="W319" s="463"/>
      <c r="X319" s="463"/>
      <c r="Y319" s="463"/>
      <c r="Z319" s="463"/>
      <c r="AA319" s="463"/>
      <c r="AB319" s="463"/>
      <c r="AC319" s="463"/>
      <c r="AD319" s="463"/>
      <c r="AE319" s="463"/>
      <c r="AF319" s="463"/>
      <c r="AG319" s="126"/>
    </row>
    <row r="320" outlineLevel="1">
      <c r="A320" s="459" t="s">
        <v>394</v>
      </c>
      <c r="B320" s="466"/>
      <c r="C320" s="466"/>
      <c r="D320" s="466"/>
      <c r="E320" s="466"/>
      <c r="F320" s="466"/>
      <c r="G320" s="466"/>
      <c r="H320" s="466"/>
      <c r="I320" s="466"/>
      <c r="J320" s="466"/>
      <c r="K320" s="466"/>
      <c r="L320" s="466"/>
      <c r="M320" s="466"/>
      <c r="N320" s="466"/>
      <c r="O320" s="466"/>
      <c r="P320" s="466"/>
      <c r="Q320" s="466"/>
      <c r="R320" s="466"/>
      <c r="S320" s="466"/>
      <c r="T320" s="466"/>
      <c r="U320" s="466"/>
      <c r="V320" s="466"/>
      <c r="W320" s="466"/>
      <c r="X320" s="466"/>
      <c r="Y320" s="466"/>
      <c r="Z320" s="466"/>
      <c r="AA320" s="466"/>
      <c r="AB320" s="466"/>
      <c r="AC320" s="466"/>
      <c r="AD320" s="466"/>
      <c r="AE320" s="466"/>
      <c r="AF320" s="466"/>
      <c r="AG320" s="132"/>
    </row>
    <row r="321">
      <c r="A321" s="85"/>
      <c r="B321" s="255"/>
      <c r="C321" s="255"/>
      <c r="D321" s="255"/>
      <c r="E321" s="255"/>
      <c r="F321" s="255"/>
      <c r="G321" s="255"/>
      <c r="H321" s="255"/>
      <c r="I321" s="255"/>
      <c r="J321" s="255"/>
      <c r="K321" s="255"/>
      <c r="L321" s="255"/>
      <c r="M321" s="255"/>
      <c r="N321" s="255"/>
      <c r="O321" s="255"/>
      <c r="P321" s="255"/>
      <c r="Q321" s="255"/>
      <c r="R321" s="255"/>
      <c r="S321" s="255"/>
      <c r="T321" s="255"/>
      <c r="U321" s="255"/>
      <c r="V321" s="255"/>
      <c r="W321" s="255"/>
      <c r="X321" s="255"/>
      <c r="Y321" s="255"/>
      <c r="Z321" s="255"/>
      <c r="AA321" s="255"/>
      <c r="AB321" s="255"/>
      <c r="AC321" s="255"/>
      <c r="AD321" s="255"/>
      <c r="AE321" s="255"/>
      <c r="AF321" s="255"/>
      <c r="AG321" s="126"/>
    </row>
    <row r="322">
      <c r="A322" s="280" t="s">
        <v>698</v>
      </c>
      <c r="B322" s="467">
        <f t="shared" ref="B322:AF322" si="66">B275+B287</f>
        <v>0</v>
      </c>
      <c r="C322" s="467">
        <f t="shared" si="66"/>
        <v>0</v>
      </c>
      <c r="D322" s="467">
        <f t="shared" si="66"/>
        <v>302.2</v>
      </c>
      <c r="E322" s="467">
        <f t="shared" si="66"/>
        <v>357.01</v>
      </c>
      <c r="F322" s="467">
        <f t="shared" si="66"/>
        <v>0</v>
      </c>
      <c r="G322" s="467">
        <f t="shared" si="66"/>
        <v>0</v>
      </c>
      <c r="H322" s="467">
        <f t="shared" si="66"/>
        <v>0</v>
      </c>
      <c r="I322" s="467">
        <f t="shared" si="66"/>
        <v>367.86</v>
      </c>
      <c r="J322" s="467">
        <f t="shared" si="66"/>
        <v>0</v>
      </c>
      <c r="K322" s="467">
        <f t="shared" si="66"/>
        <v>0</v>
      </c>
      <c r="L322" s="467">
        <f t="shared" si="66"/>
        <v>599.94</v>
      </c>
      <c r="M322" s="467">
        <f t="shared" si="66"/>
        <v>639.26</v>
      </c>
      <c r="N322" s="467">
        <f t="shared" si="66"/>
        <v>0</v>
      </c>
      <c r="O322" s="467">
        <f t="shared" si="66"/>
        <v>0</v>
      </c>
      <c r="P322" s="467">
        <f t="shared" si="66"/>
        <v>0</v>
      </c>
      <c r="Q322" s="467">
        <f t="shared" si="66"/>
        <v>0</v>
      </c>
      <c r="R322" s="467">
        <f t="shared" si="66"/>
        <v>0</v>
      </c>
      <c r="S322" s="467">
        <f t="shared" si="66"/>
        <v>0</v>
      </c>
      <c r="T322" s="467">
        <f t="shared" si="66"/>
        <v>0</v>
      </c>
      <c r="U322" s="467">
        <f t="shared" si="66"/>
        <v>0</v>
      </c>
      <c r="V322" s="467">
        <f t="shared" si="66"/>
        <v>0</v>
      </c>
      <c r="W322" s="467">
        <f t="shared" si="66"/>
        <v>0</v>
      </c>
      <c r="X322" s="467">
        <f t="shared" si="66"/>
        <v>0</v>
      </c>
      <c r="Y322" s="467">
        <f t="shared" si="66"/>
        <v>0</v>
      </c>
      <c r="Z322" s="467">
        <f t="shared" si="66"/>
        <v>0</v>
      </c>
      <c r="AA322" s="467">
        <f t="shared" si="66"/>
        <v>0</v>
      </c>
      <c r="AB322" s="467">
        <f t="shared" si="66"/>
        <v>0</v>
      </c>
      <c r="AC322" s="467">
        <f t="shared" si="66"/>
        <v>0</v>
      </c>
      <c r="AD322" s="467">
        <f t="shared" si="66"/>
        <v>0</v>
      </c>
      <c r="AE322" s="467">
        <f t="shared" si="66"/>
        <v>0</v>
      </c>
      <c r="AF322" s="468">
        <f t="shared" si="66"/>
        <v>0</v>
      </c>
      <c r="AG322" s="469">
        <f>SUM(B322:AF322)</f>
        <v>2266.27</v>
      </c>
    </row>
    <row r="323">
      <c r="A323" s="177"/>
      <c r="B323" s="255"/>
      <c r="C323" s="255"/>
      <c r="D323" s="255"/>
      <c r="E323" s="255"/>
      <c r="F323" s="255"/>
      <c r="G323" s="255"/>
      <c r="H323" s="255"/>
      <c r="I323" s="255"/>
      <c r="J323" s="255"/>
      <c r="K323" s="255"/>
      <c r="L323" s="255"/>
      <c r="M323" s="255"/>
      <c r="N323" s="255"/>
      <c r="O323" s="255"/>
      <c r="P323" s="255"/>
      <c r="Q323" s="255"/>
      <c r="R323" s="255"/>
      <c r="S323" s="255"/>
      <c r="T323" s="255"/>
      <c r="U323" s="255"/>
      <c r="V323" s="255"/>
      <c r="W323" s="255"/>
      <c r="X323" s="255"/>
      <c r="Y323" s="255"/>
      <c r="Z323" s="255"/>
      <c r="AA323" s="255"/>
      <c r="AB323" s="255"/>
      <c r="AC323" s="255"/>
      <c r="AD323" s="255"/>
      <c r="AE323" s="255"/>
      <c r="AF323" s="255"/>
      <c r="AG323" s="126"/>
    </row>
    <row r="324">
      <c r="A324" s="218" t="s">
        <v>345</v>
      </c>
      <c r="B324" s="470">
        <f t="shared" ref="B324:AF324" si="67">B265+B276+B288-B303</f>
        <v>0</v>
      </c>
      <c r="C324" s="470">
        <f t="shared" si="67"/>
        <v>0</v>
      </c>
      <c r="D324" s="470">
        <f t="shared" si="67"/>
        <v>-204.59</v>
      </c>
      <c r="E324" s="470">
        <f t="shared" si="67"/>
        <v>-246.06</v>
      </c>
      <c r="F324" s="470">
        <f t="shared" si="67"/>
        <v>0</v>
      </c>
      <c r="G324" s="470">
        <f t="shared" si="67"/>
        <v>0</v>
      </c>
      <c r="H324" s="470">
        <f t="shared" si="67"/>
        <v>0</v>
      </c>
      <c r="I324" s="470">
        <f t="shared" si="67"/>
        <v>-254.18</v>
      </c>
      <c r="J324" s="470">
        <f t="shared" si="67"/>
        <v>0</v>
      </c>
      <c r="K324" s="470">
        <f t="shared" si="67"/>
        <v>0</v>
      </c>
      <c r="L324" s="470">
        <f t="shared" si="67"/>
        <v>-403.53</v>
      </c>
      <c r="M324" s="470">
        <f t="shared" si="67"/>
        <v>-517.2475</v>
      </c>
      <c r="N324" s="470">
        <f t="shared" si="67"/>
        <v>0</v>
      </c>
      <c r="O324" s="470">
        <f t="shared" si="67"/>
        <v>0</v>
      </c>
      <c r="P324" s="470">
        <f t="shared" si="67"/>
        <v>0</v>
      </c>
      <c r="Q324" s="470">
        <f t="shared" si="67"/>
        <v>0</v>
      </c>
      <c r="R324" s="470">
        <f t="shared" si="67"/>
        <v>0</v>
      </c>
      <c r="S324" s="470">
        <f t="shared" si="67"/>
        <v>0</v>
      </c>
      <c r="T324" s="470">
        <f t="shared" si="67"/>
        <v>0</v>
      </c>
      <c r="U324" s="470">
        <f t="shared" si="67"/>
        <v>0</v>
      </c>
      <c r="V324" s="470">
        <f t="shared" si="67"/>
        <v>0</v>
      </c>
      <c r="W324" s="470">
        <f t="shared" si="67"/>
        <v>0</v>
      </c>
      <c r="X324" s="470">
        <f t="shared" si="67"/>
        <v>0</v>
      </c>
      <c r="Y324" s="470">
        <f t="shared" si="67"/>
        <v>0</v>
      </c>
      <c r="Z324" s="470">
        <f t="shared" si="67"/>
        <v>0</v>
      </c>
      <c r="AA324" s="470">
        <f t="shared" si="67"/>
        <v>0</v>
      </c>
      <c r="AB324" s="470">
        <f t="shared" si="67"/>
        <v>0</v>
      </c>
      <c r="AC324" s="470">
        <f t="shared" si="67"/>
        <v>0</v>
      </c>
      <c r="AD324" s="470">
        <f t="shared" si="67"/>
        <v>0</v>
      </c>
      <c r="AE324" s="470">
        <f t="shared" si="67"/>
        <v>0</v>
      </c>
      <c r="AF324" s="471">
        <f t="shared" si="67"/>
        <v>0</v>
      </c>
      <c r="AG324" s="469">
        <f>SUM(B324:AF324)</f>
        <v>-1625.6075</v>
      </c>
    </row>
    <row r="325">
      <c r="A325" s="85"/>
      <c r="B325" s="255"/>
      <c r="C325" s="255"/>
      <c r="D325" s="255"/>
      <c r="E325" s="255"/>
      <c r="F325" s="255"/>
      <c r="G325" s="255"/>
      <c r="H325" s="255"/>
      <c r="I325" s="255"/>
      <c r="J325" s="255"/>
      <c r="K325" s="255"/>
      <c r="L325" s="255"/>
      <c r="M325" s="255"/>
      <c r="N325" s="255"/>
      <c r="O325" s="255"/>
      <c r="P325" s="255"/>
      <c r="Q325" s="255"/>
      <c r="R325" s="255"/>
      <c r="S325" s="255"/>
      <c r="T325" s="255"/>
      <c r="U325" s="255"/>
      <c r="V325" s="255"/>
      <c r="W325" s="255"/>
      <c r="X325" s="255"/>
      <c r="Y325" s="255"/>
      <c r="Z325" s="255"/>
      <c r="AA325" s="255"/>
      <c r="AB325" s="255"/>
      <c r="AC325" s="255"/>
      <c r="AD325" s="255"/>
      <c r="AE325" s="255"/>
      <c r="AF325" s="255"/>
      <c r="AG325" s="126"/>
    </row>
    <row r="326">
      <c r="A326" s="472" t="s">
        <v>699</v>
      </c>
      <c r="B326" s="261"/>
      <c r="C326" s="261"/>
      <c r="D326" s="261"/>
      <c r="E326" s="261"/>
      <c r="F326" s="261"/>
      <c r="G326" s="261"/>
      <c r="H326" s="261"/>
      <c r="I326" s="261"/>
      <c r="J326" s="261"/>
      <c r="K326" s="261"/>
      <c r="L326" s="261"/>
      <c r="M326" s="261"/>
      <c r="N326" s="261"/>
      <c r="O326" s="261"/>
      <c r="P326" s="261"/>
      <c r="Q326" s="261"/>
      <c r="R326" s="261"/>
      <c r="S326" s="261"/>
      <c r="T326" s="261"/>
      <c r="U326" s="261"/>
      <c r="V326" s="261"/>
      <c r="W326" s="261"/>
      <c r="X326" s="261"/>
      <c r="Y326" s="261"/>
      <c r="Z326" s="261"/>
      <c r="AA326" s="261"/>
      <c r="AB326" s="261"/>
      <c r="AC326" s="261"/>
      <c r="AD326" s="261"/>
      <c r="AE326" s="261"/>
      <c r="AF326" s="261"/>
      <c r="AG326" s="469"/>
    </row>
    <row r="327">
      <c r="A327" s="263">
        <f>SUM(AG4+AG116)</f>
        <v>1254.228158</v>
      </c>
      <c r="B327" s="255"/>
      <c r="C327" s="255"/>
      <c r="D327" s="255"/>
      <c r="E327" s="255"/>
      <c r="F327" s="255"/>
      <c r="G327" s="255"/>
      <c r="H327" s="255"/>
      <c r="I327" s="255"/>
      <c r="J327" s="255"/>
      <c r="K327" s="255"/>
      <c r="L327" s="255"/>
      <c r="M327" s="255"/>
      <c r="N327" s="255"/>
      <c r="O327" s="255"/>
      <c r="P327" s="255"/>
      <c r="Q327" s="255"/>
      <c r="R327" s="255"/>
      <c r="S327" s="255"/>
      <c r="T327" s="255"/>
      <c r="U327" s="255"/>
      <c r="V327" s="255"/>
      <c r="W327" s="255"/>
      <c r="X327" s="255"/>
      <c r="Y327" s="255"/>
      <c r="Z327" s="255"/>
      <c r="AA327" s="255"/>
      <c r="AB327" s="255"/>
      <c r="AC327" s="255"/>
      <c r="AD327" s="255"/>
      <c r="AE327" s="255"/>
      <c r="AF327" s="255"/>
      <c r="AG327" s="126"/>
    </row>
    <row r="328">
      <c r="A328" s="472" t="s">
        <v>700</v>
      </c>
      <c r="B328" s="261">
        <f t="shared" ref="B328:AF328" si="68">(B4+B116)-B262</f>
        <v>0</v>
      </c>
      <c r="C328" s="261">
        <f t="shared" si="68"/>
        <v>0</v>
      </c>
      <c r="D328" s="261">
        <f t="shared" si="68"/>
        <v>0</v>
      </c>
      <c r="E328" s="261">
        <f t="shared" si="68"/>
        <v>0</v>
      </c>
      <c r="F328" s="261">
        <f t="shared" si="68"/>
        <v>0</v>
      </c>
      <c r="G328" s="261">
        <f t="shared" si="68"/>
        <v>0</v>
      </c>
      <c r="H328" s="261">
        <f t="shared" si="68"/>
        <v>0</v>
      </c>
      <c r="I328" s="261">
        <f t="shared" si="68"/>
        <v>0</v>
      </c>
      <c r="J328" s="261">
        <f t="shared" si="68"/>
        <v>0</v>
      </c>
      <c r="K328" s="261">
        <f t="shared" si="68"/>
        <v>0</v>
      </c>
      <c r="L328" s="261">
        <f t="shared" si="68"/>
        <v>0</v>
      </c>
      <c r="M328" s="261">
        <f t="shared" si="68"/>
        <v>0</v>
      </c>
      <c r="N328" s="261">
        <f t="shared" si="68"/>
        <v>0</v>
      </c>
      <c r="O328" s="261">
        <f t="shared" si="68"/>
        <v>0</v>
      </c>
      <c r="P328" s="261">
        <f t="shared" si="68"/>
        <v>0</v>
      </c>
      <c r="Q328" s="261">
        <f t="shared" si="68"/>
        <v>0</v>
      </c>
      <c r="R328" s="261">
        <f t="shared" si="68"/>
        <v>212.7181228</v>
      </c>
      <c r="S328" s="261">
        <f t="shared" si="68"/>
        <v>0</v>
      </c>
      <c r="T328" s="261">
        <f t="shared" si="68"/>
        <v>83.1781228</v>
      </c>
      <c r="U328" s="261">
        <f t="shared" si="68"/>
        <v>0</v>
      </c>
      <c r="V328" s="261">
        <f t="shared" si="68"/>
        <v>0</v>
      </c>
      <c r="W328" s="261">
        <f t="shared" si="68"/>
        <v>0</v>
      </c>
      <c r="X328" s="261">
        <f t="shared" si="68"/>
        <v>0</v>
      </c>
      <c r="Y328" s="261">
        <f t="shared" si="68"/>
        <v>0</v>
      </c>
      <c r="Z328" s="261">
        <f t="shared" si="68"/>
        <v>0</v>
      </c>
      <c r="AA328" s="261">
        <f t="shared" si="68"/>
        <v>0</v>
      </c>
      <c r="AB328" s="261">
        <f t="shared" si="68"/>
        <v>0</v>
      </c>
      <c r="AC328" s="261">
        <f t="shared" si="68"/>
        <v>0</v>
      </c>
      <c r="AD328" s="261">
        <f t="shared" si="68"/>
        <v>0</v>
      </c>
      <c r="AE328" s="261">
        <f t="shared" si="68"/>
        <v>83.1781228</v>
      </c>
      <c r="AF328" s="261">
        <f t="shared" si="68"/>
        <v>0</v>
      </c>
      <c r="AG328" s="469">
        <f>SUM(B328:AF328)</f>
        <v>379.0743684</v>
      </c>
    </row>
    <row r="329">
      <c r="A329" s="473">
        <f>SUM(B328:AF328)</f>
        <v>379.0743684</v>
      </c>
      <c r="B329" s="266"/>
      <c r="C329" s="266"/>
      <c r="D329" s="266"/>
      <c r="E329" s="266"/>
      <c r="F329" s="266"/>
      <c r="G329" s="266"/>
      <c r="H329" s="266"/>
      <c r="I329" s="266"/>
      <c r="J329" s="266"/>
      <c r="K329" s="266"/>
      <c r="L329" s="266"/>
      <c r="M329" s="266"/>
      <c r="N329" s="266"/>
      <c r="O329" s="266"/>
      <c r="P329" s="266"/>
      <c r="Q329" s="266"/>
      <c r="R329" s="266"/>
      <c r="S329" s="266"/>
      <c r="T329" s="266"/>
      <c r="U329" s="266"/>
      <c r="V329" s="266"/>
      <c r="W329" s="266"/>
      <c r="X329" s="266"/>
      <c r="Y329" s="266"/>
      <c r="Z329" s="266"/>
      <c r="AA329" s="266"/>
      <c r="AB329" s="266"/>
      <c r="AC329" s="266"/>
      <c r="AD329" s="266"/>
      <c r="AE329" s="266"/>
      <c r="AF329" s="266"/>
      <c r="AG329" s="474"/>
    </row>
    <row r="330">
      <c r="A330" s="475" t="s">
        <v>701</v>
      </c>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c r="AA330" s="476"/>
      <c r="AB330" s="476"/>
      <c r="AC330" s="476"/>
      <c r="AD330" s="476"/>
      <c r="AE330" s="476"/>
      <c r="AF330" s="476"/>
      <c r="AG330" s="126"/>
    </row>
    <row r="331">
      <c r="A331" s="477">
        <f>A329/A327</f>
        <v>0.3022371695</v>
      </c>
      <c r="B331" s="478"/>
      <c r="C331" s="478"/>
      <c r="D331" s="478"/>
      <c r="E331" s="478"/>
      <c r="F331" s="478"/>
      <c r="G331" s="478"/>
      <c r="H331" s="478"/>
      <c r="I331" s="478"/>
      <c r="J331" s="478"/>
      <c r="K331" s="478"/>
      <c r="L331" s="478"/>
      <c r="M331" s="478"/>
      <c r="N331" s="478"/>
      <c r="O331" s="478"/>
      <c r="P331" s="478"/>
      <c r="Q331" s="478"/>
      <c r="R331" s="478"/>
      <c r="S331" s="478"/>
      <c r="T331" s="478"/>
      <c r="U331" s="478"/>
      <c r="V331" s="478"/>
      <c r="W331" s="478"/>
      <c r="X331" s="478"/>
      <c r="Y331" s="478"/>
      <c r="Z331" s="478"/>
      <c r="AA331" s="478"/>
      <c r="AB331" s="478"/>
      <c r="AC331" s="478"/>
      <c r="AD331" s="478"/>
      <c r="AE331" s="478"/>
      <c r="AF331" s="478"/>
      <c r="AG331" s="474"/>
    </row>
    <row r="332">
      <c r="A332" s="83"/>
      <c r="B332" s="255"/>
      <c r="C332" s="255"/>
      <c r="D332" s="255"/>
      <c r="E332" s="255"/>
      <c r="F332" s="255"/>
      <c r="G332" s="255"/>
      <c r="H332" s="255"/>
      <c r="I332" s="255"/>
      <c r="J332" s="255"/>
      <c r="K332" s="255"/>
      <c r="L332" s="255"/>
      <c r="M332" s="255"/>
      <c r="N332" s="255"/>
      <c r="O332" s="255"/>
      <c r="P332" s="255"/>
      <c r="Q332" s="255"/>
      <c r="R332" s="255"/>
      <c r="S332" s="255"/>
      <c r="T332" s="255"/>
      <c r="U332" s="255"/>
      <c r="V332" s="255"/>
      <c r="W332" s="255"/>
      <c r="X332" s="255"/>
      <c r="Y332" s="255"/>
      <c r="Z332" s="255"/>
      <c r="AA332" s="255"/>
      <c r="AB332" s="255"/>
      <c r="AC332" s="255"/>
      <c r="AD332" s="255"/>
      <c r="AE332" s="255"/>
      <c r="AF332" s="255"/>
      <c r="AG332" s="126"/>
    </row>
    <row r="333">
      <c r="A333" s="83"/>
      <c r="B333" s="255"/>
      <c r="C333" s="255"/>
      <c r="D333" s="255"/>
      <c r="E333" s="255"/>
      <c r="F333" s="255"/>
      <c r="G333" s="255"/>
      <c r="H333" s="255"/>
      <c r="I333" s="255"/>
      <c r="J333" s="255"/>
      <c r="K333" s="255"/>
      <c r="L333" s="255"/>
      <c r="M333" s="255"/>
      <c r="N333" s="255"/>
      <c r="O333" s="255"/>
      <c r="P333" s="255"/>
      <c r="Q333" s="255"/>
      <c r="R333" s="255"/>
      <c r="S333" s="255"/>
      <c r="T333" s="255"/>
      <c r="U333" s="255"/>
      <c r="V333" s="255"/>
      <c r="W333" s="255"/>
      <c r="X333" s="255"/>
      <c r="Y333" s="255"/>
      <c r="Z333" s="255"/>
      <c r="AA333" s="255"/>
      <c r="AB333" s="255"/>
      <c r="AC333" s="255"/>
      <c r="AD333" s="255"/>
      <c r="AE333" s="255"/>
      <c r="AF333" s="255"/>
      <c r="AG333" s="126"/>
    </row>
    <row r="334">
      <c r="A334" s="479" t="s">
        <v>346</v>
      </c>
      <c r="B334" s="255"/>
      <c r="C334" s="255"/>
      <c r="D334" s="255"/>
      <c r="E334" s="255"/>
      <c r="F334" s="255"/>
      <c r="G334" s="255"/>
      <c r="H334" s="255"/>
      <c r="I334" s="255"/>
      <c r="J334" s="255"/>
      <c r="K334" s="255"/>
      <c r="L334" s="255"/>
      <c r="M334" s="255"/>
      <c r="N334" s="255"/>
      <c r="O334" s="255"/>
      <c r="P334" s="255"/>
      <c r="Q334" s="255"/>
      <c r="R334" s="255"/>
      <c r="S334" s="255"/>
      <c r="T334" s="255"/>
      <c r="U334" s="255"/>
      <c r="V334" s="255"/>
      <c r="W334" s="255"/>
      <c r="X334" s="255"/>
      <c r="Y334" s="255"/>
      <c r="Z334" s="255"/>
      <c r="AA334" s="255"/>
      <c r="AB334" s="255"/>
      <c r="AC334" s="255"/>
      <c r="AD334" s="255"/>
      <c r="AE334" s="255"/>
      <c r="AF334" s="255"/>
      <c r="AG334" s="126"/>
    </row>
    <row r="335">
      <c r="A335" s="480">
        <f>A327</f>
        <v>1254.228158</v>
      </c>
      <c r="B335" s="255"/>
      <c r="C335" s="255"/>
      <c r="D335" s="255"/>
      <c r="E335" s="255"/>
      <c r="F335" s="255"/>
      <c r="G335" s="255"/>
      <c r="H335" s="255"/>
      <c r="I335" s="255"/>
      <c r="J335" s="255"/>
      <c r="K335" s="255"/>
      <c r="L335" s="255"/>
      <c r="M335" s="255"/>
      <c r="N335" s="255"/>
      <c r="O335" s="255"/>
      <c r="P335" s="255"/>
      <c r="Q335" s="255"/>
      <c r="R335" s="255"/>
      <c r="S335" s="255"/>
      <c r="T335" s="255"/>
      <c r="U335" s="255"/>
      <c r="V335" s="255"/>
      <c r="W335" s="255"/>
      <c r="X335" s="255"/>
      <c r="Y335" s="255"/>
      <c r="Z335" s="255"/>
      <c r="AA335" s="255"/>
      <c r="AB335" s="255"/>
      <c r="AC335" s="255"/>
      <c r="AD335" s="255"/>
      <c r="AE335" s="255"/>
      <c r="AF335" s="255"/>
      <c r="AG335" s="126"/>
    </row>
    <row r="336">
      <c r="A336" s="481" t="s">
        <v>399</v>
      </c>
      <c r="B336" s="482">
        <f t="shared" ref="B336:AF336" si="69">B328+B324</f>
        <v>0</v>
      </c>
      <c r="C336" s="142">
        <f t="shared" si="69"/>
        <v>0</v>
      </c>
      <c r="D336" s="142">
        <f t="shared" si="69"/>
        <v>-204.59</v>
      </c>
      <c r="E336" s="142">
        <f t="shared" si="69"/>
        <v>-246.06</v>
      </c>
      <c r="F336" s="142">
        <f t="shared" si="69"/>
        <v>0</v>
      </c>
      <c r="G336" s="142">
        <f t="shared" si="69"/>
        <v>0</v>
      </c>
      <c r="H336" s="142">
        <f t="shared" si="69"/>
        <v>0</v>
      </c>
      <c r="I336" s="142">
        <f t="shared" si="69"/>
        <v>-254.18</v>
      </c>
      <c r="J336" s="142">
        <f t="shared" si="69"/>
        <v>0</v>
      </c>
      <c r="K336" s="142">
        <f t="shared" si="69"/>
        <v>0</v>
      </c>
      <c r="L336" s="142">
        <f t="shared" si="69"/>
        <v>-403.53</v>
      </c>
      <c r="M336" s="142">
        <f t="shared" si="69"/>
        <v>-517.2475</v>
      </c>
      <c r="N336" s="142">
        <f t="shared" si="69"/>
        <v>0</v>
      </c>
      <c r="O336" s="142">
        <f t="shared" si="69"/>
        <v>0</v>
      </c>
      <c r="P336" s="142">
        <f t="shared" si="69"/>
        <v>0</v>
      </c>
      <c r="Q336" s="142">
        <f t="shared" si="69"/>
        <v>0</v>
      </c>
      <c r="R336" s="142">
        <f t="shared" si="69"/>
        <v>212.7181228</v>
      </c>
      <c r="S336" s="142">
        <f t="shared" si="69"/>
        <v>0</v>
      </c>
      <c r="T336" s="142">
        <f t="shared" si="69"/>
        <v>83.1781228</v>
      </c>
      <c r="U336" s="142">
        <f t="shared" si="69"/>
        <v>0</v>
      </c>
      <c r="V336" s="142">
        <f t="shared" si="69"/>
        <v>0</v>
      </c>
      <c r="W336" s="142">
        <f t="shared" si="69"/>
        <v>0</v>
      </c>
      <c r="X336" s="142">
        <f t="shared" si="69"/>
        <v>0</v>
      </c>
      <c r="Y336" s="142">
        <f t="shared" si="69"/>
        <v>0</v>
      </c>
      <c r="Z336" s="142">
        <f t="shared" si="69"/>
        <v>0</v>
      </c>
      <c r="AA336" s="142">
        <f t="shared" si="69"/>
        <v>0</v>
      </c>
      <c r="AB336" s="142">
        <f t="shared" si="69"/>
        <v>0</v>
      </c>
      <c r="AC336" s="142">
        <f t="shared" si="69"/>
        <v>0</v>
      </c>
      <c r="AD336" s="142">
        <f t="shared" si="69"/>
        <v>0</v>
      </c>
      <c r="AE336" s="142">
        <f t="shared" si="69"/>
        <v>83.1781228</v>
      </c>
      <c r="AF336" s="142">
        <f t="shared" si="69"/>
        <v>0</v>
      </c>
      <c r="AG336" s="126"/>
    </row>
    <row r="337">
      <c r="A337" s="483">
        <f>sum(B336:AF336)</f>
        <v>-1246.533132</v>
      </c>
      <c r="B337" s="484"/>
      <c r="C337" s="255"/>
      <c r="D337" s="255"/>
      <c r="E337" s="255"/>
      <c r="F337" s="255"/>
      <c r="G337" s="255"/>
      <c r="H337" s="255"/>
      <c r="I337" s="255"/>
      <c r="J337" s="255"/>
      <c r="K337" s="255"/>
      <c r="L337" s="255"/>
      <c r="M337" s="255"/>
      <c r="N337" s="255"/>
      <c r="O337" s="255"/>
      <c r="P337" s="255"/>
      <c r="Q337" s="255"/>
      <c r="R337" s="255"/>
      <c r="S337" s="255"/>
      <c r="T337" s="255"/>
      <c r="U337" s="255"/>
      <c r="V337" s="255"/>
      <c r="W337" s="255"/>
      <c r="X337" s="255"/>
      <c r="Y337" s="255"/>
      <c r="Z337" s="255"/>
      <c r="AA337" s="255"/>
      <c r="AB337" s="255"/>
      <c r="AC337" s="255"/>
      <c r="AD337" s="255"/>
      <c r="AE337" s="255"/>
      <c r="AF337" s="255"/>
      <c r="AG337" s="126"/>
    </row>
    <row r="338">
      <c r="A338" s="485" t="s">
        <v>400</v>
      </c>
      <c r="B338" s="486"/>
      <c r="C338" s="487"/>
      <c r="D338" s="487"/>
      <c r="E338" s="487"/>
      <c r="F338" s="487"/>
      <c r="G338" s="487"/>
      <c r="H338" s="487"/>
      <c r="I338" s="487"/>
      <c r="J338" s="487"/>
      <c r="K338" s="487"/>
      <c r="L338" s="487"/>
      <c r="M338" s="487"/>
      <c r="N338" s="487"/>
      <c r="O338" s="487"/>
      <c r="P338" s="487"/>
      <c r="Q338" s="487"/>
      <c r="R338" s="487"/>
      <c r="S338" s="487"/>
      <c r="T338" s="487"/>
      <c r="U338" s="487"/>
      <c r="V338" s="487"/>
      <c r="W338" s="487"/>
      <c r="X338" s="487"/>
      <c r="Y338" s="487"/>
      <c r="Z338" s="487"/>
      <c r="AA338" s="487"/>
      <c r="AB338" s="487"/>
      <c r="AC338" s="487"/>
      <c r="AD338" s="487"/>
      <c r="AE338" s="487"/>
      <c r="AF338" s="487"/>
      <c r="AG338" s="126"/>
    </row>
    <row r="339">
      <c r="A339" s="488">
        <f>A337/A335</f>
        <v>-0.9938647316</v>
      </c>
      <c r="B339" s="255"/>
      <c r="C339" s="255"/>
      <c r="D339" s="255"/>
      <c r="E339" s="255"/>
      <c r="F339" s="255"/>
      <c r="G339" s="255"/>
      <c r="H339" s="255"/>
      <c r="I339" s="255"/>
      <c r="J339" s="255"/>
      <c r="K339" s="255"/>
      <c r="L339" s="255"/>
      <c r="M339" s="255"/>
      <c r="N339" s="255"/>
      <c r="O339" s="255"/>
      <c r="P339" s="255"/>
      <c r="Q339" s="255"/>
      <c r="R339" s="255"/>
      <c r="S339" s="255"/>
      <c r="T339" s="255"/>
      <c r="U339" s="255"/>
      <c r="V339" s="255"/>
      <c r="W339" s="255"/>
      <c r="X339" s="255"/>
      <c r="Y339" s="255"/>
      <c r="Z339" s="255"/>
      <c r="AA339" s="255"/>
      <c r="AB339" s="255"/>
      <c r="AC339" s="255"/>
      <c r="AD339" s="255"/>
      <c r="AE339" s="255"/>
      <c r="AF339" s="255"/>
      <c r="AG339" s="126"/>
    </row>
    <row r="340">
      <c r="A340" s="83"/>
      <c r="B340" s="255"/>
      <c r="C340" s="255"/>
      <c r="D340" s="255"/>
      <c r="E340" s="255"/>
      <c r="F340" s="255"/>
      <c r="G340" s="255"/>
      <c r="H340" s="255"/>
      <c r="I340" s="255"/>
      <c r="J340" s="255"/>
      <c r="K340" s="255"/>
      <c r="L340" s="255"/>
      <c r="M340" s="255"/>
      <c r="N340" s="255"/>
      <c r="O340" s="255"/>
      <c r="P340" s="255"/>
      <c r="Q340" s="255"/>
      <c r="R340" s="255"/>
      <c r="S340" s="255"/>
      <c r="T340" s="255"/>
      <c r="U340" s="255"/>
      <c r="V340" s="255"/>
      <c r="W340" s="255"/>
      <c r="X340" s="255"/>
      <c r="Y340" s="255"/>
      <c r="Z340" s="255"/>
      <c r="AA340" s="255"/>
      <c r="AB340" s="255"/>
      <c r="AC340" s="255"/>
      <c r="AD340" s="255"/>
      <c r="AE340" s="255"/>
      <c r="AF340" s="255"/>
      <c r="AG340" s="126"/>
    </row>
    <row r="341">
      <c r="A341" s="83"/>
      <c r="B341" s="255"/>
      <c r="C341" s="255"/>
      <c r="D341" s="255"/>
      <c r="E341" s="255"/>
      <c r="F341" s="255"/>
      <c r="G341" s="255"/>
      <c r="H341" s="255"/>
      <c r="I341" s="255"/>
      <c r="J341" s="255"/>
      <c r="K341" s="255"/>
      <c r="L341" s="255"/>
      <c r="M341" s="255"/>
      <c r="N341" s="255"/>
      <c r="O341" s="255"/>
      <c r="P341" s="255"/>
      <c r="Q341" s="255"/>
      <c r="R341" s="255"/>
      <c r="S341" s="255"/>
      <c r="T341" s="255"/>
      <c r="U341" s="255"/>
      <c r="V341" s="255"/>
      <c r="W341" s="255"/>
      <c r="X341" s="255"/>
      <c r="Y341" s="255"/>
      <c r="Z341" s="255"/>
      <c r="AA341" s="255"/>
      <c r="AB341" s="255"/>
      <c r="AC341" s="255"/>
      <c r="AD341" s="255"/>
      <c r="AE341" s="255"/>
      <c r="AF341" s="255"/>
      <c r="AG341" s="126"/>
    </row>
    <row r="342">
      <c r="A342" s="83"/>
      <c r="B342" s="255"/>
      <c r="C342" s="255"/>
      <c r="D342" s="255"/>
      <c r="E342" s="255"/>
      <c r="F342" s="255"/>
      <c r="G342" s="255"/>
      <c r="H342" s="255"/>
      <c r="I342" s="255"/>
      <c r="J342" s="255"/>
      <c r="K342" s="255"/>
      <c r="L342" s="255"/>
      <c r="M342" s="255"/>
      <c r="N342" s="255"/>
      <c r="O342" s="255"/>
      <c r="P342" s="255"/>
      <c r="Q342" s="255"/>
      <c r="R342" s="255"/>
      <c r="S342" s="255"/>
      <c r="T342" s="255"/>
      <c r="U342" s="255"/>
      <c r="V342" s="255"/>
      <c r="W342" s="255"/>
      <c r="X342" s="255"/>
      <c r="Y342" s="255"/>
      <c r="Z342" s="255"/>
      <c r="AA342" s="255"/>
      <c r="AB342" s="255"/>
      <c r="AC342" s="255"/>
      <c r="AD342" s="255"/>
      <c r="AE342" s="255"/>
      <c r="AF342" s="255"/>
      <c r="AG342" s="126"/>
    </row>
    <row r="343">
      <c r="A343" s="83"/>
      <c r="B343" s="255"/>
      <c r="C343" s="255"/>
      <c r="D343" s="255"/>
      <c r="E343" s="255"/>
      <c r="F343" s="255"/>
      <c r="G343" s="255"/>
      <c r="H343" s="255"/>
      <c r="I343" s="255"/>
      <c r="J343" s="255"/>
      <c r="K343" s="255"/>
      <c r="L343" s="255"/>
      <c r="M343" s="255"/>
      <c r="N343" s="255"/>
      <c r="O343" s="255"/>
      <c r="P343" s="255"/>
      <c r="Q343" s="255"/>
      <c r="R343" s="255"/>
      <c r="S343" s="255"/>
      <c r="T343" s="255"/>
      <c r="U343" s="255"/>
      <c r="V343" s="255"/>
      <c r="W343" s="255"/>
      <c r="X343" s="255"/>
      <c r="Y343" s="255"/>
      <c r="Z343" s="255"/>
      <c r="AA343" s="255"/>
      <c r="AB343" s="255"/>
      <c r="AC343" s="255"/>
      <c r="AD343" s="255"/>
      <c r="AE343" s="255"/>
      <c r="AF343" s="255"/>
      <c r="AG343" s="126"/>
    </row>
    <row r="344">
      <c r="A344" s="83"/>
      <c r="B344" s="255"/>
      <c r="C344" s="255"/>
      <c r="D344" s="255"/>
      <c r="E344" s="255"/>
      <c r="F344" s="255"/>
      <c r="G344" s="255"/>
      <c r="H344" s="255"/>
      <c r="I344" s="255"/>
      <c r="J344" s="255"/>
      <c r="K344" s="255"/>
      <c r="L344" s="255"/>
      <c r="M344" s="255"/>
      <c r="N344" s="255"/>
      <c r="O344" s="255"/>
      <c r="P344" s="255"/>
      <c r="Q344" s="255"/>
      <c r="R344" s="255"/>
      <c r="S344" s="255"/>
      <c r="T344" s="255"/>
      <c r="U344" s="255"/>
      <c r="V344" s="255"/>
      <c r="W344" s="255"/>
      <c r="X344" s="255"/>
      <c r="Y344" s="255"/>
      <c r="Z344" s="255"/>
      <c r="AA344" s="255"/>
      <c r="AB344" s="255"/>
      <c r="AC344" s="255"/>
      <c r="AD344" s="255"/>
      <c r="AE344" s="255"/>
      <c r="AF344" s="255"/>
      <c r="AG344" s="126"/>
    </row>
    <row r="345">
      <c r="A345" s="83"/>
      <c r="B345" s="255"/>
      <c r="C345" s="255"/>
      <c r="D345" s="255"/>
      <c r="E345" s="255"/>
      <c r="F345" s="255"/>
      <c r="G345" s="255"/>
      <c r="H345" s="255"/>
      <c r="I345" s="255"/>
      <c r="J345" s="255"/>
      <c r="K345" s="255"/>
      <c r="L345" s="255"/>
      <c r="M345" s="255"/>
      <c r="N345" s="255"/>
      <c r="O345" s="255"/>
      <c r="P345" s="255"/>
      <c r="Q345" s="255"/>
      <c r="R345" s="255"/>
      <c r="S345" s="255"/>
      <c r="T345" s="255"/>
      <c r="U345" s="255"/>
      <c r="V345" s="255"/>
      <c r="W345" s="255"/>
      <c r="X345" s="255"/>
      <c r="Y345" s="255"/>
      <c r="Z345" s="255"/>
      <c r="AA345" s="255"/>
      <c r="AB345" s="255"/>
      <c r="AC345" s="255"/>
      <c r="AD345" s="255"/>
      <c r="AE345" s="255"/>
      <c r="AF345" s="255"/>
      <c r="AG345" s="126"/>
    </row>
    <row r="346">
      <c r="A346" s="83"/>
      <c r="B346" s="255"/>
      <c r="C346" s="255"/>
      <c r="D346" s="255"/>
      <c r="E346" s="255"/>
      <c r="F346" s="255"/>
      <c r="G346" s="255"/>
      <c r="H346" s="255"/>
      <c r="I346" s="255"/>
      <c r="J346" s="255"/>
      <c r="K346" s="255"/>
      <c r="L346" s="255"/>
      <c r="M346" s="255"/>
      <c r="N346" s="255"/>
      <c r="O346" s="255"/>
      <c r="P346" s="255"/>
      <c r="Q346" s="255"/>
      <c r="R346" s="255"/>
      <c r="S346" s="255"/>
      <c r="T346" s="255"/>
      <c r="U346" s="255"/>
      <c r="V346" s="255"/>
      <c r="W346" s="255"/>
      <c r="X346" s="255"/>
      <c r="Y346" s="255"/>
      <c r="Z346" s="255"/>
      <c r="AA346" s="255"/>
      <c r="AB346" s="255"/>
      <c r="AC346" s="255"/>
      <c r="AD346" s="255"/>
      <c r="AE346" s="255"/>
      <c r="AF346" s="255"/>
      <c r="AG346" s="126"/>
    </row>
    <row r="347">
      <c r="A347" s="83"/>
      <c r="B347" s="255"/>
      <c r="C347" s="255"/>
      <c r="D347" s="255"/>
      <c r="E347" s="255"/>
      <c r="F347" s="255"/>
      <c r="G347" s="255"/>
      <c r="H347" s="255"/>
      <c r="I347" s="255"/>
      <c r="J347" s="255"/>
      <c r="K347" s="255"/>
      <c r="L347" s="255"/>
      <c r="M347" s="255"/>
      <c r="N347" s="255"/>
      <c r="O347" s="255"/>
      <c r="P347" s="255"/>
      <c r="Q347" s="255"/>
      <c r="R347" s="255"/>
      <c r="S347" s="255"/>
      <c r="T347" s="255"/>
      <c r="U347" s="255"/>
      <c r="V347" s="255"/>
      <c r="W347" s="255"/>
      <c r="X347" s="255"/>
      <c r="Y347" s="255"/>
      <c r="Z347" s="255"/>
      <c r="AA347" s="255"/>
      <c r="AB347" s="255"/>
      <c r="AC347" s="255"/>
      <c r="AD347" s="255"/>
      <c r="AE347" s="255"/>
      <c r="AF347" s="255"/>
      <c r="AG347" s="126"/>
    </row>
  </sheetData>
  <conditionalFormatting sqref="B328:AF328">
    <cfRule type="cellIs" dxfId="0" priority="1" operator="greaterThan">
      <formula>0</formula>
    </cfRule>
  </conditionalFormatting>
  <conditionalFormatting sqref="B328:AF328">
    <cfRule type="cellIs" dxfId="1" priority="2" operator="lessThan">
      <formula>0</formula>
    </cfRule>
  </conditionalFormatting>
  <conditionalFormatting sqref="B246:AF246">
    <cfRule type="colorScale" priority="3">
      <colorScale>
        <cfvo type="min"/>
        <cfvo type="max"/>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5.5"/>
    <col customWidth="1" min="2" max="2" width="11.75"/>
    <col customWidth="1" min="3" max="6" width="10.25"/>
    <col customWidth="1" min="7" max="7" width="11.0"/>
    <col customWidth="1" min="8" max="13" width="10.25"/>
    <col customWidth="1" min="14" max="14" width="11.25"/>
    <col customWidth="1" min="15" max="32" width="10.25"/>
  </cols>
  <sheetData>
    <row r="1">
      <c r="A1" s="1">
        <v>45261.0</v>
      </c>
      <c r="B1" s="2">
        <v>45292.0</v>
      </c>
      <c r="C1" s="2">
        <v>45293.0</v>
      </c>
      <c r="D1" s="2">
        <v>45294.0</v>
      </c>
      <c r="E1" s="2">
        <v>45295.0</v>
      </c>
      <c r="F1" s="2">
        <v>45296.0</v>
      </c>
      <c r="G1" s="2">
        <v>45297.0</v>
      </c>
      <c r="H1" s="2">
        <v>45298.0</v>
      </c>
      <c r="I1" s="2">
        <v>45299.0</v>
      </c>
      <c r="J1" s="2">
        <v>45300.0</v>
      </c>
      <c r="K1" s="2">
        <v>45301.0</v>
      </c>
      <c r="L1" s="2">
        <v>45302.0</v>
      </c>
      <c r="M1" s="2">
        <v>45303.0</v>
      </c>
      <c r="N1" s="2">
        <v>45304.0</v>
      </c>
      <c r="O1" s="2">
        <v>45305.0</v>
      </c>
      <c r="P1" s="2">
        <v>45306.0</v>
      </c>
      <c r="Q1" s="2">
        <v>45307.0</v>
      </c>
      <c r="R1" s="2">
        <v>45308.0</v>
      </c>
      <c r="S1" s="2">
        <v>45309.0</v>
      </c>
      <c r="T1" s="2">
        <v>45310.0</v>
      </c>
      <c r="U1" s="2">
        <v>45311.0</v>
      </c>
      <c r="V1" s="2">
        <v>45312.0</v>
      </c>
      <c r="W1" s="2">
        <v>45313.0</v>
      </c>
      <c r="X1" s="2">
        <v>45314.0</v>
      </c>
      <c r="Y1" s="2">
        <v>45315.0</v>
      </c>
      <c r="Z1" s="2">
        <v>45316.0</v>
      </c>
      <c r="AA1" s="2">
        <v>45317.0</v>
      </c>
      <c r="AB1" s="2">
        <v>45318.0</v>
      </c>
      <c r="AC1" s="2">
        <v>45319.0</v>
      </c>
      <c r="AD1" s="2">
        <v>45320.0</v>
      </c>
      <c r="AE1" s="2">
        <v>45321.0</v>
      </c>
      <c r="AF1" s="2">
        <v>45322.0</v>
      </c>
    </row>
    <row r="2">
      <c r="B2" s="3" t="s">
        <v>0</v>
      </c>
      <c r="C2" s="3" t="s">
        <v>7</v>
      </c>
      <c r="D2" s="3" t="s">
        <v>2</v>
      </c>
      <c r="E2" s="3" t="s">
        <v>3</v>
      </c>
      <c r="F2" s="3" t="s">
        <v>4</v>
      </c>
      <c r="G2" s="3" t="s">
        <v>5</v>
      </c>
      <c r="H2" s="3" t="s">
        <v>6</v>
      </c>
      <c r="I2" s="3" t="s">
        <v>0</v>
      </c>
      <c r="J2" s="3" t="s">
        <v>7</v>
      </c>
      <c r="K2" s="3" t="s">
        <v>2</v>
      </c>
      <c r="L2" s="3" t="s">
        <v>3</v>
      </c>
      <c r="M2" s="3" t="s">
        <v>4</v>
      </c>
      <c r="N2" s="3" t="s">
        <v>5</v>
      </c>
      <c r="O2" s="3" t="s">
        <v>6</v>
      </c>
      <c r="P2" s="3" t="s">
        <v>0</v>
      </c>
      <c r="Q2" s="3" t="s">
        <v>7</v>
      </c>
      <c r="R2" s="3" t="s">
        <v>2</v>
      </c>
      <c r="S2" s="3" t="s">
        <v>3</v>
      </c>
      <c r="T2" s="3" t="s">
        <v>4</v>
      </c>
      <c r="U2" s="3" t="s">
        <v>5</v>
      </c>
      <c r="V2" s="3" t="s">
        <v>6</v>
      </c>
      <c r="W2" s="3" t="s">
        <v>0</v>
      </c>
      <c r="X2" s="3" t="s">
        <v>7</v>
      </c>
      <c r="Y2" s="3" t="s">
        <v>2</v>
      </c>
      <c r="Z2" s="3" t="s">
        <v>3</v>
      </c>
      <c r="AA2" s="3" t="s">
        <v>4</v>
      </c>
      <c r="AB2" s="3" t="s">
        <v>5</v>
      </c>
      <c r="AC2" s="3" t="s">
        <v>6</v>
      </c>
      <c r="AD2" s="3" t="s">
        <v>0</v>
      </c>
      <c r="AE2" s="3" t="s">
        <v>7</v>
      </c>
      <c r="AF2" s="3" t="s">
        <v>2</v>
      </c>
    </row>
    <row r="4">
      <c r="A4" s="489" t="s">
        <v>702</v>
      </c>
      <c r="B4" s="490">
        <f>'PP - Data'!B10</f>
        <v>114</v>
      </c>
      <c r="C4" s="490">
        <f>'PP - Data'!C10</f>
        <v>101</v>
      </c>
      <c r="D4" s="490">
        <f>'PP - Data'!D10</f>
        <v>111</v>
      </c>
      <c r="E4" s="490">
        <f>'PP - Data'!E10</f>
        <v>95</v>
      </c>
      <c r="F4" s="490">
        <f>'PP - Data'!F10</f>
        <v>116</v>
      </c>
      <c r="G4" s="490">
        <f>'PP - Data'!G10</f>
        <v>115</v>
      </c>
      <c r="H4" s="490">
        <f>'PP - Data'!H10</f>
        <v>133</v>
      </c>
      <c r="I4" s="490">
        <f>'PP - Data'!I10</f>
        <v>93</v>
      </c>
      <c r="J4" s="490">
        <f>'PP - Data'!J10</f>
        <v>79</v>
      </c>
      <c r="K4" s="490">
        <f>'PP - Data'!K10</f>
        <v>60</v>
      </c>
      <c r="L4" s="490">
        <f>'PP - Data'!L10</f>
        <v>78</v>
      </c>
      <c r="M4" s="490">
        <f>'PP - Data'!M10</f>
        <v>87</v>
      </c>
      <c r="N4" s="490">
        <f>'PP - Data'!N10</f>
        <v>88</v>
      </c>
      <c r="O4" s="490">
        <f>'PP - Data'!O10</f>
        <v>97</v>
      </c>
      <c r="P4" s="490">
        <f>'PP - Data'!P10</f>
        <v>79</v>
      </c>
      <c r="Q4" s="490">
        <f>'PP - Data'!Q10</f>
        <v>70</v>
      </c>
      <c r="R4" s="490">
        <f>'PP - Data'!R10</f>
        <v>84</v>
      </c>
      <c r="S4" s="490">
        <f>'PP - Data'!S10</f>
        <v>67</v>
      </c>
      <c r="T4" s="490">
        <f>'PP - Data'!T10</f>
        <v>77</v>
      </c>
      <c r="U4" s="490">
        <f>'PP - Data'!U10</f>
        <v>92</v>
      </c>
      <c r="V4" s="490">
        <f>'PP - Data'!V10</f>
        <v>72</v>
      </c>
      <c r="W4" s="490">
        <f>'PP - Data'!W10</f>
        <v>60</v>
      </c>
      <c r="X4" s="490">
        <f>'PP - Data'!X10</f>
        <v>59</v>
      </c>
      <c r="Y4" s="490">
        <f>'PP - Data'!Y10</f>
        <v>55</v>
      </c>
      <c r="Z4" s="490">
        <f>'PP - Data'!Z10</f>
        <v>59</v>
      </c>
      <c r="AA4" s="490">
        <f>'PP - Data'!AA10</f>
        <v>56</v>
      </c>
      <c r="AB4" s="490">
        <f>'PP - Data'!AB10</f>
        <v>61</v>
      </c>
      <c r="AC4" s="490">
        <f>'PP - Data'!AC10</f>
        <v>64</v>
      </c>
      <c r="AD4" s="490">
        <f>'PP - Data'!AD10</f>
        <v>70</v>
      </c>
      <c r="AE4" s="490">
        <f>'PP - Data'!AE10</f>
        <v>43</v>
      </c>
      <c r="AF4" s="490">
        <f>'PP - Data'!AF10</f>
        <v>34</v>
      </c>
    </row>
    <row r="5">
      <c r="A5" s="491" t="s">
        <v>703</v>
      </c>
      <c r="B5" s="492">
        <f>B4/Summary!B49</f>
        <v>0.5968586387</v>
      </c>
      <c r="C5" s="492">
        <f>C4/Summary!C49</f>
        <v>0.6392405063</v>
      </c>
      <c r="D5" s="492">
        <f>D4/Summary!D49</f>
        <v>0.6201117318</v>
      </c>
      <c r="E5" s="492">
        <f>E4/Summary!E49</f>
        <v>0.608974359</v>
      </c>
      <c r="F5" s="492">
        <f>F4/Summary!F49</f>
        <v>0.6516853933</v>
      </c>
      <c r="G5" s="492">
        <f>G4/Summary!G49</f>
        <v>0.614973262</v>
      </c>
      <c r="H5" s="492">
        <f>H4/Summary!H49</f>
        <v>0.6820512821</v>
      </c>
      <c r="I5" s="492">
        <f>I4/Summary!I49</f>
        <v>0.6458333333</v>
      </c>
      <c r="J5" s="492">
        <f>J4/Summary!J49</f>
        <v>0.6991150442</v>
      </c>
      <c r="K5" s="492">
        <f>K4/Summary!K49</f>
        <v>0.5769230769</v>
      </c>
      <c r="L5" s="492">
        <f>L4/Summary!L49</f>
        <v>0.5954198473</v>
      </c>
      <c r="M5" s="492">
        <f>M4/Summary!M49</f>
        <v>0.6304347826</v>
      </c>
      <c r="N5" s="492">
        <f>N4/Summary!N49</f>
        <v>0.6285714286</v>
      </c>
      <c r="O5" s="492">
        <f>O4/Summary!O49</f>
        <v>0.6598639456</v>
      </c>
      <c r="P5" s="492">
        <f>P4/Summary!P49</f>
        <v>0.6171875</v>
      </c>
      <c r="Q5" s="492">
        <f>Q4/Summary!Q49</f>
        <v>0.5982905983</v>
      </c>
      <c r="R5" s="492">
        <f>R4/Summary!R49</f>
        <v>0.6268656716</v>
      </c>
      <c r="S5" s="492">
        <f>S4/Summary!S49</f>
        <v>0.6261682243</v>
      </c>
      <c r="T5" s="492">
        <f>T4/Summary!T49</f>
        <v>0.6470588235</v>
      </c>
      <c r="U5" s="492">
        <f>U4/Summary!U49</f>
        <v>0.6133333333</v>
      </c>
      <c r="V5" s="492">
        <f>V4/Summary!V49</f>
        <v>0.6260869565</v>
      </c>
      <c r="W5" s="492">
        <f>W4/Summary!W49</f>
        <v>0.625</v>
      </c>
      <c r="X5" s="492">
        <f>X4/Summary!X49</f>
        <v>0.6483516484</v>
      </c>
      <c r="Y5" s="492">
        <f>Y4/Summary!Y49</f>
        <v>0.6395348837</v>
      </c>
      <c r="Z5" s="492">
        <f>Z4/Summary!Z49</f>
        <v>0.6483516484</v>
      </c>
      <c r="AA5" s="492">
        <f>AA4/Summary!AA49</f>
        <v>0.5833333333</v>
      </c>
      <c r="AB5" s="492">
        <f>AB4/Summary!AB49</f>
        <v>0.580952381</v>
      </c>
      <c r="AC5" s="492">
        <f>AC4/Summary!AC49</f>
        <v>0.6153846154</v>
      </c>
      <c r="AD5" s="492">
        <f>AD4/Summary!AD49</f>
        <v>0.6730769231</v>
      </c>
      <c r="AE5" s="492">
        <f>AE4/Summary!AE49</f>
        <v>0.5890410959</v>
      </c>
      <c r="AF5" s="492">
        <f>AF4/Summary!AF49</f>
        <v>0.4927536232</v>
      </c>
    </row>
    <row r="7">
      <c r="A7" s="491" t="s">
        <v>704</v>
      </c>
      <c r="B7" s="493"/>
      <c r="C7" s="493"/>
      <c r="D7" s="493"/>
      <c r="E7" s="493"/>
      <c r="F7" s="493"/>
      <c r="G7" s="493"/>
      <c r="H7" s="493"/>
      <c r="I7" s="493"/>
      <c r="J7" s="493"/>
      <c r="K7" s="493"/>
      <c r="L7" s="493"/>
      <c r="M7" s="493"/>
      <c r="N7" s="493"/>
      <c r="O7" s="493"/>
      <c r="P7" s="493"/>
      <c r="Q7" s="493"/>
      <c r="R7" s="493"/>
      <c r="S7" s="493"/>
      <c r="T7" s="493"/>
      <c r="U7" s="493"/>
      <c r="V7" s="493"/>
      <c r="W7" s="493"/>
      <c r="X7" s="493"/>
      <c r="Y7" s="493"/>
      <c r="Z7" s="494"/>
      <c r="AA7" s="493"/>
      <c r="AB7" s="493"/>
      <c r="AC7" s="493"/>
      <c r="AD7" s="493"/>
      <c r="AE7" s="493"/>
      <c r="AF7" s="493"/>
    </row>
    <row r="8" collapsed="1">
      <c r="A8" s="4" t="s">
        <v>705</v>
      </c>
      <c r="B8" s="65">
        <f>'PP - Data'!B12</f>
        <v>0.201754386</v>
      </c>
      <c r="C8" s="65">
        <f>'PP - Data'!C12</f>
        <v>0.2574257426</v>
      </c>
      <c r="D8" s="65">
        <f>'PP - Data'!D12</f>
        <v>0.3333333333</v>
      </c>
      <c r="E8" s="65">
        <f>'PP - Data'!E12</f>
        <v>0.3263157895</v>
      </c>
      <c r="F8" s="65">
        <f>'PP - Data'!F12</f>
        <v>0.2931034483</v>
      </c>
      <c r="G8" s="65">
        <f>'PP - Data'!G12</f>
        <v>0.2956521739</v>
      </c>
      <c r="H8" s="65">
        <f>'PP - Data'!H12</f>
        <v>0.3082706767</v>
      </c>
      <c r="I8" s="65">
        <f>'PP - Data'!I12</f>
        <v>0.2688172043</v>
      </c>
      <c r="J8" s="65">
        <f>'PP - Data'!J12</f>
        <v>0.2911392405</v>
      </c>
      <c r="K8" s="65">
        <f>'PP - Data'!K12</f>
        <v>0.1666666667</v>
      </c>
      <c r="L8" s="65">
        <f>'PP - Data'!L12</f>
        <v>0.3076923077</v>
      </c>
      <c r="M8" s="65">
        <f>'PP - Data'!M12</f>
        <v>0.2183908046</v>
      </c>
      <c r="N8" s="65">
        <f>'PP - Data'!N12</f>
        <v>0.2045454545</v>
      </c>
      <c r="O8" s="65">
        <f>'PP - Data'!O12</f>
        <v>0.2886597938</v>
      </c>
      <c r="P8" s="65">
        <f>'PP - Data'!P12</f>
        <v>0.1772151899</v>
      </c>
      <c r="Q8" s="65">
        <f>'PP - Data'!Q12</f>
        <v>0.1714285714</v>
      </c>
      <c r="R8" s="65">
        <f>'PP - Data'!R12</f>
        <v>0.2142857143</v>
      </c>
      <c r="S8" s="65">
        <f>'PP - Data'!S12</f>
        <v>0.223880597</v>
      </c>
      <c r="T8" s="65">
        <f>'PP - Data'!T12</f>
        <v>0.2467532468</v>
      </c>
      <c r="U8" s="65">
        <f>'PP - Data'!U12</f>
        <v>0.2282608696</v>
      </c>
      <c r="V8" s="65">
        <f>'PP - Data'!V12</f>
        <v>0.2777777778</v>
      </c>
      <c r="W8" s="65">
        <f>'PP - Data'!W12</f>
        <v>0.2666666667</v>
      </c>
      <c r="X8" s="65">
        <f>'PP - Data'!X12</f>
        <v>0.2711864407</v>
      </c>
      <c r="Y8" s="65">
        <f>'PP - Data'!Y12</f>
        <v>0.1454545455</v>
      </c>
      <c r="Z8" s="65">
        <f>'PP - Data'!Z12</f>
        <v>0.2203389831</v>
      </c>
      <c r="AA8" s="65">
        <f>'PP - Data'!AA12</f>
        <v>0.2142857143</v>
      </c>
      <c r="AB8" s="65">
        <f>'PP - Data'!AB12</f>
        <v>0.2459016393</v>
      </c>
      <c r="AC8" s="65">
        <f>'PP - Data'!AC12</f>
        <v>0.234375</v>
      </c>
      <c r="AD8" s="65">
        <f>'PP - Data'!AD12</f>
        <v>0.2142857143</v>
      </c>
      <c r="AE8" s="65">
        <f>'PP - Data'!AE12</f>
        <v>0.2325581395</v>
      </c>
      <c r="AF8" s="65">
        <f>'PP - Data'!AF12</f>
        <v>0.4705882353</v>
      </c>
    </row>
    <row r="9" hidden="1" outlineLevel="1">
      <c r="A9" s="495" t="s">
        <v>706</v>
      </c>
    </row>
    <row r="10" hidden="1" outlineLevel="1">
      <c r="A10" s="496" t="s">
        <v>707</v>
      </c>
      <c r="B10" s="497">
        <f>'PP - Data'!B28</f>
        <v>0.7826086957</v>
      </c>
      <c r="C10" s="497">
        <f>'PP - Data'!C28</f>
        <v>0.8461538462</v>
      </c>
      <c r="D10" s="497">
        <f>'PP - Data'!D28</f>
        <v>0.5945945946</v>
      </c>
      <c r="E10" s="497">
        <f>'PP - Data'!E28</f>
        <v>0.7096774194</v>
      </c>
      <c r="F10" s="497">
        <f>'PP - Data'!F28</f>
        <v>0.7941176471</v>
      </c>
      <c r="G10" s="497">
        <f>'PP - Data'!G28</f>
        <v>0.5882352941</v>
      </c>
      <c r="H10" s="497">
        <f>'PP - Data'!H28</f>
        <v>0.756097561</v>
      </c>
      <c r="I10" s="497">
        <f>'PP - Data'!I28</f>
        <v>0.76</v>
      </c>
      <c r="J10" s="497">
        <f>'PP - Data'!J28</f>
        <v>0.7391304348</v>
      </c>
      <c r="K10" s="497">
        <f>'PP - Data'!K28</f>
        <v>0.9</v>
      </c>
      <c r="L10" s="497">
        <f>'PP - Data'!L28</f>
        <v>0.8333333333</v>
      </c>
      <c r="M10" s="497">
        <f>'PP - Data'!M28</f>
        <v>0.8421052632</v>
      </c>
      <c r="N10" s="497">
        <f>'PP - Data'!N28</f>
        <v>0.7222222222</v>
      </c>
      <c r="O10" s="497">
        <f>'PP - Data'!O28</f>
        <v>0.8214285714</v>
      </c>
      <c r="P10" s="497">
        <f>'PP - Data'!P28</f>
        <v>0.7142857143</v>
      </c>
      <c r="Q10" s="65">
        <f>'PP - Data'!Q28</f>
        <v>0.5833333333</v>
      </c>
      <c r="R10" s="65">
        <f>'PP - Data'!R28</f>
        <v>0.7222222222</v>
      </c>
      <c r="S10" s="65">
        <f>'PP - Data'!S28</f>
        <v>0.5333333333</v>
      </c>
      <c r="T10" s="65">
        <f>'PP - Data'!T28</f>
        <v>0.8421052632</v>
      </c>
      <c r="U10" s="65">
        <f>'PP - Data'!U28</f>
        <v>0.5714285714</v>
      </c>
      <c r="V10" s="65">
        <f>'PP - Data'!V28</f>
        <v>0.7</v>
      </c>
      <c r="W10" s="65">
        <f>'PP - Data'!W28</f>
        <v>0.6875</v>
      </c>
      <c r="X10" s="65">
        <f>'PP - Data'!X28</f>
        <v>0.8125</v>
      </c>
      <c r="Y10" s="65">
        <f>'PP - Data'!Y28</f>
        <v>0.5</v>
      </c>
      <c r="Z10" s="65">
        <f>'PP - Data'!Z28</f>
        <v>0.5384615385</v>
      </c>
      <c r="AA10" s="65">
        <f>'PP - Data'!AA28</f>
        <v>0.75</v>
      </c>
      <c r="AB10" s="65">
        <f>'PP - Data'!AB28</f>
        <v>0.7333333333</v>
      </c>
      <c r="AC10" s="65">
        <f>'PP - Data'!AC28</f>
        <v>0.7333333333</v>
      </c>
      <c r="AD10" s="65">
        <f>'PP - Data'!AD28</f>
        <v>0.6666666667</v>
      </c>
      <c r="AE10" s="65">
        <f>'PP - Data'!AE28</f>
        <v>0.6</v>
      </c>
      <c r="AF10" s="65">
        <f>'PP - Data'!AF28</f>
        <v>0.875</v>
      </c>
    </row>
    <row r="11" hidden="1" outlineLevel="1">
      <c r="A11" s="498" t="s">
        <v>708</v>
      </c>
      <c r="B11" s="497">
        <f>'PP - Data'!B29</f>
        <v>0.04347826087</v>
      </c>
      <c r="C11" s="497">
        <f>'PP - Data'!C29</f>
        <v>0.07692307692</v>
      </c>
      <c r="D11" s="497">
        <f>'PP - Data'!D29</f>
        <v>0.2162162162</v>
      </c>
      <c r="E11" s="497">
        <f>'PP - Data'!E29</f>
        <v>0.2258064516</v>
      </c>
      <c r="F11" s="497">
        <f>'PP - Data'!F29</f>
        <v>0.1176470588</v>
      </c>
      <c r="G11" s="497">
        <f>'PP - Data'!G29</f>
        <v>0.2647058824</v>
      </c>
      <c r="H11" s="497">
        <f>'PP - Data'!H29</f>
        <v>0.1219512195</v>
      </c>
      <c r="I11" s="497">
        <f>'PP - Data'!I29</f>
        <v>0.08</v>
      </c>
      <c r="J11" s="497">
        <f>'PP - Data'!J29</f>
        <v>0.08695652174</v>
      </c>
      <c r="K11" s="497">
        <f>'PP - Data'!K29</f>
        <v>0.1</v>
      </c>
      <c r="L11" s="497">
        <f>'PP - Data'!L29</f>
        <v>0.125</v>
      </c>
      <c r="M11" s="497">
        <f>'PP - Data'!M29</f>
        <v>0.05263157895</v>
      </c>
      <c r="N11" s="497">
        <f>'PP - Data'!N29</f>
        <v>0</v>
      </c>
      <c r="O11" s="497">
        <f>'PP - Data'!O29</f>
        <v>0.1071428571</v>
      </c>
      <c r="P11" s="497">
        <f>'PP - Data'!P29</f>
        <v>0.2142857143</v>
      </c>
      <c r="Q11" s="65">
        <f>'PP - Data'!Q29</f>
        <v>0</v>
      </c>
      <c r="R11" s="65">
        <f>'PP - Data'!R29</f>
        <v>0.2777777778</v>
      </c>
      <c r="S11" s="65">
        <f>'PP - Data'!S29</f>
        <v>0.1333333333</v>
      </c>
      <c r="T11" s="65">
        <f>'PP - Data'!T29</f>
        <v>0.05263157895</v>
      </c>
      <c r="U11" s="65">
        <f>'PP - Data'!U29</f>
        <v>0.3333333333</v>
      </c>
      <c r="V11" s="65">
        <f>'PP - Data'!V29</f>
        <v>0.05</v>
      </c>
      <c r="W11" s="65">
        <f>'PP - Data'!W29</f>
        <v>0.0625</v>
      </c>
      <c r="X11" s="65">
        <f>'PP - Data'!X29</f>
        <v>0.1875</v>
      </c>
      <c r="Y11" s="65">
        <f>'PP - Data'!Y29</f>
        <v>0.25</v>
      </c>
      <c r="Z11" s="65">
        <f>'PP - Data'!Z29</f>
        <v>0.2307692308</v>
      </c>
      <c r="AA11" s="65">
        <f>'PP - Data'!AA29</f>
        <v>0.08333333333</v>
      </c>
      <c r="AB11" s="65">
        <f>'PP - Data'!AB29</f>
        <v>0.2666666667</v>
      </c>
      <c r="AC11" s="65">
        <f>'PP - Data'!AC29</f>
        <v>0.1333333333</v>
      </c>
      <c r="AD11" s="65">
        <f>'PP - Data'!AD29</f>
        <v>0.2</v>
      </c>
      <c r="AE11" s="65">
        <f>'PP - Data'!AE29</f>
        <v>0.3</v>
      </c>
      <c r="AF11" s="65">
        <f>'PP - Data'!AF29</f>
        <v>0.0625</v>
      </c>
    </row>
    <row r="12" hidden="1" outlineLevel="1">
      <c r="A12" s="498" t="s">
        <v>709</v>
      </c>
      <c r="B12" s="497">
        <f>'PP - Data'!B30</f>
        <v>0.1739130435</v>
      </c>
      <c r="C12" s="497">
        <f>'PP - Data'!C30</f>
        <v>0.07692307692</v>
      </c>
      <c r="D12" s="497">
        <f>'PP - Data'!D30</f>
        <v>0.1891891892</v>
      </c>
      <c r="E12" s="497">
        <f>'PP - Data'!E30</f>
        <v>0.06451612903</v>
      </c>
      <c r="F12" s="497">
        <f>'PP - Data'!F30</f>
        <v>0.08823529412</v>
      </c>
      <c r="G12" s="497">
        <f>'PP - Data'!G30</f>
        <v>0.1470588235</v>
      </c>
      <c r="H12" s="497">
        <f>'PP - Data'!H30</f>
        <v>0.1219512195</v>
      </c>
      <c r="I12" s="497">
        <f>'PP - Data'!I30</f>
        <v>0.16</v>
      </c>
      <c r="J12" s="497">
        <f>'PP - Data'!J30</f>
        <v>0.1739130435</v>
      </c>
      <c r="K12" s="497">
        <f>'PP - Data'!K30</f>
        <v>0</v>
      </c>
      <c r="L12" s="497">
        <f>'PP - Data'!L30</f>
        <v>0.04166666667</v>
      </c>
      <c r="M12" s="497">
        <f>'PP - Data'!M30</f>
        <v>0.1052631579</v>
      </c>
      <c r="N12" s="497">
        <f>'PP - Data'!N30</f>
        <v>0.2777777778</v>
      </c>
      <c r="O12" s="497">
        <f>'PP - Data'!O30</f>
        <v>0.07142857143</v>
      </c>
      <c r="P12" s="497">
        <f>'PP - Data'!P30</f>
        <v>0.07142857143</v>
      </c>
      <c r="Q12" s="65">
        <f>'PP - Data'!Q30</f>
        <v>0.4166666667</v>
      </c>
      <c r="R12" s="65">
        <f>'PP - Data'!R30</f>
        <v>0</v>
      </c>
      <c r="S12" s="65">
        <f>'PP - Data'!S30</f>
        <v>0.3333333333</v>
      </c>
      <c r="T12" s="65">
        <f>'PP - Data'!T30</f>
        <v>0.1052631579</v>
      </c>
      <c r="U12" s="65">
        <f>'PP - Data'!U30</f>
        <v>0.09523809524</v>
      </c>
      <c r="V12" s="65">
        <f>'PP - Data'!V30</f>
        <v>0.25</v>
      </c>
      <c r="W12" s="65">
        <f>'PP - Data'!W30</f>
        <v>0.25</v>
      </c>
      <c r="X12" s="65">
        <f>'PP - Data'!X30</f>
        <v>0</v>
      </c>
      <c r="Y12" s="65">
        <f>'PP - Data'!Y30</f>
        <v>0.25</v>
      </c>
      <c r="Z12" s="65">
        <f>'PP - Data'!Z30</f>
        <v>0.2307692308</v>
      </c>
      <c r="AA12" s="65">
        <f>'PP - Data'!AA30</f>
        <v>0.1666666667</v>
      </c>
      <c r="AB12" s="65">
        <f>'PP - Data'!AB30</f>
        <v>0</v>
      </c>
      <c r="AC12" s="65">
        <f>'PP - Data'!AC30</f>
        <v>0.1333333333</v>
      </c>
      <c r="AD12" s="65">
        <f>'PP - Data'!AD30</f>
        <v>0.1333333333</v>
      </c>
      <c r="AE12" s="65">
        <f>'PP - Data'!AE30</f>
        <v>0.1</v>
      </c>
      <c r="AF12" s="65">
        <f>'PP - Data'!AF30</f>
        <v>0.0625</v>
      </c>
    </row>
    <row r="13">
      <c r="A13" s="4" t="s">
        <v>710</v>
      </c>
      <c r="B13" s="65">
        <f>'PP - Data'!B13</f>
        <v>0.6140350877</v>
      </c>
      <c r="C13" s="65">
        <f>'PP - Data'!C13</f>
        <v>0.5544554455</v>
      </c>
      <c r="D13" s="65">
        <f>'PP - Data'!D13</f>
        <v>0.5045045045</v>
      </c>
      <c r="E13" s="65">
        <f>'PP - Data'!E13</f>
        <v>0.5052631579</v>
      </c>
      <c r="F13" s="65">
        <f>'PP - Data'!F13</f>
        <v>0.5</v>
      </c>
      <c r="G13" s="65">
        <f>'PP - Data'!G13</f>
        <v>0.547826087</v>
      </c>
      <c r="H13" s="65">
        <f>'PP - Data'!H13</f>
        <v>0.5263157895</v>
      </c>
      <c r="I13" s="65">
        <f>'PP - Data'!I13</f>
        <v>0.5806451613</v>
      </c>
      <c r="J13" s="65">
        <f>'PP - Data'!J13</f>
        <v>0.4936708861</v>
      </c>
      <c r="K13" s="65">
        <f>'PP - Data'!K13</f>
        <v>0.6166666667</v>
      </c>
      <c r="L13" s="65">
        <f>'PP - Data'!L13</f>
        <v>0.4487179487</v>
      </c>
      <c r="M13" s="65">
        <f>'PP - Data'!M13</f>
        <v>0.632183908</v>
      </c>
      <c r="N13" s="65">
        <f>'PP - Data'!N13</f>
        <v>0.625</v>
      </c>
      <c r="O13" s="65">
        <f>'PP - Data'!O13</f>
        <v>0.5154639175</v>
      </c>
      <c r="P13" s="65">
        <f>'PP - Data'!P13</f>
        <v>0.582278481</v>
      </c>
      <c r="Q13" s="65">
        <f>'PP - Data'!Q13</f>
        <v>0.6571428571</v>
      </c>
      <c r="R13" s="65">
        <f>'PP - Data'!R13</f>
        <v>0.6071428571</v>
      </c>
      <c r="S13" s="65">
        <f>'PP - Data'!S13</f>
        <v>0.5671641791</v>
      </c>
      <c r="T13" s="65">
        <f>'PP - Data'!T13</f>
        <v>0.5714285714</v>
      </c>
      <c r="U13" s="65">
        <f>'PP - Data'!U13</f>
        <v>0.5869565217</v>
      </c>
      <c r="V13" s="65">
        <f>'PP - Data'!V13</f>
        <v>0.5416666667</v>
      </c>
      <c r="W13" s="65">
        <f>'PP - Data'!W13</f>
        <v>0.6166666667</v>
      </c>
      <c r="X13" s="65">
        <f>'PP - Data'!X13</f>
        <v>0.593220339</v>
      </c>
      <c r="Y13" s="65">
        <f>'PP - Data'!Y13</f>
        <v>0.6909090909</v>
      </c>
      <c r="Z13" s="65">
        <f>'PP - Data'!Z13</f>
        <v>0.5762711864</v>
      </c>
      <c r="AA13" s="65">
        <f>'PP - Data'!AA13</f>
        <v>0.6428571429</v>
      </c>
      <c r="AB13" s="65">
        <f>'PP - Data'!AB13</f>
        <v>0.5573770492</v>
      </c>
      <c r="AC13" s="65">
        <f>'PP - Data'!AC13</f>
        <v>0.546875</v>
      </c>
      <c r="AD13" s="65">
        <f>'PP - Data'!AD13</f>
        <v>0.6285714286</v>
      </c>
      <c r="AE13" s="65">
        <f>'PP - Data'!AE13</f>
        <v>0.6046511628</v>
      </c>
      <c r="AF13" s="65">
        <f>'PP - Data'!AF13</f>
        <v>0.4117647059</v>
      </c>
    </row>
    <row r="14">
      <c r="A14" s="4" t="s">
        <v>104</v>
      </c>
      <c r="B14" s="65">
        <f>'PP - Data'!B14</f>
        <v>0.008771929825</v>
      </c>
      <c r="C14" s="65">
        <f>'PP - Data'!C14</f>
        <v>0.0198019802</v>
      </c>
      <c r="D14" s="65">
        <f>'PP - Data'!D14</f>
        <v>0.02702702703</v>
      </c>
      <c r="E14" s="65">
        <f>'PP - Data'!E14</f>
        <v>0.01052631579</v>
      </c>
      <c r="F14" s="65">
        <f>'PP - Data'!F14</f>
        <v>0</v>
      </c>
      <c r="G14" s="65">
        <f>'PP - Data'!G14</f>
        <v>0.008695652174</v>
      </c>
      <c r="H14" s="65">
        <f>'PP - Data'!H14</f>
        <v>0.007518796992</v>
      </c>
      <c r="I14" s="65">
        <f>'PP - Data'!I14</f>
        <v>0.01075268817</v>
      </c>
      <c r="J14" s="65">
        <f>'PP - Data'!J14</f>
        <v>0.03797468354</v>
      </c>
      <c r="K14" s="65">
        <f>'PP - Data'!K14</f>
        <v>0.01666666667</v>
      </c>
      <c r="L14" s="65">
        <f>'PP - Data'!L14</f>
        <v>0</v>
      </c>
      <c r="M14" s="65">
        <f>'PP - Data'!M14</f>
        <v>0</v>
      </c>
      <c r="N14" s="65">
        <f>'PP - Data'!N14</f>
        <v>0.01136363636</v>
      </c>
      <c r="O14" s="65">
        <f>'PP - Data'!O14</f>
        <v>0.01030927835</v>
      </c>
      <c r="P14" s="65">
        <f>'PP - Data'!P14</f>
        <v>0.0253164557</v>
      </c>
      <c r="Q14" s="65">
        <f>'PP - Data'!Q14</f>
        <v>0.01428571429</v>
      </c>
      <c r="R14" s="65">
        <f>'PP - Data'!R14</f>
        <v>0.0119047619</v>
      </c>
      <c r="S14" s="65">
        <f>'PP - Data'!S14</f>
        <v>0.01492537313</v>
      </c>
      <c r="T14" s="65">
        <f>'PP - Data'!T14</f>
        <v>0.07792207792</v>
      </c>
      <c r="U14" s="65">
        <f>'PP - Data'!U14</f>
        <v>0.02173913043</v>
      </c>
      <c r="V14" s="65">
        <f>'PP - Data'!V14</f>
        <v>0</v>
      </c>
      <c r="W14" s="65">
        <f>'PP - Data'!W14</f>
        <v>0.01666666667</v>
      </c>
      <c r="X14" s="65">
        <f>'PP - Data'!X14</f>
        <v>0</v>
      </c>
      <c r="Y14" s="65">
        <f>'PP - Data'!Y14</f>
        <v>0</v>
      </c>
      <c r="Z14" s="65">
        <f>'PP - Data'!Z14</f>
        <v>0.03389830508</v>
      </c>
      <c r="AA14" s="65">
        <f>'PP - Data'!AA14</f>
        <v>0.03571428571</v>
      </c>
      <c r="AB14" s="65">
        <f>'PP - Data'!AB14</f>
        <v>0.01639344262</v>
      </c>
      <c r="AC14" s="65">
        <f>'PP - Data'!AC14</f>
        <v>0.015625</v>
      </c>
      <c r="AD14" s="65">
        <f>'PP - Data'!AD14</f>
        <v>0.01428571429</v>
      </c>
      <c r="AE14" s="65">
        <f>'PP - Data'!AE14</f>
        <v>0</v>
      </c>
      <c r="AF14" s="65">
        <f>'PP - Data'!AF14</f>
        <v>0</v>
      </c>
    </row>
    <row r="15">
      <c r="A15" s="4" t="s">
        <v>711</v>
      </c>
      <c r="B15" s="65">
        <f>'PP - Data'!B15</f>
        <v>0.008771929825</v>
      </c>
      <c r="C15" s="65">
        <f>'PP - Data'!C15</f>
        <v>0.0396039604</v>
      </c>
      <c r="D15" s="65">
        <f>'PP - Data'!D15</f>
        <v>0.01801801802</v>
      </c>
      <c r="E15" s="65">
        <f>'PP - Data'!E15</f>
        <v>0.01052631579</v>
      </c>
      <c r="F15" s="65">
        <f>'PP - Data'!F15</f>
        <v>0.05172413793</v>
      </c>
      <c r="G15" s="65">
        <f>'PP - Data'!G15</f>
        <v>0.01739130435</v>
      </c>
      <c r="H15" s="65">
        <f>'PP - Data'!H15</f>
        <v>0.02255639098</v>
      </c>
      <c r="I15" s="65">
        <f>'PP - Data'!I15</f>
        <v>0</v>
      </c>
      <c r="J15" s="65">
        <f>'PP - Data'!J15</f>
        <v>0</v>
      </c>
      <c r="K15" s="65">
        <f>'PP - Data'!K15</f>
        <v>0.01666666667</v>
      </c>
      <c r="L15" s="65">
        <f>'PP - Data'!L15</f>
        <v>0.02564102564</v>
      </c>
      <c r="M15" s="65">
        <f>'PP - Data'!M15</f>
        <v>0.03448275862</v>
      </c>
      <c r="N15" s="65">
        <f>'PP - Data'!N15</f>
        <v>0.03409090909</v>
      </c>
      <c r="O15" s="65">
        <f>'PP - Data'!O15</f>
        <v>0.01030927835</v>
      </c>
      <c r="P15" s="65">
        <f>'PP - Data'!P15</f>
        <v>0.03797468354</v>
      </c>
      <c r="Q15" s="65">
        <f>'PP - Data'!Q15</f>
        <v>0.01428571429</v>
      </c>
      <c r="R15" s="65">
        <f>'PP - Data'!R15</f>
        <v>0.04761904762</v>
      </c>
      <c r="S15" s="65">
        <f>'PP - Data'!S15</f>
        <v>0</v>
      </c>
      <c r="T15" s="65">
        <f>'PP - Data'!T15</f>
        <v>0.01298701299</v>
      </c>
      <c r="U15" s="65">
        <f>'PP - Data'!U15</f>
        <v>0.01086956522</v>
      </c>
      <c r="V15" s="65">
        <f>'PP - Data'!V15</f>
        <v>0.04166666667</v>
      </c>
      <c r="W15" s="65">
        <f>'PP - Data'!W15</f>
        <v>0.05</v>
      </c>
      <c r="X15" s="65">
        <f>'PP - Data'!X15</f>
        <v>0.03389830508</v>
      </c>
      <c r="Y15" s="65">
        <f>'PP - Data'!Y15</f>
        <v>0.01818181818</v>
      </c>
      <c r="Z15" s="65">
        <f>'PP - Data'!Z15</f>
        <v>0.01694915254</v>
      </c>
      <c r="AA15" s="65">
        <f>'PP - Data'!AA15</f>
        <v>0.03571428571</v>
      </c>
      <c r="AB15" s="65">
        <f>'PP - Data'!AB15</f>
        <v>0.01639344262</v>
      </c>
      <c r="AC15" s="65">
        <f>'PP - Data'!AC15</f>
        <v>0</v>
      </c>
      <c r="AD15" s="65">
        <f>'PP - Data'!AD15</f>
        <v>0.01428571429</v>
      </c>
      <c r="AE15" s="65">
        <f>'PP - Data'!AE15</f>
        <v>0</v>
      </c>
      <c r="AF15" s="65">
        <f>'PP - Data'!AF15</f>
        <v>0</v>
      </c>
    </row>
    <row r="16">
      <c r="A16" s="4" t="s">
        <v>712</v>
      </c>
      <c r="B16" s="65">
        <f>'PP - Data'!B16</f>
        <v>0.0701754386</v>
      </c>
      <c r="C16" s="65">
        <f>'PP - Data'!C16</f>
        <v>0.009900990099</v>
      </c>
      <c r="D16" s="65">
        <f>'PP - Data'!D16</f>
        <v>0.03603603604</v>
      </c>
      <c r="E16" s="65">
        <f>'PP - Data'!E16</f>
        <v>0.05263157895</v>
      </c>
      <c r="F16" s="65">
        <f>'PP - Data'!F16</f>
        <v>0.05172413793</v>
      </c>
      <c r="G16" s="65">
        <f>'PP - Data'!G16</f>
        <v>0.05217391304</v>
      </c>
      <c r="H16" s="65">
        <f>'PP - Data'!H16</f>
        <v>0.07518796992</v>
      </c>
      <c r="I16" s="65">
        <f>'PP - Data'!I16</f>
        <v>0.06451612903</v>
      </c>
      <c r="J16" s="65">
        <f>'PP - Data'!J16</f>
        <v>0.07594936709</v>
      </c>
      <c r="K16" s="65">
        <f>'PP - Data'!K16</f>
        <v>0.03333333333</v>
      </c>
      <c r="L16" s="65">
        <f>'PP - Data'!L16</f>
        <v>0.1153846154</v>
      </c>
      <c r="M16" s="65">
        <f>'PP - Data'!M16</f>
        <v>0.06896551724</v>
      </c>
      <c r="N16" s="65">
        <f>'PP - Data'!N16</f>
        <v>0.07954545455</v>
      </c>
      <c r="O16" s="65">
        <f>'PP - Data'!O16</f>
        <v>0.07216494845</v>
      </c>
      <c r="P16" s="65">
        <f>'PP - Data'!P16</f>
        <v>0.07594936709</v>
      </c>
      <c r="Q16" s="65">
        <f>'PP - Data'!Q16</f>
        <v>0.05714285714</v>
      </c>
      <c r="R16" s="65">
        <f>'PP - Data'!R16</f>
        <v>0.05952380952</v>
      </c>
      <c r="S16" s="65">
        <f>'PP - Data'!S16</f>
        <v>0.0447761194</v>
      </c>
      <c r="T16" s="65">
        <f>'PP - Data'!T16</f>
        <v>0.01298701299</v>
      </c>
      <c r="U16" s="65">
        <f>'PP - Data'!U16</f>
        <v>0.05434782609</v>
      </c>
      <c r="V16" s="65">
        <f>'PP - Data'!V16</f>
        <v>0.08333333333</v>
      </c>
      <c r="W16" s="65">
        <f>'PP - Data'!W16</f>
        <v>0.03333333333</v>
      </c>
      <c r="X16" s="65">
        <f>'PP - Data'!X16</f>
        <v>0.05084745763</v>
      </c>
      <c r="Y16" s="65">
        <f>'PP - Data'!Y16</f>
        <v>0.05454545455</v>
      </c>
      <c r="Z16" s="65">
        <f>'PP - Data'!Z16</f>
        <v>0.05084745763</v>
      </c>
      <c r="AA16" s="65">
        <f>'PP - Data'!AA16</f>
        <v>0.01785714286</v>
      </c>
      <c r="AB16" s="65">
        <f>'PP - Data'!AB16</f>
        <v>0.06557377049</v>
      </c>
      <c r="AC16" s="65">
        <f>'PP - Data'!AC16</f>
        <v>0.109375</v>
      </c>
      <c r="AD16" s="65">
        <f>'PP - Data'!AD16</f>
        <v>0.02857142857</v>
      </c>
      <c r="AE16" s="65">
        <f>'PP - Data'!AE16</f>
        <v>0.06976744186</v>
      </c>
      <c r="AF16" s="65">
        <f>'PP - Data'!AF16</f>
        <v>0.05882352941</v>
      </c>
    </row>
    <row r="17">
      <c r="A17" s="4" t="s">
        <v>713</v>
      </c>
      <c r="B17" s="65">
        <f>'PP - Data'!B17</f>
        <v>0</v>
      </c>
      <c r="C17" s="65">
        <f>'PP - Data'!C17</f>
        <v>0.009900990099</v>
      </c>
      <c r="D17" s="65">
        <f>'PP - Data'!D17</f>
        <v>0.03603603604</v>
      </c>
      <c r="E17" s="65">
        <f>'PP - Data'!E17</f>
        <v>0.02105263158</v>
      </c>
      <c r="F17" s="65">
        <f>'PP - Data'!F17</f>
        <v>0</v>
      </c>
      <c r="G17" s="65">
        <f>'PP - Data'!G17</f>
        <v>0</v>
      </c>
      <c r="H17" s="65">
        <f>'PP - Data'!H17</f>
        <v>0.007518796992</v>
      </c>
      <c r="I17" s="65">
        <f>'PP - Data'!I17</f>
        <v>0</v>
      </c>
      <c r="J17" s="65">
        <f>'PP - Data'!J17</f>
        <v>0</v>
      </c>
      <c r="K17" s="65">
        <f>'PP - Data'!K17</f>
        <v>0.03333333333</v>
      </c>
      <c r="L17" s="65">
        <f>'PP - Data'!L17</f>
        <v>0.01282051282</v>
      </c>
      <c r="M17" s="65">
        <f>'PP - Data'!M17</f>
        <v>0.01149425287</v>
      </c>
      <c r="N17" s="65">
        <f>'PP - Data'!N17</f>
        <v>0.01136363636</v>
      </c>
      <c r="O17" s="65">
        <f>'PP - Data'!O17</f>
        <v>0</v>
      </c>
      <c r="P17" s="65">
        <f>'PP - Data'!P17</f>
        <v>0.01265822785</v>
      </c>
      <c r="Q17" s="65">
        <f>'PP - Data'!Q17</f>
        <v>0</v>
      </c>
      <c r="R17" s="65">
        <f>'PP - Data'!R17</f>
        <v>0</v>
      </c>
      <c r="S17" s="65">
        <f>'PP - Data'!S17</f>
        <v>0.01492537313</v>
      </c>
      <c r="T17" s="65">
        <f>'PP - Data'!T17</f>
        <v>0.01298701299</v>
      </c>
      <c r="U17" s="65">
        <f>'PP - Data'!U17</f>
        <v>0.01086956522</v>
      </c>
      <c r="V17" s="65">
        <f>'PP - Data'!V17</f>
        <v>0.01388888889</v>
      </c>
      <c r="W17" s="65">
        <f>'PP - Data'!W17</f>
        <v>0</v>
      </c>
      <c r="X17" s="65">
        <f>'PP - Data'!X17</f>
        <v>0</v>
      </c>
      <c r="Y17" s="65">
        <f>'PP - Data'!Y17</f>
        <v>0</v>
      </c>
      <c r="Z17" s="65">
        <f>'PP - Data'!Z17</f>
        <v>0.01694915254</v>
      </c>
      <c r="AA17" s="65">
        <f>'PP - Data'!AA17</f>
        <v>0.01785714286</v>
      </c>
      <c r="AB17" s="65">
        <f>'PP - Data'!AB17</f>
        <v>0</v>
      </c>
      <c r="AC17" s="65">
        <f>'PP - Data'!AC17</f>
        <v>0.015625</v>
      </c>
      <c r="AD17" s="65">
        <f>'PP - Data'!AD17</f>
        <v>0.01428571429</v>
      </c>
      <c r="AE17" s="65">
        <f>'PP - Data'!AE17</f>
        <v>0</v>
      </c>
      <c r="AF17" s="65">
        <f>'PP - Data'!AF17</f>
        <v>0</v>
      </c>
    </row>
    <row r="18">
      <c r="A18" s="4" t="s">
        <v>714</v>
      </c>
      <c r="B18" s="65">
        <f>'PP - Data'!B18</f>
        <v>0.09649122807</v>
      </c>
      <c r="C18" s="65">
        <f>'PP - Data'!C18</f>
        <v>0.1089108911</v>
      </c>
      <c r="D18" s="65">
        <f>'PP - Data'!D18</f>
        <v>0.04504504505</v>
      </c>
      <c r="E18" s="65">
        <f>'PP - Data'!E18</f>
        <v>0.07368421053</v>
      </c>
      <c r="F18" s="65">
        <f>'PP - Data'!F18</f>
        <v>0.1034482759</v>
      </c>
      <c r="G18" s="65">
        <f>'PP - Data'!G18</f>
        <v>0.06956521739</v>
      </c>
      <c r="H18" s="65">
        <f>'PP - Data'!H18</f>
        <v>0.05263157895</v>
      </c>
      <c r="I18" s="65">
        <f>'PP - Data'!I18</f>
        <v>0.0752688172</v>
      </c>
      <c r="J18" s="65">
        <f>'PP - Data'!J18</f>
        <v>0.1012658228</v>
      </c>
      <c r="K18" s="65">
        <f>'PP - Data'!K18</f>
        <v>0.1166666667</v>
      </c>
      <c r="L18" s="65">
        <f>'PP - Data'!L18</f>
        <v>0.08974358974</v>
      </c>
      <c r="M18" s="65">
        <f>'PP - Data'!M18</f>
        <v>0.03448275862</v>
      </c>
      <c r="N18" s="65">
        <f>'PP - Data'!N18</f>
        <v>0.03409090909</v>
      </c>
      <c r="O18" s="65">
        <f>'PP - Data'!O18</f>
        <v>0.1030927835</v>
      </c>
      <c r="P18" s="65">
        <f>'PP - Data'!P18</f>
        <v>0.08860759494</v>
      </c>
      <c r="Q18" s="65">
        <f>'PP - Data'!Q18</f>
        <v>0.07142857143</v>
      </c>
      <c r="R18" s="65">
        <f>'PP - Data'!R18</f>
        <v>0.04761904762</v>
      </c>
      <c r="S18" s="65">
        <f>'PP - Data'!S18</f>
        <v>0.1343283582</v>
      </c>
      <c r="T18" s="65">
        <f>'PP - Data'!T18</f>
        <v>0.06493506494</v>
      </c>
      <c r="U18" s="65">
        <f>'PP - Data'!U18</f>
        <v>0.08695652174</v>
      </c>
      <c r="V18" s="65">
        <f>'PP - Data'!V18</f>
        <v>0.04166666667</v>
      </c>
      <c r="W18" s="65">
        <f>'PP - Data'!W18</f>
        <v>0.01666666667</v>
      </c>
      <c r="X18" s="65">
        <f>'PP - Data'!X18</f>
        <v>0.05084745763</v>
      </c>
      <c r="Y18" s="65">
        <f>'PP - Data'!Y18</f>
        <v>0.09090909091</v>
      </c>
      <c r="Z18" s="65">
        <f>'PP - Data'!Z18</f>
        <v>0.06779661017</v>
      </c>
      <c r="AA18" s="65">
        <f>'PP - Data'!AA18</f>
        <v>0.03571428571</v>
      </c>
      <c r="AB18" s="65">
        <f>'PP - Data'!AB18</f>
        <v>0.08196721311</v>
      </c>
      <c r="AC18" s="65">
        <f>'PP - Data'!AC18</f>
        <v>0.078125</v>
      </c>
      <c r="AD18" s="65">
        <f>'PP - Data'!AD18</f>
        <v>0.07142857143</v>
      </c>
      <c r="AE18" s="65">
        <f>'PP - Data'!AE18</f>
        <v>0.06976744186</v>
      </c>
      <c r="AF18" s="65">
        <f>'PP - Data'!AF18</f>
        <v>0.05882352941</v>
      </c>
    </row>
    <row r="19">
      <c r="A19" s="499" t="s">
        <v>715</v>
      </c>
      <c r="B19" s="500">
        <f>'PP - Data'!B19</f>
        <v>0</v>
      </c>
      <c r="C19" s="500">
        <f>'PP - Data'!C19</f>
        <v>0</v>
      </c>
      <c r="D19" s="500">
        <f>'PP - Data'!D19</f>
        <v>0</v>
      </c>
      <c r="E19" s="500">
        <f>'PP - Data'!E19</f>
        <v>0</v>
      </c>
      <c r="F19" s="500">
        <f>'PP - Data'!F19</f>
        <v>0</v>
      </c>
      <c r="G19" s="500">
        <f>'PP - Data'!G19</f>
        <v>0.008695652174</v>
      </c>
      <c r="H19" s="500">
        <f>'PP - Data'!H19</f>
        <v>0</v>
      </c>
      <c r="I19" s="500">
        <f>'PP - Data'!I19</f>
        <v>0</v>
      </c>
      <c r="J19" s="500">
        <f>'PP - Data'!J19</f>
        <v>0</v>
      </c>
      <c r="K19" s="500">
        <f>'PP - Data'!K19</f>
        <v>0</v>
      </c>
      <c r="L19" s="500">
        <f>'PP - Data'!L19</f>
        <v>0</v>
      </c>
      <c r="M19" s="500">
        <f>'PP - Data'!M19</f>
        <v>0</v>
      </c>
      <c r="N19" s="500">
        <f>'PP - Data'!N19</f>
        <v>0</v>
      </c>
      <c r="O19" s="500">
        <f>'PP - Data'!O19</f>
        <v>0</v>
      </c>
      <c r="P19" s="500">
        <f>'PP - Data'!P19</f>
        <v>0</v>
      </c>
      <c r="Q19" s="500">
        <f>'PP - Data'!Q19</f>
        <v>0.01428571429</v>
      </c>
      <c r="R19" s="500">
        <f>'PP - Data'!R19</f>
        <v>0.0119047619</v>
      </c>
      <c r="S19" s="500">
        <f>'PP - Data'!S19</f>
        <v>0</v>
      </c>
      <c r="T19" s="500">
        <f>'PP - Data'!T19</f>
        <v>0</v>
      </c>
      <c r="U19" s="500">
        <f>'PP - Data'!U19</f>
        <v>0</v>
      </c>
      <c r="V19" s="500">
        <f>'PP - Data'!V19</f>
        <v>0</v>
      </c>
      <c r="W19" s="500">
        <f>'PP - Data'!W19</f>
        <v>0</v>
      </c>
      <c r="X19" s="500">
        <f>'PP - Data'!X19</f>
        <v>0</v>
      </c>
      <c r="Y19" s="500">
        <f>'PP - Data'!Y19</f>
        <v>0</v>
      </c>
      <c r="Z19" s="500">
        <f>'PP - Data'!Z19</f>
        <v>0.01694915254</v>
      </c>
      <c r="AA19" s="500">
        <f>'PP - Data'!AA19</f>
        <v>0</v>
      </c>
      <c r="AB19" s="500">
        <f>'PP - Data'!AB19</f>
        <v>0.01639344262</v>
      </c>
      <c r="AC19" s="500">
        <f>'PP - Data'!AC19</f>
        <v>0</v>
      </c>
      <c r="AD19" s="500">
        <f>'PP - Data'!AD19</f>
        <v>0.01428571429</v>
      </c>
      <c r="AE19" s="500">
        <f>'PP - Data'!AE19</f>
        <v>0.02325581395</v>
      </c>
      <c r="AF19" s="500">
        <f>'PP - Data'!AF19</f>
        <v>0</v>
      </c>
    </row>
    <row r="20">
      <c r="G20" s="75"/>
    </row>
    <row r="21">
      <c r="A21" s="501"/>
      <c r="B21" s="501"/>
      <c r="C21" s="501"/>
      <c r="D21" s="501"/>
      <c r="E21" s="501"/>
      <c r="F21" s="501"/>
      <c r="G21" s="502"/>
      <c r="H21" s="501"/>
      <c r="I21" s="501"/>
      <c r="J21" s="501"/>
      <c r="K21" s="501"/>
      <c r="L21" s="501"/>
      <c r="M21" s="501"/>
      <c r="N21" s="501"/>
      <c r="O21" s="501"/>
      <c r="P21" s="501"/>
      <c r="Q21" s="501"/>
      <c r="R21" s="501"/>
      <c r="S21" s="501"/>
      <c r="T21" s="501"/>
      <c r="U21" s="501"/>
      <c r="V21" s="501"/>
      <c r="W21" s="501"/>
      <c r="X21" s="501"/>
      <c r="Y21" s="501"/>
      <c r="Z21" s="501"/>
      <c r="AA21" s="501"/>
      <c r="AB21" s="501"/>
      <c r="AC21" s="501"/>
      <c r="AD21" s="501"/>
      <c r="AE21" s="501"/>
      <c r="AF21" s="501"/>
    </row>
    <row r="22">
      <c r="A22" s="501"/>
      <c r="B22" s="501"/>
      <c r="C22" s="501"/>
      <c r="D22" s="501"/>
      <c r="E22" s="501"/>
      <c r="F22" s="501"/>
      <c r="G22" s="502"/>
      <c r="H22" s="501"/>
      <c r="I22" s="501"/>
      <c r="J22" s="501"/>
      <c r="K22" s="501"/>
      <c r="L22" s="501"/>
      <c r="M22" s="501"/>
      <c r="N22" s="501"/>
      <c r="O22" s="501"/>
      <c r="P22" s="501"/>
      <c r="Q22" s="501"/>
      <c r="R22" s="501"/>
      <c r="S22" s="501"/>
      <c r="T22" s="501"/>
      <c r="U22" s="501"/>
      <c r="V22" s="501"/>
      <c r="W22" s="501"/>
      <c r="X22" s="501"/>
      <c r="Y22" s="501"/>
      <c r="Z22" s="501"/>
      <c r="AA22" s="501"/>
      <c r="AB22" s="501"/>
      <c r="AC22" s="501"/>
      <c r="AD22" s="501"/>
      <c r="AE22" s="501"/>
      <c r="AF22" s="501"/>
    </row>
    <row r="24">
      <c r="A24" s="489" t="s">
        <v>702</v>
      </c>
      <c r="B24" s="490">
        <f>'PP - Data'!B60</f>
        <v>115</v>
      </c>
      <c r="C24" s="490">
        <f>'PP - Data'!C60</f>
        <v>100</v>
      </c>
      <c r="D24" s="490">
        <f>'PP - Data'!D60</f>
        <v>111</v>
      </c>
      <c r="E24" s="490">
        <f>'PP - Data'!E60</f>
        <v>95</v>
      </c>
      <c r="F24" s="490">
        <f>'PP - Data'!F60</f>
        <v>117</v>
      </c>
      <c r="G24" s="490">
        <f>'PP - Data'!G60</f>
        <v>115</v>
      </c>
      <c r="H24" s="490">
        <f>'PP - Data'!H60</f>
        <v>132</v>
      </c>
      <c r="I24" s="490">
        <f>'PP - Data'!I60</f>
        <v>94</v>
      </c>
      <c r="J24" s="490">
        <f>'PP - Data'!J60</f>
        <v>79</v>
      </c>
      <c r="K24" s="490">
        <f>'PP - Data'!K60</f>
        <v>59</v>
      </c>
      <c r="L24" s="490">
        <f>'PP - Data'!L60</f>
        <v>78</v>
      </c>
      <c r="M24" s="490">
        <f>'PP - Data'!M60</f>
        <v>87</v>
      </c>
      <c r="N24" s="490">
        <f>'PP - Data'!N60</f>
        <v>89</v>
      </c>
      <c r="O24" s="490">
        <f>'PP - Data'!O60</f>
        <v>97</v>
      </c>
      <c r="P24" s="490">
        <f>'PP - Data'!P60</f>
        <v>78</v>
      </c>
      <c r="Q24" s="490">
        <f>'PP - Data'!Q60</f>
        <v>70</v>
      </c>
      <c r="R24" s="490">
        <f>'PP - Data'!R60</f>
        <v>84</v>
      </c>
      <c r="S24" s="490">
        <f>'PP - Data'!S60</f>
        <v>67</v>
      </c>
      <c r="T24" s="490">
        <f>'PP - Data'!T60</f>
        <v>77</v>
      </c>
      <c r="U24" s="490">
        <f>'PP - Data'!U60</f>
        <v>92</v>
      </c>
      <c r="V24" s="490">
        <f>'PP - Data'!V60</f>
        <v>72</v>
      </c>
      <c r="W24" s="490">
        <f>'PP - Data'!W60</f>
        <v>60</v>
      </c>
      <c r="X24" s="490">
        <f>'PP - Data'!X60</f>
        <v>59</v>
      </c>
      <c r="Y24" s="490">
        <f>'PP - Data'!Y60</f>
        <v>55</v>
      </c>
      <c r="Z24" s="490">
        <f>'PP - Data'!Z60</f>
        <v>59</v>
      </c>
      <c r="AA24" s="490">
        <f>'PP - Data'!AA60</f>
        <v>56</v>
      </c>
      <c r="AB24" s="490">
        <f>'PP - Data'!AB60</f>
        <v>62</v>
      </c>
      <c r="AC24" s="490">
        <f>'PP - Data'!AC60</f>
        <v>65</v>
      </c>
      <c r="AD24" s="490">
        <f>'PP - Data'!AD60</f>
        <v>68</v>
      </c>
      <c r="AE24" s="490">
        <f>'PP - Data'!AE60</f>
        <v>43</v>
      </c>
      <c r="AF24" s="490">
        <f>'PP - Data'!AF60</f>
        <v>34</v>
      </c>
    </row>
    <row r="25">
      <c r="A25" s="491" t="s">
        <v>703</v>
      </c>
      <c r="B25" s="492">
        <f>B24/Summary!B49</f>
        <v>0.6020942408</v>
      </c>
      <c r="C25" s="492">
        <f>C24/Summary!C49</f>
        <v>0.6329113924</v>
      </c>
      <c r="D25" s="492">
        <f>D24/Summary!D49</f>
        <v>0.6201117318</v>
      </c>
      <c r="E25" s="492">
        <f>E24/Summary!E49</f>
        <v>0.608974359</v>
      </c>
      <c r="F25" s="492">
        <f>F24/Summary!F49</f>
        <v>0.6573033708</v>
      </c>
      <c r="G25" s="492">
        <f>G24/Summary!G49</f>
        <v>0.614973262</v>
      </c>
      <c r="H25" s="492">
        <f>H24/Summary!H49</f>
        <v>0.6769230769</v>
      </c>
      <c r="I25" s="492">
        <f>I24/Summary!I49</f>
        <v>0.6527777778</v>
      </c>
      <c r="J25" s="492">
        <f>J24/Summary!J49</f>
        <v>0.6991150442</v>
      </c>
      <c r="K25" s="492">
        <f>K24/Summary!K49</f>
        <v>0.5673076923</v>
      </c>
      <c r="L25" s="492">
        <f>L24/Summary!L49</f>
        <v>0.5954198473</v>
      </c>
      <c r="M25" s="492">
        <f>M24/Summary!M49</f>
        <v>0.6304347826</v>
      </c>
      <c r="N25" s="492">
        <f>N24/Summary!N49</f>
        <v>0.6357142857</v>
      </c>
      <c r="O25" s="492">
        <f>O24/Summary!O49</f>
        <v>0.6598639456</v>
      </c>
      <c r="P25" s="492">
        <f>P24/Summary!P49</f>
        <v>0.609375</v>
      </c>
      <c r="Q25" s="492">
        <f>Q24/Summary!Q49</f>
        <v>0.5982905983</v>
      </c>
      <c r="R25" s="492">
        <f>R24/Summary!R49</f>
        <v>0.6268656716</v>
      </c>
      <c r="S25" s="492">
        <f>S24/Summary!S49</f>
        <v>0.6261682243</v>
      </c>
      <c r="T25" s="492">
        <f>T24/Summary!T49</f>
        <v>0.6470588235</v>
      </c>
      <c r="U25" s="492">
        <f>U24/Summary!U49</f>
        <v>0.6133333333</v>
      </c>
      <c r="V25" s="492">
        <f>V24/Summary!V49</f>
        <v>0.6260869565</v>
      </c>
      <c r="W25" s="492">
        <f>W24/Summary!W49</f>
        <v>0.625</v>
      </c>
      <c r="X25" s="492">
        <f>X24/Summary!X49</f>
        <v>0.6483516484</v>
      </c>
      <c r="Y25" s="492">
        <f>Y24/Summary!Y49</f>
        <v>0.6395348837</v>
      </c>
      <c r="Z25" s="492">
        <f>Z24/Summary!Z49</f>
        <v>0.6483516484</v>
      </c>
      <c r="AA25" s="492">
        <f>AA24/Summary!AA49</f>
        <v>0.5833333333</v>
      </c>
      <c r="AB25" s="492">
        <f>AB24/Summary!AB49</f>
        <v>0.5904761905</v>
      </c>
      <c r="AC25" s="492">
        <f>AC24/Summary!AC49</f>
        <v>0.625</v>
      </c>
      <c r="AD25" s="492">
        <f>AD24/Summary!AD49</f>
        <v>0.6538461538</v>
      </c>
      <c r="AE25" s="492">
        <f>AE24/Summary!AE49</f>
        <v>0.5890410959</v>
      </c>
      <c r="AF25" s="492">
        <f>AF24/Summary!AF49</f>
        <v>0.4927536232</v>
      </c>
    </row>
    <row r="27">
      <c r="A27" s="503" t="s">
        <v>716</v>
      </c>
      <c r="B27" s="504"/>
      <c r="C27" s="504"/>
      <c r="D27" s="504"/>
      <c r="E27" s="504"/>
      <c r="F27" s="504"/>
      <c r="G27" s="505"/>
      <c r="H27" s="504"/>
      <c r="I27" s="504"/>
      <c r="J27" s="504"/>
      <c r="K27" s="504"/>
      <c r="L27" s="504"/>
      <c r="M27" s="504"/>
      <c r="N27" s="504"/>
      <c r="O27" s="504"/>
      <c r="P27" s="504"/>
      <c r="Q27" s="504"/>
      <c r="R27" s="504"/>
      <c r="S27" s="504"/>
      <c r="T27" s="504"/>
      <c r="U27" s="504"/>
      <c r="V27" s="504"/>
      <c r="W27" s="504"/>
      <c r="X27" s="504"/>
      <c r="Y27" s="504"/>
      <c r="Z27" s="504"/>
      <c r="AA27" s="504"/>
      <c r="AB27" s="504"/>
      <c r="AC27" s="504"/>
      <c r="AD27" s="504"/>
      <c r="AE27" s="504"/>
      <c r="AF27" s="504"/>
    </row>
    <row r="28" collapsed="1">
      <c r="A28" s="4" t="s">
        <v>717</v>
      </c>
      <c r="B28" s="65">
        <f>'PP - Data'!B62</f>
        <v>0.3217391304</v>
      </c>
      <c r="C28" s="65">
        <f>'PP - Data'!C62</f>
        <v>0.31</v>
      </c>
      <c r="D28" s="65">
        <f>'PP - Data'!D62</f>
        <v>0.2972972973</v>
      </c>
      <c r="E28" s="65">
        <f>'PP - Data'!E62</f>
        <v>0.3052631579</v>
      </c>
      <c r="F28" s="65">
        <f>'PP - Data'!F62</f>
        <v>0.3247863248</v>
      </c>
      <c r="G28" s="65">
        <f>'PP - Data'!G62</f>
        <v>0.3043478261</v>
      </c>
      <c r="H28" s="65">
        <f>'PP - Data'!H62</f>
        <v>0.2803030303</v>
      </c>
      <c r="I28" s="65">
        <f>'PP - Data'!I62</f>
        <v>0.2872340426</v>
      </c>
      <c r="J28" s="65">
        <f>'PP - Data'!J62</f>
        <v>0.2911392405</v>
      </c>
      <c r="K28" s="65">
        <f>'PP - Data'!K62</f>
        <v>0.2033898305</v>
      </c>
      <c r="L28" s="65">
        <f>'PP - Data'!L62</f>
        <v>0.2435897436</v>
      </c>
      <c r="M28" s="65">
        <f>'PP - Data'!M62</f>
        <v>0.2643678161</v>
      </c>
      <c r="N28" s="65">
        <f>'PP - Data'!N62</f>
        <v>0.3033707865</v>
      </c>
      <c r="O28" s="65">
        <f>'PP - Data'!O62</f>
        <v>0.3608247423</v>
      </c>
      <c r="P28" s="65">
        <f>'PP - Data'!P62</f>
        <v>0.2179487179</v>
      </c>
      <c r="Q28" s="65">
        <f>'PP - Data'!Q62</f>
        <v>0.3142857143</v>
      </c>
      <c r="R28" s="65">
        <f>'PP - Data'!R62</f>
        <v>0.2380952381</v>
      </c>
      <c r="S28" s="65">
        <f>'PP - Data'!S62</f>
        <v>0.2537313433</v>
      </c>
      <c r="T28" s="65">
        <f>'PP - Data'!T62</f>
        <v>0.3116883117</v>
      </c>
      <c r="U28" s="65">
        <f>'PP - Data'!U62</f>
        <v>0.2282608696</v>
      </c>
      <c r="V28" s="65">
        <f>'PP - Data'!V62</f>
        <v>0.4166666667</v>
      </c>
      <c r="W28" s="65">
        <f>'PP - Data'!W62</f>
        <v>0.3333333333</v>
      </c>
      <c r="X28" s="65">
        <f>'PP - Data'!X62</f>
        <v>0.2881355932</v>
      </c>
      <c r="Y28" s="65">
        <f>'PP - Data'!Y62</f>
        <v>0.2363636364</v>
      </c>
      <c r="Z28" s="65">
        <f>'PP - Data'!Z62</f>
        <v>0.2711864407</v>
      </c>
      <c r="AA28" s="65">
        <f>'PP - Data'!AA62</f>
        <v>0.2857142857</v>
      </c>
      <c r="AB28" s="65">
        <f>'PP - Data'!AB62</f>
        <v>0.1451612903</v>
      </c>
      <c r="AC28" s="65">
        <f>'PP - Data'!AC62</f>
        <v>0.3538461538</v>
      </c>
      <c r="AD28" s="65">
        <f>'PP - Data'!AD62</f>
        <v>0.2205882353</v>
      </c>
      <c r="AE28" s="65">
        <f>'PP - Data'!AE62</f>
        <v>0.2790697674</v>
      </c>
      <c r="AF28" s="65">
        <f>'PP - Data'!AF62</f>
        <v>0.3235294118</v>
      </c>
    </row>
    <row r="29" hidden="1" outlineLevel="1">
      <c r="A29" s="506" t="s">
        <v>718</v>
      </c>
      <c r="B29" s="507" t="str">
        <f>'PP - Data'!B63</f>
        <v/>
      </c>
      <c r="C29" s="507" t="str">
        <f>'PP - Data'!C63</f>
        <v/>
      </c>
      <c r="D29" s="507" t="str">
        <f>'PP - Data'!D63</f>
        <v/>
      </c>
      <c r="E29" s="507" t="str">
        <f>'PP - Data'!E63</f>
        <v/>
      </c>
      <c r="F29" s="507" t="str">
        <f>'PP - Data'!F63</f>
        <v/>
      </c>
      <c r="G29" s="507" t="str">
        <f>'PP - Data'!G63</f>
        <v/>
      </c>
      <c r="H29" s="507" t="str">
        <f>'PP - Data'!H63</f>
        <v/>
      </c>
      <c r="I29" s="507" t="str">
        <f>'PP - Data'!I63</f>
        <v/>
      </c>
      <c r="J29" s="507" t="str">
        <f>'PP - Data'!J63</f>
        <v/>
      </c>
      <c r="K29" s="507" t="str">
        <f>'PP - Data'!K63</f>
        <v/>
      </c>
      <c r="L29" s="507" t="str">
        <f>'PP - Data'!L63</f>
        <v/>
      </c>
      <c r="M29" s="507" t="str">
        <f>'PP - Data'!M63</f>
        <v/>
      </c>
      <c r="N29" s="507" t="str">
        <f>'PP - Data'!N63</f>
        <v/>
      </c>
      <c r="O29" s="507" t="str">
        <f>'PP - Data'!O63</f>
        <v/>
      </c>
      <c r="P29" s="507" t="str">
        <f>'PP - Data'!P63</f>
        <v/>
      </c>
      <c r="Q29" s="507" t="str">
        <f>'PP - Data'!Q63</f>
        <v/>
      </c>
      <c r="R29" s="507" t="str">
        <f>'PP - Data'!R63</f>
        <v/>
      </c>
      <c r="S29" s="507" t="str">
        <f>'PP - Data'!S63</f>
        <v/>
      </c>
      <c r="T29" s="507" t="str">
        <f>'PP - Data'!T63</f>
        <v/>
      </c>
      <c r="U29" s="507" t="str">
        <f>'PP - Data'!U63</f>
        <v/>
      </c>
      <c r="V29" s="507" t="str">
        <f>'PP - Data'!V63</f>
        <v/>
      </c>
      <c r="W29" s="507" t="str">
        <f>'PP - Data'!W63</f>
        <v/>
      </c>
      <c r="X29" s="507" t="str">
        <f>'PP - Data'!X63</f>
        <v/>
      </c>
      <c r="Y29" s="507" t="str">
        <f>'PP - Data'!Y63</f>
        <v/>
      </c>
      <c r="Z29" s="507" t="str">
        <f>'PP - Data'!Z63</f>
        <v/>
      </c>
      <c r="AA29" s="507" t="str">
        <f>'PP - Data'!AA63</f>
        <v/>
      </c>
      <c r="AB29" s="507" t="str">
        <f>'PP - Data'!AB63</f>
        <v/>
      </c>
      <c r="AC29" s="507" t="str">
        <f>'PP - Data'!AC63</f>
        <v/>
      </c>
      <c r="AD29" s="507" t="str">
        <f>'PP - Data'!AD63</f>
        <v/>
      </c>
      <c r="AE29" s="507" t="str">
        <f>'PP - Data'!AE63</f>
        <v/>
      </c>
      <c r="AF29" s="507" t="str">
        <f>'PP - Data'!AF63</f>
        <v/>
      </c>
    </row>
    <row r="30" hidden="1" outlineLevel="1">
      <c r="A30" s="4" t="s">
        <v>719</v>
      </c>
      <c r="B30" s="65">
        <f>'PP - Data'!B64</f>
        <v>0.5675675676</v>
      </c>
      <c r="C30" s="65">
        <f>'PP - Data'!C64</f>
        <v>0.8064516129</v>
      </c>
      <c r="D30" s="65">
        <f>'PP - Data'!D64</f>
        <v>0.5757575758</v>
      </c>
      <c r="E30" s="65">
        <f>'PP - Data'!E64</f>
        <v>0.5517241379</v>
      </c>
      <c r="F30" s="65">
        <f>'PP - Data'!F64</f>
        <v>0.7105263158</v>
      </c>
      <c r="G30" s="65">
        <f>'PP - Data'!G64</f>
        <v>0.8571428571</v>
      </c>
      <c r="H30" s="65">
        <f>'PP - Data'!H64</f>
        <v>0.6486486486</v>
      </c>
      <c r="I30" s="65">
        <f>'PP - Data'!I64</f>
        <v>0.5925925926</v>
      </c>
      <c r="J30" s="65">
        <f>'PP - Data'!J64</f>
        <v>0.6956521739</v>
      </c>
      <c r="K30" s="65">
        <f>'PP - Data'!K64</f>
        <v>0.5833333333</v>
      </c>
      <c r="L30" s="65">
        <f>'PP - Data'!L64</f>
        <v>0.6842105263</v>
      </c>
      <c r="M30" s="65">
        <f>'PP - Data'!M64</f>
        <v>0.652173913</v>
      </c>
      <c r="N30" s="65">
        <f>'PP - Data'!N64</f>
        <v>0.5555555556</v>
      </c>
      <c r="O30" s="65">
        <f>'PP - Data'!O64</f>
        <v>0.8</v>
      </c>
      <c r="P30" s="65">
        <f>'PP - Data'!P64</f>
        <v>0.7647058824</v>
      </c>
      <c r="Q30" s="65">
        <f>'PP - Data'!Q64</f>
        <v>0.6818181818</v>
      </c>
      <c r="R30" s="65">
        <f>'PP - Data'!R64</f>
        <v>0.85</v>
      </c>
      <c r="S30" s="65">
        <f>'PP - Data'!S64</f>
        <v>0.6470588235</v>
      </c>
      <c r="T30" s="65">
        <f>'PP - Data'!T64</f>
        <v>0.7083333333</v>
      </c>
      <c r="U30" s="65">
        <f>'PP - Data'!U64</f>
        <v>0.619047619</v>
      </c>
      <c r="V30" s="65">
        <f>'PP - Data'!V64</f>
        <v>0.5</v>
      </c>
      <c r="W30" s="65">
        <f>'PP - Data'!W64</f>
        <v>0.85</v>
      </c>
      <c r="X30" s="65">
        <f>'PP - Data'!X64</f>
        <v>0.7058823529</v>
      </c>
      <c r="Y30" s="65">
        <f>'PP - Data'!Y64</f>
        <v>0.4615384615</v>
      </c>
      <c r="Z30" s="65">
        <f>'PP - Data'!Z64</f>
        <v>0.75</v>
      </c>
      <c r="AA30" s="65">
        <f>'PP - Data'!AA64</f>
        <v>0.625</v>
      </c>
      <c r="AB30" s="65">
        <f>'PP - Data'!AB64</f>
        <v>0.6666666667</v>
      </c>
      <c r="AC30" s="65">
        <f>'PP - Data'!AC64</f>
        <v>0.6956521739</v>
      </c>
      <c r="AD30" s="65">
        <f>'PP - Data'!AD64</f>
        <v>0.7333333333</v>
      </c>
      <c r="AE30" s="65">
        <f>'PP - Data'!AE64</f>
        <v>0.5833333333</v>
      </c>
      <c r="AF30" s="65">
        <f>'PP - Data'!AF64</f>
        <v>0.3636363636</v>
      </c>
    </row>
    <row r="31" hidden="1" outlineLevel="1">
      <c r="A31" s="4" t="s">
        <v>720</v>
      </c>
      <c r="B31" s="65">
        <f>'PP - Data'!B65</f>
        <v>0.4054054054</v>
      </c>
      <c r="C31" s="65">
        <f>'PP - Data'!C65</f>
        <v>0.1612903226</v>
      </c>
      <c r="D31" s="65">
        <f>'PP - Data'!D65</f>
        <v>0.3939393939</v>
      </c>
      <c r="E31" s="65">
        <f>'PP - Data'!E65</f>
        <v>0.3793103448</v>
      </c>
      <c r="F31" s="65">
        <f>'PP - Data'!F65</f>
        <v>0.2894736842</v>
      </c>
      <c r="G31" s="65">
        <f>'PP - Data'!G65</f>
        <v>0.08571428571</v>
      </c>
      <c r="H31" s="65">
        <f>'PP - Data'!H65</f>
        <v>0.3513513514</v>
      </c>
      <c r="I31" s="65">
        <f>'PP - Data'!I65</f>
        <v>0.3333333333</v>
      </c>
      <c r="J31" s="65">
        <f>'PP - Data'!J65</f>
        <v>0.3043478261</v>
      </c>
      <c r="K31" s="65">
        <f>'PP - Data'!K65</f>
        <v>0.1666666667</v>
      </c>
      <c r="L31" s="65">
        <f>'PP - Data'!L65</f>
        <v>0.2631578947</v>
      </c>
      <c r="M31" s="65">
        <f>'PP - Data'!M65</f>
        <v>0.3043478261</v>
      </c>
      <c r="N31" s="65">
        <f>'PP - Data'!N65</f>
        <v>0.4074074074</v>
      </c>
      <c r="O31" s="65">
        <f>'PP - Data'!O65</f>
        <v>0.1714285714</v>
      </c>
      <c r="P31" s="65">
        <f>'PP - Data'!P65</f>
        <v>0.2352941176</v>
      </c>
      <c r="Q31" s="65">
        <f>'PP - Data'!Q65</f>
        <v>0.1363636364</v>
      </c>
      <c r="R31" s="65">
        <f>'PP - Data'!R65</f>
        <v>0.15</v>
      </c>
      <c r="S31" s="65">
        <f>'PP - Data'!S65</f>
        <v>0.2941176471</v>
      </c>
      <c r="T31" s="65">
        <f>'PP - Data'!T65</f>
        <v>0.2916666667</v>
      </c>
      <c r="U31" s="65">
        <f>'PP - Data'!U65</f>
        <v>0.380952381</v>
      </c>
      <c r="V31" s="65">
        <f>'PP - Data'!V65</f>
        <v>0.5</v>
      </c>
      <c r="W31" s="65">
        <f>'PP - Data'!W65</f>
        <v>0.05</v>
      </c>
      <c r="X31" s="65">
        <f>'PP - Data'!X65</f>
        <v>0.2352941176</v>
      </c>
      <c r="Y31" s="65">
        <f>'PP - Data'!Y65</f>
        <v>0.4615384615</v>
      </c>
      <c r="Z31" s="65">
        <f>'PP - Data'!Z65</f>
        <v>0.1875</v>
      </c>
      <c r="AA31" s="65">
        <f>'PP - Data'!AA65</f>
        <v>0.3125</v>
      </c>
      <c r="AB31" s="65">
        <f>'PP - Data'!AB65</f>
        <v>0.3333333333</v>
      </c>
      <c r="AC31" s="65">
        <f>'PP - Data'!AC65</f>
        <v>0.2608695652</v>
      </c>
      <c r="AD31" s="65">
        <f>'PP - Data'!AD65</f>
        <v>0.2666666667</v>
      </c>
      <c r="AE31" s="65">
        <f>'PP - Data'!AE65</f>
        <v>0.3333333333</v>
      </c>
      <c r="AF31" s="65">
        <f>'PP - Data'!AF65</f>
        <v>0.5454545455</v>
      </c>
    </row>
    <row r="32" hidden="1" outlineLevel="1">
      <c r="A32" s="4" t="s">
        <v>721</v>
      </c>
      <c r="B32" s="65">
        <f>'PP - Data'!B66</f>
        <v>0.02702702703</v>
      </c>
      <c r="C32" s="65">
        <f>'PP - Data'!C66</f>
        <v>0.03225806452</v>
      </c>
      <c r="D32" s="65">
        <f>'PP - Data'!D66</f>
        <v>0.0303030303</v>
      </c>
      <c r="E32" s="65">
        <f>'PP - Data'!E66</f>
        <v>0.06896551724</v>
      </c>
      <c r="F32" s="65">
        <f>'PP - Data'!F66</f>
        <v>0</v>
      </c>
      <c r="G32" s="65">
        <f>'PP - Data'!G66</f>
        <v>0.05714285714</v>
      </c>
      <c r="H32" s="65">
        <f>'PP - Data'!H66</f>
        <v>0</v>
      </c>
      <c r="I32" s="65">
        <f>'PP - Data'!I66</f>
        <v>0.07407407407</v>
      </c>
      <c r="J32" s="65">
        <f>'PP - Data'!J66</f>
        <v>0</v>
      </c>
      <c r="K32" s="65">
        <f>'PP - Data'!K66</f>
        <v>0.25</v>
      </c>
      <c r="L32" s="65">
        <f>'PP - Data'!L66</f>
        <v>0.05263157895</v>
      </c>
      <c r="M32" s="65">
        <f>'PP - Data'!M66</f>
        <v>0.04347826087</v>
      </c>
      <c r="N32" s="65">
        <f>'PP - Data'!N66</f>
        <v>0.03703703704</v>
      </c>
      <c r="O32" s="65">
        <f>'PP - Data'!O66</f>
        <v>0.02857142857</v>
      </c>
      <c r="P32" s="65">
        <f>'PP - Data'!P66</f>
        <v>0</v>
      </c>
      <c r="Q32" s="65">
        <f>'PP - Data'!Q66</f>
        <v>0.1818181818</v>
      </c>
      <c r="R32" s="65">
        <f>'PP - Data'!R66</f>
        <v>0</v>
      </c>
      <c r="S32" s="65">
        <f>'PP - Data'!S66</f>
        <v>0.05882352941</v>
      </c>
      <c r="T32" s="65">
        <f>'PP - Data'!T66</f>
        <v>0</v>
      </c>
      <c r="U32" s="65">
        <f>'PP - Data'!U66</f>
        <v>0</v>
      </c>
      <c r="V32" s="65">
        <f>'PP - Data'!V66</f>
        <v>0</v>
      </c>
      <c r="W32" s="65">
        <f>'PP - Data'!W66</f>
        <v>0.1</v>
      </c>
      <c r="X32" s="65">
        <f>'PP - Data'!X66</f>
        <v>0.05882352941</v>
      </c>
      <c r="Y32" s="65">
        <f>'PP - Data'!Y66</f>
        <v>0.07692307692</v>
      </c>
      <c r="Z32" s="65">
        <f>'PP - Data'!Z66</f>
        <v>0.0625</v>
      </c>
      <c r="AA32" s="65">
        <f>'PP - Data'!AA66</f>
        <v>0.0625</v>
      </c>
      <c r="AB32" s="65">
        <f>'PP - Data'!AB66</f>
        <v>0</v>
      </c>
      <c r="AC32" s="65">
        <f>'PP - Data'!AC66</f>
        <v>0.04347826087</v>
      </c>
      <c r="AD32" s="65">
        <f>'PP - Data'!AD66</f>
        <v>0</v>
      </c>
      <c r="AE32" s="65">
        <f>'PP - Data'!AE66</f>
        <v>0.08333333333</v>
      </c>
      <c r="AF32" s="65">
        <f>'PP - Data'!AF66</f>
        <v>0.09090909091</v>
      </c>
    </row>
    <row r="33" hidden="1" outlineLevel="1">
      <c r="A33" s="508"/>
      <c r="B33" s="500" t="str">
        <f>'PP - Data'!B67</f>
        <v/>
      </c>
      <c r="C33" s="500" t="str">
        <f>'PP - Data'!C67</f>
        <v/>
      </c>
      <c r="D33" s="500" t="str">
        <f>'PP - Data'!D67</f>
        <v/>
      </c>
      <c r="E33" s="500" t="str">
        <f>'PP - Data'!E67</f>
        <v/>
      </c>
      <c r="F33" s="500" t="str">
        <f>'PP - Data'!F67</f>
        <v/>
      </c>
      <c r="G33" s="500" t="str">
        <f>'PP - Data'!G67</f>
        <v/>
      </c>
      <c r="H33" s="500" t="str">
        <f>'PP - Data'!H67</f>
        <v/>
      </c>
      <c r="I33" s="500" t="str">
        <f>'PP - Data'!I67</f>
        <v/>
      </c>
      <c r="J33" s="500" t="str">
        <f>'PP - Data'!J67</f>
        <v/>
      </c>
      <c r="K33" s="500" t="str">
        <f>'PP - Data'!K67</f>
        <v/>
      </c>
      <c r="L33" s="500" t="str">
        <f>'PP - Data'!L67</f>
        <v/>
      </c>
      <c r="M33" s="500" t="str">
        <f>'PP - Data'!M67</f>
        <v/>
      </c>
      <c r="N33" s="500" t="str">
        <f>'PP - Data'!N67</f>
        <v/>
      </c>
      <c r="O33" s="500" t="str">
        <f>'PP - Data'!O67</f>
        <v/>
      </c>
      <c r="P33" s="500" t="str">
        <f>'PP - Data'!P67</f>
        <v/>
      </c>
      <c r="Q33" s="500" t="str">
        <f>'PP - Data'!Q67</f>
        <v/>
      </c>
      <c r="R33" s="500" t="str">
        <f>'PP - Data'!R67</f>
        <v/>
      </c>
      <c r="S33" s="500" t="str">
        <f>'PP - Data'!S67</f>
        <v/>
      </c>
      <c r="T33" s="500" t="str">
        <f>'PP - Data'!T67</f>
        <v/>
      </c>
      <c r="U33" s="500" t="str">
        <f>'PP - Data'!U67</f>
        <v/>
      </c>
      <c r="V33" s="500" t="str">
        <f>'PP - Data'!V67</f>
        <v/>
      </c>
      <c r="W33" s="500" t="str">
        <f>'PP - Data'!W67</f>
        <v/>
      </c>
      <c r="X33" s="500" t="str">
        <f>'PP - Data'!X67</f>
        <v/>
      </c>
      <c r="Y33" s="500" t="str">
        <f>'PP - Data'!Y67</f>
        <v/>
      </c>
      <c r="Z33" s="500" t="str">
        <f>'PP - Data'!Z67</f>
        <v/>
      </c>
      <c r="AA33" s="500" t="str">
        <f>'PP - Data'!AA67</f>
        <v/>
      </c>
      <c r="AB33" s="500" t="str">
        <f>'PP - Data'!AB67</f>
        <v/>
      </c>
      <c r="AC33" s="500" t="str">
        <f>'PP - Data'!AC67</f>
        <v/>
      </c>
      <c r="AD33" s="500" t="str">
        <f>'PP - Data'!AD67</f>
        <v/>
      </c>
      <c r="AE33" s="500" t="str">
        <f>'PP - Data'!AE67</f>
        <v/>
      </c>
      <c r="AF33" s="500" t="str">
        <f>'PP - Data'!AF67</f>
        <v/>
      </c>
    </row>
    <row r="34" collapsed="1">
      <c r="A34" s="4" t="s">
        <v>722</v>
      </c>
      <c r="B34" s="65">
        <f>'PP - Data'!B68</f>
        <v>0.3130434783</v>
      </c>
      <c r="C34" s="65">
        <f>'PP - Data'!C68</f>
        <v>0.28</v>
      </c>
      <c r="D34" s="65">
        <f>'PP - Data'!D68</f>
        <v>0.2792792793</v>
      </c>
      <c r="E34" s="65">
        <f>'PP - Data'!E68</f>
        <v>0.2210526316</v>
      </c>
      <c r="F34" s="65">
        <f>'PP - Data'!F68</f>
        <v>0.2905982906</v>
      </c>
      <c r="G34" s="65">
        <f>'PP - Data'!G68</f>
        <v>0.3652173913</v>
      </c>
      <c r="H34" s="65">
        <f>'PP - Data'!H68</f>
        <v>0.3939393939</v>
      </c>
      <c r="I34" s="65">
        <f>'PP - Data'!I68</f>
        <v>0.2659574468</v>
      </c>
      <c r="J34" s="65">
        <f>'PP - Data'!J68</f>
        <v>0.2658227848</v>
      </c>
      <c r="K34" s="65">
        <f>'PP - Data'!K68</f>
        <v>0.3559322034</v>
      </c>
      <c r="L34" s="65">
        <f>'PP - Data'!L68</f>
        <v>0.2820512821</v>
      </c>
      <c r="M34" s="65">
        <f>'PP - Data'!M68</f>
        <v>0.3563218391</v>
      </c>
      <c r="N34" s="65">
        <f>'PP - Data'!N68</f>
        <v>0.393258427</v>
      </c>
      <c r="O34" s="65">
        <f>'PP - Data'!O68</f>
        <v>0.3608247423</v>
      </c>
      <c r="P34" s="65">
        <f>'PP - Data'!P68</f>
        <v>0.2948717949</v>
      </c>
      <c r="Q34" s="65">
        <f>'PP - Data'!Q68</f>
        <v>0.4</v>
      </c>
      <c r="R34" s="65">
        <f>'PP - Data'!R68</f>
        <v>0.2619047619</v>
      </c>
      <c r="S34" s="65">
        <f>'PP - Data'!S68</f>
        <v>0.3432835821</v>
      </c>
      <c r="T34" s="65">
        <f>'PP - Data'!T68</f>
        <v>0.3376623377</v>
      </c>
      <c r="U34" s="65">
        <f>'PP - Data'!U68</f>
        <v>0.3804347826</v>
      </c>
      <c r="V34" s="65">
        <f>'PP - Data'!V68</f>
        <v>0.2083333333</v>
      </c>
      <c r="W34" s="65">
        <f>'PP - Data'!W68</f>
        <v>0.2833333333</v>
      </c>
      <c r="X34" s="65">
        <f>'PP - Data'!X68</f>
        <v>0.3220338983</v>
      </c>
      <c r="Y34" s="65">
        <f>'PP - Data'!Y68</f>
        <v>0.3454545455</v>
      </c>
      <c r="Z34" s="65">
        <f>'PP - Data'!Z68</f>
        <v>0.2372881356</v>
      </c>
      <c r="AA34" s="65">
        <f>'PP - Data'!AA68</f>
        <v>0.3928571429</v>
      </c>
      <c r="AB34" s="65">
        <f>'PP - Data'!AB68</f>
        <v>0.3548387097</v>
      </c>
      <c r="AC34" s="65">
        <f>'PP - Data'!AC68</f>
        <v>0.2307692308</v>
      </c>
      <c r="AD34" s="65">
        <f>'PP - Data'!AD68</f>
        <v>0.3088235294</v>
      </c>
      <c r="AE34" s="65">
        <f>'PP - Data'!AE68</f>
        <v>0.1162790698</v>
      </c>
      <c r="AF34" s="65">
        <f>'PP - Data'!AF68</f>
        <v>0.2647058824</v>
      </c>
    </row>
    <row r="35" hidden="1" outlineLevel="1">
      <c r="A35" s="506" t="s">
        <v>718</v>
      </c>
      <c r="B35" s="507" t="str">
        <f>'PP - Data'!B69</f>
        <v/>
      </c>
      <c r="C35" s="507" t="str">
        <f>'PP - Data'!C69</f>
        <v/>
      </c>
      <c r="D35" s="507" t="str">
        <f>'PP - Data'!D69</f>
        <v/>
      </c>
      <c r="E35" s="507" t="str">
        <f>'PP - Data'!E69</f>
        <v/>
      </c>
      <c r="F35" s="507" t="str">
        <f>'PP - Data'!F69</f>
        <v/>
      </c>
      <c r="G35" s="507" t="str">
        <f>'PP - Data'!G69</f>
        <v/>
      </c>
      <c r="H35" s="507" t="str">
        <f>'PP - Data'!H69</f>
        <v/>
      </c>
      <c r="I35" s="507" t="str">
        <f>'PP - Data'!I69</f>
        <v/>
      </c>
      <c r="J35" s="507" t="str">
        <f>'PP - Data'!J69</f>
        <v/>
      </c>
      <c r="K35" s="507" t="str">
        <f>'PP - Data'!K69</f>
        <v/>
      </c>
      <c r="L35" s="507" t="str">
        <f>'PP - Data'!L69</f>
        <v/>
      </c>
      <c r="M35" s="507" t="str">
        <f>'PP - Data'!M69</f>
        <v/>
      </c>
      <c r="N35" s="507" t="str">
        <f>'PP - Data'!N69</f>
        <v/>
      </c>
      <c r="O35" s="507" t="str">
        <f>'PP - Data'!O69</f>
        <v/>
      </c>
      <c r="P35" s="507" t="str">
        <f>'PP - Data'!P69</f>
        <v/>
      </c>
      <c r="Q35" s="507" t="str">
        <f>'PP - Data'!Q69</f>
        <v/>
      </c>
      <c r="R35" s="507" t="str">
        <f>'PP - Data'!R69</f>
        <v/>
      </c>
      <c r="S35" s="507" t="str">
        <f>'PP - Data'!S69</f>
        <v/>
      </c>
      <c r="T35" s="507" t="str">
        <f>'PP - Data'!T69</f>
        <v/>
      </c>
      <c r="U35" s="507" t="str">
        <f>'PP - Data'!U69</f>
        <v/>
      </c>
      <c r="V35" s="507" t="str">
        <f>'PP - Data'!V69</f>
        <v/>
      </c>
      <c r="W35" s="507" t="str">
        <f>'PP - Data'!W69</f>
        <v/>
      </c>
      <c r="X35" s="507" t="str">
        <f>'PP - Data'!X69</f>
        <v/>
      </c>
      <c r="Y35" s="507" t="str">
        <f>'PP - Data'!Y69</f>
        <v/>
      </c>
      <c r="Z35" s="507" t="str">
        <f>'PP - Data'!Z69</f>
        <v/>
      </c>
      <c r="AA35" s="507" t="str">
        <f>'PP - Data'!AA69</f>
        <v/>
      </c>
      <c r="AB35" s="507" t="str">
        <f>'PP - Data'!AB69</f>
        <v/>
      </c>
      <c r="AC35" s="507" t="str">
        <f>'PP - Data'!AC69</f>
        <v/>
      </c>
      <c r="AD35" s="507" t="str">
        <f>'PP - Data'!AD69</f>
        <v/>
      </c>
      <c r="AE35" s="507" t="str">
        <f>'PP - Data'!AE69</f>
        <v/>
      </c>
      <c r="AF35" s="507" t="str">
        <f>'PP - Data'!AF69</f>
        <v/>
      </c>
    </row>
    <row r="36" hidden="1" outlineLevel="1">
      <c r="A36" s="4" t="s">
        <v>719</v>
      </c>
      <c r="B36" s="65">
        <f>'PP - Data'!B70</f>
        <v>0.75</v>
      </c>
      <c r="C36" s="65">
        <f>'PP - Data'!C70</f>
        <v>0.6428571429</v>
      </c>
      <c r="D36" s="65">
        <f>'PP - Data'!D70</f>
        <v>0.5806451613</v>
      </c>
      <c r="E36" s="65">
        <f>'PP - Data'!E70</f>
        <v>0.5238095238</v>
      </c>
      <c r="F36" s="65">
        <f>'PP - Data'!F70</f>
        <v>0.5588235294</v>
      </c>
      <c r="G36" s="65">
        <f>'PP - Data'!G70</f>
        <v>0.7857142857</v>
      </c>
      <c r="H36" s="65">
        <f>'PP - Data'!H70</f>
        <v>0.6730769231</v>
      </c>
      <c r="I36" s="65">
        <f>'PP - Data'!I70</f>
        <v>0.48</v>
      </c>
      <c r="J36" s="65">
        <f>'PP - Data'!J70</f>
        <v>0.7142857143</v>
      </c>
      <c r="K36" s="65">
        <f>'PP - Data'!K70</f>
        <v>0.7142857143</v>
      </c>
      <c r="L36" s="65">
        <f>'PP - Data'!L70</f>
        <v>0.5909090909</v>
      </c>
      <c r="M36" s="65">
        <f>'PP - Data'!M70</f>
        <v>0.6129032258</v>
      </c>
      <c r="N36" s="65">
        <f>'PP - Data'!N70</f>
        <v>0.6857142857</v>
      </c>
      <c r="O36" s="65">
        <f>'PP - Data'!O70</f>
        <v>0.6285714286</v>
      </c>
      <c r="P36" s="65">
        <f>'PP - Data'!P70</f>
        <v>0.8260869565</v>
      </c>
      <c r="Q36" s="65">
        <f>'PP - Data'!Q70</f>
        <v>0.6071428571</v>
      </c>
      <c r="R36" s="65">
        <f>'PP - Data'!R70</f>
        <v>0.4090909091</v>
      </c>
      <c r="S36" s="65">
        <f>'PP - Data'!S70</f>
        <v>0.6086956522</v>
      </c>
      <c r="T36" s="65">
        <f>'PP - Data'!T70</f>
        <v>0.6923076923</v>
      </c>
      <c r="U36" s="65">
        <f>'PP - Data'!U70</f>
        <v>0.6285714286</v>
      </c>
      <c r="V36" s="65">
        <f>'PP - Data'!V70</f>
        <v>0.6</v>
      </c>
      <c r="W36" s="65">
        <f>'PP - Data'!W70</f>
        <v>0.8823529412</v>
      </c>
      <c r="X36" s="65">
        <f>'PP - Data'!X70</f>
        <v>0.7894736842</v>
      </c>
      <c r="Y36" s="65">
        <f>'PP - Data'!Y70</f>
        <v>0.6315789474</v>
      </c>
      <c r="Z36" s="65">
        <f>'PP - Data'!Z70</f>
        <v>0.7857142857</v>
      </c>
      <c r="AA36" s="65">
        <f>'PP - Data'!AA70</f>
        <v>0.6363636364</v>
      </c>
      <c r="AB36" s="65">
        <f>'PP - Data'!AB70</f>
        <v>0.6818181818</v>
      </c>
      <c r="AC36" s="65">
        <f>'PP - Data'!AC70</f>
        <v>0.7333333333</v>
      </c>
      <c r="AD36" s="65">
        <f>'PP - Data'!AD70</f>
        <v>0.5714285714</v>
      </c>
      <c r="AE36" s="65">
        <f>'PP - Data'!AE70</f>
        <v>0.8</v>
      </c>
      <c r="AF36" s="65">
        <f>'PP - Data'!AF70</f>
        <v>0.6666666667</v>
      </c>
    </row>
    <row r="37" hidden="1" outlineLevel="1">
      <c r="A37" s="4" t="s">
        <v>720</v>
      </c>
      <c r="B37" s="65">
        <f>'PP - Data'!B71</f>
        <v>0.1944444444</v>
      </c>
      <c r="C37" s="65">
        <f>'PP - Data'!C71</f>
        <v>0.3214285714</v>
      </c>
      <c r="D37" s="65">
        <f>'PP - Data'!D71</f>
        <v>0.3225806452</v>
      </c>
      <c r="E37" s="65">
        <f>'PP - Data'!E71</f>
        <v>0.380952381</v>
      </c>
      <c r="F37" s="65">
        <f>'PP - Data'!F71</f>
        <v>0.3823529412</v>
      </c>
      <c r="G37" s="65">
        <f>'PP - Data'!G71</f>
        <v>0.2142857143</v>
      </c>
      <c r="H37" s="65">
        <f>'PP - Data'!H71</f>
        <v>0.25</v>
      </c>
      <c r="I37" s="65">
        <f>'PP - Data'!I71</f>
        <v>0.32</v>
      </c>
      <c r="J37" s="65">
        <f>'PP - Data'!J71</f>
        <v>0.2857142857</v>
      </c>
      <c r="K37" s="65">
        <f>'PP - Data'!K71</f>
        <v>0.2857142857</v>
      </c>
      <c r="L37" s="65">
        <f>'PP - Data'!L71</f>
        <v>0.2727272727</v>
      </c>
      <c r="M37" s="65">
        <f>'PP - Data'!M71</f>
        <v>0.3870967742</v>
      </c>
      <c r="N37" s="65">
        <f>'PP - Data'!N71</f>
        <v>0.2285714286</v>
      </c>
      <c r="O37" s="65">
        <f>'PP - Data'!O71</f>
        <v>0.3142857143</v>
      </c>
      <c r="P37" s="65">
        <f>'PP - Data'!P71</f>
        <v>0.1739130435</v>
      </c>
      <c r="Q37" s="65">
        <f>'PP - Data'!Q71</f>
        <v>0.3571428571</v>
      </c>
      <c r="R37" s="65">
        <f>'PP - Data'!R71</f>
        <v>0.4545454545</v>
      </c>
      <c r="S37" s="65">
        <f>'PP - Data'!S71</f>
        <v>0.347826087</v>
      </c>
      <c r="T37" s="65">
        <f>'PP - Data'!T71</f>
        <v>0.3076923077</v>
      </c>
      <c r="U37" s="65">
        <f>'PP - Data'!U71</f>
        <v>0.3714285714</v>
      </c>
      <c r="V37" s="65">
        <f>'PP - Data'!V71</f>
        <v>0.2666666667</v>
      </c>
      <c r="W37" s="65">
        <f>'PP - Data'!W71</f>
        <v>0.1176470588</v>
      </c>
      <c r="X37" s="65">
        <f>'PP - Data'!X71</f>
        <v>0.1578947368</v>
      </c>
      <c r="Y37" s="65">
        <f>'PP - Data'!Y71</f>
        <v>0.3157894737</v>
      </c>
      <c r="Z37" s="65">
        <f>'PP - Data'!Z71</f>
        <v>0.1428571429</v>
      </c>
      <c r="AA37" s="65">
        <f>'PP - Data'!AA71</f>
        <v>0.3636363636</v>
      </c>
      <c r="AB37" s="65">
        <f>'PP - Data'!AB71</f>
        <v>0.2727272727</v>
      </c>
      <c r="AC37" s="65">
        <f>'PP - Data'!AC71</f>
        <v>0.2666666667</v>
      </c>
      <c r="AD37" s="65">
        <f>'PP - Data'!AD71</f>
        <v>0.380952381</v>
      </c>
      <c r="AE37" s="65">
        <f>'PP - Data'!AE71</f>
        <v>0.2</v>
      </c>
      <c r="AF37" s="65">
        <f>'PP - Data'!AF71</f>
        <v>0.3333333333</v>
      </c>
    </row>
    <row r="38" hidden="1" outlineLevel="1">
      <c r="A38" s="4" t="s">
        <v>721</v>
      </c>
      <c r="B38" s="65">
        <f>'PP - Data'!B72</f>
        <v>0.05555555556</v>
      </c>
      <c r="C38" s="65">
        <f>'PP - Data'!C72</f>
        <v>0.03571428571</v>
      </c>
      <c r="D38" s="65">
        <f>'PP - Data'!D72</f>
        <v>0.09677419355</v>
      </c>
      <c r="E38" s="65">
        <f>'PP - Data'!E72</f>
        <v>0.09523809524</v>
      </c>
      <c r="F38" s="65">
        <f>'PP - Data'!F72</f>
        <v>0.05882352941</v>
      </c>
      <c r="G38" s="65">
        <f>'PP - Data'!G72</f>
        <v>0</v>
      </c>
      <c r="H38" s="65">
        <f>'PP - Data'!H72</f>
        <v>0.07692307692</v>
      </c>
      <c r="I38" s="65">
        <f>'PP - Data'!I72</f>
        <v>0.2</v>
      </c>
      <c r="J38" s="65">
        <f>'PP - Data'!J72</f>
        <v>0</v>
      </c>
      <c r="K38" s="65">
        <f>'PP - Data'!K72</f>
        <v>0</v>
      </c>
      <c r="L38" s="65">
        <f>'PP - Data'!L72</f>
        <v>0.1363636364</v>
      </c>
      <c r="M38" s="65">
        <f>'PP - Data'!M72</f>
        <v>0</v>
      </c>
      <c r="N38" s="65">
        <f>'PP - Data'!N72</f>
        <v>0.08571428571</v>
      </c>
      <c r="O38" s="65">
        <f>'PP - Data'!O72</f>
        <v>0.05714285714</v>
      </c>
      <c r="P38" s="65">
        <f>'PP - Data'!P72</f>
        <v>0</v>
      </c>
      <c r="Q38" s="65">
        <f>'PP - Data'!Q72</f>
        <v>0.03571428571</v>
      </c>
      <c r="R38" s="65">
        <f>'PP - Data'!R72</f>
        <v>0.1363636364</v>
      </c>
      <c r="S38" s="65">
        <f>'PP - Data'!S72</f>
        <v>0.04347826087</v>
      </c>
      <c r="T38" s="65">
        <f>'PP - Data'!T72</f>
        <v>0</v>
      </c>
      <c r="U38" s="65">
        <f>'PP - Data'!U72</f>
        <v>0</v>
      </c>
      <c r="V38" s="65">
        <f>'PP - Data'!V72</f>
        <v>0.1333333333</v>
      </c>
      <c r="W38" s="65">
        <f>'PP - Data'!W72</f>
        <v>0</v>
      </c>
      <c r="X38" s="65">
        <f>'PP - Data'!X72</f>
        <v>0.05263157895</v>
      </c>
      <c r="Y38" s="65">
        <f>'PP - Data'!Y72</f>
        <v>0.05263157895</v>
      </c>
      <c r="Z38" s="65">
        <f>'PP - Data'!Z72</f>
        <v>0.07142857143</v>
      </c>
      <c r="AA38" s="65">
        <f>'PP - Data'!AA72</f>
        <v>0</v>
      </c>
      <c r="AB38" s="65">
        <f>'PP - Data'!AB72</f>
        <v>0.04545454545</v>
      </c>
      <c r="AC38" s="65">
        <f>'PP - Data'!AC72</f>
        <v>0</v>
      </c>
      <c r="AD38" s="65">
        <f>'PP - Data'!AD72</f>
        <v>0.04761904762</v>
      </c>
      <c r="AE38" s="65">
        <f>'PP - Data'!AE72</f>
        <v>0</v>
      </c>
      <c r="AF38" s="65">
        <f>'PP - Data'!AF72</f>
        <v>0</v>
      </c>
    </row>
    <row r="39" hidden="1" outlineLevel="1">
      <c r="A39" s="508"/>
      <c r="B39" s="500" t="str">
        <f>'PP - Data'!B73</f>
        <v/>
      </c>
      <c r="C39" s="500" t="str">
        <f>'PP - Data'!C73</f>
        <v/>
      </c>
      <c r="D39" s="500" t="str">
        <f>'PP - Data'!D73</f>
        <v/>
      </c>
      <c r="E39" s="500" t="str">
        <f>'PP - Data'!E73</f>
        <v/>
      </c>
      <c r="F39" s="500" t="str">
        <f>'PP - Data'!F73</f>
        <v/>
      </c>
      <c r="G39" s="500" t="str">
        <f>'PP - Data'!G73</f>
        <v/>
      </c>
      <c r="H39" s="500" t="str">
        <f>'PP - Data'!H73</f>
        <v/>
      </c>
      <c r="I39" s="500" t="str">
        <f>'PP - Data'!I73</f>
        <v/>
      </c>
      <c r="J39" s="500" t="str">
        <f>'PP - Data'!J73</f>
        <v/>
      </c>
      <c r="K39" s="500" t="str">
        <f>'PP - Data'!K73</f>
        <v/>
      </c>
      <c r="L39" s="500" t="str">
        <f>'PP - Data'!L73</f>
        <v/>
      </c>
      <c r="M39" s="500" t="str">
        <f>'PP - Data'!M73</f>
        <v/>
      </c>
      <c r="N39" s="500" t="str">
        <f>'PP - Data'!N73</f>
        <v/>
      </c>
      <c r="O39" s="500" t="str">
        <f>'PP - Data'!O73</f>
        <v/>
      </c>
      <c r="P39" s="500" t="str">
        <f>'PP - Data'!P73</f>
        <v/>
      </c>
      <c r="Q39" s="500" t="str">
        <f>'PP - Data'!Q73</f>
        <v/>
      </c>
      <c r="R39" s="500" t="str">
        <f>'PP - Data'!R73</f>
        <v/>
      </c>
      <c r="S39" s="500" t="str">
        <f>'PP - Data'!S73</f>
        <v/>
      </c>
      <c r="T39" s="500" t="str">
        <f>'PP - Data'!T73</f>
        <v/>
      </c>
      <c r="U39" s="500" t="str">
        <f>'PP - Data'!U73</f>
        <v/>
      </c>
      <c r="V39" s="500" t="str">
        <f>'PP - Data'!V73</f>
        <v/>
      </c>
      <c r="W39" s="500" t="str">
        <f>'PP - Data'!W73</f>
        <v/>
      </c>
      <c r="X39" s="500" t="str">
        <f>'PP - Data'!X73</f>
        <v/>
      </c>
      <c r="Y39" s="500" t="str">
        <f>'PP - Data'!Y73</f>
        <v/>
      </c>
      <c r="Z39" s="500" t="str">
        <f>'PP - Data'!Z73</f>
        <v/>
      </c>
      <c r="AA39" s="500" t="str">
        <f>'PP - Data'!AA73</f>
        <v/>
      </c>
      <c r="AB39" s="500" t="str">
        <f>'PP - Data'!AB73</f>
        <v/>
      </c>
      <c r="AC39" s="500" t="str">
        <f>'PP - Data'!AC73</f>
        <v/>
      </c>
      <c r="AD39" s="500" t="str">
        <f>'PP - Data'!AD73</f>
        <v/>
      </c>
      <c r="AE39" s="500" t="str">
        <f>'PP - Data'!AE73</f>
        <v/>
      </c>
      <c r="AF39" s="500" t="str">
        <f>'PP - Data'!AF73</f>
        <v/>
      </c>
    </row>
    <row r="40" collapsed="1">
      <c r="A40" s="4" t="s">
        <v>723</v>
      </c>
      <c r="B40" s="65">
        <f>'PP - Data'!B74</f>
        <v>0.1826086957</v>
      </c>
      <c r="C40" s="65">
        <f>'PP - Data'!C74</f>
        <v>0.21</v>
      </c>
      <c r="D40" s="65">
        <f>'PP - Data'!D74</f>
        <v>0.1981981982</v>
      </c>
      <c r="E40" s="65">
        <f>'PP - Data'!E74</f>
        <v>0.2210526316</v>
      </c>
      <c r="F40" s="65">
        <f>'PP - Data'!F74</f>
        <v>0.1794871795</v>
      </c>
      <c r="G40" s="65">
        <f>'PP - Data'!G74</f>
        <v>0.1826086957</v>
      </c>
      <c r="H40" s="65">
        <f>'PP - Data'!H74</f>
        <v>0.1363636364</v>
      </c>
      <c r="I40" s="65">
        <f>'PP - Data'!I74</f>
        <v>0.2340425532</v>
      </c>
      <c r="J40" s="65">
        <f>'PP - Data'!J74</f>
        <v>0.1898734177</v>
      </c>
      <c r="K40" s="65">
        <f>'PP - Data'!K74</f>
        <v>0.2542372881</v>
      </c>
      <c r="L40" s="65">
        <f>'PP - Data'!L74</f>
        <v>0.2692307692</v>
      </c>
      <c r="M40" s="65">
        <f>'PP - Data'!M74</f>
        <v>0.1264367816</v>
      </c>
      <c r="N40" s="65">
        <f>'PP - Data'!N74</f>
        <v>0.1573033708</v>
      </c>
      <c r="O40" s="65">
        <f>'PP - Data'!O74</f>
        <v>0.1443298969</v>
      </c>
      <c r="P40" s="65">
        <f>'PP - Data'!P74</f>
        <v>0.2692307692</v>
      </c>
      <c r="Q40" s="65">
        <f>'PP - Data'!Q74</f>
        <v>0.1285714286</v>
      </c>
      <c r="R40" s="65">
        <f>'PP - Data'!R74</f>
        <v>0.2023809524</v>
      </c>
      <c r="S40" s="65">
        <f>'PP - Data'!S74</f>
        <v>0.223880597</v>
      </c>
      <c r="T40" s="65">
        <f>'PP - Data'!T74</f>
        <v>0.1428571429</v>
      </c>
      <c r="U40" s="65">
        <f>'PP - Data'!U74</f>
        <v>0.1956521739</v>
      </c>
      <c r="V40" s="65">
        <f>'PP - Data'!V74</f>
        <v>0.1527777778</v>
      </c>
      <c r="W40" s="65">
        <f>'PP - Data'!W74</f>
        <v>0.2333333333</v>
      </c>
      <c r="X40" s="65">
        <f>'PP - Data'!X74</f>
        <v>0.2372881356</v>
      </c>
      <c r="Y40" s="65">
        <f>'PP - Data'!Y74</f>
        <v>0.2363636364</v>
      </c>
      <c r="Z40" s="65">
        <f>'PP - Data'!Z74</f>
        <v>0.2881355932</v>
      </c>
      <c r="AA40" s="65">
        <f>'PP - Data'!AA74</f>
        <v>0.1607142857</v>
      </c>
      <c r="AB40" s="65">
        <f>'PP - Data'!AB74</f>
        <v>0.2580645161</v>
      </c>
      <c r="AC40" s="65">
        <f>'PP - Data'!AC74</f>
        <v>0.2461538462</v>
      </c>
      <c r="AD40" s="65">
        <f>'PP - Data'!AD74</f>
        <v>0.1764705882</v>
      </c>
      <c r="AE40" s="65">
        <f>'PP - Data'!AE74</f>
        <v>0.2093023256</v>
      </c>
      <c r="AF40" s="65">
        <f>'PP - Data'!AF74</f>
        <v>0.1470588235</v>
      </c>
    </row>
    <row r="41" hidden="1" outlineLevel="1">
      <c r="A41" s="506" t="s">
        <v>718</v>
      </c>
      <c r="B41" s="507" t="str">
        <f>'PP - Data'!B75</f>
        <v/>
      </c>
      <c r="C41" s="507" t="str">
        <f>'PP - Data'!C75</f>
        <v/>
      </c>
      <c r="D41" s="507" t="str">
        <f>'PP - Data'!D75</f>
        <v/>
      </c>
      <c r="E41" s="507" t="str">
        <f>'PP - Data'!E75</f>
        <v/>
      </c>
      <c r="F41" s="507" t="str">
        <f>'PP - Data'!F75</f>
        <v/>
      </c>
      <c r="G41" s="507" t="str">
        <f>'PP - Data'!G75</f>
        <v/>
      </c>
      <c r="H41" s="507" t="str">
        <f>'PP - Data'!H75</f>
        <v/>
      </c>
      <c r="I41" s="507" t="str">
        <f>'PP - Data'!I75</f>
        <v/>
      </c>
      <c r="J41" s="507" t="str">
        <f>'PP - Data'!J75</f>
        <v/>
      </c>
      <c r="K41" s="507" t="str">
        <f>'PP - Data'!K75</f>
        <v/>
      </c>
      <c r="L41" s="507" t="str">
        <f>'PP - Data'!L75</f>
        <v/>
      </c>
      <c r="M41" s="507" t="str">
        <f>'PP - Data'!M75</f>
        <v/>
      </c>
      <c r="N41" s="507" t="str">
        <f>'PP - Data'!N75</f>
        <v/>
      </c>
      <c r="O41" s="507" t="str">
        <f>'PP - Data'!O75</f>
        <v/>
      </c>
      <c r="P41" s="507" t="str">
        <f>'PP - Data'!P75</f>
        <v/>
      </c>
      <c r="Q41" s="507" t="str">
        <f>'PP - Data'!Q75</f>
        <v/>
      </c>
      <c r="R41" s="507" t="str">
        <f>'PP - Data'!R75</f>
        <v/>
      </c>
      <c r="S41" s="507" t="str">
        <f>'PP - Data'!S75</f>
        <v/>
      </c>
      <c r="T41" s="507" t="str">
        <f>'PP - Data'!T75</f>
        <v/>
      </c>
      <c r="U41" s="507" t="str">
        <f>'PP - Data'!U75</f>
        <v/>
      </c>
      <c r="V41" s="507" t="str">
        <f>'PP - Data'!V75</f>
        <v/>
      </c>
      <c r="W41" s="507" t="str">
        <f>'PP - Data'!W75</f>
        <v/>
      </c>
      <c r="X41" s="507" t="str">
        <f>'PP - Data'!X75</f>
        <v/>
      </c>
      <c r="Y41" s="507" t="str">
        <f>'PP - Data'!Y75</f>
        <v/>
      </c>
      <c r="Z41" s="507" t="str">
        <f>'PP - Data'!Z75</f>
        <v/>
      </c>
      <c r="AA41" s="507" t="str">
        <f>'PP - Data'!AA75</f>
        <v/>
      </c>
      <c r="AB41" s="507" t="str">
        <f>'PP - Data'!AB75</f>
        <v/>
      </c>
      <c r="AC41" s="507" t="str">
        <f>'PP - Data'!AC75</f>
        <v/>
      </c>
      <c r="AD41" s="507" t="str">
        <f>'PP - Data'!AD75</f>
        <v/>
      </c>
      <c r="AE41" s="507" t="str">
        <f>'PP - Data'!AE75</f>
        <v/>
      </c>
      <c r="AF41" s="507" t="str">
        <f>'PP - Data'!AF75</f>
        <v/>
      </c>
    </row>
    <row r="42" hidden="1" outlineLevel="1">
      <c r="A42" s="4" t="s">
        <v>719</v>
      </c>
      <c r="B42" s="65">
        <f>'PP - Data'!B76</f>
        <v>0.5238095238</v>
      </c>
      <c r="C42" s="65">
        <f>'PP - Data'!C76</f>
        <v>0.3333333333</v>
      </c>
      <c r="D42" s="65">
        <f>'PP - Data'!D76</f>
        <v>0.5454545455</v>
      </c>
      <c r="E42" s="65">
        <f>'PP - Data'!E76</f>
        <v>0.380952381</v>
      </c>
      <c r="F42" s="65">
        <f>'PP - Data'!F76</f>
        <v>0.4285714286</v>
      </c>
      <c r="G42" s="65">
        <f>'PP - Data'!G76</f>
        <v>0.3333333333</v>
      </c>
      <c r="H42" s="65">
        <f>'PP - Data'!H76</f>
        <v>0.3333333333</v>
      </c>
      <c r="I42" s="65">
        <f>'PP - Data'!I76</f>
        <v>0.3636363636</v>
      </c>
      <c r="J42" s="65">
        <f>'PP - Data'!J76</f>
        <v>0.5333333333</v>
      </c>
      <c r="K42" s="65">
        <f>'PP - Data'!K76</f>
        <v>0.4</v>
      </c>
      <c r="L42" s="65">
        <f>'PP - Data'!L76</f>
        <v>0.4761904762</v>
      </c>
      <c r="M42" s="65">
        <f>'PP - Data'!M76</f>
        <v>0.1818181818</v>
      </c>
      <c r="N42" s="65">
        <f>'PP - Data'!N76</f>
        <v>0.2857142857</v>
      </c>
      <c r="O42" s="65">
        <f>'PP - Data'!O76</f>
        <v>0.7142857143</v>
      </c>
      <c r="P42" s="65">
        <f>'PP - Data'!P76</f>
        <v>0.2857142857</v>
      </c>
      <c r="Q42" s="65">
        <f>'PP - Data'!Q76</f>
        <v>0.5555555556</v>
      </c>
      <c r="R42" s="65">
        <f>'PP - Data'!R76</f>
        <v>0.4705882353</v>
      </c>
      <c r="S42" s="65">
        <f>'PP - Data'!S76</f>
        <v>0.3333333333</v>
      </c>
      <c r="T42" s="65">
        <f>'PP - Data'!T76</f>
        <v>0.3636363636</v>
      </c>
      <c r="U42" s="65">
        <f>'PP - Data'!U76</f>
        <v>0.5</v>
      </c>
      <c r="V42" s="65">
        <f>'PP - Data'!V76</f>
        <v>0.3636363636</v>
      </c>
      <c r="W42" s="65">
        <f>'PP - Data'!W76</f>
        <v>0.2857142857</v>
      </c>
      <c r="X42" s="65">
        <f>'PP - Data'!X76</f>
        <v>0.5714285714</v>
      </c>
      <c r="Y42" s="65">
        <f>'PP - Data'!Y76</f>
        <v>0.2307692308</v>
      </c>
      <c r="Z42" s="65">
        <f>'PP - Data'!Z76</f>
        <v>0.4117647059</v>
      </c>
      <c r="AA42" s="65">
        <f>'PP - Data'!AA76</f>
        <v>0.5555555556</v>
      </c>
      <c r="AB42" s="65">
        <f>'PP - Data'!AB76</f>
        <v>0.6875</v>
      </c>
      <c r="AC42" s="65">
        <f>'PP - Data'!AC76</f>
        <v>0.25</v>
      </c>
      <c r="AD42" s="65">
        <f>'PP - Data'!AD76</f>
        <v>0.5833333333</v>
      </c>
      <c r="AE42" s="65">
        <f>'PP - Data'!AE76</f>
        <v>0.2222222222</v>
      </c>
      <c r="AF42" s="65">
        <f>'PP - Data'!AF76</f>
        <v>0.8</v>
      </c>
    </row>
    <row r="43" hidden="1" outlineLevel="1">
      <c r="A43" s="4" t="s">
        <v>720</v>
      </c>
      <c r="B43" s="65">
        <f>'PP - Data'!B77</f>
        <v>0.4285714286</v>
      </c>
      <c r="C43" s="65">
        <f>'PP - Data'!C77</f>
        <v>0.4761904762</v>
      </c>
      <c r="D43" s="65">
        <f>'PP - Data'!D77</f>
        <v>0.3636363636</v>
      </c>
      <c r="E43" s="65">
        <f>'PP - Data'!E77</f>
        <v>0.380952381</v>
      </c>
      <c r="F43" s="65">
        <f>'PP - Data'!F77</f>
        <v>0.380952381</v>
      </c>
      <c r="G43" s="65">
        <f>'PP - Data'!G77</f>
        <v>0.380952381</v>
      </c>
      <c r="H43" s="65">
        <f>'PP - Data'!H77</f>
        <v>0.5</v>
      </c>
      <c r="I43" s="65">
        <f>'PP - Data'!I77</f>
        <v>0.6363636364</v>
      </c>
      <c r="J43" s="65">
        <f>'PP - Data'!J77</f>
        <v>0.4666666667</v>
      </c>
      <c r="K43" s="65">
        <f>'PP - Data'!K77</f>
        <v>0.2666666667</v>
      </c>
      <c r="L43" s="65">
        <f>'PP - Data'!L77</f>
        <v>0.4285714286</v>
      </c>
      <c r="M43" s="65">
        <f>'PP - Data'!M77</f>
        <v>0.5454545455</v>
      </c>
      <c r="N43" s="65">
        <f>'PP - Data'!N77</f>
        <v>0.5714285714</v>
      </c>
      <c r="O43" s="65">
        <f>'PP - Data'!O77</f>
        <v>0.2857142857</v>
      </c>
      <c r="P43" s="65">
        <f>'PP - Data'!P77</f>
        <v>0.5714285714</v>
      </c>
      <c r="Q43" s="65">
        <f>'PP - Data'!Q77</f>
        <v>0.2222222222</v>
      </c>
      <c r="R43" s="65">
        <f>'PP - Data'!R77</f>
        <v>0.2941176471</v>
      </c>
      <c r="S43" s="65">
        <f>'PP - Data'!S77</f>
        <v>0.4</v>
      </c>
      <c r="T43" s="65">
        <f>'PP - Data'!T77</f>
        <v>0.5454545455</v>
      </c>
      <c r="U43" s="65">
        <f>'PP - Data'!U77</f>
        <v>0.3888888889</v>
      </c>
      <c r="V43" s="65">
        <f>'PP - Data'!V77</f>
        <v>0.4545454545</v>
      </c>
      <c r="W43" s="65">
        <f>'PP - Data'!W77</f>
        <v>0.4285714286</v>
      </c>
      <c r="X43" s="65">
        <f>'PP - Data'!X77</f>
        <v>0.4285714286</v>
      </c>
      <c r="Y43" s="65">
        <f>'PP - Data'!Y77</f>
        <v>0.5384615385</v>
      </c>
      <c r="Z43" s="65">
        <f>'PP - Data'!Z77</f>
        <v>0.3529411765</v>
      </c>
      <c r="AA43" s="65">
        <f>'PP - Data'!AA77</f>
        <v>0.3333333333</v>
      </c>
      <c r="AB43" s="65">
        <f>'PP - Data'!AB77</f>
        <v>0.25</v>
      </c>
      <c r="AC43" s="65">
        <f>'PP - Data'!AC77</f>
        <v>0.625</v>
      </c>
      <c r="AD43" s="65">
        <f>'PP - Data'!AD77</f>
        <v>0.3333333333</v>
      </c>
      <c r="AE43" s="65">
        <f>'PP - Data'!AE77</f>
        <v>0.4444444444</v>
      </c>
      <c r="AF43" s="65">
        <f>'PP - Data'!AF77</f>
        <v>0.2</v>
      </c>
    </row>
    <row r="44" hidden="1" outlineLevel="1">
      <c r="A44" s="4" t="s">
        <v>721</v>
      </c>
      <c r="B44" s="65">
        <f>'PP - Data'!B78</f>
        <v>0.04761904762</v>
      </c>
      <c r="C44" s="65">
        <f>'PP - Data'!C78</f>
        <v>0.1904761905</v>
      </c>
      <c r="D44" s="65">
        <f>'PP - Data'!D78</f>
        <v>0.09090909091</v>
      </c>
      <c r="E44" s="65">
        <f>'PP - Data'!E78</f>
        <v>0.2380952381</v>
      </c>
      <c r="F44" s="65">
        <f>'PP - Data'!F78</f>
        <v>0.1904761905</v>
      </c>
      <c r="G44" s="65">
        <f>'PP - Data'!G78</f>
        <v>0.2857142857</v>
      </c>
      <c r="H44" s="65">
        <f>'PP - Data'!H78</f>
        <v>0.1666666667</v>
      </c>
      <c r="I44" s="65">
        <f>'PP - Data'!I78</f>
        <v>0</v>
      </c>
      <c r="J44" s="65">
        <f>'PP - Data'!J78</f>
        <v>0</v>
      </c>
      <c r="K44" s="65">
        <f>'PP - Data'!K78</f>
        <v>0.3333333333</v>
      </c>
      <c r="L44" s="65">
        <f>'PP - Data'!L78</f>
        <v>0.09523809524</v>
      </c>
      <c r="M44" s="65">
        <f>'PP - Data'!M78</f>
        <v>0.2727272727</v>
      </c>
      <c r="N44" s="65">
        <f>'PP - Data'!N78</f>
        <v>0.1428571429</v>
      </c>
      <c r="O44" s="65">
        <f>'PP - Data'!O78</f>
        <v>0</v>
      </c>
      <c r="P44" s="65">
        <f>'PP - Data'!P78</f>
        <v>0.1428571429</v>
      </c>
      <c r="Q44" s="65">
        <f>'PP - Data'!Q78</f>
        <v>0.2222222222</v>
      </c>
      <c r="R44" s="65">
        <f>'PP - Data'!R78</f>
        <v>0.2352941176</v>
      </c>
      <c r="S44" s="65">
        <f>'PP - Data'!S78</f>
        <v>0.2666666667</v>
      </c>
      <c r="T44" s="65">
        <f>'PP - Data'!T78</f>
        <v>0.09090909091</v>
      </c>
      <c r="U44" s="65">
        <f>'PP - Data'!U78</f>
        <v>0.1111111111</v>
      </c>
      <c r="V44" s="65">
        <f>'PP - Data'!V78</f>
        <v>0.1818181818</v>
      </c>
      <c r="W44" s="65">
        <f>'PP - Data'!W78</f>
        <v>0.2857142857</v>
      </c>
      <c r="X44" s="65">
        <f>'PP - Data'!X78</f>
        <v>0</v>
      </c>
      <c r="Y44" s="65">
        <f>'PP - Data'!Y78</f>
        <v>0.2307692308</v>
      </c>
      <c r="Z44" s="65">
        <f>'PP - Data'!Z78</f>
        <v>0.2352941176</v>
      </c>
      <c r="AA44" s="65">
        <f>'PP - Data'!AA78</f>
        <v>0.1111111111</v>
      </c>
      <c r="AB44" s="65">
        <f>'PP - Data'!AB78</f>
        <v>0.0625</v>
      </c>
      <c r="AC44" s="65">
        <f>'PP - Data'!AC78</f>
        <v>0.125</v>
      </c>
      <c r="AD44" s="65">
        <f>'PP - Data'!AD78</f>
        <v>0.08333333333</v>
      </c>
      <c r="AE44" s="65">
        <f>'PP - Data'!AE78</f>
        <v>0.3333333333</v>
      </c>
      <c r="AF44" s="65">
        <f>'PP - Data'!AF78</f>
        <v>0</v>
      </c>
    </row>
    <row r="45" hidden="1" outlineLevel="1">
      <c r="A45" s="508"/>
      <c r="B45" s="500" t="str">
        <f>'PP - Data'!B79</f>
        <v/>
      </c>
      <c r="C45" s="500" t="str">
        <f>'PP - Data'!C79</f>
        <v/>
      </c>
      <c r="D45" s="500" t="str">
        <f>'PP - Data'!D79</f>
        <v/>
      </c>
      <c r="E45" s="500" t="str">
        <f>'PP - Data'!E79</f>
        <v/>
      </c>
      <c r="F45" s="500" t="str">
        <f>'PP - Data'!F79</f>
        <v/>
      </c>
      <c r="G45" s="500" t="str">
        <f>'PP - Data'!G79</f>
        <v/>
      </c>
      <c r="H45" s="500" t="str">
        <f>'PP - Data'!H79</f>
        <v/>
      </c>
      <c r="I45" s="500" t="str">
        <f>'PP - Data'!I79</f>
        <v/>
      </c>
      <c r="J45" s="500" t="str">
        <f>'PP - Data'!J79</f>
        <v/>
      </c>
      <c r="K45" s="500" t="str">
        <f>'PP - Data'!K79</f>
        <v/>
      </c>
      <c r="L45" s="500" t="str">
        <f>'PP - Data'!L79</f>
        <v/>
      </c>
      <c r="M45" s="500" t="str">
        <f>'PP - Data'!M79</f>
        <v/>
      </c>
      <c r="N45" s="500" t="str">
        <f>'PP - Data'!N79</f>
        <v/>
      </c>
      <c r="O45" s="500" t="str">
        <f>'PP - Data'!O79</f>
        <v/>
      </c>
      <c r="P45" s="500" t="str">
        <f>'PP - Data'!P79</f>
        <v/>
      </c>
      <c r="Q45" s="500" t="str">
        <f>'PP - Data'!Q79</f>
        <v/>
      </c>
      <c r="R45" s="500" t="str">
        <f>'PP - Data'!R79</f>
        <v/>
      </c>
      <c r="S45" s="500" t="str">
        <f>'PP - Data'!S79</f>
        <v/>
      </c>
      <c r="T45" s="500" t="str">
        <f>'PP - Data'!T79</f>
        <v/>
      </c>
      <c r="U45" s="500" t="str">
        <f>'PP - Data'!U79</f>
        <v/>
      </c>
      <c r="V45" s="500" t="str">
        <f>'PP - Data'!V79</f>
        <v/>
      </c>
      <c r="W45" s="500" t="str">
        <f>'PP - Data'!W79</f>
        <v/>
      </c>
      <c r="X45" s="500" t="str">
        <f>'PP - Data'!X79</f>
        <v/>
      </c>
      <c r="Y45" s="500" t="str">
        <f>'PP - Data'!Y79</f>
        <v/>
      </c>
      <c r="Z45" s="500" t="str">
        <f>'PP - Data'!Z79</f>
        <v/>
      </c>
      <c r="AA45" s="500" t="str">
        <f>'PP - Data'!AA79</f>
        <v/>
      </c>
      <c r="AB45" s="500" t="str">
        <f>'PP - Data'!AB79</f>
        <v/>
      </c>
      <c r="AC45" s="500" t="str">
        <f>'PP - Data'!AC79</f>
        <v/>
      </c>
      <c r="AD45" s="500" t="str">
        <f>'PP - Data'!AD79</f>
        <v/>
      </c>
      <c r="AE45" s="500" t="str">
        <f>'PP - Data'!AE79</f>
        <v/>
      </c>
      <c r="AF45" s="500" t="str">
        <f>'PP - Data'!AF79</f>
        <v/>
      </c>
    </row>
    <row r="46" collapsed="1">
      <c r="A46" s="499" t="s">
        <v>724</v>
      </c>
      <c r="B46" s="500">
        <f>'PP - Data'!B80</f>
        <v>0.1826086957</v>
      </c>
      <c r="C46" s="500">
        <f>'PP - Data'!C80</f>
        <v>0.2</v>
      </c>
      <c r="D46" s="500">
        <f>'PP - Data'!D80</f>
        <v>0.2252252252</v>
      </c>
      <c r="E46" s="500">
        <f>'PP - Data'!E80</f>
        <v>0.2526315789</v>
      </c>
      <c r="F46" s="500">
        <f>'PP - Data'!F80</f>
        <v>0.2051282051</v>
      </c>
      <c r="G46" s="500">
        <f>'PP - Data'!G80</f>
        <v>0.147826087</v>
      </c>
      <c r="H46" s="500">
        <f>'PP - Data'!H80</f>
        <v>0.1893939394</v>
      </c>
      <c r="I46" s="500">
        <f>'PP - Data'!I80</f>
        <v>0.2127659574</v>
      </c>
      <c r="J46" s="500">
        <f>'PP - Data'!J80</f>
        <v>0.253164557</v>
      </c>
      <c r="K46" s="500">
        <f>'PP - Data'!K80</f>
        <v>0.186440678</v>
      </c>
      <c r="L46" s="500">
        <f>'PP - Data'!L80</f>
        <v>0.2051282051</v>
      </c>
      <c r="M46" s="500">
        <f>'PP - Data'!M80</f>
        <v>0.2528735632</v>
      </c>
      <c r="N46" s="500">
        <f>'PP - Data'!N80</f>
        <v>0.1460674157</v>
      </c>
      <c r="O46" s="500">
        <f>'PP - Data'!O80</f>
        <v>0.1340206186</v>
      </c>
      <c r="P46" s="500">
        <f>'PP - Data'!P80</f>
        <v>0.2179487179</v>
      </c>
      <c r="Q46" s="500">
        <f>'PP - Data'!Q80</f>
        <v>0.1571428571</v>
      </c>
      <c r="R46" s="500">
        <f>'PP - Data'!R80</f>
        <v>0.2976190476</v>
      </c>
      <c r="S46" s="500">
        <f>'PP - Data'!S80</f>
        <v>0.1791044776</v>
      </c>
      <c r="T46" s="500">
        <f>'PP - Data'!T80</f>
        <v>0.2077922078</v>
      </c>
      <c r="U46" s="500">
        <f>'PP - Data'!U80</f>
        <v>0.1956521739</v>
      </c>
      <c r="V46" s="500">
        <f>'PP - Data'!V80</f>
        <v>0.2222222222</v>
      </c>
      <c r="W46" s="500">
        <f>'PP - Data'!W80</f>
        <v>0.15</v>
      </c>
      <c r="X46" s="500">
        <f>'PP - Data'!X80</f>
        <v>0.1525423729</v>
      </c>
      <c r="Y46" s="500">
        <f>'PP - Data'!Y80</f>
        <v>0.1818181818</v>
      </c>
      <c r="Z46" s="500">
        <f>'PP - Data'!Z80</f>
        <v>0.2033898305</v>
      </c>
      <c r="AA46" s="500">
        <f>'PP - Data'!AA80</f>
        <v>0.1607142857</v>
      </c>
      <c r="AB46" s="500">
        <f>'PP - Data'!AB80</f>
        <v>0.2419354839</v>
      </c>
      <c r="AC46" s="500">
        <f>'PP - Data'!AC80</f>
        <v>0.1692307692</v>
      </c>
      <c r="AD46" s="500">
        <f>'PP - Data'!AD80</f>
        <v>0.2941176471</v>
      </c>
      <c r="AE46" s="500">
        <f>'PP - Data'!AE80</f>
        <v>0.3953488372</v>
      </c>
      <c r="AF46" s="500">
        <f>'PP - Data'!AF80</f>
        <v>0.2647058824</v>
      </c>
    </row>
    <row r="47" hidden="1" outlineLevel="1">
      <c r="A47" s="503" t="s">
        <v>718</v>
      </c>
      <c r="B47" s="504"/>
      <c r="C47" s="504"/>
      <c r="D47" s="504"/>
      <c r="E47" s="504"/>
      <c r="F47" s="504"/>
      <c r="G47" s="505"/>
      <c r="H47" s="504"/>
      <c r="I47" s="504"/>
      <c r="J47" s="504"/>
      <c r="K47" s="504"/>
      <c r="L47" s="504"/>
      <c r="M47" s="504"/>
      <c r="N47" s="504"/>
      <c r="O47" s="504"/>
      <c r="P47" s="504"/>
      <c r="Q47" s="504"/>
      <c r="R47" s="504"/>
      <c r="S47" s="504"/>
      <c r="T47" s="504"/>
      <c r="U47" s="504"/>
      <c r="V47" s="504"/>
      <c r="W47" s="504"/>
      <c r="X47" s="504"/>
      <c r="Y47" s="504"/>
      <c r="Z47" s="504"/>
      <c r="AA47" s="504"/>
      <c r="AB47" s="504"/>
      <c r="AC47" s="504"/>
      <c r="AD47" s="504"/>
      <c r="AE47" s="504"/>
      <c r="AF47" s="504"/>
    </row>
    <row r="48" hidden="1" outlineLevel="1">
      <c r="A48" s="4" t="s">
        <v>719</v>
      </c>
      <c r="G48" s="65">
        <f>'PP - Data'!G82</f>
        <v>0.6470588235</v>
      </c>
      <c r="H48" s="65">
        <f>'PP - Data'!H82</f>
        <v>0.36</v>
      </c>
      <c r="I48" s="65">
        <f>'PP - Data'!I82</f>
        <v>0.4</v>
      </c>
      <c r="J48" s="65">
        <f>'PP - Data'!J82</f>
        <v>0.45</v>
      </c>
      <c r="K48" s="65">
        <f>'PP - Data'!K82</f>
        <v>0.2727272727</v>
      </c>
      <c r="L48" s="65">
        <f>'PP - Data'!L82</f>
        <v>0.6875</v>
      </c>
      <c r="M48" s="65">
        <f>'PP - Data'!M82</f>
        <v>0.6363636364</v>
      </c>
      <c r="N48" s="65">
        <f>'PP - Data'!N82</f>
        <v>0.8461538462</v>
      </c>
      <c r="O48" s="65">
        <f>'PP - Data'!O82</f>
        <v>0.4615384615</v>
      </c>
      <c r="P48" s="65">
        <f>'PP - Data'!P82</f>
        <v>0.5882352941</v>
      </c>
      <c r="Q48" s="65">
        <f>'PP - Data'!Q82</f>
        <v>0.5454545455</v>
      </c>
      <c r="R48" s="65">
        <f>'PP - Data'!R82</f>
        <v>0.6</v>
      </c>
      <c r="S48" s="65">
        <f>'PP - Data'!S82</f>
        <v>0.6666666667</v>
      </c>
      <c r="T48" s="65">
        <f>'PP - Data'!T82</f>
        <v>0.5</v>
      </c>
      <c r="U48" s="65">
        <f>'PP - Data'!U82</f>
        <v>0.3888888889</v>
      </c>
      <c r="V48" s="65">
        <f>'PP - Data'!V82</f>
        <v>0.375</v>
      </c>
      <c r="W48" s="65">
        <f>'PP - Data'!W82</f>
        <v>0.4444444444</v>
      </c>
      <c r="X48" s="65">
        <f>'PP - Data'!X82</f>
        <v>0.3333333333</v>
      </c>
      <c r="Y48" s="65">
        <f>'PP - Data'!Y82</f>
        <v>0.3</v>
      </c>
      <c r="Z48" s="65">
        <f>'PP - Data'!Z82</f>
        <v>0.5833333333</v>
      </c>
      <c r="AA48" s="65">
        <f>'PP - Data'!AA82</f>
        <v>0.5555555556</v>
      </c>
      <c r="AB48" s="65">
        <f>'PP - Data'!AB82</f>
        <v>0.6</v>
      </c>
      <c r="AC48" s="65">
        <f>'PP - Data'!AC82</f>
        <v>0.6363636364</v>
      </c>
      <c r="AD48" s="65">
        <f>'PP - Data'!AD82</f>
        <v>0.4</v>
      </c>
      <c r="AE48" s="65">
        <f>'PP - Data'!AE82</f>
        <v>0.5882352941</v>
      </c>
    </row>
    <row r="49" hidden="1" outlineLevel="1">
      <c r="A49" s="4" t="s">
        <v>720</v>
      </c>
      <c r="G49" s="65">
        <f>'PP - Data'!G83</f>
        <v>0.2941176471</v>
      </c>
      <c r="H49" s="65">
        <f>'PP - Data'!H83</f>
        <v>0.44</v>
      </c>
      <c r="I49" s="65">
        <f>'PP - Data'!I83</f>
        <v>0.5</v>
      </c>
      <c r="J49" s="65">
        <f>'PP - Data'!J83</f>
        <v>0.5</v>
      </c>
      <c r="K49" s="65">
        <f>'PP - Data'!K83</f>
        <v>0.7272727273</v>
      </c>
      <c r="L49" s="65">
        <f>'PP - Data'!L83</f>
        <v>0.1875</v>
      </c>
      <c r="M49" s="65">
        <f>'PP - Data'!M83</f>
        <v>0.3181818182</v>
      </c>
      <c r="N49" s="65">
        <f>'PP - Data'!N83</f>
        <v>0</v>
      </c>
      <c r="O49" s="65">
        <f>'PP - Data'!O83</f>
        <v>0.4615384615</v>
      </c>
      <c r="P49" s="65">
        <f>'PP - Data'!P83</f>
        <v>0.3529411765</v>
      </c>
      <c r="Q49" s="65">
        <f>'PP - Data'!Q83</f>
        <v>0.4545454545</v>
      </c>
      <c r="R49" s="65">
        <f>'PP - Data'!R83</f>
        <v>0.36</v>
      </c>
      <c r="S49" s="65">
        <f>'PP - Data'!S83</f>
        <v>0.3333333333</v>
      </c>
      <c r="T49" s="65">
        <f>'PP - Data'!T83</f>
        <v>0.4375</v>
      </c>
      <c r="U49" s="65">
        <f>'PP - Data'!U83</f>
        <v>0.5</v>
      </c>
      <c r="V49" s="65">
        <f>'PP - Data'!V83</f>
        <v>0.625</v>
      </c>
      <c r="W49" s="65">
        <f>'PP - Data'!W83</f>
        <v>0.5555555556</v>
      </c>
      <c r="X49" s="65">
        <f>'PP - Data'!X83</f>
        <v>0.4444444444</v>
      </c>
      <c r="Y49" s="65">
        <f>'PP - Data'!Y83</f>
        <v>0.3</v>
      </c>
      <c r="Z49" s="65">
        <f>'PP - Data'!Z83</f>
        <v>0.25</v>
      </c>
      <c r="AA49" s="65">
        <f>'PP - Data'!AA83</f>
        <v>0.3333333333</v>
      </c>
      <c r="AB49" s="65">
        <f>'PP - Data'!AB83</f>
        <v>0.4</v>
      </c>
      <c r="AC49" s="65">
        <f>'PP - Data'!AC83</f>
        <v>0.2727272727</v>
      </c>
      <c r="AD49" s="65">
        <f>'PP - Data'!AD83</f>
        <v>0.4</v>
      </c>
      <c r="AE49" s="65">
        <f>'PP - Data'!AE83</f>
        <v>0.2352941176</v>
      </c>
    </row>
    <row r="50" hidden="1" outlineLevel="1">
      <c r="A50" s="4" t="s">
        <v>721</v>
      </c>
      <c r="G50" s="65">
        <f>'PP - Data'!G84</f>
        <v>0.05882352941</v>
      </c>
      <c r="H50" s="65">
        <f>'PP - Data'!H84</f>
        <v>0.2</v>
      </c>
      <c r="I50" s="65">
        <f>'PP - Data'!I84</f>
        <v>0.1</v>
      </c>
      <c r="J50" s="65">
        <f>'PP - Data'!J84</f>
        <v>0.05</v>
      </c>
      <c r="K50" s="65">
        <f>'PP - Data'!K84</f>
        <v>0</v>
      </c>
      <c r="L50" s="65">
        <f>'PP - Data'!L84</f>
        <v>0.125</v>
      </c>
      <c r="M50" s="65">
        <f>'PP - Data'!M84</f>
        <v>0.04545454545</v>
      </c>
      <c r="N50" s="65">
        <f>'PP - Data'!N84</f>
        <v>0.1538461538</v>
      </c>
      <c r="O50" s="65">
        <f>'PP - Data'!O84</f>
        <v>0.07692307692</v>
      </c>
      <c r="P50" s="65">
        <f>'PP - Data'!P84</f>
        <v>0.05882352941</v>
      </c>
      <c r="Q50" s="65">
        <f>'PP - Data'!Q84</f>
        <v>0</v>
      </c>
      <c r="R50" s="65">
        <f>'PP - Data'!R84</f>
        <v>0.04</v>
      </c>
      <c r="S50" s="65">
        <f>'PP - Data'!S84</f>
        <v>0</v>
      </c>
      <c r="T50" s="65">
        <f>'PP - Data'!T84</f>
        <v>0.0625</v>
      </c>
      <c r="U50" s="65">
        <f>'PP - Data'!U84</f>
        <v>0.1111111111</v>
      </c>
      <c r="V50" s="65">
        <f>'PP - Data'!V84</f>
        <v>0</v>
      </c>
      <c r="W50" s="65">
        <f>'PP - Data'!W84</f>
        <v>0</v>
      </c>
      <c r="X50" s="65">
        <f>'PP - Data'!X84</f>
        <v>0.2222222222</v>
      </c>
      <c r="Y50" s="65">
        <f>'PP - Data'!Y84</f>
        <v>0.4</v>
      </c>
      <c r="Z50" s="65">
        <f>'PP - Data'!Z84</f>
        <v>0.1666666667</v>
      </c>
      <c r="AA50" s="65">
        <f>'PP - Data'!AA84</f>
        <v>0.1111111111</v>
      </c>
      <c r="AB50" s="65">
        <f>'PP - Data'!AB84</f>
        <v>0</v>
      </c>
      <c r="AC50" s="65">
        <f>'PP - Data'!AC84</f>
        <v>0.09090909091</v>
      </c>
      <c r="AD50" s="65">
        <f>'PP - Data'!AD84</f>
        <v>0.2</v>
      </c>
      <c r="AE50" s="65">
        <f>'PP - Data'!AE84</f>
        <v>0.1764705882</v>
      </c>
    </row>
    <row r="51" hidden="1" outlineLevel="1">
      <c r="A51" s="508"/>
      <c r="B51" s="509"/>
      <c r="C51" s="509"/>
      <c r="D51" s="509"/>
      <c r="E51" s="509"/>
      <c r="F51" s="509"/>
      <c r="G51" s="509"/>
      <c r="H51" s="509"/>
      <c r="I51" s="509"/>
      <c r="J51" s="509"/>
      <c r="K51" s="509"/>
      <c r="L51" s="509"/>
      <c r="M51" s="509"/>
      <c r="N51" s="509"/>
      <c r="O51" s="509"/>
      <c r="P51" s="509"/>
      <c r="Q51" s="509"/>
      <c r="R51" s="509"/>
      <c r="S51" s="509"/>
      <c r="T51" s="509"/>
      <c r="U51" s="509"/>
      <c r="V51" s="509"/>
      <c r="W51" s="509"/>
      <c r="X51" s="509"/>
      <c r="Y51" s="509"/>
      <c r="Z51" s="509"/>
      <c r="AA51" s="509"/>
      <c r="AB51" s="509"/>
      <c r="AC51" s="509"/>
      <c r="AD51" s="509"/>
      <c r="AE51" s="509"/>
      <c r="AF51" s="504"/>
    </row>
    <row r="52">
      <c r="G52" s="75"/>
    </row>
    <row r="53">
      <c r="A53" s="510"/>
      <c r="B53" s="510"/>
      <c r="C53" s="510"/>
      <c r="D53" s="510"/>
      <c r="E53" s="510"/>
      <c r="F53" s="510"/>
      <c r="G53" s="510"/>
      <c r="H53" s="510"/>
      <c r="I53" s="510"/>
      <c r="J53" s="510"/>
      <c r="K53" s="510"/>
      <c r="L53" s="510"/>
      <c r="M53" s="510"/>
      <c r="N53" s="510"/>
      <c r="O53" s="510"/>
      <c r="P53" s="510"/>
      <c r="Q53" s="510"/>
      <c r="R53" s="510"/>
      <c r="S53" s="510"/>
      <c r="T53" s="510"/>
      <c r="U53" s="510"/>
      <c r="V53" s="510"/>
      <c r="W53" s="510"/>
      <c r="X53" s="510"/>
      <c r="Y53" s="510"/>
      <c r="Z53" s="510"/>
      <c r="AA53" s="510"/>
      <c r="AB53" s="510"/>
      <c r="AC53" s="510"/>
      <c r="AD53" s="510"/>
      <c r="AE53" s="510"/>
      <c r="AF53" s="510"/>
    </row>
    <row r="54">
      <c r="A54" s="510"/>
      <c r="B54" s="510"/>
      <c r="C54" s="510"/>
      <c r="D54" s="510"/>
      <c r="E54" s="510"/>
      <c r="F54" s="510"/>
      <c r="G54" s="510"/>
      <c r="H54" s="510"/>
      <c r="I54" s="510"/>
      <c r="J54" s="510"/>
      <c r="K54" s="510"/>
      <c r="L54" s="510"/>
      <c r="M54" s="510"/>
      <c r="N54" s="510"/>
      <c r="O54" s="510"/>
      <c r="P54" s="510"/>
      <c r="Q54" s="510"/>
      <c r="R54" s="510"/>
      <c r="S54" s="510"/>
      <c r="T54" s="510"/>
      <c r="U54" s="510"/>
      <c r="V54" s="510"/>
      <c r="W54" s="510"/>
      <c r="X54" s="510"/>
      <c r="Y54" s="510"/>
      <c r="Z54" s="510"/>
      <c r="AA54" s="510"/>
      <c r="AB54" s="510"/>
      <c r="AC54" s="510"/>
      <c r="AD54" s="510"/>
      <c r="AE54" s="510"/>
      <c r="AF54" s="510"/>
    </row>
    <row r="55">
      <c r="A55" s="510"/>
      <c r="B55" s="510"/>
      <c r="C55" s="510"/>
      <c r="D55" s="510"/>
      <c r="E55" s="510"/>
      <c r="F55" s="510"/>
      <c r="G55" s="510"/>
      <c r="H55" s="510"/>
      <c r="I55" s="510"/>
      <c r="J55" s="510"/>
      <c r="K55" s="510"/>
      <c r="L55" s="510"/>
      <c r="M55" s="510"/>
      <c r="N55" s="510"/>
      <c r="O55" s="510"/>
      <c r="P55" s="510"/>
      <c r="Q55" s="510"/>
      <c r="R55" s="510"/>
      <c r="S55" s="510"/>
      <c r="T55" s="510"/>
      <c r="U55" s="510"/>
      <c r="V55" s="510"/>
      <c r="W55" s="510"/>
      <c r="X55" s="510"/>
      <c r="Y55" s="510"/>
      <c r="Z55" s="510"/>
      <c r="AA55" s="510"/>
      <c r="AB55" s="510"/>
      <c r="AC55" s="510"/>
      <c r="AD55" s="510"/>
      <c r="AE55" s="510"/>
      <c r="AF55" s="510"/>
    </row>
    <row r="56">
      <c r="A56" s="510"/>
      <c r="B56" s="510"/>
      <c r="C56" s="510"/>
      <c r="D56" s="510"/>
      <c r="E56" s="510"/>
      <c r="F56" s="510"/>
      <c r="G56" s="510"/>
      <c r="H56" s="510"/>
      <c r="I56" s="510"/>
      <c r="J56" s="510"/>
      <c r="K56" s="510"/>
      <c r="L56" s="510"/>
      <c r="M56" s="510"/>
      <c r="N56" s="510"/>
      <c r="O56" s="510"/>
      <c r="P56" s="510"/>
      <c r="Q56" s="510"/>
      <c r="R56" s="510"/>
      <c r="S56" s="510"/>
      <c r="T56" s="510"/>
      <c r="U56" s="510"/>
      <c r="V56" s="510"/>
      <c r="W56" s="510"/>
      <c r="X56" s="510"/>
      <c r="Y56" s="510"/>
      <c r="Z56" s="510"/>
      <c r="AA56" s="510"/>
      <c r="AB56" s="510"/>
      <c r="AC56" s="510"/>
      <c r="AD56" s="510"/>
      <c r="AE56" s="510"/>
      <c r="AF56" s="510"/>
    </row>
    <row r="57">
      <c r="A57" s="510"/>
      <c r="B57" s="510"/>
      <c r="C57" s="510"/>
      <c r="D57" s="510"/>
      <c r="E57" s="510"/>
      <c r="F57" s="510"/>
      <c r="G57" s="510"/>
      <c r="H57" s="510"/>
      <c r="I57" s="510"/>
      <c r="J57" s="510"/>
      <c r="K57" s="510"/>
      <c r="L57" s="510"/>
      <c r="M57" s="510"/>
      <c r="N57" s="510"/>
      <c r="O57" s="510"/>
      <c r="P57" s="510"/>
      <c r="Q57" s="510"/>
      <c r="R57" s="510"/>
      <c r="S57" s="510"/>
      <c r="T57" s="510"/>
      <c r="U57" s="510"/>
      <c r="V57" s="510"/>
      <c r="W57" s="510"/>
      <c r="X57" s="510"/>
      <c r="Y57" s="510"/>
      <c r="Z57" s="510"/>
      <c r="AA57" s="510"/>
      <c r="AB57" s="510"/>
      <c r="AC57" s="510"/>
      <c r="AD57" s="510"/>
      <c r="AE57" s="510"/>
      <c r="AF57" s="510"/>
    </row>
    <row r="59">
      <c r="G59" s="75"/>
    </row>
    <row r="60">
      <c r="G60" s="75"/>
    </row>
  </sheetData>
  <conditionalFormatting sqref="Z7">
    <cfRule type="colorScale" priority="1">
      <colorScale>
        <cfvo type="min"/>
        <cfvo type="max"/>
        <color rgb="FFFFFFFF"/>
        <color rgb="FF57BB8A"/>
      </colorScale>
    </cfRule>
  </conditionalFormatting>
  <conditionalFormatting sqref="B8:AF19">
    <cfRule type="colorScale" priority="2">
      <colorScale>
        <cfvo type="min"/>
        <cfvo type="max"/>
        <color rgb="FFFFFFFF"/>
        <color rgb="FF57BB8A"/>
      </colorScale>
    </cfRule>
  </conditionalFormatting>
  <conditionalFormatting sqref="B28:AF46">
    <cfRule type="colorScale" priority="3">
      <colorScale>
        <cfvo type="min"/>
        <cfvo type="max"/>
        <color rgb="FFFFFFFF"/>
        <color rgb="FF57BB8A"/>
      </colorScale>
    </cfRule>
  </conditionalFormatting>
  <conditionalFormatting sqref="B30:AF32">
    <cfRule type="colorScale" priority="4">
      <colorScale>
        <cfvo type="min"/>
        <cfvo type="max"/>
        <color rgb="FFFCFCFF"/>
        <color rgb="FF57BB8A"/>
      </colorScale>
    </cfRule>
  </conditionalFormatting>
  <conditionalFormatting sqref="B34:AF34">
    <cfRule type="colorScale" priority="5">
      <colorScale>
        <cfvo type="min"/>
        <cfvo type="max"/>
        <color rgb="FFFCFCFF"/>
        <color rgb="FF57BB8A"/>
      </colorScale>
    </cfRule>
  </conditionalFormatting>
  <conditionalFormatting sqref="B36:AF38">
    <cfRule type="colorScale" priority="6">
      <colorScale>
        <cfvo type="min"/>
        <cfvo type="max"/>
        <color rgb="FFFCFCFF"/>
        <color rgb="FF57BB8A"/>
      </colorScale>
    </cfRule>
  </conditionalFormatting>
  <conditionalFormatting sqref="B40:AF40">
    <cfRule type="colorScale" priority="7">
      <colorScale>
        <cfvo type="min"/>
        <cfvo type="max"/>
        <color rgb="FFFCFCFF"/>
        <color rgb="FF57BB8A"/>
      </colorScale>
    </cfRule>
  </conditionalFormatting>
  <conditionalFormatting sqref="B42:AF44">
    <cfRule type="colorScale" priority="8">
      <colorScale>
        <cfvo type="min"/>
        <cfvo type="max"/>
        <color rgb="FFFCFCFF"/>
        <color rgb="FF57BB8A"/>
      </colorScale>
    </cfRule>
  </conditionalFormatting>
  <conditionalFormatting sqref="B46:AF46">
    <cfRule type="colorScale" priority="9">
      <colorScale>
        <cfvo type="min"/>
        <cfvo type="max"/>
        <color rgb="FFFCFCFF"/>
        <color rgb="FF57BB8A"/>
      </colorScale>
    </cfRule>
  </conditionalFormatting>
  <conditionalFormatting sqref="B48:AF50">
    <cfRule type="colorScale" priority="10">
      <colorScale>
        <cfvo type="min"/>
        <cfvo type="max"/>
        <color rgb="FFFCFCFF"/>
        <color rgb="FF57BB8A"/>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6.88"/>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374"/>
      <c r="B1" s="511" t="s">
        <v>725</v>
      </c>
      <c r="S1" s="511"/>
      <c r="T1" s="511"/>
      <c r="U1" s="511"/>
      <c r="V1" s="511"/>
    </row>
    <row r="2">
      <c r="A2" s="512" t="s">
        <v>726</v>
      </c>
      <c r="B2" s="513" t="s">
        <v>727</v>
      </c>
      <c r="C2" s="514"/>
      <c r="E2" s="515" t="s">
        <v>728</v>
      </c>
      <c r="F2" s="514"/>
      <c r="G2" s="516"/>
      <c r="H2" s="515" t="s">
        <v>729</v>
      </c>
      <c r="I2" s="514"/>
      <c r="J2" s="517"/>
      <c r="K2" s="515" t="s">
        <v>730</v>
      </c>
      <c r="L2" s="514"/>
      <c r="N2" s="515" t="s">
        <v>731</v>
      </c>
      <c r="O2" s="514"/>
      <c r="Q2" s="515" t="s">
        <v>732</v>
      </c>
      <c r="R2" s="514"/>
      <c r="S2" s="518"/>
      <c r="T2" s="519" t="s">
        <v>733</v>
      </c>
      <c r="U2" s="514"/>
      <c r="V2" s="520"/>
    </row>
    <row r="3">
      <c r="A3" s="521"/>
      <c r="B3" s="522" t="s">
        <v>734</v>
      </c>
      <c r="C3" s="523">
        <v>86.9</v>
      </c>
      <c r="D3" s="524">
        <v>86.9</v>
      </c>
      <c r="E3" s="525" t="s">
        <v>735</v>
      </c>
      <c r="F3" s="526">
        <f>(('DTC - P&amp;L'!AG94+'DTC - P&amp;L'!AG95)/'DTC - P&amp;L'!AG88)</f>
        <v>0.1514373717</v>
      </c>
      <c r="G3" s="527"/>
      <c r="H3" s="528" t="s">
        <v>727</v>
      </c>
      <c r="I3" s="529">
        <f>(C3*F9)+(C4*F8)+(C5*F3)+(C6*F4)+(C7*F5)+(C8*F6)+(C9*F7)+(C10*F10)</f>
        <v>106.2043943</v>
      </c>
      <c r="J3" s="530">
        <f>(D3*F9)+(D4*F8)+(D5*F3)+(D6*F4)+(D7*F5)+(D8*F6)+(D9*F7)</f>
        <v>101.6766735</v>
      </c>
      <c r="K3" s="531" t="s">
        <v>736</v>
      </c>
      <c r="L3" s="532">
        <v>0.029</v>
      </c>
      <c r="N3" s="522" t="s">
        <v>737</v>
      </c>
      <c r="O3" s="533">
        <v>0.22</v>
      </c>
      <c r="Q3" s="525" t="s">
        <v>738</v>
      </c>
      <c r="R3" s="534">
        <v>15.0</v>
      </c>
      <c r="S3" s="535"/>
      <c r="T3" s="536" t="s">
        <v>739</v>
      </c>
      <c r="U3" s="537">
        <v>0.0614</v>
      </c>
      <c r="V3" s="538" t="s">
        <v>726</v>
      </c>
    </row>
    <row r="4">
      <c r="A4" s="521"/>
      <c r="B4" s="522" t="s">
        <v>740</v>
      </c>
      <c r="C4" s="523">
        <v>97.61</v>
      </c>
      <c r="D4" s="524">
        <v>97.61</v>
      </c>
      <c r="E4" s="525" t="s">
        <v>122</v>
      </c>
      <c r="F4" s="526">
        <f>('DTC - P&amp;L'!AG90/'DTC - P&amp;L'!AG88)</f>
        <v>0.4065708419</v>
      </c>
      <c r="G4" s="527"/>
      <c r="H4" s="528" t="s">
        <v>741</v>
      </c>
      <c r="I4" s="529">
        <f>C38+('DTC - P&amp;L'!AG98/'DTC - P&amp;L'!AG88)*D38</f>
        <v>14.70760524</v>
      </c>
      <c r="J4" s="539"/>
      <c r="K4" s="525" t="s">
        <v>742</v>
      </c>
      <c r="L4" s="540">
        <v>0.034</v>
      </c>
      <c r="N4" s="522" t="s">
        <v>743</v>
      </c>
      <c r="O4" s="533">
        <v>0.13</v>
      </c>
      <c r="Q4" s="525" t="s">
        <v>744</v>
      </c>
      <c r="R4" s="534">
        <v>40.0</v>
      </c>
      <c r="S4" s="535"/>
      <c r="T4" s="535"/>
      <c r="U4" s="535"/>
      <c r="V4" s="535"/>
    </row>
    <row r="5">
      <c r="A5" s="521"/>
      <c r="B5" s="522" t="s">
        <v>745</v>
      </c>
      <c r="C5" s="529">
        <v>13.44</v>
      </c>
      <c r="D5" s="524">
        <v>13.44</v>
      </c>
      <c r="E5" s="541" t="s">
        <v>746</v>
      </c>
      <c r="F5" s="542">
        <v>0.0</v>
      </c>
      <c r="G5" s="527"/>
      <c r="H5" s="522" t="s">
        <v>747</v>
      </c>
      <c r="I5" s="529">
        <f>C34+('DTC - P&amp;L'!AG98/'DTC - P&amp;L'!AG88)*D34</f>
        <v>62.24928131</v>
      </c>
      <c r="K5" s="525" t="s">
        <v>748</v>
      </c>
      <c r="L5" s="540">
        <v>0.075</v>
      </c>
      <c r="N5" s="522" t="s">
        <v>749</v>
      </c>
      <c r="O5" s="543"/>
      <c r="Q5" s="525" t="s">
        <v>750</v>
      </c>
      <c r="R5" s="534">
        <v>20.0</v>
      </c>
      <c r="S5" s="535"/>
      <c r="T5" s="535"/>
      <c r="U5" s="535"/>
      <c r="V5" s="535"/>
    </row>
    <row r="6">
      <c r="A6" s="521"/>
      <c r="B6" s="522" t="s">
        <v>122</v>
      </c>
      <c r="C6" s="529">
        <v>5.49</v>
      </c>
      <c r="D6" s="524">
        <v>5.49</v>
      </c>
      <c r="E6" s="525" t="s">
        <v>123</v>
      </c>
      <c r="F6" s="526">
        <f>('DTC - P&amp;L'!AG91)/'DTC - P&amp;L'!AG88</f>
        <v>0.3454825462</v>
      </c>
      <c r="G6" s="527"/>
      <c r="H6" s="531" t="s">
        <v>751</v>
      </c>
      <c r="I6" s="529">
        <v>16.81</v>
      </c>
      <c r="K6" s="525" t="s">
        <v>752</v>
      </c>
      <c r="L6" s="544">
        <v>0.00125</v>
      </c>
      <c r="Q6" s="525" t="s">
        <v>753</v>
      </c>
      <c r="R6" s="545">
        <v>1.0</v>
      </c>
      <c r="S6" s="546"/>
      <c r="T6" s="546"/>
      <c r="U6" s="546"/>
      <c r="V6" s="546"/>
    </row>
    <row r="7">
      <c r="A7" s="521"/>
      <c r="B7" s="547" t="s">
        <v>746</v>
      </c>
      <c r="C7" s="548">
        <v>6.37</v>
      </c>
      <c r="D7" s="549"/>
      <c r="E7" s="525" t="s">
        <v>754</v>
      </c>
      <c r="F7" s="526">
        <f>('DTC - P&amp;L'!AG92+'DTC - P&amp;L'!AG93)/'DTC - P&amp;L'!AG88</f>
        <v>0.2705338809</v>
      </c>
      <c r="G7" s="527"/>
      <c r="H7" s="525" t="s">
        <v>755</v>
      </c>
      <c r="I7" s="529">
        <v>0.0</v>
      </c>
      <c r="K7" s="525" t="s">
        <v>756</v>
      </c>
      <c r="L7" s="550">
        <v>0.003464</v>
      </c>
      <c r="N7" s="27"/>
      <c r="O7" s="551"/>
    </row>
    <row r="8">
      <c r="A8" s="521"/>
      <c r="B8" s="522" t="s">
        <v>123</v>
      </c>
      <c r="C8" s="529">
        <v>1.19</v>
      </c>
      <c r="D8" s="524">
        <v>1.19</v>
      </c>
      <c r="E8" s="525" t="s">
        <v>757</v>
      </c>
      <c r="F8" s="526">
        <f>('DTC - P&amp;L'!AG86+'DTC - P&amp;L'!AG87)/'DTC - P&amp;L'!AG88</f>
        <v>0.7746406571</v>
      </c>
      <c r="G8" s="527"/>
      <c r="H8" s="525" t="s">
        <v>758</v>
      </c>
      <c r="I8" s="529">
        <v>0.0</v>
      </c>
      <c r="K8" s="525" t="s">
        <v>759</v>
      </c>
      <c r="L8" s="540">
        <v>0.075</v>
      </c>
      <c r="M8" s="552"/>
      <c r="N8" s="27"/>
      <c r="O8" s="551"/>
    </row>
    <row r="9">
      <c r="A9" s="521"/>
      <c r="B9" s="553" t="s">
        <v>760</v>
      </c>
      <c r="C9" s="529">
        <v>6.66</v>
      </c>
      <c r="D9" s="524">
        <v>6.66</v>
      </c>
      <c r="E9" s="525" t="s">
        <v>734</v>
      </c>
      <c r="F9" s="526">
        <f>1-F8</f>
        <v>0.2253593429</v>
      </c>
      <c r="G9" s="527"/>
      <c r="H9" s="554" t="s">
        <v>761</v>
      </c>
      <c r="I9" s="529">
        <f>Summary!B117*L3</f>
        <v>6.192362248</v>
      </c>
      <c r="K9" s="525" t="s">
        <v>762</v>
      </c>
      <c r="L9" s="540">
        <v>0.025</v>
      </c>
    </row>
    <row r="10">
      <c r="A10" s="555"/>
      <c r="B10" s="556" t="s">
        <v>763</v>
      </c>
      <c r="C10" s="557">
        <v>6.0</v>
      </c>
      <c r="E10" s="525" t="s">
        <v>763</v>
      </c>
      <c r="F10" s="526">
        <f>('DTC - P&amp;L'!AG96+'DTC - P&amp;L'!AG97)/'DTC - P&amp;L'!AG88</f>
        <v>0.7546201232</v>
      </c>
      <c r="H10" s="525" t="s">
        <v>764</v>
      </c>
      <c r="I10" s="558">
        <f>0.3</f>
        <v>0.3</v>
      </c>
      <c r="K10" s="525" t="s">
        <v>765</v>
      </c>
      <c r="L10" s="529">
        <v>15.0</v>
      </c>
    </row>
    <row r="11" outlineLevel="1">
      <c r="A11" s="559"/>
      <c r="B11" s="525" t="s">
        <v>766</v>
      </c>
      <c r="C11" s="529">
        <v>3.94</v>
      </c>
      <c r="D11" s="516"/>
      <c r="E11" s="525" t="s">
        <v>767</v>
      </c>
      <c r="F11" s="543"/>
      <c r="H11" s="525" t="s">
        <v>768</v>
      </c>
      <c r="I11" s="543"/>
      <c r="N11" s="560"/>
      <c r="O11" s="561"/>
      <c r="P11" s="562"/>
    </row>
    <row r="12" outlineLevel="1">
      <c r="A12" s="555"/>
      <c r="B12" s="525" t="s">
        <v>769</v>
      </c>
      <c r="C12" s="543">
        <v>14.79</v>
      </c>
      <c r="D12" s="563"/>
      <c r="E12" s="525" t="s">
        <v>770</v>
      </c>
      <c r="F12" s="543"/>
      <c r="H12" s="525" t="s">
        <v>767</v>
      </c>
      <c r="I12" s="543"/>
      <c r="K12" s="525" t="s">
        <v>771</v>
      </c>
      <c r="L12" s="540">
        <v>0.95</v>
      </c>
      <c r="O12" s="564"/>
      <c r="Q12" s="565"/>
    </row>
    <row r="13" outlineLevel="1">
      <c r="A13" s="555"/>
      <c r="B13" s="525" t="s">
        <v>772</v>
      </c>
      <c r="C13" s="566"/>
      <c r="D13" s="563"/>
      <c r="E13" s="525" t="s">
        <v>773</v>
      </c>
      <c r="F13" s="543"/>
      <c r="H13" s="525" t="s">
        <v>770</v>
      </c>
      <c r="I13" s="543"/>
      <c r="K13" s="525" t="s">
        <v>774</v>
      </c>
      <c r="L13" s="540">
        <v>0.05</v>
      </c>
      <c r="O13" s="561"/>
    </row>
    <row r="14" outlineLevel="1">
      <c r="B14" s="525" t="s">
        <v>775</v>
      </c>
      <c r="C14" s="566"/>
      <c r="D14" s="563"/>
      <c r="E14" s="525" t="s">
        <v>776</v>
      </c>
      <c r="F14" s="543"/>
      <c r="H14" s="525" t="s">
        <v>773</v>
      </c>
      <c r="I14" s="543"/>
      <c r="K14" s="525" t="s">
        <v>777</v>
      </c>
      <c r="L14" s="540">
        <v>0.0579</v>
      </c>
      <c r="N14" s="7"/>
    </row>
    <row r="15">
      <c r="A15" s="4"/>
      <c r="B15" s="567"/>
      <c r="C15" s="516"/>
      <c r="D15" s="516"/>
      <c r="E15" s="568"/>
      <c r="F15" s="569"/>
      <c r="H15" s="525" t="s">
        <v>109</v>
      </c>
      <c r="I15" s="570">
        <f>SUM(I3:I14)</f>
        <v>206.463643</v>
      </c>
      <c r="K15" s="525" t="s">
        <v>778</v>
      </c>
      <c r="L15" s="529">
        <v>0.3</v>
      </c>
      <c r="N15" s="7"/>
    </row>
    <row r="16">
      <c r="A16" s="4"/>
      <c r="B16" s="567"/>
      <c r="C16" s="516"/>
      <c r="D16" s="516"/>
      <c r="E16" s="568"/>
      <c r="F16" s="569"/>
      <c r="H16" s="4"/>
      <c r="I16" s="571"/>
      <c r="K16" s="4"/>
      <c r="L16" s="561"/>
      <c r="N16" s="7"/>
    </row>
    <row r="17">
      <c r="A17" s="4"/>
      <c r="B17" s="567"/>
      <c r="C17" s="516"/>
      <c r="D17" s="516"/>
      <c r="E17" s="568"/>
      <c r="F17" s="569"/>
      <c r="H17" s="4"/>
      <c r="I17" s="571"/>
      <c r="K17" s="4"/>
      <c r="L17" s="561"/>
      <c r="N17" s="7"/>
    </row>
    <row r="18">
      <c r="A18" s="4"/>
      <c r="B18" s="567"/>
      <c r="C18" s="516"/>
      <c r="D18" s="516"/>
      <c r="E18" s="568"/>
      <c r="F18" s="569"/>
      <c r="H18" s="4"/>
      <c r="I18" s="571"/>
      <c r="K18" s="4"/>
      <c r="L18" s="561"/>
      <c r="N18" s="7"/>
    </row>
    <row r="19">
      <c r="A19" s="4"/>
      <c r="B19" s="567"/>
      <c r="C19" s="516"/>
      <c r="D19" s="516"/>
      <c r="E19" s="568"/>
      <c r="F19" s="569"/>
      <c r="H19" s="4"/>
      <c r="I19" s="571"/>
      <c r="K19" s="4"/>
      <c r="L19" s="561"/>
      <c r="N19" s="7"/>
    </row>
    <row r="20">
      <c r="A20" s="4"/>
      <c r="B20" s="567"/>
      <c r="C20" s="516"/>
      <c r="D20" s="516"/>
      <c r="E20" s="568"/>
      <c r="F20" s="569"/>
      <c r="H20" s="4"/>
      <c r="I20" s="571"/>
      <c r="K20" s="4"/>
      <c r="L20" s="561"/>
      <c r="N20" s="7"/>
    </row>
    <row r="21">
      <c r="A21" s="4"/>
      <c r="B21" s="567"/>
      <c r="C21" s="516"/>
      <c r="D21" s="516"/>
      <c r="E21" s="568"/>
      <c r="F21" s="569"/>
      <c r="H21" s="4"/>
      <c r="I21" s="571"/>
      <c r="K21" s="4"/>
      <c r="L21" s="561"/>
      <c r="N21" s="7"/>
    </row>
    <row r="22">
      <c r="A22" s="4"/>
      <c r="B22" s="572" t="s">
        <v>779</v>
      </c>
      <c r="C22" s="573" t="s">
        <v>780</v>
      </c>
      <c r="D22" s="573" t="s">
        <v>781</v>
      </c>
      <c r="E22" s="573" t="s">
        <v>782</v>
      </c>
      <c r="F22" s="569"/>
      <c r="N22" s="7"/>
    </row>
    <row r="23">
      <c r="A23" s="4" t="s">
        <v>783</v>
      </c>
      <c r="B23" s="525" t="s">
        <v>784</v>
      </c>
      <c r="C23" s="529">
        <v>43.58</v>
      </c>
      <c r="D23" s="523">
        <v>9.68</v>
      </c>
      <c r="E23" s="523">
        <v>5.4</v>
      </c>
      <c r="F23" s="569"/>
      <c r="H23" s="515" t="s">
        <v>785</v>
      </c>
      <c r="I23" s="514"/>
      <c r="N23" s="574"/>
    </row>
    <row r="24">
      <c r="B24" s="525" t="s">
        <v>786</v>
      </c>
      <c r="C24" s="543">
        <v>11.94</v>
      </c>
      <c r="D24" s="543">
        <v>6.16</v>
      </c>
      <c r="E24" s="568"/>
      <c r="F24" s="527"/>
      <c r="H24" s="522" t="s">
        <v>787</v>
      </c>
      <c r="I24" s="575">
        <v>0.8</v>
      </c>
      <c r="L24" s="576"/>
    </row>
    <row r="25">
      <c r="B25" s="525" t="s">
        <v>788</v>
      </c>
      <c r="C25" s="543">
        <v>11.94</v>
      </c>
      <c r="D25" s="543">
        <v>6.16</v>
      </c>
      <c r="E25" s="568"/>
      <c r="F25" s="527"/>
      <c r="H25" s="531" t="s">
        <v>789</v>
      </c>
      <c r="I25" s="577">
        <v>0.2</v>
      </c>
    </row>
    <row r="26">
      <c r="A26" s="512" t="s">
        <v>726</v>
      </c>
      <c r="B26" s="525" t="s">
        <v>790</v>
      </c>
      <c r="C26" s="578">
        <v>0.0</v>
      </c>
      <c r="D26" s="578">
        <v>0.0</v>
      </c>
    </row>
    <row r="27" outlineLevel="1">
      <c r="B27" s="579" t="s">
        <v>791</v>
      </c>
      <c r="C27" s="557"/>
      <c r="D27" s="557"/>
      <c r="E27" s="568"/>
      <c r="F27" s="527"/>
    </row>
    <row r="28" outlineLevel="1">
      <c r="B28" s="579" t="s">
        <v>792</v>
      </c>
      <c r="C28" s="529">
        <v>0.1</v>
      </c>
      <c r="D28" s="529">
        <v>0.0</v>
      </c>
      <c r="E28" s="568"/>
      <c r="F28" s="527"/>
    </row>
    <row r="29" outlineLevel="1">
      <c r="B29" s="579" t="s">
        <v>793</v>
      </c>
      <c r="C29" s="529">
        <v>0.31</v>
      </c>
      <c r="D29" s="529">
        <v>0.31</v>
      </c>
      <c r="E29" s="568"/>
      <c r="F29" s="527"/>
    </row>
    <row r="30" outlineLevel="1">
      <c r="B30" s="579" t="s">
        <v>794</v>
      </c>
      <c r="C30" s="529">
        <v>0.0</v>
      </c>
      <c r="D30" s="529">
        <v>0.0</v>
      </c>
      <c r="E30" s="568"/>
      <c r="F30" s="527"/>
    </row>
    <row r="31" outlineLevel="1">
      <c r="B31" s="579" t="s">
        <v>795</v>
      </c>
      <c r="C31" s="529">
        <v>0.35</v>
      </c>
      <c r="D31" s="529">
        <v>0.35</v>
      </c>
      <c r="E31" s="568"/>
      <c r="F31" s="527"/>
    </row>
    <row r="32" outlineLevel="1">
      <c r="B32" s="579" t="s">
        <v>796</v>
      </c>
      <c r="C32" s="529">
        <v>0.0</v>
      </c>
      <c r="D32" s="529">
        <v>0.0</v>
      </c>
      <c r="E32" s="568"/>
      <c r="F32" s="527"/>
    </row>
    <row r="33" outlineLevel="1">
      <c r="B33" s="579" t="s">
        <v>797</v>
      </c>
      <c r="C33" s="529">
        <v>1.65</v>
      </c>
      <c r="D33" s="529">
        <v>0.71</v>
      </c>
      <c r="E33" s="568"/>
      <c r="F33" s="527"/>
    </row>
    <row r="34">
      <c r="B34" s="580" t="s">
        <v>798</v>
      </c>
      <c r="C34" s="581">
        <f t="shared" ref="C34:D34" si="1">C26+C23-C27</f>
        <v>43.58</v>
      </c>
      <c r="D34" s="581">
        <f t="shared" si="1"/>
        <v>9.68</v>
      </c>
    </row>
    <row r="35">
      <c r="B35" s="580" t="s">
        <v>799</v>
      </c>
      <c r="C35" s="543">
        <v>15.06</v>
      </c>
      <c r="D35" s="557">
        <f>D27+D24-D28</f>
        <v>6.16</v>
      </c>
      <c r="E35" s="568"/>
      <c r="F35" s="527"/>
    </row>
    <row r="36">
      <c r="B36" s="582" t="s">
        <v>800</v>
      </c>
      <c r="C36" s="548">
        <v>20.0</v>
      </c>
      <c r="D36" s="548"/>
      <c r="E36" s="568"/>
      <c r="F36" s="527"/>
    </row>
    <row r="37">
      <c r="A37" s="583" t="s">
        <v>726</v>
      </c>
      <c r="B37" s="572" t="s">
        <v>801</v>
      </c>
      <c r="C37" s="573" t="s">
        <v>780</v>
      </c>
      <c r="D37" s="573" t="s">
        <v>781</v>
      </c>
    </row>
    <row r="38">
      <c r="B38" s="522" t="s">
        <v>802</v>
      </c>
      <c r="C38" s="529">
        <v>11.94</v>
      </c>
      <c r="D38" s="529">
        <v>1.435</v>
      </c>
    </row>
    <row r="39">
      <c r="B39" s="522" t="s">
        <v>803</v>
      </c>
      <c r="C39" s="529">
        <v>11.94</v>
      </c>
      <c r="D39" s="529">
        <v>1.44</v>
      </c>
      <c r="E39" s="567"/>
      <c r="F39" s="568"/>
    </row>
    <row r="40">
      <c r="B40" s="547" t="s">
        <v>804</v>
      </c>
      <c r="C40" s="548">
        <v>11.94</v>
      </c>
      <c r="D40" s="548">
        <v>1.44</v>
      </c>
      <c r="E40" s="568"/>
      <c r="F40" s="584"/>
    </row>
    <row r="41">
      <c r="B41" s="585"/>
      <c r="C41" s="586"/>
      <c r="E41" s="568"/>
      <c r="F41" s="584"/>
    </row>
    <row r="42">
      <c r="B42" s="572" t="s">
        <v>805</v>
      </c>
      <c r="C42" s="573" t="s">
        <v>780</v>
      </c>
      <c r="D42" s="515" t="s">
        <v>781</v>
      </c>
      <c r="E42" s="587"/>
      <c r="F42" s="584"/>
    </row>
    <row r="43">
      <c r="A43" s="583" t="s">
        <v>806</v>
      </c>
      <c r="B43" s="531" t="s">
        <v>807</v>
      </c>
      <c r="C43" s="588">
        <v>11.94</v>
      </c>
      <c r="D43" s="589">
        <v>1.435</v>
      </c>
      <c r="E43" s="587"/>
      <c r="F43" s="590"/>
      <c r="K43" s="559"/>
    </row>
    <row r="44">
      <c r="A44" s="591">
        <f>sum(C43:C44)</f>
        <v>12.18</v>
      </c>
      <c r="B44" s="531" t="s">
        <v>808</v>
      </c>
      <c r="C44" s="588">
        <v>0.24</v>
      </c>
      <c r="D44" s="592">
        <v>0.24</v>
      </c>
      <c r="E44" s="587"/>
      <c r="F44" s="590"/>
    </row>
    <row r="45">
      <c r="A45" s="593">
        <f>C46</f>
        <v>12.94</v>
      </c>
      <c r="B45" s="572" t="s">
        <v>809</v>
      </c>
      <c r="C45" s="573" t="s">
        <v>780</v>
      </c>
      <c r="E45" s="587"/>
      <c r="F45" s="590"/>
      <c r="J45" s="594"/>
    </row>
    <row r="46">
      <c r="A46" s="591">
        <f>sum(F43:F45)</f>
        <v>0</v>
      </c>
      <c r="B46" s="531" t="s">
        <v>810</v>
      </c>
      <c r="C46" s="595">
        <v>12.94</v>
      </c>
      <c r="E46" s="568"/>
      <c r="F46" s="596"/>
      <c r="K46" s="46"/>
    </row>
    <row r="47">
      <c r="A47" s="549"/>
      <c r="B47" s="525" t="s">
        <v>811</v>
      </c>
      <c r="C47" s="595">
        <v>5.7</v>
      </c>
      <c r="E47" s="568"/>
      <c r="F47" s="596"/>
      <c r="K47" s="46"/>
      <c r="M47" s="597"/>
      <c r="O47" s="46"/>
    </row>
    <row r="48">
      <c r="A48" s="598">
        <f>C38</f>
        <v>11.94</v>
      </c>
      <c r="B48" s="525" t="s">
        <v>812</v>
      </c>
      <c r="C48" s="599">
        <v>0.15</v>
      </c>
      <c r="E48" s="568"/>
      <c r="F48" s="596"/>
      <c r="K48" s="46"/>
      <c r="L48" s="58"/>
      <c r="M48" s="597"/>
      <c r="O48" s="46"/>
    </row>
    <row r="49">
      <c r="A49" s="600"/>
      <c r="B49" s="572" t="s">
        <v>813</v>
      </c>
      <c r="C49" s="573" t="s">
        <v>780</v>
      </c>
      <c r="E49" s="568"/>
      <c r="F49" s="596"/>
      <c r="K49" s="46"/>
      <c r="L49" s="58"/>
      <c r="M49" s="597"/>
      <c r="O49" s="46"/>
    </row>
    <row r="50">
      <c r="A50" s="549">
        <f>sum(A43:A48)</f>
        <v>37.06</v>
      </c>
      <c r="B50" s="525" t="s">
        <v>814</v>
      </c>
      <c r="C50" s="601">
        <v>11.0</v>
      </c>
      <c r="E50" s="568"/>
      <c r="F50" s="596"/>
      <c r="K50" s="46"/>
      <c r="L50" s="58"/>
      <c r="M50" s="597"/>
      <c r="O50" s="46"/>
    </row>
    <row r="51">
      <c r="B51" s="525" t="s">
        <v>815</v>
      </c>
      <c r="C51" s="602">
        <v>6.155</v>
      </c>
      <c r="K51" s="46"/>
      <c r="L51" s="58"/>
      <c r="M51" s="597"/>
      <c r="O51" s="46"/>
    </row>
    <row r="52">
      <c r="K52" s="46"/>
      <c r="L52" s="58"/>
      <c r="M52" s="597"/>
      <c r="O52" s="46"/>
    </row>
    <row r="53">
      <c r="A53" s="46"/>
      <c r="B53" s="603" t="s">
        <v>816</v>
      </c>
      <c r="C53" s="604"/>
      <c r="K53" s="46"/>
      <c r="L53" s="58"/>
      <c r="M53" s="597"/>
      <c r="O53" s="46"/>
    </row>
    <row r="54">
      <c r="B54" s="525" t="s">
        <v>817</v>
      </c>
      <c r="C54" s="605">
        <v>0.25</v>
      </c>
      <c r="K54" s="46"/>
      <c r="L54" s="58"/>
      <c r="M54" s="597"/>
      <c r="O54" s="46"/>
    </row>
    <row r="55">
      <c r="B55" s="525" t="s">
        <v>818</v>
      </c>
      <c r="C55" s="605">
        <v>0.1</v>
      </c>
    </row>
    <row r="57">
      <c r="B57" s="603" t="s">
        <v>819</v>
      </c>
      <c r="C57" s="604"/>
    </row>
    <row r="58">
      <c r="B58" s="525" t="s">
        <v>817</v>
      </c>
      <c r="C58" s="605">
        <v>0.5644</v>
      </c>
    </row>
    <row r="59">
      <c r="B59" s="525" t="s">
        <v>818</v>
      </c>
      <c r="C59" s="605">
        <v>0.4603</v>
      </c>
    </row>
    <row r="61">
      <c r="B61" s="603" t="s">
        <v>820</v>
      </c>
      <c r="C61" s="604"/>
    </row>
    <row r="62">
      <c r="B62" s="525" t="s">
        <v>821</v>
      </c>
      <c r="C62" s="601">
        <v>5.56</v>
      </c>
    </row>
    <row r="63">
      <c r="B63" s="525" t="s">
        <v>781</v>
      </c>
      <c r="C63" s="601">
        <v>2.2</v>
      </c>
    </row>
    <row r="66">
      <c r="A66" s="606" t="s">
        <v>822</v>
      </c>
      <c r="B66" s="4" t="s">
        <v>823</v>
      </c>
    </row>
    <row r="67">
      <c r="A67" s="559"/>
    </row>
    <row r="68">
      <c r="A68" s="583" t="s">
        <v>824</v>
      </c>
      <c r="B68" s="607" t="s">
        <v>825</v>
      </c>
    </row>
    <row r="69">
      <c r="B69" s="4" t="s">
        <v>826</v>
      </c>
    </row>
    <row r="70">
      <c r="B70" s="4" t="s">
        <v>827</v>
      </c>
      <c r="C70" s="46">
        <v>17.58</v>
      </c>
    </row>
    <row r="71">
      <c r="B71" s="4" t="s">
        <v>828</v>
      </c>
      <c r="C71" s="46">
        <v>0.29</v>
      </c>
    </row>
    <row r="72">
      <c r="B72" s="4" t="s">
        <v>829</v>
      </c>
      <c r="C72" s="46">
        <v>0.0</v>
      </c>
      <c r="I72" s="46">
        <v>17.58</v>
      </c>
      <c r="J72" s="46">
        <v>0.29</v>
      </c>
      <c r="K72" s="46">
        <v>0.0</v>
      </c>
      <c r="L72" s="46">
        <v>0.17</v>
      </c>
      <c r="M72" s="46">
        <v>0.01</v>
      </c>
    </row>
    <row r="73">
      <c r="B73" s="4" t="s">
        <v>830</v>
      </c>
      <c r="C73" s="46">
        <v>0.17</v>
      </c>
      <c r="I73" s="608"/>
      <c r="J73" s="608"/>
      <c r="K73" s="608"/>
      <c r="L73" s="608"/>
      <c r="M73" s="608"/>
    </row>
    <row r="74">
      <c r="B74" s="4" t="s">
        <v>831</v>
      </c>
      <c r="C74" s="46">
        <v>0.01</v>
      </c>
      <c r="I74" s="608"/>
      <c r="J74" s="608"/>
      <c r="K74" s="608"/>
      <c r="L74" s="608"/>
      <c r="M74" s="608"/>
    </row>
    <row r="75">
      <c r="B75" s="4" t="s">
        <v>832</v>
      </c>
      <c r="C75" s="46">
        <v>2.44</v>
      </c>
    </row>
    <row r="76">
      <c r="B76" s="4" t="s">
        <v>833</v>
      </c>
      <c r="C76" s="46">
        <v>0.21</v>
      </c>
    </row>
    <row r="79">
      <c r="B79" s="4" t="s">
        <v>834</v>
      </c>
    </row>
    <row r="80">
      <c r="B80" s="4" t="s">
        <v>835</v>
      </c>
      <c r="C80" s="609">
        <v>0.05</v>
      </c>
      <c r="D80" s="4" t="s">
        <v>836</v>
      </c>
    </row>
    <row r="81">
      <c r="B81" s="4" t="s">
        <v>837</v>
      </c>
      <c r="C81" s="4" t="s">
        <v>838</v>
      </c>
    </row>
  </sheetData>
  <mergeCells count="10">
    <mergeCell ref="Q2:R2"/>
    <mergeCell ref="P11:P13"/>
    <mergeCell ref="H23:I23"/>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296" t="s">
        <v>99</v>
      </c>
      <c r="B1" s="77">
        <v>45292.0</v>
      </c>
      <c r="C1" s="77">
        <v>45293.0</v>
      </c>
      <c r="D1" s="77">
        <v>45294.0</v>
      </c>
      <c r="E1" s="77">
        <v>45295.0</v>
      </c>
      <c r="F1" s="77">
        <v>45296.0</v>
      </c>
      <c r="G1" s="77">
        <v>45297.0</v>
      </c>
      <c r="H1" s="77">
        <v>45298.0</v>
      </c>
      <c r="I1" s="77">
        <v>45299.0</v>
      </c>
      <c r="J1" s="77">
        <v>45300.0</v>
      </c>
      <c r="K1" s="77">
        <v>45301.0</v>
      </c>
      <c r="L1" s="77">
        <v>45302.0</v>
      </c>
      <c r="M1" s="77">
        <v>45303.0</v>
      </c>
      <c r="N1" s="77">
        <v>45304.0</v>
      </c>
      <c r="O1" s="77">
        <v>45305.0</v>
      </c>
      <c r="P1" s="77">
        <v>45306.0</v>
      </c>
      <c r="Q1" s="77">
        <v>45307.0</v>
      </c>
      <c r="R1" s="77">
        <v>45308.0</v>
      </c>
      <c r="S1" s="77">
        <v>45309.0</v>
      </c>
      <c r="T1" s="77">
        <v>45310.0</v>
      </c>
      <c r="U1" s="77">
        <v>45311.0</v>
      </c>
      <c r="V1" s="77">
        <v>45312.0</v>
      </c>
      <c r="W1" s="77">
        <v>45313.0</v>
      </c>
      <c r="X1" s="77">
        <v>45314.0</v>
      </c>
      <c r="Y1" s="77">
        <v>45315.0</v>
      </c>
      <c r="Z1" s="77">
        <v>45316.0</v>
      </c>
      <c r="AA1" s="77">
        <v>45317.0</v>
      </c>
      <c r="AB1" s="77">
        <v>45318.0</v>
      </c>
      <c r="AC1" s="77">
        <v>45319.0</v>
      </c>
      <c r="AD1" s="77">
        <v>45320.0</v>
      </c>
      <c r="AE1" s="77">
        <v>45321.0</v>
      </c>
      <c r="AF1" s="77">
        <v>45322.0</v>
      </c>
      <c r="AG1" s="78"/>
    </row>
    <row r="2">
      <c r="A2" s="79" t="s">
        <v>100</v>
      </c>
      <c r="B2" s="80" t="s">
        <v>0</v>
      </c>
      <c r="C2" s="80" t="s">
        <v>7</v>
      </c>
      <c r="D2" s="80" t="s">
        <v>2</v>
      </c>
      <c r="E2" s="80" t="s">
        <v>3</v>
      </c>
      <c r="F2" s="80" t="s">
        <v>4</v>
      </c>
      <c r="G2" s="80" t="s">
        <v>5</v>
      </c>
      <c r="H2" s="80" t="s">
        <v>6</v>
      </c>
      <c r="I2" s="80" t="s">
        <v>0</v>
      </c>
      <c r="J2" s="80" t="s">
        <v>7</v>
      </c>
      <c r="K2" s="80" t="s">
        <v>2</v>
      </c>
      <c r="L2" s="80" t="s">
        <v>3</v>
      </c>
      <c r="M2" s="80" t="s">
        <v>4</v>
      </c>
      <c r="N2" s="80" t="s">
        <v>5</v>
      </c>
      <c r="O2" s="80" t="s">
        <v>6</v>
      </c>
      <c r="P2" s="80" t="s">
        <v>0</v>
      </c>
      <c r="Q2" s="80" t="s">
        <v>7</v>
      </c>
      <c r="R2" s="80" t="s">
        <v>2</v>
      </c>
      <c r="S2" s="80" t="s">
        <v>3</v>
      </c>
      <c r="T2" s="80" t="s">
        <v>4</v>
      </c>
      <c r="U2" s="80" t="s">
        <v>5</v>
      </c>
      <c r="V2" s="80" t="s">
        <v>6</v>
      </c>
      <c r="W2" s="80" t="s">
        <v>0</v>
      </c>
      <c r="X2" s="80" t="s">
        <v>7</v>
      </c>
      <c r="Y2" s="80" t="s">
        <v>2</v>
      </c>
      <c r="Z2" s="80" t="s">
        <v>3</v>
      </c>
      <c r="AA2" s="80" t="s">
        <v>4</v>
      </c>
      <c r="AB2" s="80" t="s">
        <v>5</v>
      </c>
      <c r="AC2" s="80" t="s">
        <v>6</v>
      </c>
      <c r="AD2" s="80" t="s">
        <v>0</v>
      </c>
      <c r="AE2" s="80" t="s">
        <v>7</v>
      </c>
      <c r="AF2" s="80" t="s">
        <v>2</v>
      </c>
      <c r="AG2" s="78"/>
    </row>
    <row r="3" ht="29.25" customHeight="1">
      <c r="A3" s="401" t="s">
        <v>839</v>
      </c>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43"/>
    </row>
    <row r="4" collapsed="1">
      <c r="A4" s="141" t="s">
        <v>87</v>
      </c>
      <c r="B4" s="142">
        <f>Summary!B33</f>
        <v>2864.7186</v>
      </c>
      <c r="C4" s="142">
        <f>Summary!C34</f>
        <v>0</v>
      </c>
      <c r="D4" s="142">
        <f>Summary!D34</f>
        <v>4014</v>
      </c>
      <c r="E4" s="142">
        <f>Summary!E34</f>
        <v>2069</v>
      </c>
      <c r="F4" s="142">
        <f>Summary!F34</f>
        <v>224</v>
      </c>
      <c r="G4" s="142">
        <f>Summary!G34</f>
        <v>0</v>
      </c>
      <c r="H4" s="142">
        <f>Summary!H34</f>
        <v>3739</v>
      </c>
      <c r="I4" s="142">
        <f>Summary!I34</f>
        <v>688</v>
      </c>
      <c r="J4" s="142">
        <f>Summary!J34</f>
        <v>1221</v>
      </c>
      <c r="K4" s="142">
        <f>Summary!K34</f>
        <v>1110</v>
      </c>
      <c r="L4" s="142">
        <f>Summary!L34</f>
        <v>2211</v>
      </c>
      <c r="M4" s="142">
        <f>Summary!M34</f>
        <v>1131</v>
      </c>
      <c r="N4" s="142">
        <f>Summary!N34</f>
        <v>450</v>
      </c>
      <c r="O4" s="142">
        <f>Summary!O34</f>
        <v>750</v>
      </c>
      <c r="P4" s="142">
        <f>Summary!P34</f>
        <v>870</v>
      </c>
      <c r="Q4" s="142">
        <f>Summary!Q34</f>
        <v>1350</v>
      </c>
      <c r="R4" s="142">
        <f>Summary!R34</f>
        <v>1860</v>
      </c>
      <c r="S4" s="142">
        <f>Summary!S34</f>
        <v>210</v>
      </c>
      <c r="T4" s="142">
        <f>Summary!T34</f>
        <v>3060</v>
      </c>
      <c r="U4" s="142">
        <f>Summary!U34</f>
        <v>2250</v>
      </c>
      <c r="V4" s="142">
        <f>Summary!V33</f>
        <v>4055.651856</v>
      </c>
      <c r="W4" s="142">
        <f>Summary!W33</f>
        <v>2997.807546</v>
      </c>
      <c r="X4" s="142">
        <f>Summary!X33</f>
        <v>1713.513546</v>
      </c>
      <c r="Y4" s="142">
        <f>Summary!Y33</f>
        <v>700.524</v>
      </c>
      <c r="Z4" s="142">
        <f>Summary!Z33</f>
        <v>0</v>
      </c>
      <c r="AA4" s="142">
        <f>Summary!AA33</f>
        <v>0</v>
      </c>
      <c r="AB4" s="142">
        <f>Summary!AB33</f>
        <v>573.156</v>
      </c>
      <c r="AC4" s="142">
        <f>Summary!AC33</f>
        <v>256.338714</v>
      </c>
      <c r="AD4" s="142">
        <f>Summary!AD33</f>
        <v>256.338714</v>
      </c>
      <c r="AE4" s="142">
        <f>Summary!AE33</f>
        <v>256.338714</v>
      </c>
      <c r="AF4" s="142">
        <f>Summary!AF33</f>
        <v>256.338714</v>
      </c>
      <c r="AG4" s="114">
        <f>sum(B4:AF4)</f>
        <v>41137.7264</v>
      </c>
    </row>
    <row r="5" hidden="1" outlineLevel="1">
      <c r="A5" s="610" t="s">
        <v>115</v>
      </c>
      <c r="B5" s="403"/>
      <c r="C5" s="403"/>
      <c r="D5" s="403"/>
      <c r="E5" s="403"/>
      <c r="F5" s="403"/>
      <c r="G5" s="403"/>
      <c r="H5" s="403"/>
      <c r="I5" s="403"/>
      <c r="J5" s="403"/>
      <c r="K5" s="403"/>
      <c r="L5" s="403"/>
      <c r="M5" s="403"/>
      <c r="N5" s="403"/>
      <c r="O5" s="403"/>
      <c r="P5" s="403"/>
      <c r="Q5" s="403"/>
      <c r="R5" s="403"/>
      <c r="S5" s="403"/>
      <c r="T5" s="403"/>
      <c r="U5" s="403"/>
      <c r="V5" s="403"/>
      <c r="W5" s="403"/>
      <c r="X5" s="403"/>
      <c r="Y5" s="403"/>
      <c r="Z5" s="403"/>
      <c r="AA5" s="403"/>
      <c r="AB5" s="403"/>
      <c r="AC5" s="403"/>
      <c r="AD5" s="403"/>
      <c r="AE5" s="403"/>
      <c r="AF5" s="403"/>
      <c r="AG5" s="611"/>
    </row>
    <row r="6" hidden="1" outlineLevel="1">
      <c r="A6" s="612" t="s">
        <v>40</v>
      </c>
      <c r="B6" s="142">
        <f>Summary!B35</f>
        <v>165.7186</v>
      </c>
      <c r="C6" s="142">
        <f>Summary!C35</f>
        <v>0</v>
      </c>
      <c r="D6" s="142">
        <f>Summary!D35</f>
        <v>246.4596</v>
      </c>
      <c r="E6" s="142">
        <f>Summary!E35</f>
        <v>127.0366</v>
      </c>
      <c r="F6" s="142">
        <f>Summary!F35</f>
        <v>13.7536</v>
      </c>
      <c r="G6" s="142">
        <f>Summary!G35</f>
        <v>0</v>
      </c>
      <c r="H6" s="142">
        <f>Summary!H35</f>
        <v>229.5746</v>
      </c>
      <c r="I6" s="142">
        <f>Summary!I35</f>
        <v>42.2432</v>
      </c>
      <c r="J6" s="142">
        <f>Summary!J35</f>
        <v>74.9694</v>
      </c>
      <c r="K6" s="142">
        <f>Summary!K35</f>
        <v>68.154</v>
      </c>
      <c r="L6" s="142">
        <f>Summary!L35</f>
        <v>135.7554</v>
      </c>
      <c r="M6" s="142">
        <f>Summary!M35</f>
        <v>69.4434</v>
      </c>
      <c r="N6" s="142">
        <f>Summary!N35</f>
        <v>27.63</v>
      </c>
      <c r="O6" s="142">
        <f>Summary!O35</f>
        <v>46.05</v>
      </c>
      <c r="P6" s="142">
        <f>Summary!P35</f>
        <v>53.418</v>
      </c>
      <c r="Q6" s="142">
        <f>Summary!Q35</f>
        <v>82.89</v>
      </c>
      <c r="R6" s="142">
        <f>Summary!R35</f>
        <v>114.204</v>
      </c>
      <c r="S6" s="142">
        <f>Summary!S35</f>
        <v>12.894</v>
      </c>
      <c r="T6" s="142">
        <f>Summary!T35</f>
        <v>187.884</v>
      </c>
      <c r="U6" s="142">
        <f>Summary!U35</f>
        <v>138.15</v>
      </c>
      <c r="V6" s="142">
        <f>Summary!V35</f>
        <v>234.611856</v>
      </c>
      <c r="W6" s="142">
        <f>Summary!W35</f>
        <v>173.417546</v>
      </c>
      <c r="X6" s="142">
        <f>Summary!X35</f>
        <v>99.123546</v>
      </c>
      <c r="Y6" s="142">
        <f>Summary!Y35</f>
        <v>40.524</v>
      </c>
      <c r="Z6" s="142">
        <f>Summary!Z35</f>
        <v>0</v>
      </c>
      <c r="AA6" s="142">
        <f>Summary!AA35</f>
        <v>0</v>
      </c>
      <c r="AB6" s="142">
        <f>Summary!AB35</f>
        <v>33.156</v>
      </c>
      <c r="AC6" s="142">
        <f>Summary!AC35</f>
        <v>14.828714</v>
      </c>
      <c r="AD6" s="142">
        <f>Summary!AD35</f>
        <v>14.828714</v>
      </c>
      <c r="AE6" s="142">
        <f>Summary!AE35</f>
        <v>14.828714</v>
      </c>
      <c r="AF6" s="142">
        <f>Summary!AF35</f>
        <v>14.828714</v>
      </c>
      <c r="AG6" s="143">
        <f t="shared" ref="AG6:AG8" si="2">sum(B6:AF6)</f>
        <v>2476.376204</v>
      </c>
    </row>
    <row r="7" hidden="1" outlineLevel="1">
      <c r="A7" s="612" t="s">
        <v>556</v>
      </c>
      <c r="B7" s="142" t="str">
        <f t="shared" ref="B7:AF7" si="1">#REF!</f>
        <v>#REF!</v>
      </c>
      <c r="C7" s="142" t="str">
        <f t="shared" si="1"/>
        <v>#REF!</v>
      </c>
      <c r="D7" s="142" t="str">
        <f t="shared" si="1"/>
        <v>#REF!</v>
      </c>
      <c r="E7" s="142" t="str">
        <f t="shared" si="1"/>
        <v>#REF!</v>
      </c>
      <c r="F7" s="142" t="str">
        <f t="shared" si="1"/>
        <v>#REF!</v>
      </c>
      <c r="G7" s="142" t="str">
        <f t="shared" si="1"/>
        <v>#REF!</v>
      </c>
      <c r="H7" s="142" t="str">
        <f t="shared" si="1"/>
        <v>#REF!</v>
      </c>
      <c r="I7" s="142" t="str">
        <f t="shared" si="1"/>
        <v>#REF!</v>
      </c>
      <c r="J7" s="142" t="str">
        <f t="shared" si="1"/>
        <v>#REF!</v>
      </c>
      <c r="K7" s="142" t="str">
        <f t="shared" si="1"/>
        <v>#REF!</v>
      </c>
      <c r="L7" s="142" t="str">
        <f t="shared" si="1"/>
        <v>#REF!</v>
      </c>
      <c r="M7" s="142" t="str">
        <f t="shared" si="1"/>
        <v>#REF!</v>
      </c>
      <c r="N7" s="142" t="str">
        <f t="shared" si="1"/>
        <v>#REF!</v>
      </c>
      <c r="O7" s="142" t="str">
        <f t="shared" si="1"/>
        <v>#REF!</v>
      </c>
      <c r="P7" s="142" t="str">
        <f t="shared" si="1"/>
        <v>#REF!</v>
      </c>
      <c r="Q7" s="142" t="str">
        <f t="shared" si="1"/>
        <v>#REF!</v>
      </c>
      <c r="R7" s="142" t="str">
        <f t="shared" si="1"/>
        <v>#REF!</v>
      </c>
      <c r="S7" s="142" t="str">
        <f t="shared" si="1"/>
        <v>#REF!</v>
      </c>
      <c r="T7" s="142" t="str">
        <f t="shared" si="1"/>
        <v>#REF!</v>
      </c>
      <c r="U7" s="142" t="str">
        <f t="shared" si="1"/>
        <v>#REF!</v>
      </c>
      <c r="V7" s="142" t="str">
        <f t="shared" si="1"/>
        <v>#REF!</v>
      </c>
      <c r="W7" s="142" t="str">
        <f t="shared" si="1"/>
        <v>#REF!</v>
      </c>
      <c r="X7" s="142" t="str">
        <f t="shared" si="1"/>
        <v>#REF!</v>
      </c>
      <c r="Y7" s="142" t="str">
        <f t="shared" si="1"/>
        <v>#REF!</v>
      </c>
      <c r="Z7" s="142" t="str">
        <f t="shared" si="1"/>
        <v>#REF!</v>
      </c>
      <c r="AA7" s="142" t="str">
        <f t="shared" si="1"/>
        <v>#REF!</v>
      </c>
      <c r="AB7" s="142" t="str">
        <f t="shared" si="1"/>
        <v>#REF!</v>
      </c>
      <c r="AC7" s="142" t="str">
        <f t="shared" si="1"/>
        <v>#REF!</v>
      </c>
      <c r="AD7" s="142" t="str">
        <f t="shared" si="1"/>
        <v>#REF!</v>
      </c>
      <c r="AE7" s="142" t="str">
        <f t="shared" si="1"/>
        <v>#REF!</v>
      </c>
      <c r="AF7" s="142" t="str">
        <f t="shared" si="1"/>
        <v>#REF!</v>
      </c>
      <c r="AG7" s="143" t="str">
        <f t="shared" si="2"/>
        <v>#REF!</v>
      </c>
    </row>
    <row r="8">
      <c r="A8" s="141" t="s">
        <v>94</v>
      </c>
      <c r="B8" s="166">
        <f>Summary!B63</f>
        <v>9</v>
      </c>
      <c r="C8" s="166">
        <f>Summary!C63</f>
        <v>0</v>
      </c>
      <c r="D8" s="166">
        <f>Summary!D63</f>
        <v>13</v>
      </c>
      <c r="E8" s="166">
        <f>Summary!E63</f>
        <v>6</v>
      </c>
      <c r="F8" s="166">
        <f>Summary!F63</f>
        <v>0</v>
      </c>
      <c r="G8" s="166">
        <f>Summary!G63</f>
        <v>0</v>
      </c>
      <c r="H8" s="166">
        <f>Summary!H63</f>
        <v>12</v>
      </c>
      <c r="I8" s="166">
        <f>Summary!I63</f>
        <v>1</v>
      </c>
      <c r="J8" s="166">
        <f>Summary!J63</f>
        <v>3</v>
      </c>
      <c r="K8" s="166">
        <f>Summary!K63</f>
        <v>3</v>
      </c>
      <c r="L8" s="166">
        <f>Summary!L63</f>
        <v>7</v>
      </c>
      <c r="M8" s="166">
        <f>Summary!M63</f>
        <v>2</v>
      </c>
      <c r="N8" s="166">
        <f>Summary!N63</f>
        <v>0</v>
      </c>
      <c r="O8" s="166">
        <f>Summary!O63</f>
        <v>2</v>
      </c>
      <c r="P8" s="166">
        <f>Summary!P63</f>
        <v>2</v>
      </c>
      <c r="Q8" s="166">
        <f>Summary!Q63</f>
        <v>4</v>
      </c>
      <c r="R8" s="166">
        <f>Summary!R63</f>
        <v>6</v>
      </c>
      <c r="S8" s="166">
        <f>Summary!S63</f>
        <v>0</v>
      </c>
      <c r="T8" s="166">
        <f>Summary!T63</f>
        <v>10</v>
      </c>
      <c r="U8" s="166">
        <f>Summary!U63</f>
        <v>7</v>
      </c>
      <c r="V8" s="166">
        <f>Summary!V63</f>
        <v>12</v>
      </c>
      <c r="W8" s="166">
        <f>Summary!W63</f>
        <v>9</v>
      </c>
      <c r="X8" s="166">
        <f>Summary!X63</f>
        <v>5</v>
      </c>
      <c r="Y8" s="166">
        <f>Summary!Y63</f>
        <v>1</v>
      </c>
      <c r="Z8" s="166">
        <f>Summary!Z63</f>
        <v>0</v>
      </c>
      <c r="AA8" s="166">
        <f>Summary!AA63</f>
        <v>0</v>
      </c>
      <c r="AB8" s="166">
        <f>Summary!AB63</f>
        <v>1</v>
      </c>
      <c r="AC8" s="166">
        <f>Summary!AC63</f>
        <v>6</v>
      </c>
      <c r="AD8" s="166">
        <f>Summary!AD63</f>
        <v>6</v>
      </c>
      <c r="AE8" s="166">
        <f>Summary!AE63</f>
        <v>6</v>
      </c>
      <c r="AF8" s="166">
        <f>Summary!AF63</f>
        <v>6</v>
      </c>
      <c r="AG8" s="143">
        <f t="shared" si="2"/>
        <v>139</v>
      </c>
    </row>
    <row r="9">
      <c r="A9" s="98"/>
      <c r="B9" s="82"/>
      <c r="C9" s="82"/>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143"/>
    </row>
    <row r="10">
      <c r="A10" s="216" t="s">
        <v>840</v>
      </c>
      <c r="B10" s="82"/>
      <c r="C10" s="82"/>
      <c r="D10" s="82"/>
      <c r="E10" s="82"/>
      <c r="F10" s="82"/>
      <c r="G10" s="82"/>
      <c r="H10" s="82"/>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143">
        <f>sum(B10:AF10)</f>
        <v>0</v>
      </c>
    </row>
    <row r="11">
      <c r="A11" s="85" t="s">
        <v>841</v>
      </c>
      <c r="B11" s="82"/>
      <c r="C11" s="82"/>
      <c r="D11" s="82"/>
      <c r="E11" s="82"/>
      <c r="F11" s="82"/>
      <c r="G11" s="82"/>
      <c r="H11" s="82"/>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146"/>
    </row>
    <row r="12">
      <c r="A12" s="147" t="s">
        <v>842</v>
      </c>
      <c r="B12" s="165"/>
      <c r="C12" s="82"/>
      <c r="D12" s="82"/>
      <c r="E12" s="82"/>
      <c r="F12" s="82"/>
      <c r="G12" s="82"/>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143"/>
    </row>
    <row r="13">
      <c r="A13" s="163" t="s">
        <v>843</v>
      </c>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143">
        <f t="shared" ref="AG13:AG17" si="3">sum(B13:AF13)</f>
        <v>0</v>
      </c>
    </row>
    <row r="14">
      <c r="A14" s="163" t="s">
        <v>844</v>
      </c>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143">
        <f t="shared" si="3"/>
        <v>0</v>
      </c>
    </row>
    <row r="15">
      <c r="A15" s="613" t="s">
        <v>845</v>
      </c>
      <c r="B15" s="166">
        <f t="shared" ref="B15:AF15" si="4">B8</f>
        <v>9</v>
      </c>
      <c r="C15" s="166">
        <f t="shared" si="4"/>
        <v>0</v>
      </c>
      <c r="D15" s="166">
        <f t="shared" si="4"/>
        <v>13</v>
      </c>
      <c r="E15" s="166">
        <f t="shared" si="4"/>
        <v>6</v>
      </c>
      <c r="F15" s="166">
        <f t="shared" si="4"/>
        <v>0</v>
      </c>
      <c r="G15" s="166">
        <f t="shared" si="4"/>
        <v>0</v>
      </c>
      <c r="H15" s="166">
        <f t="shared" si="4"/>
        <v>12</v>
      </c>
      <c r="I15" s="166">
        <f t="shared" si="4"/>
        <v>1</v>
      </c>
      <c r="J15" s="166">
        <f t="shared" si="4"/>
        <v>3</v>
      </c>
      <c r="K15" s="166">
        <f t="shared" si="4"/>
        <v>3</v>
      </c>
      <c r="L15" s="166">
        <f t="shared" si="4"/>
        <v>7</v>
      </c>
      <c r="M15" s="166">
        <f t="shared" si="4"/>
        <v>2</v>
      </c>
      <c r="N15" s="166">
        <f t="shared" si="4"/>
        <v>0</v>
      </c>
      <c r="O15" s="166">
        <f t="shared" si="4"/>
        <v>2</v>
      </c>
      <c r="P15" s="166">
        <f t="shared" si="4"/>
        <v>2</v>
      </c>
      <c r="Q15" s="166">
        <f t="shared" si="4"/>
        <v>4</v>
      </c>
      <c r="R15" s="166">
        <f t="shared" si="4"/>
        <v>6</v>
      </c>
      <c r="S15" s="166">
        <f t="shared" si="4"/>
        <v>0</v>
      </c>
      <c r="T15" s="166">
        <f t="shared" si="4"/>
        <v>10</v>
      </c>
      <c r="U15" s="166">
        <f t="shared" si="4"/>
        <v>7</v>
      </c>
      <c r="V15" s="166">
        <f t="shared" si="4"/>
        <v>12</v>
      </c>
      <c r="W15" s="166">
        <f t="shared" si="4"/>
        <v>9</v>
      </c>
      <c r="X15" s="166">
        <f t="shared" si="4"/>
        <v>5</v>
      </c>
      <c r="Y15" s="166">
        <f t="shared" si="4"/>
        <v>1</v>
      </c>
      <c r="Z15" s="166">
        <f t="shared" si="4"/>
        <v>0</v>
      </c>
      <c r="AA15" s="166">
        <f t="shared" si="4"/>
        <v>0</v>
      </c>
      <c r="AB15" s="166">
        <f t="shared" si="4"/>
        <v>1</v>
      </c>
      <c r="AC15" s="166">
        <f t="shared" si="4"/>
        <v>6</v>
      </c>
      <c r="AD15" s="166">
        <f t="shared" si="4"/>
        <v>6</v>
      </c>
      <c r="AE15" s="166">
        <f t="shared" si="4"/>
        <v>6</v>
      </c>
      <c r="AF15" s="166">
        <f t="shared" si="4"/>
        <v>6</v>
      </c>
      <c r="AG15" s="143">
        <f t="shared" si="3"/>
        <v>139</v>
      </c>
    </row>
    <row r="16">
      <c r="A16" s="163" t="s">
        <v>846</v>
      </c>
      <c r="B16" s="88"/>
      <c r="C16" s="88"/>
      <c r="D16" s="88"/>
      <c r="E16" s="88"/>
      <c r="F16" s="88"/>
      <c r="G16" s="88"/>
      <c r="H16" s="88"/>
      <c r="I16" s="88"/>
      <c r="J16" s="88"/>
      <c r="K16" s="88"/>
      <c r="L16" s="88"/>
      <c r="M16" s="88"/>
      <c r="N16" s="88"/>
      <c r="O16" s="88"/>
      <c r="P16" s="88"/>
      <c r="Q16" s="166"/>
      <c r="R16" s="166"/>
      <c r="S16" s="166"/>
      <c r="T16" s="166"/>
      <c r="U16" s="166"/>
      <c r="V16" s="166"/>
      <c r="W16" s="166"/>
      <c r="X16" s="166"/>
      <c r="Y16" s="166"/>
      <c r="Z16" s="166"/>
      <c r="AA16" s="166"/>
      <c r="AB16" s="166"/>
      <c r="AC16" s="166"/>
      <c r="AD16" s="166"/>
      <c r="AE16" s="166"/>
      <c r="AF16" s="166"/>
      <c r="AG16" s="143">
        <f t="shared" si="3"/>
        <v>0</v>
      </c>
    </row>
    <row r="17">
      <c r="A17" s="169" t="s">
        <v>121</v>
      </c>
      <c r="B17" s="336">
        <f t="shared" ref="B17:AF17" si="5">SUM(B13:B16)</f>
        <v>9</v>
      </c>
      <c r="C17" s="336">
        <f t="shared" si="5"/>
        <v>0</v>
      </c>
      <c r="D17" s="336">
        <f t="shared" si="5"/>
        <v>13</v>
      </c>
      <c r="E17" s="336">
        <f t="shared" si="5"/>
        <v>6</v>
      </c>
      <c r="F17" s="336">
        <f t="shared" si="5"/>
        <v>0</v>
      </c>
      <c r="G17" s="336">
        <f t="shared" si="5"/>
        <v>0</v>
      </c>
      <c r="H17" s="336">
        <f t="shared" si="5"/>
        <v>12</v>
      </c>
      <c r="I17" s="336">
        <f t="shared" si="5"/>
        <v>1</v>
      </c>
      <c r="J17" s="336">
        <f t="shared" si="5"/>
        <v>3</v>
      </c>
      <c r="K17" s="336">
        <f t="shared" si="5"/>
        <v>3</v>
      </c>
      <c r="L17" s="336">
        <f t="shared" si="5"/>
        <v>7</v>
      </c>
      <c r="M17" s="336">
        <f t="shared" si="5"/>
        <v>2</v>
      </c>
      <c r="N17" s="336">
        <f t="shared" si="5"/>
        <v>0</v>
      </c>
      <c r="O17" s="336">
        <f t="shared" si="5"/>
        <v>2</v>
      </c>
      <c r="P17" s="336">
        <f t="shared" si="5"/>
        <v>2</v>
      </c>
      <c r="Q17" s="336">
        <f t="shared" si="5"/>
        <v>4</v>
      </c>
      <c r="R17" s="336">
        <f t="shared" si="5"/>
        <v>6</v>
      </c>
      <c r="S17" s="336">
        <f t="shared" si="5"/>
        <v>0</v>
      </c>
      <c r="T17" s="336">
        <f t="shared" si="5"/>
        <v>10</v>
      </c>
      <c r="U17" s="336">
        <f t="shared" si="5"/>
        <v>7</v>
      </c>
      <c r="V17" s="336">
        <f t="shared" si="5"/>
        <v>12</v>
      </c>
      <c r="W17" s="336">
        <f t="shared" si="5"/>
        <v>9</v>
      </c>
      <c r="X17" s="336">
        <f t="shared" si="5"/>
        <v>5</v>
      </c>
      <c r="Y17" s="336">
        <f t="shared" si="5"/>
        <v>1</v>
      </c>
      <c r="Z17" s="336">
        <f t="shared" si="5"/>
        <v>0</v>
      </c>
      <c r="AA17" s="336">
        <f t="shared" si="5"/>
        <v>0</v>
      </c>
      <c r="AB17" s="336">
        <f t="shared" si="5"/>
        <v>1</v>
      </c>
      <c r="AC17" s="336">
        <f t="shared" si="5"/>
        <v>6</v>
      </c>
      <c r="AD17" s="336">
        <f t="shared" si="5"/>
        <v>6</v>
      </c>
      <c r="AE17" s="336">
        <f t="shared" si="5"/>
        <v>6</v>
      </c>
      <c r="AF17" s="336">
        <f t="shared" si="5"/>
        <v>6</v>
      </c>
      <c r="AG17" s="143">
        <f t="shared" si="3"/>
        <v>139</v>
      </c>
    </row>
    <row r="18">
      <c r="A18" s="98"/>
      <c r="B18" s="171"/>
      <c r="C18" s="171"/>
      <c r="D18" s="171"/>
      <c r="E18" s="171"/>
      <c r="F18" s="171"/>
      <c r="G18" s="171"/>
      <c r="H18" s="171"/>
      <c r="I18" s="171"/>
      <c r="J18" s="82"/>
      <c r="K18" s="82"/>
      <c r="L18" s="82"/>
      <c r="M18" s="82"/>
      <c r="N18" s="82"/>
      <c r="O18" s="82"/>
      <c r="P18" s="82"/>
      <c r="Q18" s="82"/>
      <c r="R18" s="82"/>
      <c r="S18" s="82"/>
      <c r="T18" s="82"/>
      <c r="U18" s="82"/>
      <c r="V18" s="82"/>
      <c r="W18" s="82"/>
      <c r="X18" s="82"/>
      <c r="Y18" s="82"/>
      <c r="Z18" s="82"/>
      <c r="AA18" s="82"/>
      <c r="AB18" s="82"/>
      <c r="AC18" s="82"/>
      <c r="AD18" s="82"/>
      <c r="AE18" s="82"/>
      <c r="AF18" s="82"/>
      <c r="AG18" s="172"/>
    </row>
    <row r="19">
      <c r="A19" s="163" t="s">
        <v>122</v>
      </c>
      <c r="B19" s="95"/>
      <c r="C19" s="95"/>
      <c r="D19" s="95"/>
      <c r="E19" s="95"/>
      <c r="F19" s="95"/>
      <c r="G19" s="95"/>
      <c r="H19" s="95"/>
      <c r="I19" s="95"/>
      <c r="J19" s="95"/>
      <c r="K19" s="95"/>
      <c r="L19" s="95"/>
      <c r="M19" s="88"/>
      <c r="N19" s="88"/>
      <c r="O19" s="88"/>
      <c r="P19" s="88"/>
      <c r="Q19" s="88"/>
      <c r="R19" s="88"/>
      <c r="S19" s="88"/>
      <c r="T19" s="88"/>
      <c r="U19" s="88"/>
      <c r="V19" s="88"/>
      <c r="W19" s="88"/>
      <c r="X19" s="88"/>
      <c r="Y19" s="88"/>
      <c r="Z19" s="88"/>
      <c r="AA19" s="88"/>
      <c r="AB19" s="88"/>
      <c r="AC19" s="88"/>
      <c r="AD19" s="88"/>
      <c r="AE19" s="88"/>
      <c r="AF19" s="88"/>
      <c r="AG19" s="143">
        <f t="shared" ref="AG19:AG27" si="6">sum(B19:AF19)</f>
        <v>0</v>
      </c>
    </row>
    <row r="20">
      <c r="A20" s="163" t="s">
        <v>123</v>
      </c>
      <c r="B20" s="95"/>
      <c r="C20" s="95"/>
      <c r="D20" s="95"/>
      <c r="E20" s="95"/>
      <c r="F20" s="95"/>
      <c r="G20" s="95"/>
      <c r="H20" s="95"/>
      <c r="I20" s="95"/>
      <c r="J20" s="95"/>
      <c r="K20" s="95"/>
      <c r="L20" s="95"/>
      <c r="M20" s="88"/>
      <c r="N20" s="88"/>
      <c r="O20" s="88"/>
      <c r="P20" s="88"/>
      <c r="Q20" s="88"/>
      <c r="R20" s="88"/>
      <c r="S20" s="88"/>
      <c r="T20" s="88"/>
      <c r="U20" s="88"/>
      <c r="V20" s="88"/>
      <c r="W20" s="88"/>
      <c r="X20" s="88"/>
      <c r="Y20" s="88"/>
      <c r="Z20" s="88"/>
      <c r="AA20" s="88"/>
      <c r="AB20" s="88"/>
      <c r="AC20" s="88"/>
      <c r="AD20" s="88"/>
      <c r="AE20" s="88"/>
      <c r="AF20" s="88"/>
      <c r="AG20" s="143">
        <f t="shared" si="6"/>
        <v>0</v>
      </c>
    </row>
    <row r="21">
      <c r="A21" s="163" t="s">
        <v>847</v>
      </c>
      <c r="B21" s="95"/>
      <c r="C21" s="95"/>
      <c r="D21" s="95"/>
      <c r="E21" s="95"/>
      <c r="F21" s="95"/>
      <c r="G21" s="95"/>
      <c r="H21" s="95"/>
      <c r="I21" s="95"/>
      <c r="J21" s="95"/>
      <c r="K21" s="95"/>
      <c r="L21" s="95"/>
      <c r="M21" s="88"/>
      <c r="N21" s="88"/>
      <c r="O21" s="88"/>
      <c r="P21" s="88"/>
      <c r="Q21" s="88"/>
      <c r="R21" s="88"/>
      <c r="S21" s="88"/>
      <c r="T21" s="88"/>
      <c r="U21" s="88"/>
      <c r="V21" s="88"/>
      <c r="W21" s="88"/>
      <c r="X21" s="88"/>
      <c r="Y21" s="88"/>
      <c r="Z21" s="88"/>
      <c r="AA21" s="88"/>
      <c r="AB21" s="88"/>
      <c r="AC21" s="88"/>
      <c r="AD21" s="88"/>
      <c r="AE21" s="88"/>
      <c r="AF21" s="88"/>
      <c r="AG21" s="143">
        <f t="shared" si="6"/>
        <v>0</v>
      </c>
    </row>
    <row r="22">
      <c r="A22" s="163" t="s">
        <v>848</v>
      </c>
      <c r="B22" s="405"/>
      <c r="C22" s="405"/>
      <c r="D22" s="405"/>
      <c r="E22" s="405"/>
      <c r="F22" s="405"/>
      <c r="G22" s="95"/>
      <c r="H22" s="95"/>
      <c r="I22" s="95"/>
      <c r="J22" s="95"/>
      <c r="K22" s="95"/>
      <c r="L22" s="95"/>
      <c r="M22" s="88"/>
      <c r="N22" s="88"/>
      <c r="O22" s="88"/>
      <c r="P22" s="88"/>
      <c r="Q22" s="88"/>
      <c r="R22" s="88"/>
      <c r="S22" s="88"/>
      <c r="T22" s="88"/>
      <c r="U22" s="88"/>
      <c r="V22" s="88"/>
      <c r="W22" s="88"/>
      <c r="X22" s="88"/>
      <c r="Y22" s="88"/>
      <c r="Z22" s="88"/>
      <c r="AA22" s="88"/>
      <c r="AB22" s="88"/>
      <c r="AC22" s="88"/>
      <c r="AD22" s="88"/>
      <c r="AE22" s="88"/>
      <c r="AF22" s="88"/>
      <c r="AG22" s="143">
        <f t="shared" si="6"/>
        <v>0</v>
      </c>
    </row>
    <row r="23">
      <c r="A23" s="163" t="s">
        <v>849</v>
      </c>
      <c r="B23" s="95"/>
      <c r="C23" s="95"/>
      <c r="D23" s="95"/>
      <c r="E23" s="95"/>
      <c r="F23" s="95"/>
      <c r="G23" s="95"/>
      <c r="H23" s="95"/>
      <c r="I23" s="95"/>
      <c r="J23" s="95"/>
      <c r="K23" s="95"/>
      <c r="L23" s="95"/>
      <c r="M23" s="88"/>
      <c r="N23" s="88"/>
      <c r="O23" s="88"/>
      <c r="P23" s="88"/>
      <c r="Q23" s="88"/>
      <c r="R23" s="88"/>
      <c r="S23" s="88"/>
      <c r="T23" s="88"/>
      <c r="U23" s="88"/>
      <c r="V23" s="88"/>
      <c r="W23" s="88"/>
      <c r="X23" s="88"/>
      <c r="Y23" s="88"/>
      <c r="Z23" s="88"/>
      <c r="AA23" s="88"/>
      <c r="AB23" s="88"/>
      <c r="AC23" s="88"/>
      <c r="AD23" s="88"/>
      <c r="AE23" s="88"/>
      <c r="AF23" s="88"/>
      <c r="AG23" s="143">
        <f t="shared" si="6"/>
        <v>0</v>
      </c>
    </row>
    <row r="24">
      <c r="A24" s="163" t="s">
        <v>850</v>
      </c>
      <c r="B24" s="405"/>
      <c r="C24" s="405"/>
      <c r="D24" s="405"/>
      <c r="E24" s="405"/>
      <c r="F24" s="405"/>
      <c r="G24" s="95"/>
      <c r="H24" s="95"/>
      <c r="I24" s="95"/>
      <c r="J24" s="95"/>
      <c r="K24" s="95"/>
      <c r="L24" s="95"/>
      <c r="M24" s="88"/>
      <c r="N24" s="88"/>
      <c r="O24" s="88"/>
      <c r="P24" s="88"/>
      <c r="Q24" s="88"/>
      <c r="R24" s="88"/>
      <c r="S24" s="88"/>
      <c r="T24" s="88"/>
      <c r="U24" s="88"/>
      <c r="V24" s="88"/>
      <c r="W24" s="88"/>
      <c r="X24" s="88"/>
      <c r="Y24" s="88"/>
      <c r="Z24" s="88"/>
      <c r="AA24" s="88"/>
      <c r="AB24" s="88"/>
      <c r="AC24" s="88"/>
      <c r="AD24" s="88"/>
      <c r="AE24" s="88"/>
      <c r="AF24" s="88"/>
      <c r="AG24" s="143">
        <f t="shared" si="6"/>
        <v>0</v>
      </c>
    </row>
    <row r="25">
      <c r="A25" s="163" t="s">
        <v>851</v>
      </c>
      <c r="B25" s="95"/>
      <c r="C25" s="95"/>
      <c r="D25" s="95"/>
      <c r="E25" s="95"/>
      <c r="F25" s="95"/>
      <c r="G25" s="95"/>
      <c r="H25" s="95"/>
      <c r="I25" s="95"/>
      <c r="J25" s="95"/>
      <c r="K25" s="95"/>
      <c r="L25" s="95"/>
      <c r="M25" s="88"/>
      <c r="N25" s="88"/>
      <c r="O25" s="88"/>
      <c r="P25" s="88"/>
      <c r="Q25" s="88"/>
      <c r="R25" s="88"/>
      <c r="S25" s="88"/>
      <c r="T25" s="88"/>
      <c r="U25" s="88"/>
      <c r="V25" s="88"/>
      <c r="W25" s="88"/>
      <c r="X25" s="88"/>
      <c r="Y25" s="88"/>
      <c r="Z25" s="88"/>
      <c r="AA25" s="88"/>
      <c r="AB25" s="88"/>
      <c r="AC25" s="88"/>
      <c r="AD25" s="88"/>
      <c r="AE25" s="88"/>
      <c r="AF25" s="88"/>
      <c r="AG25" s="143">
        <f t="shared" si="6"/>
        <v>0</v>
      </c>
    </row>
    <row r="26">
      <c r="A26" s="163" t="s">
        <v>852</v>
      </c>
      <c r="B26" s="95"/>
      <c r="C26" s="95"/>
      <c r="D26" s="95"/>
      <c r="E26" s="95"/>
      <c r="F26" s="95"/>
      <c r="G26" s="95"/>
      <c r="H26" s="95"/>
      <c r="I26" s="95"/>
      <c r="J26" s="95"/>
      <c r="K26" s="95"/>
      <c r="L26" s="95"/>
      <c r="M26" s="88"/>
      <c r="N26" s="88"/>
      <c r="O26" s="88"/>
      <c r="P26" s="88"/>
      <c r="Q26" s="88"/>
      <c r="R26" s="88"/>
      <c r="S26" s="88"/>
      <c r="T26" s="88"/>
      <c r="U26" s="88"/>
      <c r="V26" s="88"/>
      <c r="W26" s="88"/>
      <c r="X26" s="88"/>
      <c r="Y26" s="88"/>
      <c r="Z26" s="88"/>
      <c r="AA26" s="88"/>
      <c r="AB26" s="88"/>
      <c r="AC26" s="88"/>
      <c r="AD26" s="88"/>
      <c r="AE26" s="88"/>
      <c r="AF26" s="88"/>
      <c r="AG26" s="143">
        <f t="shared" si="6"/>
        <v>0</v>
      </c>
    </row>
    <row r="27">
      <c r="A27" s="169" t="s">
        <v>130</v>
      </c>
      <c r="B27" s="336">
        <f t="shared" ref="B27:AF27" si="7">SUM(B19:B26)</f>
        <v>0</v>
      </c>
      <c r="C27" s="336">
        <f t="shared" si="7"/>
        <v>0</v>
      </c>
      <c r="D27" s="336">
        <f t="shared" si="7"/>
        <v>0</v>
      </c>
      <c r="E27" s="336">
        <f t="shared" si="7"/>
        <v>0</v>
      </c>
      <c r="F27" s="336">
        <f t="shared" si="7"/>
        <v>0</v>
      </c>
      <c r="G27" s="336">
        <f t="shared" si="7"/>
        <v>0</v>
      </c>
      <c r="H27" s="336">
        <f t="shared" si="7"/>
        <v>0</v>
      </c>
      <c r="I27" s="336">
        <f t="shared" si="7"/>
        <v>0</v>
      </c>
      <c r="J27" s="336">
        <f t="shared" si="7"/>
        <v>0</v>
      </c>
      <c r="K27" s="336">
        <f t="shared" si="7"/>
        <v>0</v>
      </c>
      <c r="L27" s="336">
        <f t="shared" si="7"/>
        <v>0</v>
      </c>
      <c r="M27" s="336">
        <f t="shared" si="7"/>
        <v>0</v>
      </c>
      <c r="N27" s="336">
        <f t="shared" si="7"/>
        <v>0</v>
      </c>
      <c r="O27" s="336">
        <f t="shared" si="7"/>
        <v>0</v>
      </c>
      <c r="P27" s="336">
        <f t="shared" si="7"/>
        <v>0</v>
      </c>
      <c r="Q27" s="336">
        <f t="shared" si="7"/>
        <v>0</v>
      </c>
      <c r="R27" s="336">
        <f t="shared" si="7"/>
        <v>0</v>
      </c>
      <c r="S27" s="336">
        <f t="shared" si="7"/>
        <v>0</v>
      </c>
      <c r="T27" s="336">
        <f t="shared" si="7"/>
        <v>0</v>
      </c>
      <c r="U27" s="336">
        <f t="shared" si="7"/>
        <v>0</v>
      </c>
      <c r="V27" s="336">
        <f t="shared" si="7"/>
        <v>0</v>
      </c>
      <c r="W27" s="336">
        <f t="shared" si="7"/>
        <v>0</v>
      </c>
      <c r="X27" s="336">
        <f t="shared" si="7"/>
        <v>0</v>
      </c>
      <c r="Y27" s="336">
        <f t="shared" si="7"/>
        <v>0</v>
      </c>
      <c r="Z27" s="336">
        <f t="shared" si="7"/>
        <v>0</v>
      </c>
      <c r="AA27" s="336">
        <f t="shared" si="7"/>
        <v>0</v>
      </c>
      <c r="AB27" s="336">
        <f t="shared" si="7"/>
        <v>0</v>
      </c>
      <c r="AC27" s="336">
        <f t="shared" si="7"/>
        <v>0</v>
      </c>
      <c r="AD27" s="336">
        <f t="shared" si="7"/>
        <v>0</v>
      </c>
      <c r="AE27" s="336">
        <f t="shared" si="7"/>
        <v>0</v>
      </c>
      <c r="AF27" s="336">
        <f t="shared" si="7"/>
        <v>0</v>
      </c>
      <c r="AG27" s="143">
        <f t="shared" si="6"/>
        <v>0</v>
      </c>
    </row>
    <row r="28">
      <c r="A28" s="98"/>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143"/>
    </row>
    <row r="29" collapsed="1">
      <c r="A29" s="614" t="s">
        <v>853</v>
      </c>
      <c r="B29" s="409"/>
      <c r="C29" s="409"/>
      <c r="D29" s="409"/>
      <c r="E29" s="409"/>
      <c r="F29" s="409"/>
      <c r="G29" s="409"/>
      <c r="H29" s="409"/>
      <c r="I29" s="409"/>
      <c r="J29" s="409"/>
      <c r="K29" s="409"/>
      <c r="L29" s="409"/>
      <c r="M29" s="409"/>
      <c r="N29" s="409"/>
      <c r="O29" s="409"/>
      <c r="P29" s="409"/>
      <c r="Q29" s="409"/>
      <c r="R29" s="409"/>
      <c r="S29" s="409"/>
      <c r="T29" s="409"/>
      <c r="U29" s="409"/>
      <c r="V29" s="409"/>
      <c r="W29" s="409"/>
      <c r="X29" s="409"/>
      <c r="Y29" s="409"/>
      <c r="Z29" s="409"/>
      <c r="AA29" s="409"/>
      <c r="AB29" s="409"/>
      <c r="AC29" s="409"/>
      <c r="AD29" s="409"/>
      <c r="AE29" s="409"/>
      <c r="AF29" s="409"/>
      <c r="AG29" s="259"/>
    </row>
    <row r="30" hidden="1" outlineLevel="1">
      <c r="A30" s="615"/>
      <c r="AG30" s="259"/>
    </row>
    <row r="31" hidden="1" outlineLevel="1">
      <c r="A31" s="417" t="s">
        <v>854</v>
      </c>
      <c r="B31" s="427"/>
      <c r="C31" s="427"/>
      <c r="D31" s="427"/>
      <c r="E31" s="427"/>
      <c r="F31" s="427"/>
      <c r="G31" s="427"/>
      <c r="H31" s="427"/>
      <c r="I31" s="428"/>
      <c r="J31" s="428"/>
      <c r="K31" s="428"/>
      <c r="L31" s="428"/>
      <c r="M31" s="428"/>
      <c r="N31" s="428"/>
      <c r="O31" s="428"/>
      <c r="P31" s="428"/>
      <c r="Q31" s="428"/>
      <c r="R31" s="428"/>
      <c r="S31" s="428"/>
      <c r="T31" s="428"/>
      <c r="U31" s="428"/>
      <c r="V31" s="428"/>
      <c r="W31" s="428"/>
      <c r="X31" s="428"/>
      <c r="Y31" s="428"/>
      <c r="Z31" s="428"/>
      <c r="AA31" s="428"/>
      <c r="AB31" s="428"/>
      <c r="AC31" s="428"/>
      <c r="AD31" s="428"/>
      <c r="AE31" s="428"/>
      <c r="AF31" s="428"/>
      <c r="AG31" s="429"/>
    </row>
    <row r="32" hidden="1" outlineLevel="1">
      <c r="A32" s="216" t="s">
        <v>855</v>
      </c>
      <c r="B32" s="343"/>
      <c r="C32" s="343"/>
      <c r="D32" s="343"/>
      <c r="E32" s="343"/>
      <c r="F32" s="343"/>
      <c r="G32" s="343"/>
      <c r="H32" s="343"/>
      <c r="I32" s="343"/>
      <c r="J32" s="343"/>
      <c r="K32" s="343"/>
      <c r="L32" s="343"/>
      <c r="M32" s="343"/>
      <c r="N32" s="343"/>
      <c r="O32" s="343"/>
      <c r="P32" s="343"/>
      <c r="Q32" s="343"/>
      <c r="R32" s="343"/>
      <c r="S32" s="343"/>
      <c r="T32" s="343"/>
      <c r="U32" s="343"/>
      <c r="V32" s="343"/>
      <c r="W32" s="343"/>
      <c r="X32" s="343"/>
      <c r="Y32" s="343"/>
      <c r="Z32" s="343"/>
      <c r="AA32" s="343"/>
      <c r="AB32" s="343"/>
      <c r="AC32" s="343"/>
      <c r="AD32" s="343"/>
      <c r="AE32" s="343"/>
      <c r="AF32" s="343"/>
      <c r="AG32" s="143">
        <f t="shared" ref="AG32:AG37" si="8">SUM(B32:AF32)</f>
        <v>0</v>
      </c>
    </row>
    <row r="33" hidden="1" outlineLevel="1">
      <c r="A33" s="216" t="s">
        <v>856</v>
      </c>
      <c r="B33" s="343"/>
      <c r="C33" s="343"/>
      <c r="D33" s="343"/>
      <c r="E33" s="343"/>
      <c r="F33" s="343"/>
      <c r="G33" s="343"/>
      <c r="H33" s="343"/>
      <c r="I33" s="343"/>
      <c r="J33" s="343"/>
      <c r="K33" s="343"/>
      <c r="L33" s="343"/>
      <c r="M33" s="343"/>
      <c r="N33" s="343"/>
      <c r="O33" s="343"/>
      <c r="P33" s="343"/>
      <c r="Q33" s="343"/>
      <c r="R33" s="343"/>
      <c r="S33" s="343"/>
      <c r="T33" s="343"/>
      <c r="U33" s="343"/>
      <c r="V33" s="343"/>
      <c r="W33" s="343"/>
      <c r="X33" s="343"/>
      <c r="Y33" s="343"/>
      <c r="Z33" s="343"/>
      <c r="AA33" s="343"/>
      <c r="AB33" s="343"/>
      <c r="AC33" s="343"/>
      <c r="AD33" s="343"/>
      <c r="AE33" s="343"/>
      <c r="AF33" s="343"/>
      <c r="AG33" s="143">
        <f t="shared" si="8"/>
        <v>0</v>
      </c>
    </row>
    <row r="34" hidden="1" outlineLevel="1">
      <c r="A34" s="216" t="s">
        <v>857</v>
      </c>
      <c r="B34" s="405"/>
      <c r="C34" s="405"/>
      <c r="D34" s="405"/>
      <c r="E34" s="405"/>
      <c r="F34" s="405"/>
      <c r="G34" s="343"/>
      <c r="H34" s="343"/>
      <c r="I34" s="343"/>
      <c r="J34" s="343"/>
      <c r="K34" s="343"/>
      <c r="L34" s="343"/>
      <c r="M34" s="343"/>
      <c r="N34" s="343"/>
      <c r="O34" s="343"/>
      <c r="P34" s="343"/>
      <c r="Q34" s="343"/>
      <c r="R34" s="343"/>
      <c r="S34" s="343"/>
      <c r="T34" s="343"/>
      <c r="U34" s="343"/>
      <c r="V34" s="343"/>
      <c r="W34" s="343"/>
      <c r="X34" s="343"/>
      <c r="Y34" s="343"/>
      <c r="Z34" s="343"/>
      <c r="AA34" s="343"/>
      <c r="AB34" s="343"/>
      <c r="AC34" s="343"/>
      <c r="AD34" s="343"/>
      <c r="AE34" s="343"/>
      <c r="AF34" s="343"/>
      <c r="AG34" s="143">
        <f t="shared" si="8"/>
        <v>0</v>
      </c>
    </row>
    <row r="35" hidden="1" outlineLevel="1">
      <c r="A35" s="216" t="s">
        <v>858</v>
      </c>
      <c r="B35" s="405"/>
      <c r="C35" s="405"/>
      <c r="D35" s="405"/>
      <c r="E35" s="405"/>
      <c r="F35" s="405"/>
      <c r="G35" s="343"/>
      <c r="H35" s="343"/>
      <c r="I35" s="343"/>
      <c r="J35" s="343"/>
      <c r="K35" s="343"/>
      <c r="L35" s="343"/>
      <c r="M35" s="343"/>
      <c r="N35" s="343"/>
      <c r="O35" s="343"/>
      <c r="P35" s="343"/>
      <c r="Q35" s="343"/>
      <c r="R35" s="343"/>
      <c r="S35" s="343"/>
      <c r="T35" s="343"/>
      <c r="U35" s="343"/>
      <c r="V35" s="343"/>
      <c r="W35" s="343"/>
      <c r="X35" s="343"/>
      <c r="Y35" s="343"/>
      <c r="Z35" s="343"/>
      <c r="AA35" s="343"/>
      <c r="AB35" s="343"/>
      <c r="AC35" s="343"/>
      <c r="AD35" s="343"/>
      <c r="AE35" s="343"/>
      <c r="AF35" s="343"/>
      <c r="AG35" s="143">
        <f t="shared" si="8"/>
        <v>0</v>
      </c>
    </row>
    <row r="36" hidden="1" outlineLevel="1">
      <c r="A36" s="218" t="s">
        <v>194</v>
      </c>
      <c r="B36" s="370">
        <f t="shared" ref="B36:AF36" si="9">SUM(B32:B33)</f>
        <v>0</v>
      </c>
      <c r="C36" s="370">
        <f t="shared" si="9"/>
        <v>0</v>
      </c>
      <c r="D36" s="370">
        <f t="shared" si="9"/>
        <v>0</v>
      </c>
      <c r="E36" s="370">
        <f t="shared" si="9"/>
        <v>0</v>
      </c>
      <c r="F36" s="370">
        <f t="shared" si="9"/>
        <v>0</v>
      </c>
      <c r="G36" s="370">
        <f t="shared" si="9"/>
        <v>0</v>
      </c>
      <c r="H36" s="370">
        <f t="shared" si="9"/>
        <v>0</v>
      </c>
      <c r="I36" s="370">
        <f t="shared" si="9"/>
        <v>0</v>
      </c>
      <c r="J36" s="370">
        <f t="shared" si="9"/>
        <v>0</v>
      </c>
      <c r="K36" s="370">
        <f t="shared" si="9"/>
        <v>0</v>
      </c>
      <c r="L36" s="370">
        <f t="shared" si="9"/>
        <v>0</v>
      </c>
      <c r="M36" s="370">
        <f t="shared" si="9"/>
        <v>0</v>
      </c>
      <c r="N36" s="370">
        <f t="shared" si="9"/>
        <v>0</v>
      </c>
      <c r="O36" s="370">
        <f t="shared" si="9"/>
        <v>0</v>
      </c>
      <c r="P36" s="370">
        <f t="shared" si="9"/>
        <v>0</v>
      </c>
      <c r="Q36" s="370">
        <f t="shared" si="9"/>
        <v>0</v>
      </c>
      <c r="R36" s="370">
        <f t="shared" si="9"/>
        <v>0</v>
      </c>
      <c r="S36" s="370">
        <f t="shared" si="9"/>
        <v>0</v>
      </c>
      <c r="T36" s="370">
        <f t="shared" si="9"/>
        <v>0</v>
      </c>
      <c r="U36" s="370">
        <f t="shared" si="9"/>
        <v>0</v>
      </c>
      <c r="V36" s="370">
        <f t="shared" si="9"/>
        <v>0</v>
      </c>
      <c r="W36" s="370">
        <f t="shared" si="9"/>
        <v>0</v>
      </c>
      <c r="X36" s="370">
        <f t="shared" si="9"/>
        <v>0</v>
      </c>
      <c r="Y36" s="370">
        <f t="shared" si="9"/>
        <v>0</v>
      </c>
      <c r="Z36" s="370">
        <f t="shared" si="9"/>
        <v>0</v>
      </c>
      <c r="AA36" s="370">
        <f t="shared" si="9"/>
        <v>0</v>
      </c>
      <c r="AB36" s="370">
        <f t="shared" si="9"/>
        <v>0</v>
      </c>
      <c r="AC36" s="370">
        <f t="shared" si="9"/>
        <v>0</v>
      </c>
      <c r="AD36" s="370">
        <f t="shared" si="9"/>
        <v>0</v>
      </c>
      <c r="AE36" s="370">
        <f t="shared" si="9"/>
        <v>0</v>
      </c>
      <c r="AF36" s="370">
        <f t="shared" si="9"/>
        <v>0</v>
      </c>
      <c r="AG36" s="143">
        <f t="shared" si="8"/>
        <v>0</v>
      </c>
    </row>
    <row r="37" hidden="1" outlineLevel="1">
      <c r="A37" s="218" t="s">
        <v>195</v>
      </c>
      <c r="B37" s="370">
        <f t="shared" ref="B37:AF37" si="10">SUM(B34:B35)</f>
        <v>0</v>
      </c>
      <c r="C37" s="370">
        <f t="shared" si="10"/>
        <v>0</v>
      </c>
      <c r="D37" s="370">
        <f t="shared" si="10"/>
        <v>0</v>
      </c>
      <c r="E37" s="370">
        <f t="shared" si="10"/>
        <v>0</v>
      </c>
      <c r="F37" s="370">
        <f t="shared" si="10"/>
        <v>0</v>
      </c>
      <c r="G37" s="370">
        <f t="shared" si="10"/>
        <v>0</v>
      </c>
      <c r="H37" s="370">
        <f t="shared" si="10"/>
        <v>0</v>
      </c>
      <c r="I37" s="370">
        <f t="shared" si="10"/>
        <v>0</v>
      </c>
      <c r="J37" s="370">
        <f t="shared" si="10"/>
        <v>0</v>
      </c>
      <c r="K37" s="370">
        <f t="shared" si="10"/>
        <v>0</v>
      </c>
      <c r="L37" s="370">
        <f t="shared" si="10"/>
        <v>0</v>
      </c>
      <c r="M37" s="370">
        <f t="shared" si="10"/>
        <v>0</v>
      </c>
      <c r="N37" s="370">
        <f t="shared" si="10"/>
        <v>0</v>
      </c>
      <c r="O37" s="370">
        <f t="shared" si="10"/>
        <v>0</v>
      </c>
      <c r="P37" s="370">
        <f t="shared" si="10"/>
        <v>0</v>
      </c>
      <c r="Q37" s="370">
        <f t="shared" si="10"/>
        <v>0</v>
      </c>
      <c r="R37" s="370">
        <f t="shared" si="10"/>
        <v>0</v>
      </c>
      <c r="S37" s="370">
        <f t="shared" si="10"/>
        <v>0</v>
      </c>
      <c r="T37" s="370">
        <f t="shared" si="10"/>
        <v>0</v>
      </c>
      <c r="U37" s="370">
        <f t="shared" si="10"/>
        <v>0</v>
      </c>
      <c r="V37" s="370">
        <f t="shared" si="10"/>
        <v>0</v>
      </c>
      <c r="W37" s="370">
        <f t="shared" si="10"/>
        <v>0</v>
      </c>
      <c r="X37" s="370">
        <f t="shared" si="10"/>
        <v>0</v>
      </c>
      <c r="Y37" s="370">
        <f t="shared" si="10"/>
        <v>0</v>
      </c>
      <c r="Z37" s="370">
        <f t="shared" si="10"/>
        <v>0</v>
      </c>
      <c r="AA37" s="370">
        <f t="shared" si="10"/>
        <v>0</v>
      </c>
      <c r="AB37" s="370">
        <f t="shared" si="10"/>
        <v>0</v>
      </c>
      <c r="AC37" s="370">
        <f t="shared" si="10"/>
        <v>0</v>
      </c>
      <c r="AD37" s="370">
        <f t="shared" si="10"/>
        <v>0</v>
      </c>
      <c r="AE37" s="370">
        <f t="shared" si="10"/>
        <v>0</v>
      </c>
      <c r="AF37" s="370">
        <f t="shared" si="10"/>
        <v>0</v>
      </c>
      <c r="AG37" s="143">
        <f t="shared" si="8"/>
        <v>0</v>
      </c>
    </row>
    <row r="38" hidden="1" outlineLevel="1">
      <c r="A38" s="98"/>
      <c r="B38" s="135"/>
      <c r="C38" s="135"/>
      <c r="D38" s="135"/>
      <c r="E38" s="135"/>
      <c r="F38" s="135"/>
      <c r="G38" s="135"/>
      <c r="H38" s="135"/>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143"/>
    </row>
    <row r="39" hidden="1" outlineLevel="1">
      <c r="A39" s="216" t="s">
        <v>197</v>
      </c>
      <c r="B39" s="343"/>
      <c r="C39" s="343"/>
      <c r="D39" s="343"/>
      <c r="E39" s="343"/>
      <c r="F39" s="343"/>
      <c r="G39" s="343"/>
      <c r="H39" s="343"/>
      <c r="I39" s="343"/>
      <c r="J39" s="343"/>
      <c r="K39" s="343"/>
      <c r="L39" s="343"/>
      <c r="M39" s="343"/>
      <c r="N39" s="343"/>
      <c r="O39" s="343"/>
      <c r="P39" s="343"/>
      <c r="Q39" s="343"/>
      <c r="R39" s="343"/>
      <c r="S39" s="343"/>
      <c r="T39" s="343"/>
      <c r="U39" s="343"/>
      <c r="V39" s="343"/>
      <c r="W39" s="343"/>
      <c r="X39" s="343"/>
      <c r="Y39" s="343"/>
      <c r="Z39" s="343"/>
      <c r="AA39" s="343"/>
      <c r="AB39" s="343"/>
      <c r="AC39" s="343"/>
      <c r="AD39" s="343"/>
      <c r="AE39" s="343"/>
      <c r="AF39" s="343"/>
      <c r="AG39" s="143">
        <f t="shared" ref="AG39:AG47" si="11">SUM(B39:AF39)</f>
        <v>0</v>
      </c>
    </row>
    <row r="40" hidden="1" outlineLevel="1">
      <c r="A40" s="216" t="s">
        <v>198</v>
      </c>
      <c r="B40" s="343"/>
      <c r="C40" s="343"/>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343"/>
      <c r="AB40" s="343"/>
      <c r="AC40" s="343"/>
      <c r="AD40" s="343"/>
      <c r="AE40" s="343"/>
      <c r="AF40" s="343"/>
      <c r="AG40" s="143">
        <f t="shared" si="11"/>
        <v>0</v>
      </c>
    </row>
    <row r="41" hidden="1" outlineLevel="1">
      <c r="A41" s="216" t="s">
        <v>859</v>
      </c>
      <c r="B41" s="343"/>
      <c r="C41" s="343"/>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343"/>
      <c r="AB41" s="343"/>
      <c r="AC41" s="343"/>
      <c r="AD41" s="343"/>
      <c r="AE41" s="343"/>
      <c r="AF41" s="343"/>
      <c r="AG41" s="143">
        <f t="shared" si="11"/>
        <v>0</v>
      </c>
    </row>
    <row r="42" hidden="1" outlineLevel="1">
      <c r="A42" s="216" t="s">
        <v>860</v>
      </c>
      <c r="B42" s="343"/>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143">
        <f t="shared" si="11"/>
        <v>0</v>
      </c>
    </row>
    <row r="43" hidden="1" outlineLevel="1">
      <c r="A43" s="216" t="s">
        <v>861</v>
      </c>
      <c r="B43" s="343"/>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3"/>
      <c r="AC43" s="343"/>
      <c r="AD43" s="343"/>
      <c r="AE43" s="343"/>
      <c r="AF43" s="343"/>
      <c r="AG43" s="143">
        <f t="shared" si="11"/>
        <v>0</v>
      </c>
    </row>
    <row r="44" hidden="1" outlineLevel="1">
      <c r="A44" s="216" t="s">
        <v>862</v>
      </c>
      <c r="B44" s="343"/>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3"/>
      <c r="AC44" s="343"/>
      <c r="AD44" s="343"/>
      <c r="AE44" s="343"/>
      <c r="AF44" s="343"/>
      <c r="AG44" s="143">
        <f t="shared" si="11"/>
        <v>0</v>
      </c>
    </row>
    <row r="45" hidden="1" outlineLevel="1">
      <c r="A45" s="216" t="s">
        <v>863</v>
      </c>
      <c r="B45" s="343"/>
      <c r="C45" s="343"/>
      <c r="D45" s="343"/>
      <c r="E45" s="343"/>
      <c r="F45" s="343"/>
      <c r="G45" s="343"/>
      <c r="H45" s="343"/>
      <c r="I45" s="343"/>
      <c r="J45" s="343"/>
      <c r="K45" s="343"/>
      <c r="L45" s="343"/>
      <c r="M45" s="343"/>
      <c r="N45" s="343"/>
      <c r="O45" s="343"/>
      <c r="P45" s="343"/>
      <c r="Q45" s="343"/>
      <c r="R45" s="343"/>
      <c r="S45" s="343"/>
      <c r="T45" s="343"/>
      <c r="U45" s="343"/>
      <c r="V45" s="343"/>
      <c r="W45" s="343"/>
      <c r="X45" s="343"/>
      <c r="Y45" s="343"/>
      <c r="Z45" s="343"/>
      <c r="AA45" s="343"/>
      <c r="AB45" s="343"/>
      <c r="AC45" s="343"/>
      <c r="AD45" s="343"/>
      <c r="AE45" s="343"/>
      <c r="AF45" s="343"/>
      <c r="AG45" s="143">
        <f t="shared" si="11"/>
        <v>0</v>
      </c>
    </row>
    <row r="46" hidden="1" outlineLevel="1">
      <c r="A46" s="216" t="s">
        <v>864</v>
      </c>
      <c r="B46" s="343"/>
      <c r="C46" s="343"/>
      <c r="D46" s="343"/>
      <c r="E46" s="343"/>
      <c r="F46" s="343"/>
      <c r="G46" s="343"/>
      <c r="H46" s="343"/>
      <c r="I46" s="343"/>
      <c r="J46" s="343"/>
      <c r="K46" s="343"/>
      <c r="L46" s="343"/>
      <c r="M46" s="343"/>
      <c r="N46" s="343"/>
      <c r="O46" s="343"/>
      <c r="P46" s="343"/>
      <c r="Q46" s="343"/>
      <c r="R46" s="343"/>
      <c r="S46" s="343"/>
      <c r="T46" s="343"/>
      <c r="U46" s="343"/>
      <c r="V46" s="343"/>
      <c r="W46" s="343"/>
      <c r="X46" s="343"/>
      <c r="Y46" s="343"/>
      <c r="Z46" s="343"/>
      <c r="AA46" s="343"/>
      <c r="AB46" s="343"/>
      <c r="AC46" s="343"/>
      <c r="AD46" s="343"/>
      <c r="AE46" s="343"/>
      <c r="AF46" s="343"/>
      <c r="AG46" s="143">
        <f t="shared" si="11"/>
        <v>0</v>
      </c>
    </row>
    <row r="47" hidden="1" outlineLevel="1">
      <c r="A47" s="220" t="s">
        <v>130</v>
      </c>
      <c r="B47" s="370">
        <f t="shared" ref="B47:AF47" si="12">SUM(B39:B46)</f>
        <v>0</v>
      </c>
      <c r="C47" s="370">
        <f t="shared" si="12"/>
        <v>0</v>
      </c>
      <c r="D47" s="370">
        <f t="shared" si="12"/>
        <v>0</v>
      </c>
      <c r="E47" s="370">
        <f t="shared" si="12"/>
        <v>0</v>
      </c>
      <c r="F47" s="370">
        <f t="shared" si="12"/>
        <v>0</v>
      </c>
      <c r="G47" s="370">
        <f t="shared" si="12"/>
        <v>0</v>
      </c>
      <c r="H47" s="370">
        <f t="shared" si="12"/>
        <v>0</v>
      </c>
      <c r="I47" s="370">
        <f t="shared" si="12"/>
        <v>0</v>
      </c>
      <c r="J47" s="370">
        <f t="shared" si="12"/>
        <v>0</v>
      </c>
      <c r="K47" s="370">
        <f t="shared" si="12"/>
        <v>0</v>
      </c>
      <c r="L47" s="370">
        <f t="shared" si="12"/>
        <v>0</v>
      </c>
      <c r="M47" s="370">
        <f t="shared" si="12"/>
        <v>0</v>
      </c>
      <c r="N47" s="370">
        <f t="shared" si="12"/>
        <v>0</v>
      </c>
      <c r="O47" s="370">
        <f t="shared" si="12"/>
        <v>0</v>
      </c>
      <c r="P47" s="370">
        <f t="shared" si="12"/>
        <v>0</v>
      </c>
      <c r="Q47" s="370">
        <f t="shared" si="12"/>
        <v>0</v>
      </c>
      <c r="R47" s="370">
        <f t="shared" si="12"/>
        <v>0</v>
      </c>
      <c r="S47" s="370">
        <f t="shared" si="12"/>
        <v>0</v>
      </c>
      <c r="T47" s="370">
        <f t="shared" si="12"/>
        <v>0</v>
      </c>
      <c r="U47" s="370">
        <f t="shared" si="12"/>
        <v>0</v>
      </c>
      <c r="V47" s="370">
        <f t="shared" si="12"/>
        <v>0</v>
      </c>
      <c r="W47" s="370">
        <f t="shared" si="12"/>
        <v>0</v>
      </c>
      <c r="X47" s="370">
        <f t="shared" si="12"/>
        <v>0</v>
      </c>
      <c r="Y47" s="370">
        <f t="shared" si="12"/>
        <v>0</v>
      </c>
      <c r="Z47" s="370">
        <f t="shared" si="12"/>
        <v>0</v>
      </c>
      <c r="AA47" s="370">
        <f t="shared" si="12"/>
        <v>0</v>
      </c>
      <c r="AB47" s="370">
        <f t="shared" si="12"/>
        <v>0</v>
      </c>
      <c r="AC47" s="370">
        <f t="shared" si="12"/>
        <v>0</v>
      </c>
      <c r="AD47" s="370">
        <f t="shared" si="12"/>
        <v>0</v>
      </c>
      <c r="AE47" s="370">
        <f t="shared" si="12"/>
        <v>0</v>
      </c>
      <c r="AF47" s="370">
        <f t="shared" si="12"/>
        <v>0</v>
      </c>
      <c r="AG47" s="143">
        <f t="shared" si="11"/>
        <v>0</v>
      </c>
    </row>
    <row r="48" hidden="1" outlineLevel="1">
      <c r="A48" s="98"/>
      <c r="B48" s="135"/>
      <c r="C48" s="135"/>
      <c r="D48" s="135"/>
      <c r="E48" s="135"/>
      <c r="F48" s="135"/>
      <c r="G48" s="135"/>
      <c r="H48" s="135"/>
      <c r="I48" s="82"/>
      <c r="J48" s="82"/>
      <c r="K48" s="82"/>
      <c r="L48" s="82"/>
      <c r="M48" s="82"/>
      <c r="N48" s="82"/>
      <c r="O48" s="82"/>
      <c r="P48" s="82"/>
      <c r="Q48" s="82"/>
      <c r="R48" s="82"/>
      <c r="S48" s="82"/>
      <c r="T48" s="82"/>
      <c r="U48" s="82"/>
      <c r="V48" s="82"/>
      <c r="W48" s="82"/>
      <c r="X48" s="82"/>
      <c r="Y48" s="82"/>
      <c r="Z48" s="82"/>
      <c r="AA48" s="82"/>
      <c r="AB48" s="82"/>
      <c r="AC48" s="82"/>
      <c r="AD48" s="82"/>
      <c r="AE48" s="82"/>
      <c r="AF48" s="82"/>
      <c r="AG48" s="143"/>
    </row>
    <row r="49" hidden="1" outlineLevel="1">
      <c r="A49" s="147" t="s">
        <v>865</v>
      </c>
      <c r="B49" s="135"/>
      <c r="C49" s="135"/>
      <c r="D49" s="135"/>
      <c r="E49" s="135"/>
      <c r="F49" s="135"/>
      <c r="G49" s="200"/>
      <c r="H49" s="135"/>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209"/>
    </row>
    <row r="50" hidden="1" outlineLevel="1">
      <c r="A50" s="216" t="s">
        <v>582</v>
      </c>
      <c r="B50" s="200"/>
      <c r="C50" s="200"/>
      <c r="D50" s="200"/>
      <c r="E50" s="200"/>
      <c r="F50" s="200"/>
      <c r="G50" s="200"/>
      <c r="H50" s="200"/>
      <c r="I50" s="200"/>
      <c r="J50" s="200"/>
      <c r="K50" s="200"/>
      <c r="L50" s="200"/>
      <c r="M50" s="200"/>
      <c r="N50" s="200"/>
      <c r="O50" s="200"/>
      <c r="P50" s="200"/>
      <c r="Q50" s="200"/>
      <c r="R50" s="200"/>
      <c r="S50" s="200"/>
      <c r="T50" s="200"/>
      <c r="U50" s="200"/>
      <c r="V50" s="200"/>
      <c r="W50" s="200"/>
      <c r="X50" s="200"/>
      <c r="Y50" s="200"/>
      <c r="Z50" s="200"/>
      <c r="AA50" s="200"/>
      <c r="AB50" s="200"/>
      <c r="AC50" s="200"/>
      <c r="AD50" s="200"/>
      <c r="AE50" s="200"/>
      <c r="AF50" s="200"/>
      <c r="AG50" s="114">
        <f t="shared" ref="AG50:AG53" si="13">SUM(B50:AF50)</f>
        <v>0</v>
      </c>
    </row>
    <row r="51" hidden="1" outlineLevel="1">
      <c r="A51" s="216" t="s">
        <v>437</v>
      </c>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4">
        <f t="shared" si="13"/>
        <v>0</v>
      </c>
    </row>
    <row r="52" hidden="1" outlineLevel="1">
      <c r="A52" s="216" t="s">
        <v>583</v>
      </c>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4">
        <f t="shared" si="13"/>
        <v>0</v>
      </c>
    </row>
    <row r="53" hidden="1" outlineLevel="1">
      <c r="A53" s="387" t="s">
        <v>584</v>
      </c>
      <c r="B53" s="379">
        <f t="shared" ref="B53:AF53" si="14">SUM(B50:B52)</f>
        <v>0</v>
      </c>
      <c r="C53" s="379">
        <f t="shared" si="14"/>
        <v>0</v>
      </c>
      <c r="D53" s="379">
        <f t="shared" si="14"/>
        <v>0</v>
      </c>
      <c r="E53" s="379">
        <f t="shared" si="14"/>
        <v>0</v>
      </c>
      <c r="F53" s="379">
        <f t="shared" si="14"/>
        <v>0</v>
      </c>
      <c r="G53" s="379">
        <f t="shared" si="14"/>
        <v>0</v>
      </c>
      <c r="H53" s="379">
        <f t="shared" si="14"/>
        <v>0</v>
      </c>
      <c r="I53" s="379">
        <f t="shared" si="14"/>
        <v>0</v>
      </c>
      <c r="J53" s="379">
        <f t="shared" si="14"/>
        <v>0</v>
      </c>
      <c r="K53" s="379">
        <f t="shared" si="14"/>
        <v>0</v>
      </c>
      <c r="L53" s="379">
        <f t="shared" si="14"/>
        <v>0</v>
      </c>
      <c r="M53" s="379">
        <f t="shared" si="14"/>
        <v>0</v>
      </c>
      <c r="N53" s="379">
        <f t="shared" si="14"/>
        <v>0</v>
      </c>
      <c r="O53" s="379">
        <f t="shared" si="14"/>
        <v>0</v>
      </c>
      <c r="P53" s="379">
        <f t="shared" si="14"/>
        <v>0</v>
      </c>
      <c r="Q53" s="379">
        <f t="shared" si="14"/>
        <v>0</v>
      </c>
      <c r="R53" s="379">
        <f t="shared" si="14"/>
        <v>0</v>
      </c>
      <c r="S53" s="379">
        <f t="shared" si="14"/>
        <v>0</v>
      </c>
      <c r="T53" s="379">
        <f t="shared" si="14"/>
        <v>0</v>
      </c>
      <c r="U53" s="379">
        <f t="shared" si="14"/>
        <v>0</v>
      </c>
      <c r="V53" s="379">
        <f t="shared" si="14"/>
        <v>0</v>
      </c>
      <c r="W53" s="379">
        <f t="shared" si="14"/>
        <v>0</v>
      </c>
      <c r="X53" s="379">
        <f t="shared" si="14"/>
        <v>0</v>
      </c>
      <c r="Y53" s="379">
        <f t="shared" si="14"/>
        <v>0</v>
      </c>
      <c r="Z53" s="379">
        <f t="shared" si="14"/>
        <v>0</v>
      </c>
      <c r="AA53" s="379">
        <f t="shared" si="14"/>
        <v>0</v>
      </c>
      <c r="AB53" s="379">
        <f t="shared" si="14"/>
        <v>0</v>
      </c>
      <c r="AC53" s="379">
        <f t="shared" si="14"/>
        <v>0</v>
      </c>
      <c r="AD53" s="379">
        <f t="shared" si="14"/>
        <v>0</v>
      </c>
      <c r="AE53" s="379">
        <f t="shared" si="14"/>
        <v>0</v>
      </c>
      <c r="AF53" s="379">
        <f t="shared" si="14"/>
        <v>0</v>
      </c>
      <c r="AG53" s="114">
        <f t="shared" si="13"/>
        <v>0</v>
      </c>
    </row>
    <row r="54" hidden="1" outlineLevel="1">
      <c r="A54" s="98"/>
      <c r="B54" s="135"/>
      <c r="C54" s="135"/>
      <c r="D54" s="135"/>
      <c r="E54" s="135"/>
      <c r="F54" s="135"/>
      <c r="G54" s="135"/>
      <c r="H54" s="135"/>
      <c r="I54" s="82"/>
      <c r="J54" s="82"/>
      <c r="K54" s="82"/>
      <c r="L54" s="82"/>
      <c r="M54" s="82"/>
      <c r="N54" s="82"/>
      <c r="O54" s="82"/>
      <c r="P54" s="82"/>
      <c r="Q54" s="82"/>
      <c r="R54" s="82"/>
      <c r="S54" s="82"/>
      <c r="T54" s="82"/>
      <c r="U54" s="82"/>
      <c r="V54" s="82"/>
      <c r="W54" s="82"/>
      <c r="X54" s="82"/>
      <c r="Y54" s="82"/>
      <c r="Z54" s="82"/>
      <c r="AA54" s="82"/>
      <c r="AB54" s="82"/>
      <c r="AC54" s="82"/>
      <c r="AD54" s="82"/>
      <c r="AE54" s="82"/>
      <c r="AF54" s="82"/>
      <c r="AG54" s="143"/>
    </row>
    <row r="55" hidden="1" outlineLevel="1">
      <c r="A55" s="417" t="s">
        <v>866</v>
      </c>
      <c r="B55" s="418"/>
      <c r="C55" s="418"/>
      <c r="D55" s="418"/>
      <c r="E55" s="418"/>
      <c r="F55" s="418"/>
      <c r="G55" s="418"/>
      <c r="H55" s="418"/>
      <c r="I55" s="418"/>
      <c r="J55" s="418"/>
      <c r="K55" s="418"/>
      <c r="L55" s="418"/>
      <c r="M55" s="418"/>
      <c r="N55" s="418"/>
      <c r="O55" s="418"/>
      <c r="P55" s="418"/>
      <c r="Q55" s="418"/>
      <c r="R55" s="418"/>
      <c r="S55" s="418"/>
      <c r="T55" s="419"/>
      <c r="U55" s="419"/>
      <c r="V55" s="419"/>
      <c r="W55" s="419"/>
      <c r="X55" s="419"/>
      <c r="Y55" s="419"/>
      <c r="Z55" s="419"/>
      <c r="AA55" s="419"/>
      <c r="AB55" s="419"/>
      <c r="AC55" s="419"/>
      <c r="AD55" s="419"/>
      <c r="AE55" s="419"/>
      <c r="AF55" s="419"/>
      <c r="AG55" s="429"/>
    </row>
    <row r="56" hidden="1" outlineLevel="1">
      <c r="A56" s="216" t="s">
        <v>867</v>
      </c>
      <c r="B56" s="343"/>
      <c r="C56" s="343"/>
      <c r="D56" s="343"/>
      <c r="E56" s="343"/>
      <c r="F56" s="343"/>
      <c r="G56" s="343"/>
      <c r="H56" s="343"/>
      <c r="I56" s="343"/>
      <c r="J56" s="343"/>
      <c r="K56" s="343"/>
      <c r="L56" s="343"/>
      <c r="M56" s="343"/>
      <c r="N56" s="343"/>
      <c r="O56" s="343"/>
      <c r="P56" s="343"/>
      <c r="Q56" s="343"/>
      <c r="R56" s="343"/>
      <c r="S56" s="343"/>
      <c r="T56" s="343"/>
      <c r="U56" s="343"/>
      <c r="V56" s="343"/>
      <c r="W56" s="343"/>
      <c r="X56" s="343"/>
      <c r="Y56" s="343"/>
      <c r="Z56" s="343"/>
      <c r="AA56" s="343"/>
      <c r="AB56" s="343"/>
      <c r="AC56" s="343"/>
      <c r="AD56" s="343"/>
      <c r="AE56" s="343"/>
      <c r="AF56" s="343"/>
      <c r="AG56" s="143">
        <f t="shared" ref="AG56:AG61" si="15">SUM(B56:AF56)</f>
        <v>0</v>
      </c>
    </row>
    <row r="57" hidden="1" outlineLevel="1">
      <c r="A57" s="216" t="s">
        <v>868</v>
      </c>
      <c r="B57" s="343"/>
      <c r="C57" s="343"/>
      <c r="D57" s="343"/>
      <c r="E57" s="343"/>
      <c r="F57" s="343"/>
      <c r="G57" s="343"/>
      <c r="H57" s="343"/>
      <c r="I57" s="343"/>
      <c r="J57" s="343"/>
      <c r="K57" s="343"/>
      <c r="L57" s="343"/>
      <c r="M57" s="343"/>
      <c r="N57" s="343"/>
      <c r="O57" s="343"/>
      <c r="P57" s="343"/>
      <c r="Q57" s="343"/>
      <c r="R57" s="343"/>
      <c r="S57" s="343"/>
      <c r="T57" s="343"/>
      <c r="U57" s="343"/>
      <c r="V57" s="343"/>
      <c r="W57" s="343"/>
      <c r="X57" s="343"/>
      <c r="Y57" s="343"/>
      <c r="Z57" s="343"/>
      <c r="AA57" s="343"/>
      <c r="AB57" s="343"/>
      <c r="AC57" s="343"/>
      <c r="AD57" s="343"/>
      <c r="AE57" s="343"/>
      <c r="AF57" s="343"/>
      <c r="AG57" s="143">
        <f t="shared" si="15"/>
        <v>0</v>
      </c>
    </row>
    <row r="58" hidden="1" outlineLevel="1">
      <c r="A58" s="216" t="s">
        <v>869</v>
      </c>
      <c r="B58" s="343"/>
      <c r="C58" s="343"/>
      <c r="D58" s="343"/>
      <c r="E58" s="343"/>
      <c r="F58" s="343"/>
      <c r="G58" s="343"/>
      <c r="H58" s="343"/>
      <c r="I58" s="343"/>
      <c r="J58" s="343"/>
      <c r="K58" s="343"/>
      <c r="L58" s="343"/>
      <c r="M58" s="343"/>
      <c r="N58" s="343"/>
      <c r="O58" s="343"/>
      <c r="P58" s="343"/>
      <c r="Q58" s="343"/>
      <c r="R58" s="343"/>
      <c r="S58" s="343"/>
      <c r="T58" s="343"/>
      <c r="U58" s="343"/>
      <c r="V58" s="343"/>
      <c r="W58" s="343"/>
      <c r="X58" s="343"/>
      <c r="Y58" s="343"/>
      <c r="Z58" s="343"/>
      <c r="AA58" s="343"/>
      <c r="AB58" s="343"/>
      <c r="AC58" s="343"/>
      <c r="AD58" s="343"/>
      <c r="AE58" s="343"/>
      <c r="AF58" s="343"/>
      <c r="AG58" s="143">
        <f t="shared" si="15"/>
        <v>0</v>
      </c>
    </row>
    <row r="59" hidden="1" outlineLevel="1">
      <c r="A59" s="216" t="s">
        <v>870</v>
      </c>
      <c r="B59" s="343"/>
      <c r="C59" s="343"/>
      <c r="D59" s="343"/>
      <c r="E59" s="343"/>
      <c r="F59" s="343"/>
      <c r="G59" s="343"/>
      <c r="H59" s="343"/>
      <c r="I59" s="343"/>
      <c r="J59" s="343"/>
      <c r="K59" s="343"/>
      <c r="L59" s="343"/>
      <c r="M59" s="343"/>
      <c r="N59" s="343"/>
      <c r="O59" s="343"/>
      <c r="P59" s="343"/>
      <c r="Q59" s="343"/>
      <c r="R59" s="343"/>
      <c r="S59" s="343"/>
      <c r="T59" s="343"/>
      <c r="U59" s="343"/>
      <c r="V59" s="343"/>
      <c r="W59" s="343"/>
      <c r="X59" s="343"/>
      <c r="Y59" s="343"/>
      <c r="Z59" s="343"/>
      <c r="AA59" s="343"/>
      <c r="AB59" s="343"/>
      <c r="AC59" s="343"/>
      <c r="AD59" s="343"/>
      <c r="AE59" s="343"/>
      <c r="AF59" s="343"/>
      <c r="AG59" s="143">
        <f t="shared" si="15"/>
        <v>0</v>
      </c>
    </row>
    <row r="60" hidden="1" outlineLevel="1">
      <c r="A60" s="218" t="s">
        <v>194</v>
      </c>
      <c r="B60" s="370">
        <f t="shared" ref="B60:AF60" si="16">SUM(B56:B57)</f>
        <v>0</v>
      </c>
      <c r="C60" s="370">
        <f t="shared" si="16"/>
        <v>0</v>
      </c>
      <c r="D60" s="370">
        <f t="shared" si="16"/>
        <v>0</v>
      </c>
      <c r="E60" s="370">
        <f t="shared" si="16"/>
        <v>0</v>
      </c>
      <c r="F60" s="370">
        <f t="shared" si="16"/>
        <v>0</v>
      </c>
      <c r="G60" s="370">
        <f t="shared" si="16"/>
        <v>0</v>
      </c>
      <c r="H60" s="370">
        <f t="shared" si="16"/>
        <v>0</v>
      </c>
      <c r="I60" s="370">
        <f t="shared" si="16"/>
        <v>0</v>
      </c>
      <c r="J60" s="370">
        <f t="shared" si="16"/>
        <v>0</v>
      </c>
      <c r="K60" s="370">
        <f t="shared" si="16"/>
        <v>0</v>
      </c>
      <c r="L60" s="370">
        <f t="shared" si="16"/>
        <v>0</v>
      </c>
      <c r="M60" s="370">
        <f t="shared" si="16"/>
        <v>0</v>
      </c>
      <c r="N60" s="370">
        <f t="shared" si="16"/>
        <v>0</v>
      </c>
      <c r="O60" s="370">
        <f t="shared" si="16"/>
        <v>0</v>
      </c>
      <c r="P60" s="370">
        <f t="shared" si="16"/>
        <v>0</v>
      </c>
      <c r="Q60" s="370">
        <f t="shared" si="16"/>
        <v>0</v>
      </c>
      <c r="R60" s="370">
        <f t="shared" si="16"/>
        <v>0</v>
      </c>
      <c r="S60" s="370">
        <f t="shared" si="16"/>
        <v>0</v>
      </c>
      <c r="T60" s="370">
        <f t="shared" si="16"/>
        <v>0</v>
      </c>
      <c r="U60" s="370">
        <f t="shared" si="16"/>
        <v>0</v>
      </c>
      <c r="V60" s="370">
        <f t="shared" si="16"/>
        <v>0</v>
      </c>
      <c r="W60" s="370">
        <f t="shared" si="16"/>
        <v>0</v>
      </c>
      <c r="X60" s="370">
        <f t="shared" si="16"/>
        <v>0</v>
      </c>
      <c r="Y60" s="370">
        <f t="shared" si="16"/>
        <v>0</v>
      </c>
      <c r="Z60" s="370">
        <f t="shared" si="16"/>
        <v>0</v>
      </c>
      <c r="AA60" s="370">
        <f t="shared" si="16"/>
        <v>0</v>
      </c>
      <c r="AB60" s="370">
        <f t="shared" si="16"/>
        <v>0</v>
      </c>
      <c r="AC60" s="370">
        <f t="shared" si="16"/>
        <v>0</v>
      </c>
      <c r="AD60" s="370">
        <f t="shared" si="16"/>
        <v>0</v>
      </c>
      <c r="AE60" s="370">
        <f t="shared" si="16"/>
        <v>0</v>
      </c>
      <c r="AF60" s="370">
        <f t="shared" si="16"/>
        <v>0</v>
      </c>
      <c r="AG60" s="143">
        <f t="shared" si="15"/>
        <v>0</v>
      </c>
    </row>
    <row r="61" hidden="1" outlineLevel="1">
      <c r="A61" s="218" t="s">
        <v>195</v>
      </c>
      <c r="B61" s="370">
        <f t="shared" ref="B61:AF61" si="17">SUM(B58:B59)</f>
        <v>0</v>
      </c>
      <c r="C61" s="370">
        <f t="shared" si="17"/>
        <v>0</v>
      </c>
      <c r="D61" s="370">
        <f t="shared" si="17"/>
        <v>0</v>
      </c>
      <c r="E61" s="370">
        <f t="shared" si="17"/>
        <v>0</v>
      </c>
      <c r="F61" s="370">
        <f t="shared" si="17"/>
        <v>0</v>
      </c>
      <c r="G61" s="370">
        <f t="shared" si="17"/>
        <v>0</v>
      </c>
      <c r="H61" s="370">
        <f t="shared" si="17"/>
        <v>0</v>
      </c>
      <c r="I61" s="370">
        <f t="shared" si="17"/>
        <v>0</v>
      </c>
      <c r="J61" s="370">
        <f t="shared" si="17"/>
        <v>0</v>
      </c>
      <c r="K61" s="370">
        <f t="shared" si="17"/>
        <v>0</v>
      </c>
      <c r="L61" s="370">
        <f t="shared" si="17"/>
        <v>0</v>
      </c>
      <c r="M61" s="370">
        <f t="shared" si="17"/>
        <v>0</v>
      </c>
      <c r="N61" s="370">
        <f t="shared" si="17"/>
        <v>0</v>
      </c>
      <c r="O61" s="370">
        <f t="shared" si="17"/>
        <v>0</v>
      </c>
      <c r="P61" s="370">
        <f t="shared" si="17"/>
        <v>0</v>
      </c>
      <c r="Q61" s="370">
        <f t="shared" si="17"/>
        <v>0</v>
      </c>
      <c r="R61" s="370">
        <f t="shared" si="17"/>
        <v>0</v>
      </c>
      <c r="S61" s="370">
        <f t="shared" si="17"/>
        <v>0</v>
      </c>
      <c r="T61" s="370">
        <f t="shared" si="17"/>
        <v>0</v>
      </c>
      <c r="U61" s="370">
        <f t="shared" si="17"/>
        <v>0</v>
      </c>
      <c r="V61" s="370">
        <f t="shared" si="17"/>
        <v>0</v>
      </c>
      <c r="W61" s="370">
        <f t="shared" si="17"/>
        <v>0</v>
      </c>
      <c r="X61" s="370">
        <f t="shared" si="17"/>
        <v>0</v>
      </c>
      <c r="Y61" s="370">
        <f t="shared" si="17"/>
        <v>0</v>
      </c>
      <c r="Z61" s="370">
        <f t="shared" si="17"/>
        <v>0</v>
      </c>
      <c r="AA61" s="370">
        <f t="shared" si="17"/>
        <v>0</v>
      </c>
      <c r="AB61" s="370">
        <f t="shared" si="17"/>
        <v>0</v>
      </c>
      <c r="AC61" s="370">
        <f t="shared" si="17"/>
        <v>0</v>
      </c>
      <c r="AD61" s="370">
        <f t="shared" si="17"/>
        <v>0</v>
      </c>
      <c r="AE61" s="370">
        <f t="shared" si="17"/>
        <v>0</v>
      </c>
      <c r="AF61" s="370">
        <f t="shared" si="17"/>
        <v>0</v>
      </c>
      <c r="AG61" s="143">
        <f t="shared" si="15"/>
        <v>0</v>
      </c>
    </row>
    <row r="62" hidden="1" outlineLevel="1">
      <c r="A62" s="98"/>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209"/>
    </row>
    <row r="63" hidden="1" outlineLevel="1">
      <c r="A63" s="216" t="s">
        <v>197</v>
      </c>
      <c r="B63" s="343"/>
      <c r="C63" s="343"/>
      <c r="D63" s="343"/>
      <c r="E63" s="343"/>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3"/>
      <c r="AD63" s="343"/>
      <c r="AE63" s="343"/>
      <c r="AF63" s="343"/>
      <c r="AG63" s="143">
        <f t="shared" ref="AG63:AG71" si="18">SUM(B63:AF63)</f>
        <v>0</v>
      </c>
    </row>
    <row r="64" hidden="1" outlineLevel="1">
      <c r="A64" s="216" t="s">
        <v>198</v>
      </c>
      <c r="B64" s="343"/>
      <c r="C64" s="343"/>
      <c r="D64" s="343"/>
      <c r="E64" s="343"/>
      <c r="F64" s="343"/>
      <c r="G64" s="343"/>
      <c r="H64" s="343"/>
      <c r="I64" s="343"/>
      <c r="J64" s="343"/>
      <c r="K64" s="343"/>
      <c r="L64" s="343"/>
      <c r="M64" s="343"/>
      <c r="N64" s="343"/>
      <c r="O64" s="343"/>
      <c r="P64" s="343"/>
      <c r="Q64" s="343"/>
      <c r="R64" s="343"/>
      <c r="S64" s="343"/>
      <c r="T64" s="343"/>
      <c r="U64" s="343"/>
      <c r="V64" s="343"/>
      <c r="W64" s="343"/>
      <c r="X64" s="343"/>
      <c r="Y64" s="343"/>
      <c r="Z64" s="343"/>
      <c r="AA64" s="343"/>
      <c r="AB64" s="343"/>
      <c r="AC64" s="343"/>
      <c r="AD64" s="343"/>
      <c r="AE64" s="343"/>
      <c r="AF64" s="343"/>
      <c r="AG64" s="143">
        <f t="shared" si="18"/>
        <v>0</v>
      </c>
    </row>
    <row r="65" hidden="1" outlineLevel="1">
      <c r="A65" s="216" t="s">
        <v>871</v>
      </c>
      <c r="B65" s="343"/>
      <c r="C65" s="343"/>
      <c r="D65" s="343"/>
      <c r="E65" s="343"/>
      <c r="F65" s="343"/>
      <c r="G65" s="343"/>
      <c r="H65" s="343"/>
      <c r="I65" s="343"/>
      <c r="J65" s="343"/>
      <c r="K65" s="343"/>
      <c r="L65" s="343"/>
      <c r="M65" s="343"/>
      <c r="N65" s="343"/>
      <c r="O65" s="343"/>
      <c r="P65" s="343"/>
      <c r="Q65" s="343"/>
      <c r="R65" s="343"/>
      <c r="S65" s="343"/>
      <c r="T65" s="343"/>
      <c r="U65" s="343"/>
      <c r="V65" s="343"/>
      <c r="W65" s="343"/>
      <c r="X65" s="343"/>
      <c r="Y65" s="343"/>
      <c r="Z65" s="343"/>
      <c r="AA65" s="343"/>
      <c r="AB65" s="343"/>
      <c r="AC65" s="343"/>
      <c r="AD65" s="343"/>
      <c r="AE65" s="343"/>
      <c r="AF65" s="343"/>
      <c r="AG65" s="143">
        <f t="shared" si="18"/>
        <v>0</v>
      </c>
    </row>
    <row r="66" hidden="1" outlineLevel="1">
      <c r="A66" s="216" t="s">
        <v>872</v>
      </c>
      <c r="B66" s="343"/>
      <c r="C66" s="343"/>
      <c r="D66" s="343"/>
      <c r="E66" s="343"/>
      <c r="F66" s="343"/>
      <c r="G66" s="343"/>
      <c r="H66" s="343"/>
      <c r="I66" s="343"/>
      <c r="J66" s="343"/>
      <c r="K66" s="343"/>
      <c r="L66" s="343"/>
      <c r="M66" s="343"/>
      <c r="N66" s="343"/>
      <c r="O66" s="343"/>
      <c r="P66" s="343"/>
      <c r="Q66" s="343"/>
      <c r="R66" s="343"/>
      <c r="S66" s="343"/>
      <c r="T66" s="343"/>
      <c r="U66" s="343"/>
      <c r="V66" s="343"/>
      <c r="W66" s="343"/>
      <c r="X66" s="343"/>
      <c r="Y66" s="343"/>
      <c r="Z66" s="343"/>
      <c r="AA66" s="343"/>
      <c r="AB66" s="343"/>
      <c r="AC66" s="343"/>
      <c r="AD66" s="343"/>
      <c r="AE66" s="343"/>
      <c r="AF66" s="343"/>
      <c r="AG66" s="143">
        <f t="shared" si="18"/>
        <v>0</v>
      </c>
    </row>
    <row r="67" hidden="1" outlineLevel="1">
      <c r="A67" s="216" t="s">
        <v>873</v>
      </c>
      <c r="B67" s="343"/>
      <c r="C67" s="343"/>
      <c r="D67" s="343"/>
      <c r="E67" s="343"/>
      <c r="F67" s="343"/>
      <c r="G67" s="343"/>
      <c r="H67" s="343"/>
      <c r="I67" s="343"/>
      <c r="J67" s="343"/>
      <c r="K67" s="343"/>
      <c r="L67" s="343"/>
      <c r="M67" s="343"/>
      <c r="N67" s="343"/>
      <c r="O67" s="343"/>
      <c r="P67" s="343"/>
      <c r="Q67" s="343"/>
      <c r="R67" s="343"/>
      <c r="S67" s="343"/>
      <c r="T67" s="343"/>
      <c r="U67" s="343"/>
      <c r="V67" s="343"/>
      <c r="W67" s="343"/>
      <c r="X67" s="343"/>
      <c r="Y67" s="343"/>
      <c r="Z67" s="343"/>
      <c r="AA67" s="343"/>
      <c r="AB67" s="343"/>
      <c r="AC67" s="343"/>
      <c r="AD67" s="343"/>
      <c r="AE67" s="343"/>
      <c r="AF67" s="343"/>
      <c r="AG67" s="143">
        <f t="shared" si="18"/>
        <v>0</v>
      </c>
    </row>
    <row r="68" hidden="1" outlineLevel="1">
      <c r="A68" s="216" t="s">
        <v>874</v>
      </c>
      <c r="B68" s="343"/>
      <c r="C68" s="343"/>
      <c r="D68" s="343"/>
      <c r="E68" s="343"/>
      <c r="F68" s="343"/>
      <c r="G68" s="343"/>
      <c r="H68" s="343"/>
      <c r="I68" s="343"/>
      <c r="J68" s="343"/>
      <c r="K68" s="343"/>
      <c r="L68" s="343"/>
      <c r="M68" s="343"/>
      <c r="N68" s="343"/>
      <c r="O68" s="343"/>
      <c r="P68" s="343"/>
      <c r="Q68" s="343"/>
      <c r="R68" s="343"/>
      <c r="S68" s="343"/>
      <c r="T68" s="343"/>
      <c r="U68" s="343"/>
      <c r="V68" s="343"/>
      <c r="W68" s="343"/>
      <c r="X68" s="343"/>
      <c r="Y68" s="343"/>
      <c r="Z68" s="343"/>
      <c r="AA68" s="343"/>
      <c r="AB68" s="343"/>
      <c r="AC68" s="343"/>
      <c r="AD68" s="343"/>
      <c r="AE68" s="343"/>
      <c r="AF68" s="343"/>
      <c r="AG68" s="143">
        <f t="shared" si="18"/>
        <v>0</v>
      </c>
    </row>
    <row r="69" hidden="1" outlineLevel="1">
      <c r="A69" s="216" t="s">
        <v>875</v>
      </c>
      <c r="B69" s="343"/>
      <c r="C69" s="343"/>
      <c r="D69" s="343"/>
      <c r="E69" s="343"/>
      <c r="F69" s="343"/>
      <c r="G69" s="343"/>
      <c r="H69" s="343"/>
      <c r="I69" s="343"/>
      <c r="J69" s="343"/>
      <c r="K69" s="343"/>
      <c r="L69" s="343"/>
      <c r="M69" s="343"/>
      <c r="N69" s="343"/>
      <c r="O69" s="343"/>
      <c r="P69" s="343"/>
      <c r="Q69" s="343"/>
      <c r="R69" s="343"/>
      <c r="S69" s="343"/>
      <c r="T69" s="343"/>
      <c r="U69" s="343"/>
      <c r="V69" s="343"/>
      <c r="W69" s="343"/>
      <c r="X69" s="343"/>
      <c r="Y69" s="343"/>
      <c r="Z69" s="343"/>
      <c r="AA69" s="343"/>
      <c r="AB69" s="343"/>
      <c r="AC69" s="343"/>
      <c r="AD69" s="343"/>
      <c r="AE69" s="343"/>
      <c r="AF69" s="343"/>
      <c r="AG69" s="143">
        <f t="shared" si="18"/>
        <v>0</v>
      </c>
    </row>
    <row r="70" hidden="1" outlineLevel="1">
      <c r="A70" s="216" t="s">
        <v>876</v>
      </c>
      <c r="B70" s="343"/>
      <c r="C70" s="343"/>
      <c r="D70" s="343"/>
      <c r="E70" s="343"/>
      <c r="F70" s="343"/>
      <c r="G70" s="343"/>
      <c r="H70" s="343"/>
      <c r="I70" s="343"/>
      <c r="J70" s="343"/>
      <c r="K70" s="343"/>
      <c r="L70" s="343"/>
      <c r="M70" s="343"/>
      <c r="N70" s="343"/>
      <c r="O70" s="343"/>
      <c r="P70" s="343"/>
      <c r="Q70" s="343"/>
      <c r="R70" s="343"/>
      <c r="S70" s="343"/>
      <c r="T70" s="343"/>
      <c r="U70" s="343"/>
      <c r="V70" s="343"/>
      <c r="W70" s="343"/>
      <c r="X70" s="343"/>
      <c r="Y70" s="343"/>
      <c r="Z70" s="343"/>
      <c r="AA70" s="343"/>
      <c r="AB70" s="343"/>
      <c r="AC70" s="343"/>
      <c r="AD70" s="343"/>
      <c r="AE70" s="343"/>
      <c r="AF70" s="343"/>
      <c r="AG70" s="143">
        <f t="shared" si="18"/>
        <v>0</v>
      </c>
    </row>
    <row r="71" hidden="1" outlineLevel="1">
      <c r="A71" s="220" t="s">
        <v>130</v>
      </c>
      <c r="B71" s="370">
        <f t="shared" ref="B71:AF71" si="19">SUM(B63:B70)</f>
        <v>0</v>
      </c>
      <c r="C71" s="370">
        <f t="shared" si="19"/>
        <v>0</v>
      </c>
      <c r="D71" s="370">
        <f t="shared" si="19"/>
        <v>0</v>
      </c>
      <c r="E71" s="370">
        <f t="shared" si="19"/>
        <v>0</v>
      </c>
      <c r="F71" s="370">
        <f t="shared" si="19"/>
        <v>0</v>
      </c>
      <c r="G71" s="370">
        <f t="shared" si="19"/>
        <v>0</v>
      </c>
      <c r="H71" s="370">
        <f t="shared" si="19"/>
        <v>0</v>
      </c>
      <c r="I71" s="370">
        <f t="shared" si="19"/>
        <v>0</v>
      </c>
      <c r="J71" s="370">
        <f t="shared" si="19"/>
        <v>0</v>
      </c>
      <c r="K71" s="370">
        <f t="shared" si="19"/>
        <v>0</v>
      </c>
      <c r="L71" s="370">
        <f t="shared" si="19"/>
        <v>0</v>
      </c>
      <c r="M71" s="370">
        <f t="shared" si="19"/>
        <v>0</v>
      </c>
      <c r="N71" s="370">
        <f t="shared" si="19"/>
        <v>0</v>
      </c>
      <c r="O71" s="370">
        <f t="shared" si="19"/>
        <v>0</v>
      </c>
      <c r="P71" s="370">
        <f t="shared" si="19"/>
        <v>0</v>
      </c>
      <c r="Q71" s="370">
        <f t="shared" si="19"/>
        <v>0</v>
      </c>
      <c r="R71" s="370">
        <f t="shared" si="19"/>
        <v>0</v>
      </c>
      <c r="S71" s="370">
        <f t="shared" si="19"/>
        <v>0</v>
      </c>
      <c r="T71" s="370">
        <f t="shared" si="19"/>
        <v>0</v>
      </c>
      <c r="U71" s="370">
        <f t="shared" si="19"/>
        <v>0</v>
      </c>
      <c r="V71" s="370">
        <f t="shared" si="19"/>
        <v>0</v>
      </c>
      <c r="W71" s="370">
        <f t="shared" si="19"/>
        <v>0</v>
      </c>
      <c r="X71" s="370">
        <f t="shared" si="19"/>
        <v>0</v>
      </c>
      <c r="Y71" s="370">
        <f t="shared" si="19"/>
        <v>0</v>
      </c>
      <c r="Z71" s="370">
        <f t="shared" si="19"/>
        <v>0</v>
      </c>
      <c r="AA71" s="370">
        <f t="shared" si="19"/>
        <v>0</v>
      </c>
      <c r="AB71" s="370">
        <f t="shared" si="19"/>
        <v>0</v>
      </c>
      <c r="AC71" s="370">
        <f t="shared" si="19"/>
        <v>0</v>
      </c>
      <c r="AD71" s="370">
        <f t="shared" si="19"/>
        <v>0</v>
      </c>
      <c r="AE71" s="370">
        <f t="shared" si="19"/>
        <v>0</v>
      </c>
      <c r="AF71" s="370">
        <f t="shared" si="19"/>
        <v>0</v>
      </c>
      <c r="AG71" s="143">
        <f t="shared" si="18"/>
        <v>0</v>
      </c>
    </row>
    <row r="72" hidden="1" outlineLevel="1">
      <c r="A72" s="177"/>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c r="AA72" s="187"/>
      <c r="AB72" s="187"/>
      <c r="AC72" s="187"/>
      <c r="AD72" s="187"/>
      <c r="AE72" s="187"/>
      <c r="AF72" s="187"/>
      <c r="AG72" s="114"/>
    </row>
    <row r="73" hidden="1" outlineLevel="1">
      <c r="A73" s="147" t="s">
        <v>877</v>
      </c>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c r="AB73" s="187"/>
      <c r="AC73" s="187"/>
      <c r="AD73" s="187"/>
      <c r="AE73" s="187"/>
      <c r="AF73" s="187"/>
      <c r="AG73" s="209"/>
    </row>
    <row r="74" hidden="1" outlineLevel="1">
      <c r="A74" s="216" t="s">
        <v>582</v>
      </c>
      <c r="B74" s="200"/>
      <c r="C74" s="200"/>
      <c r="D74" s="200"/>
      <c r="E74" s="228"/>
      <c r="F74" s="228"/>
      <c r="G74" s="228"/>
      <c r="H74" s="228"/>
      <c r="I74" s="228"/>
      <c r="J74" s="228"/>
      <c r="K74" s="228"/>
      <c r="L74" s="200"/>
      <c r="M74" s="228"/>
      <c r="N74" s="228"/>
      <c r="O74" s="228"/>
      <c r="P74" s="228"/>
      <c r="Q74" s="228"/>
      <c r="R74" s="228"/>
      <c r="S74" s="228"/>
      <c r="T74" s="228"/>
      <c r="U74" s="228"/>
      <c r="V74" s="228"/>
      <c r="W74" s="228"/>
      <c r="X74" s="200"/>
      <c r="Y74" s="228"/>
      <c r="Z74" s="228"/>
      <c r="AA74" s="228"/>
      <c r="AB74" s="228"/>
      <c r="AC74" s="228"/>
      <c r="AD74" s="200"/>
      <c r="AE74" s="228"/>
      <c r="AF74" s="228"/>
      <c r="AG74" s="114">
        <f t="shared" ref="AG74:AG77" si="20">SUM(B74:AF74)</f>
        <v>0</v>
      </c>
    </row>
    <row r="75" hidden="1" outlineLevel="1">
      <c r="A75" s="216" t="s">
        <v>437</v>
      </c>
      <c r="B75" s="96"/>
      <c r="C75" s="96"/>
      <c r="D75" s="96"/>
      <c r="E75" s="96"/>
      <c r="F75" s="96"/>
      <c r="G75" s="353"/>
      <c r="H75" s="353"/>
      <c r="I75" s="353"/>
      <c r="J75" s="353"/>
      <c r="K75" s="96"/>
      <c r="L75" s="353"/>
      <c r="M75" s="353"/>
      <c r="N75" s="353"/>
      <c r="O75" s="353"/>
      <c r="P75" s="353"/>
      <c r="Q75" s="353"/>
      <c r="R75" s="353"/>
      <c r="S75" s="353"/>
      <c r="T75" s="353"/>
      <c r="U75" s="353"/>
      <c r="V75" s="353"/>
      <c r="W75" s="353"/>
      <c r="X75" s="353"/>
      <c r="Y75" s="353"/>
      <c r="Z75" s="353"/>
      <c r="AA75" s="353"/>
      <c r="AB75" s="353"/>
      <c r="AC75" s="353"/>
      <c r="AD75" s="353"/>
      <c r="AE75" s="353"/>
      <c r="AF75" s="353"/>
      <c r="AG75" s="114">
        <f t="shared" si="20"/>
        <v>0</v>
      </c>
    </row>
    <row r="76" hidden="1" outlineLevel="1">
      <c r="A76" s="216" t="s">
        <v>583</v>
      </c>
      <c r="B76" s="96"/>
      <c r="C76" s="96"/>
      <c r="D76" s="96"/>
      <c r="E76" s="96"/>
      <c r="F76" s="96"/>
      <c r="G76" s="353"/>
      <c r="H76" s="353"/>
      <c r="I76" s="353"/>
      <c r="J76" s="353"/>
      <c r="K76" s="96"/>
      <c r="L76" s="353"/>
      <c r="M76" s="353"/>
      <c r="N76" s="353"/>
      <c r="O76" s="353"/>
      <c r="P76" s="353"/>
      <c r="Q76" s="353"/>
      <c r="R76" s="353"/>
      <c r="S76" s="353"/>
      <c r="T76" s="353"/>
      <c r="U76" s="353"/>
      <c r="V76" s="353"/>
      <c r="W76" s="353"/>
      <c r="X76" s="353"/>
      <c r="Y76" s="353"/>
      <c r="Z76" s="353"/>
      <c r="AA76" s="353"/>
      <c r="AB76" s="353"/>
      <c r="AC76" s="353"/>
      <c r="AD76" s="353"/>
      <c r="AE76" s="353"/>
      <c r="AF76" s="353"/>
      <c r="AG76" s="114">
        <f t="shared" si="20"/>
        <v>0</v>
      </c>
    </row>
    <row r="77" hidden="1" outlineLevel="1">
      <c r="A77" s="434" t="s">
        <v>584</v>
      </c>
      <c r="B77" s="435">
        <f t="shared" ref="B77:AF77" si="21">sum(B74:B76)</f>
        <v>0</v>
      </c>
      <c r="C77" s="435">
        <f t="shared" si="21"/>
        <v>0</v>
      </c>
      <c r="D77" s="435">
        <f t="shared" si="21"/>
        <v>0</v>
      </c>
      <c r="E77" s="435">
        <f t="shared" si="21"/>
        <v>0</v>
      </c>
      <c r="F77" s="435">
        <f t="shared" si="21"/>
        <v>0</v>
      </c>
      <c r="G77" s="435">
        <f t="shared" si="21"/>
        <v>0</v>
      </c>
      <c r="H77" s="435">
        <f t="shared" si="21"/>
        <v>0</v>
      </c>
      <c r="I77" s="435">
        <f t="shared" si="21"/>
        <v>0</v>
      </c>
      <c r="J77" s="435">
        <f t="shared" si="21"/>
        <v>0</v>
      </c>
      <c r="K77" s="435">
        <f t="shared" si="21"/>
        <v>0</v>
      </c>
      <c r="L77" s="435">
        <f t="shared" si="21"/>
        <v>0</v>
      </c>
      <c r="M77" s="435">
        <f t="shared" si="21"/>
        <v>0</v>
      </c>
      <c r="N77" s="435">
        <f t="shared" si="21"/>
        <v>0</v>
      </c>
      <c r="O77" s="435">
        <f t="shared" si="21"/>
        <v>0</v>
      </c>
      <c r="P77" s="435">
        <f t="shared" si="21"/>
        <v>0</v>
      </c>
      <c r="Q77" s="435">
        <f t="shared" si="21"/>
        <v>0</v>
      </c>
      <c r="R77" s="435">
        <f t="shared" si="21"/>
        <v>0</v>
      </c>
      <c r="S77" s="435">
        <f t="shared" si="21"/>
        <v>0</v>
      </c>
      <c r="T77" s="435">
        <f t="shared" si="21"/>
        <v>0</v>
      </c>
      <c r="U77" s="435">
        <f t="shared" si="21"/>
        <v>0</v>
      </c>
      <c r="V77" s="435">
        <f t="shared" si="21"/>
        <v>0</v>
      </c>
      <c r="W77" s="435">
        <f t="shared" si="21"/>
        <v>0</v>
      </c>
      <c r="X77" s="435">
        <f t="shared" si="21"/>
        <v>0</v>
      </c>
      <c r="Y77" s="435">
        <f t="shared" si="21"/>
        <v>0</v>
      </c>
      <c r="Z77" s="435">
        <f t="shared" si="21"/>
        <v>0</v>
      </c>
      <c r="AA77" s="435">
        <f t="shared" si="21"/>
        <v>0</v>
      </c>
      <c r="AB77" s="435">
        <f t="shared" si="21"/>
        <v>0</v>
      </c>
      <c r="AC77" s="435">
        <f t="shared" si="21"/>
        <v>0</v>
      </c>
      <c r="AD77" s="435">
        <f t="shared" si="21"/>
        <v>0</v>
      </c>
      <c r="AE77" s="435">
        <f t="shared" si="21"/>
        <v>0</v>
      </c>
      <c r="AF77" s="435">
        <f t="shared" si="21"/>
        <v>0</v>
      </c>
      <c r="AG77" s="124">
        <f t="shared" si="20"/>
        <v>0</v>
      </c>
    </row>
    <row r="78">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143"/>
    </row>
    <row r="7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143"/>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143"/>
    </row>
    <row r="81" ht="30.75" customHeight="1">
      <c r="A81" s="401" t="s">
        <v>878</v>
      </c>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c r="AA81" s="156"/>
      <c r="AB81" s="156"/>
      <c r="AC81" s="156"/>
      <c r="AD81" s="156"/>
      <c r="AE81" s="156"/>
      <c r="AF81" s="156"/>
      <c r="AG81" s="143"/>
    </row>
    <row r="82" collapsed="1">
      <c r="A82" s="141" t="s">
        <v>87</v>
      </c>
      <c r="B82" s="142">
        <f>Summary!B36</f>
        <v>254.736</v>
      </c>
      <c r="C82" s="142">
        <f>Summary!C36</f>
        <v>0</v>
      </c>
      <c r="D82" s="142">
        <f>Summary!D36</f>
        <v>241.9992</v>
      </c>
      <c r="E82" s="142">
        <f>Summary!E36</f>
        <v>254.736</v>
      </c>
      <c r="F82" s="142">
        <f>Summary!F36</f>
        <v>764.208</v>
      </c>
      <c r="G82" s="142">
        <f>Summary!G36</f>
        <v>254.736</v>
      </c>
      <c r="H82" s="142">
        <f>Summary!H36</f>
        <v>254.736</v>
      </c>
      <c r="I82" s="142">
        <f>Summary!I36</f>
        <v>748.287</v>
      </c>
      <c r="J82" s="142">
        <f>Summary!J36</f>
        <v>0</v>
      </c>
      <c r="K82" s="142">
        <f>Summary!K36</f>
        <v>725.9976</v>
      </c>
      <c r="L82" s="142">
        <f>Summary!L36</f>
        <v>1006.2072</v>
      </c>
      <c r="M82" s="142">
        <f>Summary!M36</f>
        <v>948.8916</v>
      </c>
      <c r="N82" s="142">
        <f>Summary!N36</f>
        <v>254.736</v>
      </c>
      <c r="O82" s="142">
        <f>Summary!O36</f>
        <v>254.736</v>
      </c>
      <c r="P82" s="142">
        <f>Summary!P36</f>
        <v>473.3844</v>
      </c>
      <c r="Q82" s="142">
        <f>Summary!Q36</f>
        <v>254.736</v>
      </c>
      <c r="R82" s="142">
        <f>Summary!R36</f>
        <v>491.4282</v>
      </c>
      <c r="S82" s="142">
        <f>Summary!S36</f>
        <v>496.7352</v>
      </c>
      <c r="T82" s="142">
        <f>Summary!T36</f>
        <v>0</v>
      </c>
      <c r="U82" s="142">
        <f>Summary!U36</f>
        <v>964.8126</v>
      </c>
      <c r="V82" s="142">
        <f>Summary!V36</f>
        <v>267.4728</v>
      </c>
      <c r="W82" s="142">
        <f>Summary!W36</f>
        <v>764.208</v>
      </c>
      <c r="X82" s="142">
        <f>Summary!X36</f>
        <v>254.736</v>
      </c>
      <c r="Y82" s="142">
        <f>Summary!Y36</f>
        <v>12.7368</v>
      </c>
      <c r="Z82" s="142">
        <f>Summary!Z36</f>
        <v>241.9992</v>
      </c>
      <c r="AA82" s="142">
        <f>Summary!AA36</f>
        <v>1515.6792</v>
      </c>
      <c r="AB82" s="142">
        <f>Summary!AB36</f>
        <v>1271.5572</v>
      </c>
      <c r="AC82" s="142">
        <f>Summary!AC36</f>
        <v>206.973</v>
      </c>
      <c r="AD82" s="142">
        <f>Summary!AD36</f>
        <v>0</v>
      </c>
      <c r="AE82" s="142">
        <f>Summary!AE36</f>
        <v>1528.416</v>
      </c>
      <c r="AF82" s="142">
        <f>Summary!AF36</f>
        <v>0</v>
      </c>
      <c r="AG82" s="143">
        <f>sum(B82:AF82)</f>
        <v>14708.8812</v>
      </c>
    </row>
    <row r="83" hidden="1" outlineLevel="1">
      <c r="A83" s="610" t="s">
        <v>115</v>
      </c>
      <c r="B83" s="403"/>
      <c r="C83" s="403"/>
      <c r="D83" s="403"/>
      <c r="E83" s="403"/>
      <c r="F83" s="403"/>
      <c r="G83" s="403"/>
      <c r="H83" s="403"/>
      <c r="I83" s="403"/>
      <c r="J83" s="403"/>
      <c r="K83" s="403"/>
      <c r="L83" s="403"/>
      <c r="M83" s="403"/>
      <c r="N83" s="403"/>
      <c r="O83" s="403"/>
      <c r="P83" s="403"/>
      <c r="Q83" s="403"/>
      <c r="R83" s="403"/>
      <c r="S83" s="403"/>
      <c r="T83" s="403"/>
      <c r="U83" s="403"/>
      <c r="V83" s="403"/>
      <c r="W83" s="403"/>
      <c r="X83" s="403"/>
      <c r="Y83" s="403"/>
      <c r="Z83" s="403"/>
      <c r="AA83" s="403"/>
      <c r="AB83" s="403"/>
      <c r="AC83" s="403"/>
      <c r="AD83" s="403"/>
      <c r="AE83" s="403"/>
      <c r="AF83" s="403"/>
      <c r="AG83" s="143"/>
    </row>
    <row r="84" hidden="1" outlineLevel="1">
      <c r="A84" s="612" t="s">
        <v>40</v>
      </c>
      <c r="B84" s="142">
        <f>Summary!B38</f>
        <v>14.736</v>
      </c>
      <c r="C84" s="142">
        <f>Summary!C38</f>
        <v>0</v>
      </c>
      <c r="D84" s="142">
        <f>Summary!D38</f>
        <v>13.9992</v>
      </c>
      <c r="E84" s="142">
        <f>Summary!E38</f>
        <v>14.736</v>
      </c>
      <c r="F84" s="142">
        <f>Summary!F38</f>
        <v>44.208</v>
      </c>
      <c r="G84" s="142">
        <f>Summary!G38</f>
        <v>14.736</v>
      </c>
      <c r="H84" s="142">
        <f>Summary!H38</f>
        <v>14.736</v>
      </c>
      <c r="I84" s="142">
        <f>Summary!I38</f>
        <v>43.287</v>
      </c>
      <c r="J84" s="142">
        <f>Summary!J38</f>
        <v>0</v>
      </c>
      <c r="K84" s="142">
        <f>Summary!K38</f>
        <v>41.9976</v>
      </c>
      <c r="L84" s="142">
        <f>Summary!L38</f>
        <v>58.2072</v>
      </c>
      <c r="M84" s="142">
        <f>Summary!M38</f>
        <v>54.8916</v>
      </c>
      <c r="N84" s="142">
        <f>Summary!N38</f>
        <v>14.736</v>
      </c>
      <c r="O84" s="142">
        <f>Summary!O38</f>
        <v>14.736</v>
      </c>
      <c r="P84" s="142">
        <f>Summary!P38</f>
        <v>27.3844</v>
      </c>
      <c r="Q84" s="142">
        <f>Summary!Q38</f>
        <v>14.736</v>
      </c>
      <c r="R84" s="142">
        <f>Summary!R38</f>
        <v>28.4282</v>
      </c>
      <c r="S84" s="142">
        <f>Summary!S38</f>
        <v>28.7352</v>
      </c>
      <c r="T84" s="142">
        <f>Summary!T38</f>
        <v>0</v>
      </c>
      <c r="U84" s="142">
        <f>Summary!U38</f>
        <v>55.8126</v>
      </c>
      <c r="V84" s="142">
        <f>Summary!V38</f>
        <v>15.4728</v>
      </c>
      <c r="W84" s="142">
        <f>Summary!W38</f>
        <v>44.208</v>
      </c>
      <c r="X84" s="142">
        <f>Summary!X38</f>
        <v>14.736</v>
      </c>
      <c r="Y84" s="142">
        <f>Summary!Y38</f>
        <v>0.7368</v>
      </c>
      <c r="Z84" s="142">
        <f>Summary!Z38</f>
        <v>13.9992</v>
      </c>
      <c r="AA84" s="142">
        <f>Summary!AA38</f>
        <v>87.6792</v>
      </c>
      <c r="AB84" s="142">
        <f>Summary!AB38</f>
        <v>73.5572</v>
      </c>
      <c r="AC84" s="142">
        <f>Summary!AC38</f>
        <v>11.973</v>
      </c>
      <c r="AD84" s="142">
        <f>Summary!AD38</f>
        <v>0</v>
      </c>
      <c r="AE84" s="142">
        <f>Summary!AE38</f>
        <v>88.416</v>
      </c>
      <c r="AF84" s="142">
        <f>Summary!AF38</f>
        <v>0</v>
      </c>
      <c r="AG84" s="143">
        <f t="shared" ref="AG84:AG86" si="23">sum(B84:AF84)</f>
        <v>850.8812</v>
      </c>
    </row>
    <row r="85" hidden="1" outlineLevel="1">
      <c r="A85" s="612" t="s">
        <v>556</v>
      </c>
      <c r="B85" s="142" t="str">
        <f t="shared" ref="B85:AF85" si="22">#REF!</f>
        <v>#REF!</v>
      </c>
      <c r="C85" s="142" t="str">
        <f t="shared" si="22"/>
        <v>#REF!</v>
      </c>
      <c r="D85" s="142" t="str">
        <f t="shared" si="22"/>
        <v>#REF!</v>
      </c>
      <c r="E85" s="142" t="str">
        <f t="shared" si="22"/>
        <v>#REF!</v>
      </c>
      <c r="F85" s="142" t="str">
        <f t="shared" si="22"/>
        <v>#REF!</v>
      </c>
      <c r="G85" s="142" t="str">
        <f t="shared" si="22"/>
        <v>#REF!</v>
      </c>
      <c r="H85" s="142" t="str">
        <f t="shared" si="22"/>
        <v>#REF!</v>
      </c>
      <c r="I85" s="142" t="str">
        <f t="shared" si="22"/>
        <v>#REF!</v>
      </c>
      <c r="J85" s="142" t="str">
        <f t="shared" si="22"/>
        <v>#REF!</v>
      </c>
      <c r="K85" s="142" t="str">
        <f t="shared" si="22"/>
        <v>#REF!</v>
      </c>
      <c r="L85" s="142" t="str">
        <f t="shared" si="22"/>
        <v>#REF!</v>
      </c>
      <c r="M85" s="142" t="str">
        <f t="shared" si="22"/>
        <v>#REF!</v>
      </c>
      <c r="N85" s="142" t="str">
        <f t="shared" si="22"/>
        <v>#REF!</v>
      </c>
      <c r="O85" s="142" t="str">
        <f t="shared" si="22"/>
        <v>#REF!</v>
      </c>
      <c r="P85" s="142" t="str">
        <f t="shared" si="22"/>
        <v>#REF!</v>
      </c>
      <c r="Q85" s="142" t="str">
        <f t="shared" si="22"/>
        <v>#REF!</v>
      </c>
      <c r="R85" s="142" t="str">
        <f t="shared" si="22"/>
        <v>#REF!</v>
      </c>
      <c r="S85" s="142" t="str">
        <f t="shared" si="22"/>
        <v>#REF!</v>
      </c>
      <c r="T85" s="142" t="str">
        <f t="shared" si="22"/>
        <v>#REF!</v>
      </c>
      <c r="U85" s="142" t="str">
        <f t="shared" si="22"/>
        <v>#REF!</v>
      </c>
      <c r="V85" s="142" t="str">
        <f t="shared" si="22"/>
        <v>#REF!</v>
      </c>
      <c r="W85" s="142" t="str">
        <f t="shared" si="22"/>
        <v>#REF!</v>
      </c>
      <c r="X85" s="142" t="str">
        <f t="shared" si="22"/>
        <v>#REF!</v>
      </c>
      <c r="Y85" s="142" t="str">
        <f t="shared" si="22"/>
        <v>#REF!</v>
      </c>
      <c r="Z85" s="142" t="str">
        <f t="shared" si="22"/>
        <v>#REF!</v>
      </c>
      <c r="AA85" s="142" t="str">
        <f t="shared" si="22"/>
        <v>#REF!</v>
      </c>
      <c r="AB85" s="142" t="str">
        <f t="shared" si="22"/>
        <v>#REF!</v>
      </c>
      <c r="AC85" s="142" t="str">
        <f t="shared" si="22"/>
        <v>#REF!</v>
      </c>
      <c r="AD85" s="142" t="str">
        <f t="shared" si="22"/>
        <v>#REF!</v>
      </c>
      <c r="AE85" s="142" t="str">
        <f t="shared" si="22"/>
        <v>#REF!</v>
      </c>
      <c r="AF85" s="142" t="str">
        <f t="shared" si="22"/>
        <v>#REF!</v>
      </c>
      <c r="AG85" s="143" t="str">
        <f t="shared" si="23"/>
        <v>#REF!</v>
      </c>
    </row>
    <row r="86">
      <c r="A86" s="141" t="s">
        <v>94</v>
      </c>
      <c r="B86" s="166">
        <f>Summary!B64</f>
        <v>1</v>
      </c>
      <c r="C86" s="166">
        <f>Summary!C64</f>
        <v>0</v>
      </c>
      <c r="D86" s="166">
        <f>Summary!D64</f>
        <v>1</v>
      </c>
      <c r="E86" s="166">
        <f>Summary!E64</f>
        <v>1</v>
      </c>
      <c r="F86" s="166">
        <f>Summary!F64</f>
        <v>3</v>
      </c>
      <c r="G86" s="166">
        <f>Summary!G64</f>
        <v>1</v>
      </c>
      <c r="H86" s="166">
        <f>Summary!H64</f>
        <v>1</v>
      </c>
      <c r="I86" s="166">
        <f>Summary!I64</f>
        <v>3</v>
      </c>
      <c r="J86" s="166">
        <f>Summary!J64</f>
        <v>0</v>
      </c>
      <c r="K86" s="166">
        <f>Summary!K64</f>
        <v>3</v>
      </c>
      <c r="L86" s="166">
        <f>Summary!L64</f>
        <v>4</v>
      </c>
      <c r="M86" s="166">
        <f>Summary!M64</f>
        <v>4</v>
      </c>
      <c r="N86" s="166">
        <f>Summary!N64</f>
        <v>1</v>
      </c>
      <c r="O86" s="166">
        <f>Summary!O64</f>
        <v>1</v>
      </c>
      <c r="P86" s="166">
        <f>Summary!P64</f>
        <v>2</v>
      </c>
      <c r="Q86" s="166">
        <f>Summary!Q64</f>
        <v>1</v>
      </c>
      <c r="R86" s="166">
        <f>Summary!R64</f>
        <v>2</v>
      </c>
      <c r="S86" s="166">
        <f>Summary!S64</f>
        <v>2</v>
      </c>
      <c r="T86" s="166">
        <f>Summary!T64</f>
        <v>0</v>
      </c>
      <c r="U86" s="166">
        <f>Summary!U64</f>
        <v>4</v>
      </c>
      <c r="V86" s="166">
        <f>Summary!V64</f>
        <v>1</v>
      </c>
      <c r="W86" s="166">
        <f>Summary!W64</f>
        <v>3</v>
      </c>
      <c r="X86" s="166">
        <f>Summary!X64</f>
        <v>1</v>
      </c>
      <c r="Y86" s="166">
        <f>Summary!Y64</f>
        <v>0</v>
      </c>
      <c r="Z86" s="166">
        <f>Summary!Z64</f>
        <v>1</v>
      </c>
      <c r="AA86" s="166">
        <f>Summary!AA64</f>
        <v>6</v>
      </c>
      <c r="AB86" s="166">
        <f>Summary!AB64</f>
        <v>5</v>
      </c>
      <c r="AC86" s="166">
        <f>Summary!AC64</f>
        <v>1</v>
      </c>
      <c r="AD86" s="166">
        <f>Summary!AD64</f>
        <v>0</v>
      </c>
      <c r="AE86" s="166">
        <f>Summary!AE64</f>
        <v>6</v>
      </c>
      <c r="AF86" s="166">
        <f>Summary!AF64</f>
        <v>0</v>
      </c>
      <c r="AG86" s="143">
        <f t="shared" si="23"/>
        <v>59</v>
      </c>
    </row>
    <row r="87">
      <c r="A87" s="98"/>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146"/>
    </row>
    <row r="88">
      <c r="A88" s="216" t="s">
        <v>879</v>
      </c>
      <c r="B88" s="82"/>
      <c r="C88" s="82"/>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c r="AD88" s="82"/>
      <c r="AE88" s="82"/>
      <c r="AF88" s="82"/>
      <c r="AG88" s="146"/>
    </row>
    <row r="89">
      <c r="A89" s="98"/>
      <c r="B89" s="82"/>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146"/>
    </row>
    <row r="90">
      <c r="A90" s="147" t="s">
        <v>880</v>
      </c>
      <c r="B90" s="165"/>
      <c r="C90" s="82"/>
      <c r="D90" s="82"/>
      <c r="E90" s="82"/>
      <c r="F90" s="82"/>
      <c r="G90" s="82"/>
      <c r="H90" s="82"/>
      <c r="I90" s="616"/>
      <c r="J90" s="82"/>
      <c r="K90" s="82"/>
      <c r="L90" s="82"/>
      <c r="M90" s="82"/>
      <c r="N90" s="82"/>
      <c r="O90" s="82"/>
      <c r="P90" s="82"/>
      <c r="Q90" s="82"/>
      <c r="R90" s="82"/>
      <c r="S90" s="82"/>
      <c r="T90" s="82"/>
      <c r="U90" s="82"/>
      <c r="V90" s="82"/>
      <c r="W90" s="82"/>
      <c r="X90" s="82"/>
      <c r="Y90" s="82"/>
      <c r="Z90" s="82"/>
      <c r="AA90" s="82"/>
      <c r="AB90" s="82"/>
      <c r="AC90" s="82"/>
      <c r="AD90" s="82"/>
      <c r="AE90" s="82"/>
      <c r="AF90" s="82"/>
      <c r="AG90" s="143"/>
    </row>
    <row r="91">
      <c r="A91" s="163" t="s">
        <v>881</v>
      </c>
      <c r="B91" s="165">
        <f t="shared" ref="B91:AF91" si="24">B86</f>
        <v>1</v>
      </c>
      <c r="C91" s="165">
        <f t="shared" si="24"/>
        <v>0</v>
      </c>
      <c r="D91" s="165">
        <f t="shared" si="24"/>
        <v>1</v>
      </c>
      <c r="E91" s="165">
        <f t="shared" si="24"/>
        <v>1</v>
      </c>
      <c r="F91" s="165">
        <f t="shared" si="24"/>
        <v>3</v>
      </c>
      <c r="G91" s="165">
        <f t="shared" si="24"/>
        <v>1</v>
      </c>
      <c r="H91" s="165">
        <f t="shared" si="24"/>
        <v>1</v>
      </c>
      <c r="I91" s="165">
        <f t="shared" si="24"/>
        <v>3</v>
      </c>
      <c r="J91" s="165">
        <f t="shared" si="24"/>
        <v>0</v>
      </c>
      <c r="K91" s="165">
        <f t="shared" si="24"/>
        <v>3</v>
      </c>
      <c r="L91" s="165">
        <f t="shared" si="24"/>
        <v>4</v>
      </c>
      <c r="M91" s="165">
        <f t="shared" si="24"/>
        <v>4</v>
      </c>
      <c r="N91" s="165">
        <f t="shared" si="24"/>
        <v>1</v>
      </c>
      <c r="O91" s="165">
        <f t="shared" si="24"/>
        <v>1</v>
      </c>
      <c r="P91" s="165">
        <f t="shared" si="24"/>
        <v>2</v>
      </c>
      <c r="Q91" s="165">
        <f t="shared" si="24"/>
        <v>1</v>
      </c>
      <c r="R91" s="165">
        <f t="shared" si="24"/>
        <v>2</v>
      </c>
      <c r="S91" s="165">
        <f t="shared" si="24"/>
        <v>2</v>
      </c>
      <c r="T91" s="165">
        <f t="shared" si="24"/>
        <v>0</v>
      </c>
      <c r="U91" s="165">
        <f t="shared" si="24"/>
        <v>4</v>
      </c>
      <c r="V91" s="165">
        <f t="shared" si="24"/>
        <v>1</v>
      </c>
      <c r="W91" s="165">
        <f t="shared" si="24"/>
        <v>3</v>
      </c>
      <c r="X91" s="165">
        <f t="shared" si="24"/>
        <v>1</v>
      </c>
      <c r="Y91" s="165">
        <f t="shared" si="24"/>
        <v>0</v>
      </c>
      <c r="Z91" s="165">
        <f t="shared" si="24"/>
        <v>1</v>
      </c>
      <c r="AA91" s="165">
        <f t="shared" si="24"/>
        <v>6</v>
      </c>
      <c r="AB91" s="165">
        <f t="shared" si="24"/>
        <v>5</v>
      </c>
      <c r="AC91" s="165">
        <f t="shared" si="24"/>
        <v>1</v>
      </c>
      <c r="AD91" s="165">
        <f t="shared" si="24"/>
        <v>0</v>
      </c>
      <c r="AE91" s="165">
        <f t="shared" si="24"/>
        <v>6</v>
      </c>
      <c r="AF91" s="165">
        <f t="shared" si="24"/>
        <v>0</v>
      </c>
      <c r="AG91" s="143">
        <f t="shared" ref="AG91:AG95" si="25">sum(B91:AF91)</f>
        <v>59</v>
      </c>
    </row>
    <row r="92">
      <c r="A92" s="163" t="s">
        <v>882</v>
      </c>
      <c r="B92" s="95"/>
      <c r="C92" s="95"/>
      <c r="D92" s="95"/>
      <c r="E92" s="95"/>
      <c r="F92" s="95"/>
      <c r="G92" s="95"/>
      <c r="H92" s="95"/>
      <c r="I92" s="88"/>
      <c r="J92" s="88"/>
      <c r="K92" s="88"/>
      <c r="L92" s="88"/>
      <c r="M92" s="88"/>
      <c r="N92" s="88"/>
      <c r="O92" s="617"/>
      <c r="P92" s="617"/>
      <c r="Q92" s="617"/>
      <c r="R92" s="88"/>
      <c r="S92" s="91"/>
      <c r="T92" s="91"/>
      <c r="U92" s="91"/>
      <c r="V92" s="91"/>
      <c r="W92" s="91"/>
      <c r="X92" s="91"/>
      <c r="Y92" s="91"/>
      <c r="Z92" s="618"/>
      <c r="AA92" s="91"/>
      <c r="AB92" s="91"/>
      <c r="AC92" s="618"/>
      <c r="AD92" s="618"/>
      <c r="AE92" s="618"/>
      <c r="AF92" s="618"/>
      <c r="AG92" s="143">
        <f t="shared" si="25"/>
        <v>0</v>
      </c>
    </row>
    <row r="93">
      <c r="A93" s="613" t="s">
        <v>883</v>
      </c>
      <c r="B93" s="95"/>
      <c r="C93" s="95"/>
      <c r="D93" s="95"/>
      <c r="E93" s="95"/>
      <c r="F93" s="95"/>
      <c r="G93" s="95"/>
      <c r="H93" s="95"/>
      <c r="I93" s="88"/>
      <c r="J93" s="88"/>
      <c r="K93" s="88"/>
      <c r="L93" s="88"/>
      <c r="M93" s="88"/>
      <c r="N93" s="88"/>
      <c r="O93" s="617"/>
      <c r="P93" s="617"/>
      <c r="Q93" s="617"/>
      <c r="R93" s="88"/>
      <c r="S93" s="91"/>
      <c r="T93" s="91"/>
      <c r="U93" s="91"/>
      <c r="V93" s="91"/>
      <c r="W93" s="91"/>
      <c r="X93" s="91"/>
      <c r="Y93" s="91"/>
      <c r="Z93" s="619"/>
      <c r="AA93" s="91"/>
      <c r="AB93" s="91"/>
      <c r="AC93" s="91"/>
      <c r="AD93" s="91"/>
      <c r="AE93" s="91"/>
      <c r="AF93" s="91"/>
      <c r="AG93" s="143">
        <f t="shared" si="25"/>
        <v>0</v>
      </c>
    </row>
    <row r="94">
      <c r="A94" s="163" t="s">
        <v>884</v>
      </c>
      <c r="B94" s="95"/>
      <c r="C94" s="95"/>
      <c r="D94" s="95"/>
      <c r="E94" s="95"/>
      <c r="F94" s="95"/>
      <c r="G94" s="95"/>
      <c r="H94" s="95"/>
      <c r="I94" s="88"/>
      <c r="J94" s="88"/>
      <c r="K94" s="88"/>
      <c r="L94" s="88"/>
      <c r="M94" s="88"/>
      <c r="N94" s="88"/>
      <c r="O94" s="617"/>
      <c r="P94" s="617"/>
      <c r="Q94" s="617"/>
      <c r="R94" s="88"/>
      <c r="S94" s="91"/>
      <c r="T94" s="91"/>
      <c r="U94" s="91"/>
      <c r="V94" s="91"/>
      <c r="W94" s="91"/>
      <c r="X94" s="91"/>
      <c r="Y94" s="91"/>
      <c r="Z94" s="619"/>
      <c r="AA94" s="91"/>
      <c r="AB94" s="91"/>
      <c r="AC94" s="91"/>
      <c r="AD94" s="91"/>
      <c r="AE94" s="91"/>
      <c r="AF94" s="91"/>
      <c r="AG94" s="143">
        <f t="shared" si="25"/>
        <v>0</v>
      </c>
    </row>
    <row r="95">
      <c r="A95" s="169" t="s">
        <v>121</v>
      </c>
      <c r="B95" s="336">
        <f t="shared" ref="B95:AF95" si="26">SUM(B91:B94)</f>
        <v>1</v>
      </c>
      <c r="C95" s="336">
        <f t="shared" si="26"/>
        <v>0</v>
      </c>
      <c r="D95" s="336">
        <f t="shared" si="26"/>
        <v>1</v>
      </c>
      <c r="E95" s="336">
        <f t="shared" si="26"/>
        <v>1</v>
      </c>
      <c r="F95" s="336">
        <f t="shared" si="26"/>
        <v>3</v>
      </c>
      <c r="G95" s="336">
        <f t="shared" si="26"/>
        <v>1</v>
      </c>
      <c r="H95" s="336">
        <f t="shared" si="26"/>
        <v>1</v>
      </c>
      <c r="I95" s="336">
        <f t="shared" si="26"/>
        <v>3</v>
      </c>
      <c r="J95" s="336">
        <f t="shared" si="26"/>
        <v>0</v>
      </c>
      <c r="K95" s="336">
        <f t="shared" si="26"/>
        <v>3</v>
      </c>
      <c r="L95" s="336">
        <f t="shared" si="26"/>
        <v>4</v>
      </c>
      <c r="M95" s="336">
        <f t="shared" si="26"/>
        <v>4</v>
      </c>
      <c r="N95" s="336">
        <f t="shared" si="26"/>
        <v>1</v>
      </c>
      <c r="O95" s="336">
        <f t="shared" si="26"/>
        <v>1</v>
      </c>
      <c r="P95" s="336">
        <f t="shared" si="26"/>
        <v>2</v>
      </c>
      <c r="Q95" s="336">
        <f t="shared" si="26"/>
        <v>1</v>
      </c>
      <c r="R95" s="336">
        <f t="shared" si="26"/>
        <v>2</v>
      </c>
      <c r="S95" s="336">
        <f t="shared" si="26"/>
        <v>2</v>
      </c>
      <c r="T95" s="336">
        <f t="shared" si="26"/>
        <v>0</v>
      </c>
      <c r="U95" s="336">
        <f t="shared" si="26"/>
        <v>4</v>
      </c>
      <c r="V95" s="336">
        <f t="shared" si="26"/>
        <v>1</v>
      </c>
      <c r="W95" s="336">
        <f t="shared" si="26"/>
        <v>3</v>
      </c>
      <c r="X95" s="336">
        <f t="shared" si="26"/>
        <v>1</v>
      </c>
      <c r="Y95" s="336">
        <f t="shared" si="26"/>
        <v>0</v>
      </c>
      <c r="Z95" s="336">
        <f t="shared" si="26"/>
        <v>1</v>
      </c>
      <c r="AA95" s="336">
        <f t="shared" si="26"/>
        <v>6</v>
      </c>
      <c r="AB95" s="336">
        <f t="shared" si="26"/>
        <v>5</v>
      </c>
      <c r="AC95" s="336">
        <f t="shared" si="26"/>
        <v>1</v>
      </c>
      <c r="AD95" s="336">
        <f t="shared" si="26"/>
        <v>0</v>
      </c>
      <c r="AE95" s="336">
        <f t="shared" si="26"/>
        <v>6</v>
      </c>
      <c r="AF95" s="336">
        <f t="shared" si="26"/>
        <v>0</v>
      </c>
      <c r="AG95" s="143">
        <f t="shared" si="25"/>
        <v>59</v>
      </c>
    </row>
    <row r="96">
      <c r="A96" s="98"/>
      <c r="B96" s="171"/>
      <c r="C96" s="171"/>
      <c r="D96" s="171"/>
      <c r="E96" s="171"/>
      <c r="F96" s="171"/>
      <c r="G96" s="171"/>
      <c r="H96" s="171"/>
      <c r="I96" s="171"/>
      <c r="J96" s="82"/>
      <c r="K96" s="82"/>
      <c r="L96" s="82"/>
      <c r="M96" s="82"/>
      <c r="N96" s="82"/>
      <c r="O96" s="82"/>
      <c r="P96" s="82"/>
      <c r="Q96" s="82"/>
      <c r="R96" s="82"/>
      <c r="S96" s="82"/>
      <c r="T96" s="82"/>
      <c r="U96" s="82"/>
      <c r="V96" s="82"/>
      <c r="W96" s="82"/>
      <c r="X96" s="82"/>
      <c r="Y96" s="82"/>
      <c r="Z96" s="82"/>
      <c r="AA96" s="82"/>
      <c r="AB96" s="82"/>
      <c r="AC96" s="82"/>
      <c r="AD96" s="82"/>
      <c r="AE96" s="82"/>
      <c r="AF96" s="82"/>
      <c r="AG96" s="172"/>
    </row>
    <row r="97">
      <c r="A97" s="163" t="s">
        <v>122</v>
      </c>
      <c r="B97" s="95"/>
      <c r="C97" s="95"/>
      <c r="D97" s="95"/>
      <c r="E97" s="95"/>
      <c r="F97" s="95"/>
      <c r="G97" s="95"/>
      <c r="H97" s="95"/>
      <c r="I97" s="95"/>
      <c r="J97" s="95"/>
      <c r="K97" s="95"/>
      <c r="L97" s="95"/>
      <c r="M97" s="88"/>
      <c r="N97" s="88"/>
      <c r="O97" s="88"/>
      <c r="P97" s="88"/>
      <c r="Q97" s="88"/>
      <c r="R97" s="88"/>
      <c r="S97" s="91"/>
      <c r="T97" s="91"/>
      <c r="U97" s="91"/>
      <c r="V97" s="91"/>
      <c r="W97" s="91"/>
      <c r="X97" s="91"/>
      <c r="Y97" s="91"/>
      <c r="Z97" s="425"/>
      <c r="AA97" s="91"/>
      <c r="AB97" s="91"/>
      <c r="AC97" s="425"/>
      <c r="AD97" s="425"/>
      <c r="AE97" s="425"/>
      <c r="AF97" s="425"/>
      <c r="AG97" s="143">
        <f t="shared" ref="AG97:AG105" si="27">sum(B97:AF97)</f>
        <v>0</v>
      </c>
    </row>
    <row r="98">
      <c r="A98" s="163" t="s">
        <v>123</v>
      </c>
      <c r="B98" s="95"/>
      <c r="C98" s="95"/>
      <c r="D98" s="95"/>
      <c r="E98" s="95"/>
      <c r="F98" s="95"/>
      <c r="G98" s="95"/>
      <c r="H98" s="95"/>
      <c r="I98" s="95"/>
      <c r="J98" s="95"/>
      <c r="K98" s="95"/>
      <c r="L98" s="95"/>
      <c r="M98" s="88"/>
      <c r="N98" s="88"/>
      <c r="O98" s="88"/>
      <c r="P98" s="88"/>
      <c r="Q98" s="88"/>
      <c r="R98" s="88"/>
      <c r="S98" s="91"/>
      <c r="T98" s="91"/>
      <c r="U98" s="91"/>
      <c r="V98" s="91"/>
      <c r="W98" s="91"/>
      <c r="X98" s="91"/>
      <c r="Y98" s="91"/>
      <c r="Z98" s="618"/>
      <c r="AA98" s="426"/>
      <c r="AB98" s="91"/>
      <c r="AC98" s="426"/>
      <c r="AD98" s="426"/>
      <c r="AE98" s="426"/>
      <c r="AF98" s="426"/>
      <c r="AG98" s="143">
        <f t="shared" si="27"/>
        <v>0</v>
      </c>
    </row>
    <row r="99">
      <c r="A99" s="163" t="s">
        <v>885</v>
      </c>
      <c r="B99" s="95"/>
      <c r="C99" s="95"/>
      <c r="D99" s="95"/>
      <c r="E99" s="95"/>
      <c r="F99" s="95"/>
      <c r="G99" s="95"/>
      <c r="H99" s="95"/>
      <c r="I99" s="95"/>
      <c r="J99" s="95"/>
      <c r="K99" s="95"/>
      <c r="L99" s="95"/>
      <c r="M99" s="95"/>
      <c r="N99" s="95"/>
      <c r="O99" s="95"/>
      <c r="P99" s="95"/>
      <c r="Q99" s="95"/>
      <c r="R99" s="95"/>
      <c r="S99" s="95"/>
      <c r="T99" s="95"/>
      <c r="U99" s="95"/>
      <c r="V99" s="95"/>
      <c r="W99" s="95"/>
      <c r="X99" s="95"/>
      <c r="Y99" s="95"/>
      <c r="Z99" s="338"/>
      <c r="AA99" s="95"/>
      <c r="AB99" s="95"/>
      <c r="AC99" s="338"/>
      <c r="AD99" s="338"/>
      <c r="AE99" s="338"/>
      <c r="AF99" s="338"/>
      <c r="AG99" s="143">
        <f t="shared" si="27"/>
        <v>0</v>
      </c>
    </row>
    <row r="100">
      <c r="A100" s="163" t="s">
        <v>886</v>
      </c>
      <c r="B100" s="405"/>
      <c r="C100" s="405"/>
      <c r="D100" s="405"/>
      <c r="E100" s="405"/>
      <c r="F100" s="405"/>
      <c r="G100" s="95"/>
      <c r="H100" s="95"/>
      <c r="I100" s="95"/>
      <c r="J100" s="95"/>
      <c r="K100" s="95"/>
      <c r="L100" s="95"/>
      <c r="M100" s="88"/>
      <c r="N100" s="88"/>
      <c r="O100" s="617"/>
      <c r="P100" s="617"/>
      <c r="Q100" s="617"/>
      <c r="R100" s="617"/>
      <c r="S100" s="91"/>
      <c r="T100" s="91"/>
      <c r="U100" s="91"/>
      <c r="V100" s="95"/>
      <c r="W100" s="95"/>
      <c r="X100" s="95"/>
      <c r="Y100" s="95"/>
      <c r="Z100" s="338"/>
      <c r="AA100" s="95"/>
      <c r="AB100" s="95"/>
      <c r="AC100" s="338"/>
      <c r="AD100" s="338"/>
      <c r="AE100" s="338"/>
      <c r="AF100" s="338"/>
      <c r="AG100" s="143">
        <f t="shared" si="27"/>
        <v>0</v>
      </c>
    </row>
    <row r="101">
      <c r="A101" s="163" t="s">
        <v>887</v>
      </c>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1"/>
      <c r="AB101" s="95"/>
      <c r="AC101" s="338"/>
      <c r="AD101" s="338"/>
      <c r="AE101" s="338"/>
      <c r="AF101" s="338"/>
      <c r="AG101" s="143">
        <f t="shared" si="27"/>
        <v>0</v>
      </c>
    </row>
    <row r="102">
      <c r="A102" s="163" t="s">
        <v>888</v>
      </c>
      <c r="B102" s="405"/>
      <c r="C102" s="405"/>
      <c r="D102" s="405"/>
      <c r="E102" s="405"/>
      <c r="F102" s="405"/>
      <c r="G102" s="95"/>
      <c r="H102" s="95"/>
      <c r="I102" s="95"/>
      <c r="J102" s="95"/>
      <c r="K102" s="95"/>
      <c r="L102" s="95"/>
      <c r="M102" s="88"/>
      <c r="N102" s="88"/>
      <c r="O102" s="617"/>
      <c r="P102" s="617"/>
      <c r="Q102" s="617"/>
      <c r="R102" s="617"/>
      <c r="S102" s="91"/>
      <c r="T102" s="91"/>
      <c r="U102" s="91"/>
      <c r="V102" s="95"/>
      <c r="W102" s="95"/>
      <c r="X102" s="95"/>
      <c r="Y102" s="95"/>
      <c r="Z102" s="95"/>
      <c r="AA102" s="91"/>
      <c r="AB102" s="95"/>
      <c r="AC102" s="338"/>
      <c r="AD102" s="338"/>
      <c r="AE102" s="338"/>
      <c r="AF102" s="338"/>
      <c r="AG102" s="143">
        <f t="shared" si="27"/>
        <v>0</v>
      </c>
    </row>
    <row r="103">
      <c r="A103" s="163" t="s">
        <v>889</v>
      </c>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1"/>
      <c r="AB103" s="95"/>
      <c r="AC103" s="338"/>
      <c r="AD103" s="338"/>
      <c r="AE103" s="338"/>
      <c r="AF103" s="338"/>
      <c r="AG103" s="143">
        <f t="shared" si="27"/>
        <v>0</v>
      </c>
    </row>
    <row r="104">
      <c r="A104" s="163" t="s">
        <v>890</v>
      </c>
      <c r="B104" s="95"/>
      <c r="C104" s="95"/>
      <c r="D104" s="95"/>
      <c r="E104" s="95"/>
      <c r="F104" s="95"/>
      <c r="G104" s="95"/>
      <c r="H104" s="95"/>
      <c r="I104" s="95"/>
      <c r="J104" s="95"/>
      <c r="K104" s="95"/>
      <c r="L104" s="95"/>
      <c r="M104" s="95"/>
      <c r="N104" s="95"/>
      <c r="O104" s="95"/>
      <c r="P104" s="95"/>
      <c r="Q104" s="95"/>
      <c r="R104" s="95"/>
      <c r="S104" s="91"/>
      <c r="T104" s="91"/>
      <c r="U104" s="91"/>
      <c r="V104" s="95"/>
      <c r="W104" s="95"/>
      <c r="X104" s="95"/>
      <c r="Y104" s="95"/>
      <c r="Z104" s="95"/>
      <c r="AA104" s="91"/>
      <c r="AB104" s="95"/>
      <c r="AC104" s="338"/>
      <c r="AD104" s="338"/>
      <c r="AE104" s="338"/>
      <c r="AF104" s="338"/>
      <c r="AG104" s="143">
        <f t="shared" si="27"/>
        <v>0</v>
      </c>
    </row>
    <row r="105">
      <c r="A105" s="620" t="s">
        <v>130</v>
      </c>
      <c r="B105" s="621">
        <f t="shared" ref="B105:AF105" si="28">SUM(B97:B104)</f>
        <v>0</v>
      </c>
      <c r="C105" s="621">
        <f t="shared" si="28"/>
        <v>0</v>
      </c>
      <c r="D105" s="621">
        <f t="shared" si="28"/>
        <v>0</v>
      </c>
      <c r="E105" s="621">
        <f t="shared" si="28"/>
        <v>0</v>
      </c>
      <c r="F105" s="621">
        <f t="shared" si="28"/>
        <v>0</v>
      </c>
      <c r="G105" s="621">
        <f t="shared" si="28"/>
        <v>0</v>
      </c>
      <c r="H105" s="621">
        <f t="shared" si="28"/>
        <v>0</v>
      </c>
      <c r="I105" s="621">
        <f t="shared" si="28"/>
        <v>0</v>
      </c>
      <c r="J105" s="621">
        <f t="shared" si="28"/>
        <v>0</v>
      </c>
      <c r="K105" s="621">
        <f t="shared" si="28"/>
        <v>0</v>
      </c>
      <c r="L105" s="621">
        <f t="shared" si="28"/>
        <v>0</v>
      </c>
      <c r="M105" s="621">
        <f t="shared" si="28"/>
        <v>0</v>
      </c>
      <c r="N105" s="621">
        <f t="shared" si="28"/>
        <v>0</v>
      </c>
      <c r="O105" s="621">
        <f t="shared" si="28"/>
        <v>0</v>
      </c>
      <c r="P105" s="621">
        <f t="shared" si="28"/>
        <v>0</v>
      </c>
      <c r="Q105" s="621">
        <f t="shared" si="28"/>
        <v>0</v>
      </c>
      <c r="R105" s="621">
        <f t="shared" si="28"/>
        <v>0</v>
      </c>
      <c r="S105" s="621">
        <f t="shared" si="28"/>
        <v>0</v>
      </c>
      <c r="T105" s="621">
        <f t="shared" si="28"/>
        <v>0</v>
      </c>
      <c r="U105" s="621">
        <f t="shared" si="28"/>
        <v>0</v>
      </c>
      <c r="V105" s="621">
        <f t="shared" si="28"/>
        <v>0</v>
      </c>
      <c r="W105" s="621">
        <f t="shared" si="28"/>
        <v>0</v>
      </c>
      <c r="X105" s="621">
        <f t="shared" si="28"/>
        <v>0</v>
      </c>
      <c r="Y105" s="621">
        <f t="shared" si="28"/>
        <v>0</v>
      </c>
      <c r="Z105" s="621">
        <f t="shared" si="28"/>
        <v>0</v>
      </c>
      <c r="AA105" s="621">
        <f t="shared" si="28"/>
        <v>0</v>
      </c>
      <c r="AB105" s="621">
        <f t="shared" si="28"/>
        <v>0</v>
      </c>
      <c r="AC105" s="621">
        <f t="shared" si="28"/>
        <v>0</v>
      </c>
      <c r="AD105" s="621">
        <f t="shared" si="28"/>
        <v>0</v>
      </c>
      <c r="AE105" s="621">
        <f t="shared" si="28"/>
        <v>0</v>
      </c>
      <c r="AF105" s="621">
        <f t="shared" si="28"/>
        <v>0</v>
      </c>
      <c r="AG105" s="436">
        <f t="shared" si="27"/>
        <v>0</v>
      </c>
    </row>
    <row r="106">
      <c r="A106" s="82"/>
      <c r="B106" s="135"/>
      <c r="C106" s="135"/>
      <c r="D106" s="135"/>
      <c r="E106" s="135"/>
      <c r="F106" s="135"/>
      <c r="G106" s="135"/>
      <c r="H106" s="135"/>
      <c r="I106" s="82"/>
      <c r="J106" s="82"/>
      <c r="K106" s="82"/>
      <c r="L106" s="82"/>
      <c r="M106" s="82"/>
      <c r="N106" s="82"/>
      <c r="O106" s="82"/>
      <c r="P106" s="82"/>
      <c r="Q106" s="82"/>
      <c r="R106" s="82"/>
      <c r="S106" s="82"/>
      <c r="T106" s="82"/>
      <c r="U106" s="82"/>
      <c r="V106" s="82"/>
      <c r="W106" s="82"/>
      <c r="X106" s="82"/>
      <c r="Y106" s="82"/>
      <c r="Z106" s="82"/>
      <c r="AA106" s="82"/>
      <c r="AB106" s="82"/>
      <c r="AC106" s="82"/>
      <c r="AD106" s="82"/>
      <c r="AE106" s="82"/>
      <c r="AF106" s="82"/>
      <c r="AG106" s="143"/>
    </row>
    <row r="107" collapsed="1">
      <c r="A107" s="614" t="s">
        <v>891</v>
      </c>
      <c r="B107" s="409"/>
      <c r="C107" s="409"/>
      <c r="D107" s="409"/>
      <c r="E107" s="409"/>
      <c r="F107" s="409"/>
      <c r="G107" s="409"/>
      <c r="H107" s="409"/>
      <c r="I107" s="409"/>
      <c r="J107" s="409"/>
      <c r="K107" s="409"/>
      <c r="L107" s="409"/>
      <c r="M107" s="409"/>
      <c r="N107" s="409"/>
      <c r="O107" s="409"/>
      <c r="P107" s="409"/>
      <c r="Q107" s="409"/>
      <c r="R107" s="409"/>
      <c r="S107" s="409"/>
      <c r="T107" s="409"/>
      <c r="U107" s="409"/>
      <c r="V107" s="409"/>
      <c r="W107" s="409"/>
      <c r="X107" s="409"/>
      <c r="Y107" s="409"/>
      <c r="Z107" s="409"/>
      <c r="AA107" s="409"/>
      <c r="AB107" s="409"/>
      <c r="AC107" s="409"/>
      <c r="AD107" s="409"/>
      <c r="AE107" s="409"/>
      <c r="AF107" s="409"/>
      <c r="AG107" s="259"/>
    </row>
    <row r="108" hidden="1" outlineLevel="1">
      <c r="A108" s="615"/>
      <c r="AG108" s="259"/>
    </row>
    <row r="109" hidden="1" outlineLevel="1">
      <c r="A109" s="417" t="s">
        <v>892</v>
      </c>
      <c r="B109" s="427"/>
      <c r="C109" s="427"/>
      <c r="D109" s="427"/>
      <c r="E109" s="427"/>
      <c r="F109" s="427"/>
      <c r="G109" s="427"/>
      <c r="H109" s="427"/>
      <c r="I109" s="428"/>
      <c r="J109" s="428"/>
      <c r="K109" s="428"/>
      <c r="L109" s="428"/>
      <c r="M109" s="428"/>
      <c r="N109" s="428"/>
      <c r="O109" s="428"/>
      <c r="P109" s="428"/>
      <c r="Q109" s="428"/>
      <c r="R109" s="428"/>
      <c r="S109" s="428"/>
      <c r="T109" s="428"/>
      <c r="U109" s="428"/>
      <c r="V109" s="428"/>
      <c r="W109" s="428"/>
      <c r="X109" s="428"/>
      <c r="Y109" s="428"/>
      <c r="Z109" s="428"/>
      <c r="AA109" s="428"/>
      <c r="AB109" s="428"/>
      <c r="AC109" s="428"/>
      <c r="AD109" s="428"/>
      <c r="AE109" s="428"/>
      <c r="AF109" s="428"/>
      <c r="AG109" s="429"/>
    </row>
    <row r="110" hidden="1" outlineLevel="1">
      <c r="A110" s="216" t="s">
        <v>893</v>
      </c>
      <c r="B110" s="343"/>
      <c r="C110" s="343"/>
      <c r="D110" s="343"/>
      <c r="E110" s="343"/>
      <c r="F110" s="343"/>
      <c r="G110" s="343"/>
      <c r="H110" s="343"/>
      <c r="I110" s="343"/>
      <c r="J110" s="343"/>
      <c r="K110" s="343"/>
      <c r="L110" s="343"/>
      <c r="M110" s="343"/>
      <c r="N110" s="343"/>
      <c r="O110" s="343"/>
      <c r="P110" s="343"/>
      <c r="Q110" s="343"/>
      <c r="R110" s="343"/>
      <c r="S110" s="343"/>
      <c r="T110" s="343"/>
      <c r="U110" s="343"/>
      <c r="V110" s="343"/>
      <c r="W110" s="343"/>
      <c r="X110" s="343"/>
      <c r="Y110" s="343"/>
      <c r="Z110" s="343"/>
      <c r="AA110" s="343"/>
      <c r="AB110" s="343"/>
      <c r="AC110" s="343"/>
      <c r="AD110" s="343"/>
      <c r="AE110" s="343"/>
      <c r="AF110" s="343"/>
      <c r="AG110" s="143">
        <f t="shared" ref="AG110:AG115" si="29">SUM(B110:AF110)</f>
        <v>0</v>
      </c>
    </row>
    <row r="111" hidden="1" outlineLevel="1">
      <c r="A111" s="216" t="s">
        <v>894</v>
      </c>
      <c r="B111" s="343"/>
      <c r="C111" s="343"/>
      <c r="D111" s="343"/>
      <c r="E111" s="343"/>
      <c r="F111" s="343"/>
      <c r="G111" s="343"/>
      <c r="H111" s="343"/>
      <c r="I111" s="343"/>
      <c r="J111" s="343"/>
      <c r="K111" s="343"/>
      <c r="L111" s="343"/>
      <c r="M111" s="343"/>
      <c r="N111" s="343"/>
      <c r="O111" s="343"/>
      <c r="P111" s="343"/>
      <c r="Q111" s="343"/>
      <c r="R111" s="343"/>
      <c r="S111" s="343"/>
      <c r="T111" s="343"/>
      <c r="U111" s="343"/>
      <c r="V111" s="343"/>
      <c r="W111" s="343"/>
      <c r="X111" s="343"/>
      <c r="Y111" s="343"/>
      <c r="Z111" s="343"/>
      <c r="AA111" s="343"/>
      <c r="AB111" s="343"/>
      <c r="AC111" s="343"/>
      <c r="AD111" s="343"/>
      <c r="AE111" s="343"/>
      <c r="AF111" s="343"/>
      <c r="AG111" s="143">
        <f t="shared" si="29"/>
        <v>0</v>
      </c>
    </row>
    <row r="112" hidden="1" outlineLevel="1">
      <c r="A112" s="216" t="s">
        <v>895</v>
      </c>
      <c r="B112" s="405"/>
      <c r="C112" s="405"/>
      <c r="D112" s="405"/>
      <c r="E112" s="405"/>
      <c r="F112" s="405"/>
      <c r="G112" s="343"/>
      <c r="H112" s="343"/>
      <c r="I112" s="343"/>
      <c r="J112" s="343"/>
      <c r="K112" s="343"/>
      <c r="L112" s="343"/>
      <c r="M112" s="343"/>
      <c r="N112" s="343"/>
      <c r="O112" s="343"/>
      <c r="P112" s="343"/>
      <c r="Q112" s="343"/>
      <c r="R112" s="343"/>
      <c r="S112" s="343"/>
      <c r="T112" s="343"/>
      <c r="U112" s="343"/>
      <c r="V112" s="343"/>
      <c r="W112" s="343"/>
      <c r="X112" s="343"/>
      <c r="Y112" s="343"/>
      <c r="Z112" s="343"/>
      <c r="AA112" s="343"/>
      <c r="AB112" s="343"/>
      <c r="AC112" s="343"/>
      <c r="AD112" s="343"/>
      <c r="AE112" s="343"/>
      <c r="AF112" s="343"/>
      <c r="AG112" s="143">
        <f t="shared" si="29"/>
        <v>0</v>
      </c>
    </row>
    <row r="113" hidden="1" outlineLevel="1">
      <c r="A113" s="216" t="s">
        <v>896</v>
      </c>
      <c r="B113" s="405"/>
      <c r="C113" s="405"/>
      <c r="D113" s="405"/>
      <c r="E113" s="405"/>
      <c r="F113" s="405"/>
      <c r="G113" s="343"/>
      <c r="H113" s="343"/>
      <c r="I113" s="343"/>
      <c r="J113" s="343"/>
      <c r="K113" s="343"/>
      <c r="L113" s="343"/>
      <c r="M113" s="343"/>
      <c r="N113" s="343"/>
      <c r="O113" s="343"/>
      <c r="P113" s="343"/>
      <c r="Q113" s="343"/>
      <c r="R113" s="343"/>
      <c r="S113" s="343"/>
      <c r="T113" s="343"/>
      <c r="U113" s="343"/>
      <c r="V113" s="343"/>
      <c r="W113" s="343"/>
      <c r="X113" s="343"/>
      <c r="Y113" s="343"/>
      <c r="Z113" s="343"/>
      <c r="AA113" s="343"/>
      <c r="AB113" s="343"/>
      <c r="AC113" s="343"/>
      <c r="AD113" s="343"/>
      <c r="AE113" s="343"/>
      <c r="AF113" s="343"/>
      <c r="AG113" s="143">
        <f t="shared" si="29"/>
        <v>0</v>
      </c>
    </row>
    <row r="114" hidden="1" outlineLevel="1">
      <c r="A114" s="218" t="s">
        <v>194</v>
      </c>
      <c r="B114" s="370">
        <f t="shared" ref="B114:AF114" si="30">SUM(B110:B111)</f>
        <v>0</v>
      </c>
      <c r="C114" s="370">
        <f t="shared" si="30"/>
        <v>0</v>
      </c>
      <c r="D114" s="370">
        <f t="shared" si="30"/>
        <v>0</v>
      </c>
      <c r="E114" s="370">
        <f t="shared" si="30"/>
        <v>0</v>
      </c>
      <c r="F114" s="370">
        <f t="shared" si="30"/>
        <v>0</v>
      </c>
      <c r="G114" s="370">
        <f t="shared" si="30"/>
        <v>0</v>
      </c>
      <c r="H114" s="370">
        <f t="shared" si="30"/>
        <v>0</v>
      </c>
      <c r="I114" s="370">
        <f t="shared" si="30"/>
        <v>0</v>
      </c>
      <c r="J114" s="370">
        <f t="shared" si="30"/>
        <v>0</v>
      </c>
      <c r="K114" s="370">
        <f t="shared" si="30"/>
        <v>0</v>
      </c>
      <c r="L114" s="370">
        <f t="shared" si="30"/>
        <v>0</v>
      </c>
      <c r="M114" s="370">
        <f t="shared" si="30"/>
        <v>0</v>
      </c>
      <c r="N114" s="370">
        <f t="shared" si="30"/>
        <v>0</v>
      </c>
      <c r="O114" s="370">
        <f t="shared" si="30"/>
        <v>0</v>
      </c>
      <c r="P114" s="370">
        <f t="shared" si="30"/>
        <v>0</v>
      </c>
      <c r="Q114" s="370">
        <f t="shared" si="30"/>
        <v>0</v>
      </c>
      <c r="R114" s="370">
        <f t="shared" si="30"/>
        <v>0</v>
      </c>
      <c r="S114" s="370">
        <f t="shared" si="30"/>
        <v>0</v>
      </c>
      <c r="T114" s="370">
        <f t="shared" si="30"/>
        <v>0</v>
      </c>
      <c r="U114" s="370">
        <f t="shared" si="30"/>
        <v>0</v>
      </c>
      <c r="V114" s="370">
        <f t="shared" si="30"/>
        <v>0</v>
      </c>
      <c r="W114" s="370">
        <f t="shared" si="30"/>
        <v>0</v>
      </c>
      <c r="X114" s="370">
        <f t="shared" si="30"/>
        <v>0</v>
      </c>
      <c r="Y114" s="370">
        <f t="shared" si="30"/>
        <v>0</v>
      </c>
      <c r="Z114" s="370">
        <f t="shared" si="30"/>
        <v>0</v>
      </c>
      <c r="AA114" s="370">
        <f t="shared" si="30"/>
        <v>0</v>
      </c>
      <c r="AB114" s="370">
        <f t="shared" si="30"/>
        <v>0</v>
      </c>
      <c r="AC114" s="370">
        <f t="shared" si="30"/>
        <v>0</v>
      </c>
      <c r="AD114" s="370">
        <f t="shared" si="30"/>
        <v>0</v>
      </c>
      <c r="AE114" s="370">
        <f t="shared" si="30"/>
        <v>0</v>
      </c>
      <c r="AF114" s="370">
        <f t="shared" si="30"/>
        <v>0</v>
      </c>
      <c r="AG114" s="143">
        <f t="shared" si="29"/>
        <v>0</v>
      </c>
    </row>
    <row r="115" hidden="1" outlineLevel="1">
      <c r="A115" s="218" t="s">
        <v>195</v>
      </c>
      <c r="B115" s="370">
        <f t="shared" ref="B115:AF115" si="31">SUM(B112:B113)</f>
        <v>0</v>
      </c>
      <c r="C115" s="370">
        <f t="shared" si="31"/>
        <v>0</v>
      </c>
      <c r="D115" s="370">
        <f t="shared" si="31"/>
        <v>0</v>
      </c>
      <c r="E115" s="370">
        <f t="shared" si="31"/>
        <v>0</v>
      </c>
      <c r="F115" s="370">
        <f t="shared" si="31"/>
        <v>0</v>
      </c>
      <c r="G115" s="370">
        <f t="shared" si="31"/>
        <v>0</v>
      </c>
      <c r="H115" s="370">
        <f t="shared" si="31"/>
        <v>0</v>
      </c>
      <c r="I115" s="370">
        <f t="shared" si="31"/>
        <v>0</v>
      </c>
      <c r="J115" s="370">
        <f t="shared" si="31"/>
        <v>0</v>
      </c>
      <c r="K115" s="370">
        <f t="shared" si="31"/>
        <v>0</v>
      </c>
      <c r="L115" s="370">
        <f t="shared" si="31"/>
        <v>0</v>
      </c>
      <c r="M115" s="370">
        <f t="shared" si="31"/>
        <v>0</v>
      </c>
      <c r="N115" s="370">
        <f t="shared" si="31"/>
        <v>0</v>
      </c>
      <c r="O115" s="370">
        <f t="shared" si="31"/>
        <v>0</v>
      </c>
      <c r="P115" s="370">
        <f t="shared" si="31"/>
        <v>0</v>
      </c>
      <c r="Q115" s="370">
        <f t="shared" si="31"/>
        <v>0</v>
      </c>
      <c r="R115" s="370">
        <f t="shared" si="31"/>
        <v>0</v>
      </c>
      <c r="S115" s="370">
        <f t="shared" si="31"/>
        <v>0</v>
      </c>
      <c r="T115" s="370">
        <f t="shared" si="31"/>
        <v>0</v>
      </c>
      <c r="U115" s="370">
        <f t="shared" si="31"/>
        <v>0</v>
      </c>
      <c r="V115" s="370">
        <f t="shared" si="31"/>
        <v>0</v>
      </c>
      <c r="W115" s="370">
        <f t="shared" si="31"/>
        <v>0</v>
      </c>
      <c r="X115" s="370">
        <f t="shared" si="31"/>
        <v>0</v>
      </c>
      <c r="Y115" s="370">
        <f t="shared" si="31"/>
        <v>0</v>
      </c>
      <c r="Z115" s="370">
        <f t="shared" si="31"/>
        <v>0</v>
      </c>
      <c r="AA115" s="370">
        <f t="shared" si="31"/>
        <v>0</v>
      </c>
      <c r="AB115" s="370">
        <f t="shared" si="31"/>
        <v>0</v>
      </c>
      <c r="AC115" s="370">
        <f t="shared" si="31"/>
        <v>0</v>
      </c>
      <c r="AD115" s="370">
        <f t="shared" si="31"/>
        <v>0</v>
      </c>
      <c r="AE115" s="370">
        <f t="shared" si="31"/>
        <v>0</v>
      </c>
      <c r="AF115" s="370">
        <f t="shared" si="31"/>
        <v>0</v>
      </c>
      <c r="AG115" s="143">
        <f t="shared" si="29"/>
        <v>0</v>
      </c>
    </row>
    <row r="116" hidden="1" outlineLevel="1">
      <c r="A116" s="98"/>
      <c r="B116" s="135"/>
      <c r="C116" s="135"/>
      <c r="D116" s="135"/>
      <c r="E116" s="135"/>
      <c r="F116" s="135"/>
      <c r="G116" s="135"/>
      <c r="H116" s="135"/>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2"/>
      <c r="AF116" s="82"/>
      <c r="AG116" s="143"/>
    </row>
    <row r="117" hidden="1" outlineLevel="1">
      <c r="A117" s="216" t="s">
        <v>197</v>
      </c>
      <c r="B117" s="343"/>
      <c r="C117" s="343"/>
      <c r="D117" s="343"/>
      <c r="E117" s="343"/>
      <c r="F117" s="343"/>
      <c r="G117" s="343"/>
      <c r="H117" s="343"/>
      <c r="I117" s="343"/>
      <c r="J117" s="343"/>
      <c r="K117" s="343"/>
      <c r="L117" s="343"/>
      <c r="M117" s="343"/>
      <c r="N117" s="343"/>
      <c r="O117" s="343"/>
      <c r="P117" s="343"/>
      <c r="Q117" s="343"/>
      <c r="R117" s="343"/>
      <c r="S117" s="343"/>
      <c r="T117" s="343"/>
      <c r="U117" s="343"/>
      <c r="V117" s="343"/>
      <c r="W117" s="343"/>
      <c r="X117" s="343"/>
      <c r="Y117" s="343"/>
      <c r="Z117" s="343"/>
      <c r="AA117" s="343"/>
      <c r="AB117" s="343"/>
      <c r="AC117" s="343"/>
      <c r="AD117" s="343"/>
      <c r="AE117" s="343"/>
      <c r="AF117" s="343"/>
      <c r="AG117" s="143">
        <f t="shared" ref="AG117:AG125" si="32">SUM(B117:AF117)</f>
        <v>0</v>
      </c>
    </row>
    <row r="118" hidden="1" outlineLevel="1">
      <c r="A118" s="216" t="s">
        <v>198</v>
      </c>
      <c r="B118" s="343"/>
      <c r="C118" s="343"/>
      <c r="D118" s="343"/>
      <c r="E118" s="343"/>
      <c r="F118" s="343"/>
      <c r="G118" s="343"/>
      <c r="H118" s="343"/>
      <c r="I118" s="343"/>
      <c r="J118" s="343"/>
      <c r="K118" s="343"/>
      <c r="L118" s="343"/>
      <c r="M118" s="343"/>
      <c r="N118" s="343"/>
      <c r="O118" s="343"/>
      <c r="P118" s="343"/>
      <c r="Q118" s="343"/>
      <c r="R118" s="343"/>
      <c r="S118" s="343"/>
      <c r="T118" s="343"/>
      <c r="U118" s="343"/>
      <c r="V118" s="343"/>
      <c r="W118" s="343"/>
      <c r="X118" s="343"/>
      <c r="Y118" s="343"/>
      <c r="Z118" s="343"/>
      <c r="AA118" s="343"/>
      <c r="AB118" s="343"/>
      <c r="AC118" s="343"/>
      <c r="AD118" s="343"/>
      <c r="AE118" s="343"/>
      <c r="AF118" s="343"/>
      <c r="AG118" s="143">
        <f t="shared" si="32"/>
        <v>0</v>
      </c>
    </row>
    <row r="119" hidden="1" outlineLevel="1">
      <c r="A119" s="216" t="s">
        <v>897</v>
      </c>
      <c r="B119" s="343"/>
      <c r="C119" s="343"/>
      <c r="D119" s="343"/>
      <c r="E119" s="343"/>
      <c r="F119" s="343"/>
      <c r="G119" s="343"/>
      <c r="H119" s="343"/>
      <c r="I119" s="343"/>
      <c r="J119" s="343"/>
      <c r="K119" s="343"/>
      <c r="L119" s="343"/>
      <c r="M119" s="343"/>
      <c r="N119" s="343"/>
      <c r="O119" s="343"/>
      <c r="P119" s="343"/>
      <c r="Q119" s="343"/>
      <c r="R119" s="343"/>
      <c r="S119" s="343"/>
      <c r="T119" s="343"/>
      <c r="U119" s="343"/>
      <c r="V119" s="343"/>
      <c r="W119" s="343"/>
      <c r="X119" s="343"/>
      <c r="Y119" s="343"/>
      <c r="Z119" s="343"/>
      <c r="AA119" s="343"/>
      <c r="AB119" s="343"/>
      <c r="AC119" s="343"/>
      <c r="AD119" s="343"/>
      <c r="AE119" s="343"/>
      <c r="AF119" s="343"/>
      <c r="AG119" s="143">
        <f t="shared" si="32"/>
        <v>0</v>
      </c>
    </row>
    <row r="120" hidden="1" outlineLevel="1">
      <c r="A120" s="216" t="s">
        <v>898</v>
      </c>
      <c r="B120" s="343"/>
      <c r="C120" s="343"/>
      <c r="D120" s="343"/>
      <c r="E120" s="343"/>
      <c r="F120" s="343"/>
      <c r="G120" s="343"/>
      <c r="H120" s="343"/>
      <c r="I120" s="343"/>
      <c r="J120" s="343"/>
      <c r="K120" s="343"/>
      <c r="L120" s="343"/>
      <c r="M120" s="343"/>
      <c r="N120" s="343"/>
      <c r="O120" s="343"/>
      <c r="P120" s="343"/>
      <c r="Q120" s="343"/>
      <c r="R120" s="343"/>
      <c r="S120" s="343"/>
      <c r="T120" s="343"/>
      <c r="U120" s="343"/>
      <c r="V120" s="343"/>
      <c r="W120" s="343"/>
      <c r="X120" s="343"/>
      <c r="Y120" s="343"/>
      <c r="Z120" s="343"/>
      <c r="AA120" s="343"/>
      <c r="AB120" s="343"/>
      <c r="AC120" s="343"/>
      <c r="AD120" s="343"/>
      <c r="AE120" s="343"/>
      <c r="AF120" s="343"/>
      <c r="AG120" s="143">
        <f t="shared" si="32"/>
        <v>0</v>
      </c>
    </row>
    <row r="121" hidden="1" outlineLevel="1">
      <c r="A121" s="216" t="s">
        <v>899</v>
      </c>
      <c r="B121" s="343"/>
      <c r="C121" s="343"/>
      <c r="D121" s="343"/>
      <c r="E121" s="343"/>
      <c r="F121" s="343"/>
      <c r="G121" s="343"/>
      <c r="H121" s="343"/>
      <c r="I121" s="343"/>
      <c r="J121" s="343"/>
      <c r="K121" s="343"/>
      <c r="L121" s="343"/>
      <c r="M121" s="343"/>
      <c r="N121" s="343"/>
      <c r="O121" s="343"/>
      <c r="P121" s="343"/>
      <c r="Q121" s="343"/>
      <c r="R121" s="343"/>
      <c r="S121" s="343"/>
      <c r="T121" s="343"/>
      <c r="U121" s="343"/>
      <c r="V121" s="343"/>
      <c r="W121" s="343"/>
      <c r="X121" s="343"/>
      <c r="Y121" s="343"/>
      <c r="Z121" s="343"/>
      <c r="AA121" s="343"/>
      <c r="AB121" s="343"/>
      <c r="AC121" s="343"/>
      <c r="AD121" s="343"/>
      <c r="AE121" s="343"/>
      <c r="AF121" s="343"/>
      <c r="AG121" s="143">
        <f t="shared" si="32"/>
        <v>0</v>
      </c>
    </row>
    <row r="122" hidden="1" outlineLevel="1">
      <c r="A122" s="216" t="s">
        <v>900</v>
      </c>
      <c r="B122" s="343"/>
      <c r="C122" s="343"/>
      <c r="D122" s="343"/>
      <c r="E122" s="343"/>
      <c r="F122" s="343"/>
      <c r="G122" s="343"/>
      <c r="H122" s="343"/>
      <c r="I122" s="343"/>
      <c r="J122" s="343"/>
      <c r="K122" s="343"/>
      <c r="L122" s="343"/>
      <c r="M122" s="343"/>
      <c r="N122" s="343"/>
      <c r="O122" s="343"/>
      <c r="P122" s="343"/>
      <c r="Q122" s="343"/>
      <c r="R122" s="343"/>
      <c r="S122" s="343"/>
      <c r="T122" s="343"/>
      <c r="U122" s="343"/>
      <c r="V122" s="343"/>
      <c r="W122" s="343"/>
      <c r="X122" s="343"/>
      <c r="Y122" s="343"/>
      <c r="Z122" s="343"/>
      <c r="AA122" s="343"/>
      <c r="AB122" s="343"/>
      <c r="AC122" s="343"/>
      <c r="AD122" s="343"/>
      <c r="AE122" s="343"/>
      <c r="AF122" s="343"/>
      <c r="AG122" s="143">
        <f t="shared" si="32"/>
        <v>0</v>
      </c>
    </row>
    <row r="123" hidden="1" outlineLevel="1">
      <c r="A123" s="216" t="s">
        <v>901</v>
      </c>
      <c r="B123" s="343"/>
      <c r="C123" s="343"/>
      <c r="D123" s="343"/>
      <c r="E123" s="343"/>
      <c r="F123" s="343"/>
      <c r="G123" s="343"/>
      <c r="H123" s="343"/>
      <c r="I123" s="343"/>
      <c r="J123" s="343"/>
      <c r="K123" s="343"/>
      <c r="L123" s="343"/>
      <c r="M123" s="343"/>
      <c r="N123" s="343"/>
      <c r="O123" s="343"/>
      <c r="P123" s="343"/>
      <c r="Q123" s="343"/>
      <c r="R123" s="343"/>
      <c r="S123" s="343"/>
      <c r="T123" s="343"/>
      <c r="U123" s="343"/>
      <c r="V123" s="343"/>
      <c r="W123" s="343"/>
      <c r="X123" s="343"/>
      <c r="Y123" s="343"/>
      <c r="Z123" s="343"/>
      <c r="AA123" s="343"/>
      <c r="AB123" s="343"/>
      <c r="AC123" s="343"/>
      <c r="AD123" s="343"/>
      <c r="AE123" s="343"/>
      <c r="AF123" s="343"/>
      <c r="AG123" s="143">
        <f t="shared" si="32"/>
        <v>0</v>
      </c>
    </row>
    <row r="124" hidden="1" outlineLevel="1">
      <c r="A124" s="216" t="s">
        <v>902</v>
      </c>
      <c r="B124" s="343"/>
      <c r="C124" s="343"/>
      <c r="D124" s="343"/>
      <c r="E124" s="343"/>
      <c r="F124" s="343"/>
      <c r="G124" s="343"/>
      <c r="H124" s="343"/>
      <c r="I124" s="343"/>
      <c r="J124" s="343"/>
      <c r="K124" s="343"/>
      <c r="L124" s="343"/>
      <c r="M124" s="343"/>
      <c r="N124" s="343"/>
      <c r="O124" s="343"/>
      <c r="P124" s="343"/>
      <c r="Q124" s="343"/>
      <c r="R124" s="343"/>
      <c r="S124" s="343"/>
      <c r="T124" s="343"/>
      <c r="U124" s="343"/>
      <c r="V124" s="343"/>
      <c r="W124" s="343"/>
      <c r="X124" s="343"/>
      <c r="Y124" s="343"/>
      <c r="Z124" s="343"/>
      <c r="AA124" s="343"/>
      <c r="AB124" s="343"/>
      <c r="AC124" s="343"/>
      <c r="AD124" s="343"/>
      <c r="AE124" s="343"/>
      <c r="AF124" s="343"/>
      <c r="AG124" s="143">
        <f t="shared" si="32"/>
        <v>0</v>
      </c>
    </row>
    <row r="125" hidden="1" outlineLevel="1">
      <c r="A125" s="220" t="s">
        <v>130</v>
      </c>
      <c r="B125" s="370">
        <f t="shared" ref="B125:AF125" si="33">SUM(B117:B124)</f>
        <v>0</v>
      </c>
      <c r="C125" s="370">
        <f t="shared" si="33"/>
        <v>0</v>
      </c>
      <c r="D125" s="370">
        <f t="shared" si="33"/>
        <v>0</v>
      </c>
      <c r="E125" s="370">
        <f t="shared" si="33"/>
        <v>0</v>
      </c>
      <c r="F125" s="370">
        <f t="shared" si="33"/>
        <v>0</v>
      </c>
      <c r="G125" s="370">
        <f t="shared" si="33"/>
        <v>0</v>
      </c>
      <c r="H125" s="370">
        <f t="shared" si="33"/>
        <v>0</v>
      </c>
      <c r="I125" s="370">
        <f t="shared" si="33"/>
        <v>0</v>
      </c>
      <c r="J125" s="370">
        <f t="shared" si="33"/>
        <v>0</v>
      </c>
      <c r="K125" s="370">
        <f t="shared" si="33"/>
        <v>0</v>
      </c>
      <c r="L125" s="370">
        <f t="shared" si="33"/>
        <v>0</v>
      </c>
      <c r="M125" s="370">
        <f t="shared" si="33"/>
        <v>0</v>
      </c>
      <c r="N125" s="370">
        <f t="shared" si="33"/>
        <v>0</v>
      </c>
      <c r="O125" s="370">
        <f t="shared" si="33"/>
        <v>0</v>
      </c>
      <c r="P125" s="370">
        <f t="shared" si="33"/>
        <v>0</v>
      </c>
      <c r="Q125" s="370">
        <f t="shared" si="33"/>
        <v>0</v>
      </c>
      <c r="R125" s="370">
        <f t="shared" si="33"/>
        <v>0</v>
      </c>
      <c r="S125" s="370">
        <f t="shared" si="33"/>
        <v>0</v>
      </c>
      <c r="T125" s="370">
        <f t="shared" si="33"/>
        <v>0</v>
      </c>
      <c r="U125" s="370">
        <f t="shared" si="33"/>
        <v>0</v>
      </c>
      <c r="V125" s="370">
        <f t="shared" si="33"/>
        <v>0</v>
      </c>
      <c r="W125" s="370">
        <f t="shared" si="33"/>
        <v>0</v>
      </c>
      <c r="X125" s="370">
        <f t="shared" si="33"/>
        <v>0</v>
      </c>
      <c r="Y125" s="370">
        <f t="shared" si="33"/>
        <v>0</v>
      </c>
      <c r="Z125" s="370">
        <f t="shared" si="33"/>
        <v>0</v>
      </c>
      <c r="AA125" s="370">
        <f t="shared" si="33"/>
        <v>0</v>
      </c>
      <c r="AB125" s="370">
        <f t="shared" si="33"/>
        <v>0</v>
      </c>
      <c r="AC125" s="370">
        <f t="shared" si="33"/>
        <v>0</v>
      </c>
      <c r="AD125" s="370">
        <f t="shared" si="33"/>
        <v>0</v>
      </c>
      <c r="AE125" s="370">
        <f t="shared" si="33"/>
        <v>0</v>
      </c>
      <c r="AF125" s="370">
        <f t="shared" si="33"/>
        <v>0</v>
      </c>
      <c r="AG125" s="143">
        <f t="shared" si="32"/>
        <v>0</v>
      </c>
    </row>
    <row r="126" hidden="1" outlineLevel="1">
      <c r="A126" s="98"/>
      <c r="B126" s="135"/>
      <c r="C126" s="135"/>
      <c r="D126" s="135"/>
      <c r="E126" s="135"/>
      <c r="F126" s="135"/>
      <c r="G126" s="135"/>
      <c r="H126" s="135"/>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143"/>
    </row>
    <row r="127" hidden="1" outlineLevel="1">
      <c r="A127" s="147" t="s">
        <v>903</v>
      </c>
      <c r="B127" s="135"/>
      <c r="C127" s="135"/>
      <c r="D127" s="135"/>
      <c r="E127" s="135"/>
      <c r="F127" s="135"/>
      <c r="G127" s="200"/>
      <c r="H127" s="135"/>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259"/>
    </row>
    <row r="128" hidden="1" outlineLevel="1">
      <c r="A128" s="216" t="s">
        <v>582</v>
      </c>
      <c r="B128" s="200"/>
      <c r="C128" s="200"/>
      <c r="D128" s="20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200"/>
      <c r="AA128" s="200"/>
      <c r="AB128" s="200"/>
      <c r="AC128" s="200"/>
      <c r="AD128" s="200"/>
      <c r="AE128" s="200"/>
      <c r="AF128" s="200"/>
      <c r="AG128" s="259"/>
    </row>
    <row r="129" hidden="1" outlineLevel="1">
      <c r="A129" s="216" t="s">
        <v>437</v>
      </c>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259"/>
    </row>
    <row r="130" hidden="1" outlineLevel="1">
      <c r="A130" s="216" t="s">
        <v>583</v>
      </c>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259"/>
    </row>
    <row r="131" hidden="1" outlineLevel="1">
      <c r="A131" s="387" t="s">
        <v>584</v>
      </c>
      <c r="B131" s="379">
        <f t="shared" ref="B131:AF131" si="34">SUM(B128:B130)</f>
        <v>0</v>
      </c>
      <c r="C131" s="379">
        <f t="shared" si="34"/>
        <v>0</v>
      </c>
      <c r="D131" s="379">
        <f t="shared" si="34"/>
        <v>0</v>
      </c>
      <c r="E131" s="379">
        <f t="shared" si="34"/>
        <v>0</v>
      </c>
      <c r="F131" s="379">
        <f t="shared" si="34"/>
        <v>0</v>
      </c>
      <c r="G131" s="379">
        <f t="shared" si="34"/>
        <v>0</v>
      </c>
      <c r="H131" s="379">
        <f t="shared" si="34"/>
        <v>0</v>
      </c>
      <c r="I131" s="379">
        <f t="shared" si="34"/>
        <v>0</v>
      </c>
      <c r="J131" s="379">
        <f t="shared" si="34"/>
        <v>0</v>
      </c>
      <c r="K131" s="379">
        <f t="shared" si="34"/>
        <v>0</v>
      </c>
      <c r="L131" s="379">
        <f t="shared" si="34"/>
        <v>0</v>
      </c>
      <c r="M131" s="379">
        <f t="shared" si="34"/>
        <v>0</v>
      </c>
      <c r="N131" s="379">
        <f t="shared" si="34"/>
        <v>0</v>
      </c>
      <c r="O131" s="379">
        <f t="shared" si="34"/>
        <v>0</v>
      </c>
      <c r="P131" s="379">
        <f t="shared" si="34"/>
        <v>0</v>
      </c>
      <c r="Q131" s="379">
        <f t="shared" si="34"/>
        <v>0</v>
      </c>
      <c r="R131" s="379">
        <f t="shared" si="34"/>
        <v>0</v>
      </c>
      <c r="S131" s="379">
        <f t="shared" si="34"/>
        <v>0</v>
      </c>
      <c r="T131" s="379">
        <f t="shared" si="34"/>
        <v>0</v>
      </c>
      <c r="U131" s="379">
        <f t="shared" si="34"/>
        <v>0</v>
      </c>
      <c r="V131" s="379">
        <f t="shared" si="34"/>
        <v>0</v>
      </c>
      <c r="W131" s="379">
        <f t="shared" si="34"/>
        <v>0</v>
      </c>
      <c r="X131" s="379">
        <f t="shared" si="34"/>
        <v>0</v>
      </c>
      <c r="Y131" s="379">
        <f t="shared" si="34"/>
        <v>0</v>
      </c>
      <c r="Z131" s="379">
        <f t="shared" si="34"/>
        <v>0</v>
      </c>
      <c r="AA131" s="379">
        <f t="shared" si="34"/>
        <v>0</v>
      </c>
      <c r="AB131" s="379">
        <f t="shared" si="34"/>
        <v>0</v>
      </c>
      <c r="AC131" s="379">
        <f t="shared" si="34"/>
        <v>0</v>
      </c>
      <c r="AD131" s="379">
        <f t="shared" si="34"/>
        <v>0</v>
      </c>
      <c r="AE131" s="379">
        <f t="shared" si="34"/>
        <v>0</v>
      </c>
      <c r="AF131" s="379">
        <f t="shared" si="34"/>
        <v>0</v>
      </c>
      <c r="AG131" s="143"/>
    </row>
    <row r="132" hidden="1" outlineLevel="1">
      <c r="A132" s="98"/>
      <c r="B132" s="135"/>
      <c r="C132" s="135"/>
      <c r="D132" s="135"/>
      <c r="E132" s="135"/>
      <c r="F132" s="135"/>
      <c r="G132" s="135"/>
      <c r="H132" s="135"/>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143"/>
    </row>
    <row r="133" hidden="1" outlineLevel="1">
      <c r="A133" s="417" t="s">
        <v>904</v>
      </c>
      <c r="B133" s="418"/>
      <c r="C133" s="418"/>
      <c r="D133" s="418"/>
      <c r="E133" s="418"/>
      <c r="F133" s="418"/>
      <c r="G133" s="418"/>
      <c r="H133" s="418"/>
      <c r="I133" s="418"/>
      <c r="J133" s="418"/>
      <c r="K133" s="418"/>
      <c r="L133" s="418"/>
      <c r="M133" s="418"/>
      <c r="N133" s="418"/>
      <c r="O133" s="418"/>
      <c r="P133" s="418"/>
      <c r="Q133" s="418"/>
      <c r="R133" s="418"/>
      <c r="S133" s="418"/>
      <c r="T133" s="419"/>
      <c r="U133" s="419"/>
      <c r="V133" s="419"/>
      <c r="W133" s="419"/>
      <c r="X133" s="419"/>
      <c r="Y133" s="419"/>
      <c r="Z133" s="419"/>
      <c r="AA133" s="419"/>
      <c r="AB133" s="419"/>
      <c r="AC133" s="419"/>
      <c r="AD133" s="419"/>
      <c r="AE133" s="419"/>
      <c r="AF133" s="419"/>
      <c r="AG133" s="429"/>
    </row>
    <row r="134" hidden="1" outlineLevel="1">
      <c r="A134" s="216" t="s">
        <v>905</v>
      </c>
      <c r="B134" s="176"/>
      <c r="C134" s="176"/>
      <c r="D134" s="176"/>
      <c r="E134" s="176"/>
      <c r="F134" s="176"/>
      <c r="G134" s="176"/>
      <c r="H134" s="176"/>
      <c r="I134" s="176"/>
      <c r="J134" s="176">
        <v>1.0</v>
      </c>
      <c r="K134" s="176"/>
      <c r="L134" s="176"/>
      <c r="M134" s="176"/>
      <c r="N134" s="176"/>
      <c r="O134" s="176"/>
      <c r="P134" s="176"/>
      <c r="Q134" s="176"/>
      <c r="R134" s="176"/>
      <c r="S134" s="176"/>
      <c r="T134" s="176"/>
      <c r="U134" s="176"/>
      <c r="V134" s="176"/>
      <c r="W134" s="176"/>
      <c r="X134" s="176"/>
      <c r="Y134" s="176"/>
      <c r="Z134" s="176"/>
      <c r="AA134" s="176"/>
      <c r="AB134" s="176"/>
      <c r="AC134" s="176"/>
      <c r="AD134" s="176"/>
      <c r="AE134" s="176"/>
      <c r="AF134" s="176"/>
      <c r="AG134" s="143">
        <f t="shared" ref="AG134:AG139" si="35">SUM(B134:AF134)</f>
        <v>1</v>
      </c>
    </row>
    <row r="135" hidden="1" outlineLevel="1">
      <c r="A135" s="216" t="s">
        <v>906</v>
      </c>
      <c r="B135" s="343"/>
      <c r="C135" s="343"/>
      <c r="D135" s="343"/>
      <c r="E135" s="343"/>
      <c r="F135" s="343"/>
      <c r="G135" s="343"/>
      <c r="H135" s="343"/>
      <c r="I135" s="343"/>
      <c r="J135" s="343"/>
      <c r="K135" s="343"/>
      <c r="L135" s="343"/>
      <c r="M135" s="343"/>
      <c r="N135" s="343"/>
      <c r="O135" s="343"/>
      <c r="P135" s="343"/>
      <c r="Q135" s="343"/>
      <c r="R135" s="343"/>
      <c r="S135" s="343"/>
      <c r="T135" s="343"/>
      <c r="U135" s="343"/>
      <c r="V135" s="343"/>
      <c r="W135" s="343"/>
      <c r="X135" s="343"/>
      <c r="Y135" s="343"/>
      <c r="Z135" s="343"/>
      <c r="AA135" s="343"/>
      <c r="AB135" s="343"/>
      <c r="AC135" s="343"/>
      <c r="AD135" s="343"/>
      <c r="AE135" s="343"/>
      <c r="AF135" s="343"/>
      <c r="AG135" s="143">
        <f t="shared" si="35"/>
        <v>0</v>
      </c>
    </row>
    <row r="136" hidden="1" outlineLevel="1">
      <c r="A136" s="216" t="s">
        <v>907</v>
      </c>
      <c r="B136" s="343"/>
      <c r="C136" s="343"/>
      <c r="D136" s="343"/>
      <c r="E136" s="343"/>
      <c r="F136" s="343"/>
      <c r="G136" s="343"/>
      <c r="H136" s="343"/>
      <c r="I136" s="343"/>
      <c r="J136" s="343"/>
      <c r="K136" s="343"/>
      <c r="L136" s="343"/>
      <c r="M136" s="343"/>
      <c r="N136" s="343"/>
      <c r="O136" s="343"/>
      <c r="P136" s="343"/>
      <c r="Q136" s="343"/>
      <c r="R136" s="343"/>
      <c r="S136" s="343"/>
      <c r="T136" s="343"/>
      <c r="U136" s="343"/>
      <c r="V136" s="343"/>
      <c r="W136" s="343"/>
      <c r="X136" s="343"/>
      <c r="Y136" s="343"/>
      <c r="Z136" s="343"/>
      <c r="AA136" s="343"/>
      <c r="AB136" s="343"/>
      <c r="AC136" s="343"/>
      <c r="AD136" s="343"/>
      <c r="AE136" s="343"/>
      <c r="AF136" s="343"/>
      <c r="AG136" s="143">
        <f t="shared" si="35"/>
        <v>0</v>
      </c>
    </row>
    <row r="137" hidden="1" outlineLevel="1">
      <c r="A137" s="216" t="s">
        <v>908</v>
      </c>
      <c r="B137" s="343"/>
      <c r="C137" s="343"/>
      <c r="D137" s="343"/>
      <c r="E137" s="343"/>
      <c r="F137" s="343"/>
      <c r="G137" s="343"/>
      <c r="H137" s="343"/>
      <c r="I137" s="343"/>
      <c r="J137" s="343"/>
      <c r="K137" s="343"/>
      <c r="L137" s="343"/>
      <c r="M137" s="343"/>
      <c r="N137" s="343"/>
      <c r="O137" s="343"/>
      <c r="P137" s="343"/>
      <c r="Q137" s="343"/>
      <c r="R137" s="343"/>
      <c r="S137" s="343"/>
      <c r="T137" s="343"/>
      <c r="U137" s="343"/>
      <c r="V137" s="343"/>
      <c r="W137" s="343"/>
      <c r="X137" s="343"/>
      <c r="Y137" s="343"/>
      <c r="Z137" s="343"/>
      <c r="AA137" s="343"/>
      <c r="AB137" s="343"/>
      <c r="AC137" s="343"/>
      <c r="AD137" s="343"/>
      <c r="AE137" s="343"/>
      <c r="AF137" s="343"/>
      <c r="AG137" s="143">
        <f t="shared" si="35"/>
        <v>0</v>
      </c>
    </row>
    <row r="138" hidden="1" outlineLevel="1">
      <c r="A138" s="218" t="s">
        <v>194</v>
      </c>
      <c r="B138" s="370">
        <f t="shared" ref="B138:AF138" si="36">SUM(B134:B135)</f>
        <v>0</v>
      </c>
      <c r="C138" s="370">
        <f t="shared" si="36"/>
        <v>0</v>
      </c>
      <c r="D138" s="370">
        <f t="shared" si="36"/>
        <v>0</v>
      </c>
      <c r="E138" s="370">
        <f t="shared" si="36"/>
        <v>0</v>
      </c>
      <c r="F138" s="370">
        <f t="shared" si="36"/>
        <v>0</v>
      </c>
      <c r="G138" s="370">
        <f t="shared" si="36"/>
        <v>0</v>
      </c>
      <c r="H138" s="370">
        <f t="shared" si="36"/>
        <v>0</v>
      </c>
      <c r="I138" s="370">
        <f t="shared" si="36"/>
        <v>0</v>
      </c>
      <c r="J138" s="370">
        <f t="shared" si="36"/>
        <v>1</v>
      </c>
      <c r="K138" s="370">
        <f t="shared" si="36"/>
        <v>0</v>
      </c>
      <c r="L138" s="370">
        <f t="shared" si="36"/>
        <v>0</v>
      </c>
      <c r="M138" s="370">
        <f t="shared" si="36"/>
        <v>0</v>
      </c>
      <c r="N138" s="370">
        <f t="shared" si="36"/>
        <v>0</v>
      </c>
      <c r="O138" s="370">
        <f t="shared" si="36"/>
        <v>0</v>
      </c>
      <c r="P138" s="370">
        <f t="shared" si="36"/>
        <v>0</v>
      </c>
      <c r="Q138" s="370">
        <f t="shared" si="36"/>
        <v>0</v>
      </c>
      <c r="R138" s="370">
        <f t="shared" si="36"/>
        <v>0</v>
      </c>
      <c r="S138" s="370">
        <f t="shared" si="36"/>
        <v>0</v>
      </c>
      <c r="T138" s="370">
        <f t="shared" si="36"/>
        <v>0</v>
      </c>
      <c r="U138" s="370">
        <f t="shared" si="36"/>
        <v>0</v>
      </c>
      <c r="V138" s="370">
        <f t="shared" si="36"/>
        <v>0</v>
      </c>
      <c r="W138" s="370">
        <f t="shared" si="36"/>
        <v>0</v>
      </c>
      <c r="X138" s="370">
        <f t="shared" si="36"/>
        <v>0</v>
      </c>
      <c r="Y138" s="370">
        <f t="shared" si="36"/>
        <v>0</v>
      </c>
      <c r="Z138" s="370">
        <f t="shared" si="36"/>
        <v>0</v>
      </c>
      <c r="AA138" s="370">
        <f t="shared" si="36"/>
        <v>0</v>
      </c>
      <c r="AB138" s="370">
        <f t="shared" si="36"/>
        <v>0</v>
      </c>
      <c r="AC138" s="370">
        <f t="shared" si="36"/>
        <v>0</v>
      </c>
      <c r="AD138" s="370">
        <f t="shared" si="36"/>
        <v>0</v>
      </c>
      <c r="AE138" s="370">
        <f t="shared" si="36"/>
        <v>0</v>
      </c>
      <c r="AF138" s="370">
        <f t="shared" si="36"/>
        <v>0</v>
      </c>
      <c r="AG138" s="143">
        <f t="shared" si="35"/>
        <v>1</v>
      </c>
    </row>
    <row r="139" hidden="1" outlineLevel="1">
      <c r="A139" s="218" t="s">
        <v>195</v>
      </c>
      <c r="B139" s="370">
        <f t="shared" ref="B139:AF139" si="37">SUM(B136:B137)</f>
        <v>0</v>
      </c>
      <c r="C139" s="370">
        <f t="shared" si="37"/>
        <v>0</v>
      </c>
      <c r="D139" s="370">
        <f t="shared" si="37"/>
        <v>0</v>
      </c>
      <c r="E139" s="370">
        <f t="shared" si="37"/>
        <v>0</v>
      </c>
      <c r="F139" s="370">
        <f t="shared" si="37"/>
        <v>0</v>
      </c>
      <c r="G139" s="370">
        <f t="shared" si="37"/>
        <v>0</v>
      </c>
      <c r="H139" s="370">
        <f t="shared" si="37"/>
        <v>0</v>
      </c>
      <c r="I139" s="370">
        <f t="shared" si="37"/>
        <v>0</v>
      </c>
      <c r="J139" s="370">
        <f t="shared" si="37"/>
        <v>0</v>
      </c>
      <c r="K139" s="370">
        <f t="shared" si="37"/>
        <v>0</v>
      </c>
      <c r="L139" s="370">
        <f t="shared" si="37"/>
        <v>0</v>
      </c>
      <c r="M139" s="370">
        <f t="shared" si="37"/>
        <v>0</v>
      </c>
      <c r="N139" s="370">
        <f t="shared" si="37"/>
        <v>0</v>
      </c>
      <c r="O139" s="370">
        <f t="shared" si="37"/>
        <v>0</v>
      </c>
      <c r="P139" s="370">
        <f t="shared" si="37"/>
        <v>0</v>
      </c>
      <c r="Q139" s="370">
        <f t="shared" si="37"/>
        <v>0</v>
      </c>
      <c r="R139" s="370">
        <f t="shared" si="37"/>
        <v>0</v>
      </c>
      <c r="S139" s="370">
        <f t="shared" si="37"/>
        <v>0</v>
      </c>
      <c r="T139" s="370">
        <f t="shared" si="37"/>
        <v>0</v>
      </c>
      <c r="U139" s="370">
        <f t="shared" si="37"/>
        <v>0</v>
      </c>
      <c r="V139" s="370">
        <f t="shared" si="37"/>
        <v>0</v>
      </c>
      <c r="W139" s="370">
        <f t="shared" si="37"/>
        <v>0</v>
      </c>
      <c r="X139" s="370">
        <f t="shared" si="37"/>
        <v>0</v>
      </c>
      <c r="Y139" s="370">
        <f t="shared" si="37"/>
        <v>0</v>
      </c>
      <c r="Z139" s="370">
        <f t="shared" si="37"/>
        <v>0</v>
      </c>
      <c r="AA139" s="370">
        <f t="shared" si="37"/>
        <v>0</v>
      </c>
      <c r="AB139" s="370">
        <f t="shared" si="37"/>
        <v>0</v>
      </c>
      <c r="AC139" s="370">
        <f t="shared" si="37"/>
        <v>0</v>
      </c>
      <c r="AD139" s="370">
        <f t="shared" si="37"/>
        <v>0</v>
      </c>
      <c r="AE139" s="370">
        <f t="shared" si="37"/>
        <v>0</v>
      </c>
      <c r="AF139" s="370">
        <f t="shared" si="37"/>
        <v>0</v>
      </c>
      <c r="AG139" s="143">
        <f t="shared" si="35"/>
        <v>0</v>
      </c>
    </row>
    <row r="140" hidden="1" outlineLevel="1">
      <c r="A140" s="98"/>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c r="AA140" s="187"/>
      <c r="AB140" s="187"/>
      <c r="AC140" s="187"/>
      <c r="AD140" s="187"/>
      <c r="AE140" s="187"/>
      <c r="AF140" s="187"/>
      <c r="AG140" s="209"/>
    </row>
    <row r="141" hidden="1" outlineLevel="1">
      <c r="A141" s="216" t="s">
        <v>197</v>
      </c>
      <c r="B141" s="343"/>
      <c r="C141" s="343"/>
      <c r="D141" s="343"/>
      <c r="E141" s="343"/>
      <c r="F141" s="343"/>
      <c r="G141" s="343"/>
      <c r="H141" s="343"/>
      <c r="I141" s="343"/>
      <c r="J141" s="343"/>
      <c r="K141" s="343"/>
      <c r="L141" s="343"/>
      <c r="M141" s="343"/>
      <c r="N141" s="343"/>
      <c r="O141" s="343"/>
      <c r="P141" s="343"/>
      <c r="Q141" s="343"/>
      <c r="R141" s="343"/>
      <c r="S141" s="343"/>
      <c r="T141" s="343"/>
      <c r="U141" s="343"/>
      <c r="V141" s="343"/>
      <c r="W141" s="343"/>
      <c r="X141" s="343"/>
      <c r="Y141" s="343"/>
      <c r="Z141" s="343"/>
      <c r="AA141" s="343"/>
      <c r="AB141" s="343"/>
      <c r="AC141" s="343"/>
      <c r="AD141" s="343"/>
      <c r="AE141" s="343"/>
      <c r="AF141" s="343"/>
      <c r="AG141" s="143">
        <f t="shared" ref="AG141:AG149" si="38">SUM(B141:AF141)</f>
        <v>0</v>
      </c>
    </row>
    <row r="142" hidden="1" outlineLevel="1">
      <c r="A142" s="216" t="s">
        <v>198</v>
      </c>
      <c r="B142" s="343"/>
      <c r="C142" s="343"/>
      <c r="D142" s="343"/>
      <c r="E142" s="343"/>
      <c r="F142" s="343"/>
      <c r="G142" s="343"/>
      <c r="H142" s="343"/>
      <c r="I142" s="343"/>
      <c r="J142" s="343"/>
      <c r="K142" s="343"/>
      <c r="L142" s="343"/>
      <c r="M142" s="343"/>
      <c r="N142" s="343"/>
      <c r="O142" s="343"/>
      <c r="P142" s="343"/>
      <c r="Q142" s="343"/>
      <c r="R142" s="343"/>
      <c r="S142" s="343"/>
      <c r="T142" s="343"/>
      <c r="U142" s="343"/>
      <c r="V142" s="343"/>
      <c r="W142" s="343"/>
      <c r="X142" s="343"/>
      <c r="Y142" s="343"/>
      <c r="Z142" s="343"/>
      <c r="AA142" s="343"/>
      <c r="AB142" s="343"/>
      <c r="AC142" s="343"/>
      <c r="AD142" s="343"/>
      <c r="AE142" s="343"/>
      <c r="AF142" s="343"/>
      <c r="AG142" s="143">
        <f t="shared" si="38"/>
        <v>0</v>
      </c>
    </row>
    <row r="143" hidden="1" outlineLevel="1">
      <c r="A143" s="216" t="s">
        <v>909</v>
      </c>
      <c r="B143" s="343"/>
      <c r="C143" s="343"/>
      <c r="D143" s="343"/>
      <c r="E143" s="343"/>
      <c r="F143" s="343"/>
      <c r="G143" s="343"/>
      <c r="H143" s="343"/>
      <c r="I143" s="343"/>
      <c r="J143" s="343"/>
      <c r="K143" s="343"/>
      <c r="L143" s="343"/>
      <c r="M143" s="343"/>
      <c r="N143" s="343"/>
      <c r="O143" s="343"/>
      <c r="P143" s="343"/>
      <c r="Q143" s="343"/>
      <c r="R143" s="343"/>
      <c r="S143" s="343"/>
      <c r="T143" s="343"/>
      <c r="U143" s="343"/>
      <c r="V143" s="343"/>
      <c r="W143" s="343"/>
      <c r="X143" s="343"/>
      <c r="Y143" s="343"/>
      <c r="Z143" s="343"/>
      <c r="AA143" s="343"/>
      <c r="AB143" s="343"/>
      <c r="AC143" s="343"/>
      <c r="AD143" s="343"/>
      <c r="AE143" s="343"/>
      <c r="AF143" s="343"/>
      <c r="AG143" s="143">
        <f t="shared" si="38"/>
        <v>0</v>
      </c>
    </row>
    <row r="144" hidden="1" outlineLevel="1">
      <c r="A144" s="216" t="s">
        <v>910</v>
      </c>
      <c r="B144" s="343"/>
      <c r="C144" s="343"/>
      <c r="D144" s="343"/>
      <c r="E144" s="343"/>
      <c r="F144" s="343"/>
      <c r="G144" s="343"/>
      <c r="H144" s="343"/>
      <c r="I144" s="343"/>
      <c r="J144" s="343"/>
      <c r="K144" s="343"/>
      <c r="L144" s="343"/>
      <c r="M144" s="343"/>
      <c r="N144" s="343"/>
      <c r="O144" s="343"/>
      <c r="P144" s="343"/>
      <c r="Q144" s="343"/>
      <c r="R144" s="343"/>
      <c r="S144" s="343"/>
      <c r="T144" s="343"/>
      <c r="U144" s="343"/>
      <c r="V144" s="343"/>
      <c r="W144" s="343"/>
      <c r="X144" s="343"/>
      <c r="Y144" s="343"/>
      <c r="Z144" s="343"/>
      <c r="AA144" s="343"/>
      <c r="AB144" s="343"/>
      <c r="AC144" s="343"/>
      <c r="AD144" s="343"/>
      <c r="AE144" s="343"/>
      <c r="AF144" s="343"/>
      <c r="AG144" s="143">
        <f t="shared" si="38"/>
        <v>0</v>
      </c>
    </row>
    <row r="145" hidden="1" outlineLevel="1">
      <c r="A145" s="216" t="s">
        <v>911</v>
      </c>
      <c r="B145" s="343"/>
      <c r="C145" s="343"/>
      <c r="D145" s="343"/>
      <c r="E145" s="343"/>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343"/>
      <c r="AB145" s="343"/>
      <c r="AC145" s="343"/>
      <c r="AD145" s="343"/>
      <c r="AE145" s="343"/>
      <c r="AF145" s="343"/>
      <c r="AG145" s="143">
        <f t="shared" si="38"/>
        <v>0</v>
      </c>
    </row>
    <row r="146" hidden="1" outlineLevel="1">
      <c r="A146" s="216" t="s">
        <v>912</v>
      </c>
      <c r="B146" s="343"/>
      <c r="C146" s="343"/>
      <c r="D146" s="343"/>
      <c r="E146" s="343"/>
      <c r="F146" s="343"/>
      <c r="G146" s="343"/>
      <c r="H146" s="343"/>
      <c r="I146" s="343"/>
      <c r="J146" s="343"/>
      <c r="K146" s="343"/>
      <c r="L146" s="343"/>
      <c r="M146" s="343"/>
      <c r="N146" s="343"/>
      <c r="O146" s="343"/>
      <c r="P146" s="343"/>
      <c r="Q146" s="343"/>
      <c r="R146" s="343"/>
      <c r="S146" s="343"/>
      <c r="T146" s="343"/>
      <c r="U146" s="343"/>
      <c r="V146" s="343"/>
      <c r="W146" s="343"/>
      <c r="X146" s="343"/>
      <c r="Y146" s="343"/>
      <c r="Z146" s="343"/>
      <c r="AA146" s="343"/>
      <c r="AB146" s="343"/>
      <c r="AC146" s="343"/>
      <c r="AD146" s="343"/>
      <c r="AE146" s="343"/>
      <c r="AF146" s="343"/>
      <c r="AG146" s="143">
        <f t="shared" si="38"/>
        <v>0</v>
      </c>
    </row>
    <row r="147" hidden="1" outlineLevel="1">
      <c r="A147" s="216" t="s">
        <v>913</v>
      </c>
      <c r="B147" s="343"/>
      <c r="C147" s="343"/>
      <c r="D147" s="343"/>
      <c r="E147" s="343"/>
      <c r="F147" s="343"/>
      <c r="G147" s="343"/>
      <c r="H147" s="343"/>
      <c r="I147" s="343"/>
      <c r="J147" s="343"/>
      <c r="K147" s="343"/>
      <c r="L147" s="343"/>
      <c r="M147" s="343"/>
      <c r="N147" s="343"/>
      <c r="O147" s="343"/>
      <c r="P147" s="343"/>
      <c r="Q147" s="343"/>
      <c r="R147" s="343"/>
      <c r="S147" s="343"/>
      <c r="T147" s="343"/>
      <c r="U147" s="343"/>
      <c r="V147" s="343"/>
      <c r="W147" s="343"/>
      <c r="X147" s="343"/>
      <c r="Y147" s="343"/>
      <c r="Z147" s="343"/>
      <c r="AA147" s="343"/>
      <c r="AB147" s="343"/>
      <c r="AC147" s="343"/>
      <c r="AD147" s="343"/>
      <c r="AE147" s="343"/>
      <c r="AF147" s="343"/>
      <c r="AG147" s="143">
        <f t="shared" si="38"/>
        <v>0</v>
      </c>
    </row>
    <row r="148" hidden="1" outlineLevel="1">
      <c r="A148" s="216" t="s">
        <v>914</v>
      </c>
      <c r="B148" s="343"/>
      <c r="C148" s="343"/>
      <c r="D148" s="343"/>
      <c r="E148" s="343"/>
      <c r="F148" s="343"/>
      <c r="G148" s="343"/>
      <c r="H148" s="343"/>
      <c r="I148" s="343"/>
      <c r="J148" s="343"/>
      <c r="K148" s="343"/>
      <c r="L148" s="343"/>
      <c r="M148" s="343"/>
      <c r="N148" s="343"/>
      <c r="O148" s="343"/>
      <c r="P148" s="343"/>
      <c r="Q148" s="343"/>
      <c r="R148" s="343"/>
      <c r="S148" s="343"/>
      <c r="T148" s="343"/>
      <c r="U148" s="343"/>
      <c r="V148" s="343"/>
      <c r="W148" s="343"/>
      <c r="X148" s="343"/>
      <c r="Y148" s="343"/>
      <c r="Z148" s="343"/>
      <c r="AA148" s="343"/>
      <c r="AB148" s="343"/>
      <c r="AC148" s="343"/>
      <c r="AD148" s="343"/>
      <c r="AE148" s="343"/>
      <c r="AF148" s="343"/>
      <c r="AG148" s="143">
        <f t="shared" si="38"/>
        <v>0</v>
      </c>
    </row>
    <row r="149" hidden="1" outlineLevel="1">
      <c r="A149" s="220" t="s">
        <v>130</v>
      </c>
      <c r="B149" s="370">
        <f t="shared" ref="B149:AF149" si="39">SUM(B141:B148)</f>
        <v>0</v>
      </c>
      <c r="C149" s="370">
        <f t="shared" si="39"/>
        <v>0</v>
      </c>
      <c r="D149" s="370">
        <f t="shared" si="39"/>
        <v>0</v>
      </c>
      <c r="E149" s="370">
        <f t="shared" si="39"/>
        <v>0</v>
      </c>
      <c r="F149" s="370">
        <f t="shared" si="39"/>
        <v>0</v>
      </c>
      <c r="G149" s="370">
        <f t="shared" si="39"/>
        <v>0</v>
      </c>
      <c r="H149" s="370">
        <f t="shared" si="39"/>
        <v>0</v>
      </c>
      <c r="I149" s="370">
        <f t="shared" si="39"/>
        <v>0</v>
      </c>
      <c r="J149" s="370">
        <f t="shared" si="39"/>
        <v>0</v>
      </c>
      <c r="K149" s="370">
        <f t="shared" si="39"/>
        <v>0</v>
      </c>
      <c r="L149" s="370">
        <f t="shared" si="39"/>
        <v>0</v>
      </c>
      <c r="M149" s="370">
        <f t="shared" si="39"/>
        <v>0</v>
      </c>
      <c r="N149" s="370">
        <f t="shared" si="39"/>
        <v>0</v>
      </c>
      <c r="O149" s="370">
        <f t="shared" si="39"/>
        <v>0</v>
      </c>
      <c r="P149" s="370">
        <f t="shared" si="39"/>
        <v>0</v>
      </c>
      <c r="Q149" s="370">
        <f t="shared" si="39"/>
        <v>0</v>
      </c>
      <c r="R149" s="370">
        <f t="shared" si="39"/>
        <v>0</v>
      </c>
      <c r="S149" s="370">
        <f t="shared" si="39"/>
        <v>0</v>
      </c>
      <c r="T149" s="370">
        <f t="shared" si="39"/>
        <v>0</v>
      </c>
      <c r="U149" s="370">
        <f t="shared" si="39"/>
        <v>0</v>
      </c>
      <c r="V149" s="370">
        <f t="shared" si="39"/>
        <v>0</v>
      </c>
      <c r="W149" s="370">
        <f t="shared" si="39"/>
        <v>0</v>
      </c>
      <c r="X149" s="370">
        <f t="shared" si="39"/>
        <v>0</v>
      </c>
      <c r="Y149" s="370">
        <f t="shared" si="39"/>
        <v>0</v>
      </c>
      <c r="Z149" s="370">
        <f t="shared" si="39"/>
        <v>0</v>
      </c>
      <c r="AA149" s="370">
        <f t="shared" si="39"/>
        <v>0</v>
      </c>
      <c r="AB149" s="370">
        <f t="shared" si="39"/>
        <v>0</v>
      </c>
      <c r="AC149" s="370">
        <f t="shared" si="39"/>
        <v>0</v>
      </c>
      <c r="AD149" s="370">
        <f t="shared" si="39"/>
        <v>0</v>
      </c>
      <c r="AE149" s="370">
        <f t="shared" si="39"/>
        <v>0</v>
      </c>
      <c r="AF149" s="370">
        <f t="shared" si="39"/>
        <v>0</v>
      </c>
      <c r="AG149" s="143">
        <f t="shared" si="38"/>
        <v>0</v>
      </c>
    </row>
    <row r="150" hidden="1" outlineLevel="1">
      <c r="A150" s="177"/>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c r="AB150" s="187"/>
      <c r="AC150" s="187"/>
      <c r="AD150" s="187"/>
      <c r="AE150" s="187"/>
      <c r="AF150" s="187"/>
      <c r="AG150" s="143"/>
    </row>
    <row r="151" hidden="1" outlineLevel="1">
      <c r="A151" s="147" t="s">
        <v>915</v>
      </c>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c r="AB151" s="187"/>
      <c r="AC151" s="187"/>
      <c r="AD151" s="187"/>
      <c r="AE151" s="187"/>
      <c r="AF151" s="187"/>
      <c r="AG151" s="143"/>
    </row>
    <row r="152" hidden="1" outlineLevel="1">
      <c r="A152" s="216" t="s">
        <v>582</v>
      </c>
      <c r="B152" s="200"/>
      <c r="C152" s="200"/>
      <c r="D152" s="200"/>
      <c r="E152" s="228"/>
      <c r="F152" s="228"/>
      <c r="G152" s="228"/>
      <c r="H152" s="228"/>
      <c r="I152" s="228"/>
      <c r="J152" s="228">
        <v>240.0</v>
      </c>
      <c r="K152" s="228"/>
      <c r="L152" s="200"/>
      <c r="M152" s="228"/>
      <c r="N152" s="228"/>
      <c r="O152" s="228"/>
      <c r="P152" s="228"/>
      <c r="Q152" s="228"/>
      <c r="R152" s="228"/>
      <c r="S152" s="228"/>
      <c r="T152" s="228"/>
      <c r="U152" s="228"/>
      <c r="V152" s="228"/>
      <c r="W152" s="228"/>
      <c r="X152" s="200"/>
      <c r="Y152" s="228"/>
      <c r="Z152" s="228"/>
      <c r="AA152" s="228"/>
      <c r="AB152" s="228"/>
      <c r="AC152" s="228"/>
      <c r="AD152" s="200"/>
      <c r="AE152" s="228"/>
      <c r="AF152" s="228"/>
      <c r="AG152" s="143"/>
    </row>
    <row r="153" hidden="1" outlineLevel="1">
      <c r="A153" s="216" t="s">
        <v>437</v>
      </c>
      <c r="B153" s="96"/>
      <c r="C153" s="96"/>
      <c r="D153" s="96"/>
      <c r="E153" s="96"/>
      <c r="F153" s="96"/>
      <c r="G153" s="353"/>
      <c r="H153" s="353"/>
      <c r="I153" s="353"/>
      <c r="J153" s="353"/>
      <c r="K153" s="96"/>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143"/>
    </row>
    <row r="154" hidden="1" outlineLevel="1">
      <c r="A154" s="216" t="s">
        <v>583</v>
      </c>
      <c r="B154" s="96"/>
      <c r="C154" s="96"/>
      <c r="D154" s="96"/>
      <c r="E154" s="96"/>
      <c r="F154" s="96"/>
      <c r="G154" s="353"/>
      <c r="H154" s="353"/>
      <c r="I154" s="353"/>
      <c r="J154" s="353"/>
      <c r="K154" s="96"/>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143"/>
    </row>
    <row r="155" hidden="1" outlineLevel="1">
      <c r="A155" s="387" t="s">
        <v>584</v>
      </c>
      <c r="B155" s="380">
        <f t="shared" ref="B155:AF155" si="40">sum(B152:B154)</f>
        <v>0</v>
      </c>
      <c r="C155" s="380">
        <f t="shared" si="40"/>
        <v>0</v>
      </c>
      <c r="D155" s="380">
        <f t="shared" si="40"/>
        <v>0</v>
      </c>
      <c r="E155" s="380">
        <f t="shared" si="40"/>
        <v>0</v>
      </c>
      <c r="F155" s="380">
        <f t="shared" si="40"/>
        <v>0</v>
      </c>
      <c r="G155" s="380">
        <f t="shared" si="40"/>
        <v>0</v>
      </c>
      <c r="H155" s="380">
        <f t="shared" si="40"/>
        <v>0</v>
      </c>
      <c r="I155" s="380">
        <f t="shared" si="40"/>
        <v>0</v>
      </c>
      <c r="J155" s="380">
        <f t="shared" si="40"/>
        <v>240</v>
      </c>
      <c r="K155" s="380">
        <f t="shared" si="40"/>
        <v>0</v>
      </c>
      <c r="L155" s="380">
        <f t="shared" si="40"/>
        <v>0</v>
      </c>
      <c r="M155" s="380">
        <f t="shared" si="40"/>
        <v>0</v>
      </c>
      <c r="N155" s="380">
        <f t="shared" si="40"/>
        <v>0</v>
      </c>
      <c r="O155" s="380">
        <f t="shared" si="40"/>
        <v>0</v>
      </c>
      <c r="P155" s="380">
        <f t="shared" si="40"/>
        <v>0</v>
      </c>
      <c r="Q155" s="380">
        <f t="shared" si="40"/>
        <v>0</v>
      </c>
      <c r="R155" s="380">
        <f t="shared" si="40"/>
        <v>0</v>
      </c>
      <c r="S155" s="380">
        <f t="shared" si="40"/>
        <v>0</v>
      </c>
      <c r="T155" s="380">
        <f t="shared" si="40"/>
        <v>0</v>
      </c>
      <c r="U155" s="380">
        <f t="shared" si="40"/>
        <v>0</v>
      </c>
      <c r="V155" s="380">
        <f t="shared" si="40"/>
        <v>0</v>
      </c>
      <c r="W155" s="380">
        <f t="shared" si="40"/>
        <v>0</v>
      </c>
      <c r="X155" s="380">
        <f t="shared" si="40"/>
        <v>0</v>
      </c>
      <c r="Y155" s="380">
        <f t="shared" si="40"/>
        <v>0</v>
      </c>
      <c r="Z155" s="380">
        <f t="shared" si="40"/>
        <v>0</v>
      </c>
      <c r="AA155" s="380">
        <f t="shared" si="40"/>
        <v>0</v>
      </c>
      <c r="AB155" s="380">
        <f t="shared" si="40"/>
        <v>0</v>
      </c>
      <c r="AC155" s="380">
        <f t="shared" si="40"/>
        <v>0</v>
      </c>
      <c r="AD155" s="380">
        <f t="shared" si="40"/>
        <v>0</v>
      </c>
      <c r="AE155" s="380">
        <f t="shared" si="40"/>
        <v>0</v>
      </c>
      <c r="AF155" s="380">
        <f t="shared" si="40"/>
        <v>0</v>
      </c>
      <c r="AG155" s="143"/>
    </row>
    <row r="156">
      <c r="A156" s="82"/>
      <c r="B156" s="135"/>
      <c r="C156" s="135"/>
      <c r="D156" s="135"/>
      <c r="E156" s="135"/>
      <c r="F156" s="135"/>
      <c r="G156" s="135"/>
      <c r="H156" s="135"/>
      <c r="I156" s="82"/>
      <c r="J156" s="82"/>
      <c r="K156" s="82"/>
      <c r="L156" s="82"/>
      <c r="M156" s="82"/>
      <c r="N156" s="82"/>
      <c r="O156" s="82"/>
      <c r="P156" s="82"/>
      <c r="Q156" s="82"/>
      <c r="R156" s="82"/>
      <c r="S156" s="82"/>
      <c r="T156" s="82"/>
      <c r="U156" s="82"/>
      <c r="V156" s="82"/>
      <c r="W156" s="82"/>
      <c r="X156" s="82"/>
      <c r="Y156" s="82"/>
      <c r="Z156" s="82"/>
      <c r="AA156" s="82"/>
      <c r="AB156" s="82"/>
      <c r="AC156" s="82"/>
      <c r="AD156" s="82"/>
      <c r="AE156" s="82"/>
      <c r="AF156" s="82"/>
      <c r="AG156" s="143"/>
    </row>
    <row r="157">
      <c r="A157" s="622"/>
      <c r="B157" s="438"/>
      <c r="C157" s="438"/>
      <c r="D157" s="438"/>
      <c r="E157" s="438"/>
      <c r="F157" s="438"/>
      <c r="G157" s="438"/>
      <c r="H157" s="438"/>
      <c r="I157" s="438"/>
      <c r="J157" s="438"/>
      <c r="K157" s="438"/>
      <c r="L157" s="438"/>
      <c r="M157" s="438"/>
      <c r="N157" s="438"/>
      <c r="O157" s="438"/>
      <c r="P157" s="438"/>
      <c r="Q157" s="438"/>
      <c r="R157" s="438"/>
      <c r="S157" s="438"/>
      <c r="T157" s="438"/>
      <c r="U157" s="438"/>
      <c r="V157" s="438"/>
      <c r="W157" s="438"/>
      <c r="X157" s="438"/>
      <c r="Y157" s="438"/>
      <c r="Z157" s="438"/>
      <c r="AA157" s="438"/>
      <c r="AB157" s="438"/>
      <c r="AC157" s="438"/>
      <c r="AD157" s="438"/>
      <c r="AE157" s="438"/>
      <c r="AF157" s="438"/>
      <c r="AG157" s="209"/>
    </row>
    <row r="158">
      <c r="AG158" s="259"/>
    </row>
    <row r="159">
      <c r="A159" s="623" t="s">
        <v>323</v>
      </c>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c r="AD159" s="82"/>
      <c r="AE159" s="82"/>
      <c r="AF159" s="82"/>
      <c r="AG159" s="209"/>
    </row>
    <row r="160">
      <c r="A160" s="624" t="s">
        <v>916</v>
      </c>
      <c r="B160" s="250">
        <f t="shared" ref="B160:AF160" si="41">B10+B88</f>
        <v>0</v>
      </c>
      <c r="C160" s="250">
        <f t="shared" si="41"/>
        <v>0</v>
      </c>
      <c r="D160" s="250">
        <f t="shared" si="41"/>
        <v>0</v>
      </c>
      <c r="E160" s="250">
        <f t="shared" si="41"/>
        <v>0</v>
      </c>
      <c r="F160" s="250">
        <f t="shared" si="41"/>
        <v>0</v>
      </c>
      <c r="G160" s="250">
        <f t="shared" si="41"/>
        <v>0</v>
      </c>
      <c r="H160" s="250">
        <f t="shared" si="41"/>
        <v>0</v>
      </c>
      <c r="I160" s="250">
        <f t="shared" si="41"/>
        <v>0</v>
      </c>
      <c r="J160" s="250">
        <f t="shared" si="41"/>
        <v>0</v>
      </c>
      <c r="K160" s="250">
        <f t="shared" si="41"/>
        <v>0</v>
      </c>
      <c r="L160" s="250">
        <f t="shared" si="41"/>
        <v>0</v>
      </c>
      <c r="M160" s="250">
        <f t="shared" si="41"/>
        <v>0</v>
      </c>
      <c r="N160" s="250">
        <f t="shared" si="41"/>
        <v>0</v>
      </c>
      <c r="O160" s="250">
        <f t="shared" si="41"/>
        <v>0</v>
      </c>
      <c r="P160" s="250">
        <f t="shared" si="41"/>
        <v>0</v>
      </c>
      <c r="Q160" s="250">
        <f t="shared" si="41"/>
        <v>0</v>
      </c>
      <c r="R160" s="250">
        <f t="shared" si="41"/>
        <v>0</v>
      </c>
      <c r="S160" s="250">
        <f t="shared" si="41"/>
        <v>0</v>
      </c>
      <c r="T160" s="250">
        <f t="shared" si="41"/>
        <v>0</v>
      </c>
      <c r="U160" s="250">
        <f t="shared" si="41"/>
        <v>0</v>
      </c>
      <c r="V160" s="250">
        <f t="shared" si="41"/>
        <v>0</v>
      </c>
      <c r="W160" s="250">
        <f t="shared" si="41"/>
        <v>0</v>
      </c>
      <c r="X160" s="250">
        <f t="shared" si="41"/>
        <v>0</v>
      </c>
      <c r="Y160" s="250">
        <f t="shared" si="41"/>
        <v>0</v>
      </c>
      <c r="Z160" s="250">
        <f t="shared" si="41"/>
        <v>0</v>
      </c>
      <c r="AA160" s="250">
        <f t="shared" si="41"/>
        <v>0</v>
      </c>
      <c r="AB160" s="250">
        <f t="shared" si="41"/>
        <v>0</v>
      </c>
      <c r="AC160" s="250">
        <f t="shared" si="41"/>
        <v>0</v>
      </c>
      <c r="AD160" s="250">
        <f t="shared" si="41"/>
        <v>0</v>
      </c>
      <c r="AE160" s="250">
        <f t="shared" si="41"/>
        <v>0</v>
      </c>
      <c r="AF160" s="250">
        <f t="shared" si="41"/>
        <v>0</v>
      </c>
      <c r="AG160" s="132">
        <f t="shared" ref="AG160:AG171" si="42">SUM(B160:AF160)</f>
        <v>0</v>
      </c>
    </row>
    <row r="161">
      <c r="A161" s="240" t="s">
        <v>917</v>
      </c>
      <c r="B161" s="142">
        <f>(B13+B14+B91+B92)*'Data - P&amp;L'!$C$3</f>
        <v>86.9</v>
      </c>
      <c r="C161" s="142">
        <f>(C13+C14+C91+C92)*'Data - P&amp;L'!$C$3</f>
        <v>0</v>
      </c>
      <c r="D161" s="142">
        <f>(D13+D14+D91+D92)*'Data - P&amp;L'!$C$3</f>
        <v>86.9</v>
      </c>
      <c r="E161" s="142">
        <f>(E13+E14+E91+E92)*'Data - P&amp;L'!$C$3</f>
        <v>86.9</v>
      </c>
      <c r="F161" s="142">
        <f>(F13+F14+F91+F92)*'Data - P&amp;L'!$C$3</f>
        <v>260.7</v>
      </c>
      <c r="G161" s="142">
        <f>(G13+G14+G91+G92)*'Data - P&amp;L'!$C$3</f>
        <v>86.9</v>
      </c>
      <c r="H161" s="142">
        <f>(H13+H14+H91+H92)*'Data - P&amp;L'!$C$3</f>
        <v>86.9</v>
      </c>
      <c r="I161" s="142">
        <f>(I13+I14+I91+I92)*'Data - P&amp;L'!$C$3</f>
        <v>260.7</v>
      </c>
      <c r="J161" s="142">
        <f>(J13+J14+J91+J92)*'Data - P&amp;L'!$C$3</f>
        <v>0</v>
      </c>
      <c r="K161" s="142">
        <f>(K13+K14+K91+K92)*'Data - P&amp;L'!$C$3</f>
        <v>260.7</v>
      </c>
      <c r="L161" s="142">
        <f>(L13+L14+L91+L92)*'Data - P&amp;L'!$C$3</f>
        <v>347.6</v>
      </c>
      <c r="M161" s="142">
        <f>(M13+M14+M91+M92)*'Data - P&amp;L'!$C$3</f>
        <v>347.6</v>
      </c>
      <c r="N161" s="142">
        <f>(N13+N14+N91+N92)*'Data - P&amp;L'!$C$3</f>
        <v>86.9</v>
      </c>
      <c r="O161" s="142">
        <f>(O13+O14+O91+O92)*'Data - P&amp;L'!$C$3</f>
        <v>86.9</v>
      </c>
      <c r="P161" s="142">
        <f>(P13+P14+P91+P92)*'Data - P&amp;L'!$C$3</f>
        <v>173.8</v>
      </c>
      <c r="Q161" s="142">
        <f>(Q13+Q14+Q91+Q92)*'Data - P&amp;L'!$C$3</f>
        <v>86.9</v>
      </c>
      <c r="R161" s="142">
        <f>(R13+R14+R91+R92)*'Data - P&amp;L'!$C$3</f>
        <v>173.8</v>
      </c>
      <c r="S161" s="142">
        <f>(S13+S14+S91+S92)*'Data - P&amp;L'!$C$3</f>
        <v>173.8</v>
      </c>
      <c r="T161" s="142">
        <f>(T13+T14+T91+T92)*'Data - P&amp;L'!$C$3</f>
        <v>0</v>
      </c>
      <c r="U161" s="142">
        <f>(U13+U14+U91+U92)*'Data - P&amp;L'!$C$3</f>
        <v>347.6</v>
      </c>
      <c r="V161" s="142">
        <f>(V13+V14+V91+V92)*'Data - P&amp;L'!$C$3</f>
        <v>86.9</v>
      </c>
      <c r="W161" s="142">
        <f>(W13+W14+W91+W92)*'Data - P&amp;L'!$C$3</f>
        <v>260.7</v>
      </c>
      <c r="X161" s="142">
        <f>(X13+X14+X91+X92)*'Data - P&amp;L'!$C$3</f>
        <v>86.9</v>
      </c>
      <c r="Y161" s="142">
        <f>(Y13+Y14+Y91+Y92)*'Data - P&amp;L'!$C$3</f>
        <v>0</v>
      </c>
      <c r="Z161" s="142">
        <f>(Z13+Z14+Z91+Z92)*'Data - P&amp;L'!$C$3</f>
        <v>86.9</v>
      </c>
      <c r="AA161" s="142">
        <f>(AA13+AA14+AA91+AA92)*'Data - P&amp;L'!$C$3</f>
        <v>521.4</v>
      </c>
      <c r="AB161" s="142">
        <f>(AB13+AB14+AB91+AB92)*'Data - P&amp;L'!$C$3</f>
        <v>434.5</v>
      </c>
      <c r="AC161" s="142">
        <f>(AC13+AC14+AC91+AC92)*'Data - P&amp;L'!$C$3</f>
        <v>86.9</v>
      </c>
      <c r="AD161" s="142">
        <f>(AD13+AD14+AD91+AD92)*'Data - P&amp;L'!$C$3</f>
        <v>0</v>
      </c>
      <c r="AE161" s="142">
        <f>(AE13+AE14+AE91+AE92)*'Data - P&amp;L'!$C$3</f>
        <v>521.4</v>
      </c>
      <c r="AF161" s="142">
        <f>(AF13+AF14+AF91+AF92)*'Data - P&amp;L'!$C$3</f>
        <v>0</v>
      </c>
      <c r="AG161" s="126">
        <f t="shared" si="42"/>
        <v>5127.1</v>
      </c>
    </row>
    <row r="162">
      <c r="A162" s="243" t="s">
        <v>918</v>
      </c>
      <c r="B162" s="142">
        <f>(B15+B16+B93+B94)*'Data - P&amp;L'!$C$4</f>
        <v>878.49</v>
      </c>
      <c r="C162" s="142">
        <f>(C15+C16+C93+C94)*'Data - P&amp;L'!$C$4</f>
        <v>0</v>
      </c>
      <c r="D162" s="142">
        <f>(D15+D16+D93+D94)*'Data - P&amp;L'!$C$4</f>
        <v>1268.93</v>
      </c>
      <c r="E162" s="142">
        <f>(E15+E16+E93+E94)*'Data - P&amp;L'!$C$4</f>
        <v>585.66</v>
      </c>
      <c r="F162" s="142">
        <f>(F15+F16+F93+F94)*'Data - P&amp;L'!$C$4</f>
        <v>0</v>
      </c>
      <c r="G162" s="142">
        <f>(G15+G16+G93+G94)*'Data - P&amp;L'!$C$4</f>
        <v>0</v>
      </c>
      <c r="H162" s="142">
        <f>(H15+H16+H93+H94)*'Data - P&amp;L'!$C$4</f>
        <v>1171.32</v>
      </c>
      <c r="I162" s="142">
        <f>(I15+I16+I93+I94)*'Data - P&amp;L'!$C$4</f>
        <v>97.61</v>
      </c>
      <c r="J162" s="142">
        <f>(J15+J16+J93+J94)*'Data - P&amp;L'!$C$4</f>
        <v>292.83</v>
      </c>
      <c r="K162" s="142">
        <f>(K15+K16+K93+K94)*'Data - P&amp;L'!$C$4</f>
        <v>292.83</v>
      </c>
      <c r="L162" s="142">
        <f>(L15+L16+L93+L94)*'Data - P&amp;L'!$C$4</f>
        <v>683.27</v>
      </c>
      <c r="M162" s="142">
        <f>(M15+M16+M93+M94)*'Data - P&amp;L'!$C$4</f>
        <v>195.22</v>
      </c>
      <c r="N162" s="142">
        <f>(N15+N16+N93+N94)*'Data - P&amp;L'!$C$4</f>
        <v>0</v>
      </c>
      <c r="O162" s="142">
        <f>(O15+O16+O93+O94)*'Data - P&amp;L'!$C$4</f>
        <v>195.22</v>
      </c>
      <c r="P162" s="142">
        <f>(P15+P16+P93+P94)*'Data - P&amp;L'!$C$4</f>
        <v>195.22</v>
      </c>
      <c r="Q162" s="142">
        <f>(Q15+Q16+Q93+Q94)*'Data - P&amp;L'!$C$4</f>
        <v>390.44</v>
      </c>
      <c r="R162" s="142">
        <f>(R15+R16+R93+R94)*'Data - P&amp;L'!$C$4</f>
        <v>585.66</v>
      </c>
      <c r="S162" s="142">
        <f>(S15+S16+S93+S94)*'Data - P&amp;L'!$C$4</f>
        <v>0</v>
      </c>
      <c r="T162" s="142">
        <f>(T15+T16+T93+T94)*'Data - P&amp;L'!$C$4</f>
        <v>976.1</v>
      </c>
      <c r="U162" s="142">
        <f>(U15+U16+U93+U94)*'Data - P&amp;L'!$C$4</f>
        <v>683.27</v>
      </c>
      <c r="V162" s="142">
        <f>(V15+V16+V93+V94)*'Data - P&amp;L'!$C$4</f>
        <v>1171.32</v>
      </c>
      <c r="W162" s="142">
        <f>(W15+W16+W93+W94)*'Data - P&amp;L'!$C$4</f>
        <v>878.49</v>
      </c>
      <c r="X162" s="142">
        <f>(X15+X16+X93+X94)*'Data - P&amp;L'!$C$4</f>
        <v>488.05</v>
      </c>
      <c r="Y162" s="142">
        <f>(Y15+Y16+Y93+Y94)*'Data - P&amp;L'!$C$4</f>
        <v>97.61</v>
      </c>
      <c r="Z162" s="142">
        <f>(Z15+Z16+Z93+Z94)*'Data - P&amp;L'!$C$4</f>
        <v>0</v>
      </c>
      <c r="AA162" s="142">
        <f>(AA15+AA16+AA93+AA94)*'Data - P&amp;L'!$C$4</f>
        <v>0</v>
      </c>
      <c r="AB162" s="142">
        <f>(AB15+AB16+AB93+AB94)*'Data - P&amp;L'!$C$4</f>
        <v>97.61</v>
      </c>
      <c r="AC162" s="142">
        <f>(AC15+AC16+AC93+AC94)*'Data - P&amp;L'!$C$4</f>
        <v>585.66</v>
      </c>
      <c r="AD162" s="142">
        <f>(AD15+AD16+AD93+AD94)*'Data - P&amp;L'!$C$4</f>
        <v>585.66</v>
      </c>
      <c r="AE162" s="142">
        <f>(AE15+AE16+AE93+AE94)*'Data - P&amp;L'!$C$4</f>
        <v>585.66</v>
      </c>
      <c r="AF162" s="142">
        <f>(AF15+AF16+AF93+AF94)*'Data - P&amp;L'!$C$4</f>
        <v>585.66</v>
      </c>
      <c r="AG162" s="126">
        <f t="shared" si="42"/>
        <v>13567.79</v>
      </c>
    </row>
    <row r="163">
      <c r="A163" s="243" t="s">
        <v>919</v>
      </c>
      <c r="B163" s="142">
        <f>(B19+B97)*'Data - P&amp;L'!$C$6</f>
        <v>0</v>
      </c>
      <c r="C163" s="142">
        <f>(C19+C97)*'Data - P&amp;L'!$C$6</f>
        <v>0</v>
      </c>
      <c r="D163" s="142">
        <f>(D19+D97)*'Data - P&amp;L'!$C$6</f>
        <v>0</v>
      </c>
      <c r="E163" s="142">
        <f>(E19+E97)*'Data - P&amp;L'!$C$6</f>
        <v>0</v>
      </c>
      <c r="F163" s="142">
        <f>(F19+F97)*'Data - P&amp;L'!$C$6</f>
        <v>0</v>
      </c>
      <c r="G163" s="142">
        <f>(G19+G97)*'Data - P&amp;L'!$C$6</f>
        <v>0</v>
      </c>
      <c r="H163" s="142">
        <f>(H19+H97)*'Data - P&amp;L'!$C$6</f>
        <v>0</v>
      </c>
      <c r="I163" s="142">
        <f>(I19+I97)*'Data - P&amp;L'!$C$6</f>
        <v>0</v>
      </c>
      <c r="J163" s="142">
        <f>(J19+J97)*'Data - P&amp;L'!$C$6</f>
        <v>0</v>
      </c>
      <c r="K163" s="142">
        <f>(K19+K97)*'Data - P&amp;L'!$C$6</f>
        <v>0</v>
      </c>
      <c r="L163" s="142">
        <f>(L19+L97)*'Data - P&amp;L'!$C$6</f>
        <v>0</v>
      </c>
      <c r="M163" s="142">
        <f>(M19+M97)*'Data - P&amp;L'!$C$6</f>
        <v>0</v>
      </c>
      <c r="N163" s="142">
        <f>(N19+N97)*'Data - P&amp;L'!$C$6</f>
        <v>0</v>
      </c>
      <c r="O163" s="142">
        <f>(O19+O97)*'Data - P&amp;L'!$C$6</f>
        <v>0</v>
      </c>
      <c r="P163" s="142">
        <f>(P19+P97)*'Data - P&amp;L'!$C$6</f>
        <v>0</v>
      </c>
      <c r="Q163" s="142">
        <f>(Q19+Q97)*'Data - P&amp;L'!$C$6</f>
        <v>0</v>
      </c>
      <c r="R163" s="142">
        <f>(R19+R97)*'Data - P&amp;L'!$C$6</f>
        <v>0</v>
      </c>
      <c r="S163" s="142">
        <f>(S19+S97)*'Data - P&amp;L'!$C$6</f>
        <v>0</v>
      </c>
      <c r="T163" s="142">
        <f>(T19+T97)*'Data - P&amp;L'!$C$6</f>
        <v>0</v>
      </c>
      <c r="U163" s="142">
        <f>(U19+U97)*'Data - P&amp;L'!$C$6</f>
        <v>0</v>
      </c>
      <c r="V163" s="142">
        <f>(V19+V97)*'Data - P&amp;L'!$C$6</f>
        <v>0</v>
      </c>
      <c r="W163" s="142">
        <f>(W19+W97)*'Data - P&amp;L'!$C$6</f>
        <v>0</v>
      </c>
      <c r="X163" s="142">
        <f>(X19+X97)*'Data - P&amp;L'!$C$6</f>
        <v>0</v>
      </c>
      <c r="Y163" s="142">
        <f>(Y19+Y97)*'Data - P&amp;L'!$C$6</f>
        <v>0</v>
      </c>
      <c r="Z163" s="142">
        <f>(Z19+Z97)*'Data - P&amp;L'!$C$6</f>
        <v>0</v>
      </c>
      <c r="AA163" s="142">
        <f>(AA19+AA97)*'Data - P&amp;L'!$C$6</f>
        <v>0</v>
      </c>
      <c r="AB163" s="142">
        <f>(AB19+AB97)*'Data - P&amp;L'!$C$6</f>
        <v>0</v>
      </c>
      <c r="AC163" s="142">
        <f>(AC19+AC97)*'Data - P&amp;L'!$C$6</f>
        <v>0</v>
      </c>
      <c r="AD163" s="142">
        <f>(AD19+AD97)*'Data - P&amp;L'!$C$6</f>
        <v>0</v>
      </c>
      <c r="AE163" s="142">
        <f>(AE19+AE97)*'Data - P&amp;L'!$C$6</f>
        <v>0</v>
      </c>
      <c r="AF163" s="142">
        <f>(AF19+AF97)*'Data - P&amp;L'!$C$6</f>
        <v>0</v>
      </c>
      <c r="AG163" s="126">
        <f t="shared" si="42"/>
        <v>0</v>
      </c>
    </row>
    <row r="164">
      <c r="A164" s="243" t="s">
        <v>920</v>
      </c>
      <c r="B164" s="142">
        <f>(B20+B98)*'Data - P&amp;L'!$C$8</f>
        <v>0</v>
      </c>
      <c r="C164" s="142">
        <f>(C20+C98)*'Data - P&amp;L'!$C$8</f>
        <v>0</v>
      </c>
      <c r="D164" s="142">
        <f>(D20+D98)*'Data - P&amp;L'!$C$8</f>
        <v>0</v>
      </c>
      <c r="E164" s="142">
        <f>(E20+E98)*'Data - P&amp;L'!$C$8</f>
        <v>0</v>
      </c>
      <c r="F164" s="142">
        <f>(F20+F98)*'Data - P&amp;L'!$C$8</f>
        <v>0</v>
      </c>
      <c r="G164" s="142">
        <f>(G20+G98)*'Data - P&amp;L'!$C$8</f>
        <v>0</v>
      </c>
      <c r="H164" s="142">
        <f>(H20+H98)*'Data - P&amp;L'!$C$8</f>
        <v>0</v>
      </c>
      <c r="I164" s="142">
        <f>(I20+I98)*'Data - P&amp;L'!$C$8</f>
        <v>0</v>
      </c>
      <c r="J164" s="142">
        <f>(J20+J98)*'Data - P&amp;L'!$C$8</f>
        <v>0</v>
      </c>
      <c r="K164" s="142">
        <f>(K20+K98)*'Data - P&amp;L'!$C$8</f>
        <v>0</v>
      </c>
      <c r="L164" s="142">
        <f>(L20+L98)*'Data - P&amp;L'!$C$8</f>
        <v>0</v>
      </c>
      <c r="M164" s="142">
        <f>(M20+M98)*'Data - P&amp;L'!$C$8</f>
        <v>0</v>
      </c>
      <c r="N164" s="142">
        <f>(N20+N98)*'Data - P&amp;L'!$C$8</f>
        <v>0</v>
      </c>
      <c r="O164" s="142">
        <f>(O20+O98)*'Data - P&amp;L'!$C$8</f>
        <v>0</v>
      </c>
      <c r="P164" s="142">
        <f>(P20+P98)*'Data - P&amp;L'!$C$8</f>
        <v>0</v>
      </c>
      <c r="Q164" s="142">
        <f>(Q20+Q98)*'Data - P&amp;L'!$C$8</f>
        <v>0</v>
      </c>
      <c r="R164" s="142">
        <f>(R20+R98)*'Data - P&amp;L'!$C$8</f>
        <v>0</v>
      </c>
      <c r="S164" s="142">
        <f>(S20+S98)*'Data - P&amp;L'!$C$8</f>
        <v>0</v>
      </c>
      <c r="T164" s="142">
        <f>(T20+T98)*'Data - P&amp;L'!$C$8</f>
        <v>0</v>
      </c>
      <c r="U164" s="142">
        <f>(U20+U98)*'Data - P&amp;L'!$C$8</f>
        <v>0</v>
      </c>
      <c r="V164" s="142">
        <f>(V20+V98)*'Data - P&amp;L'!$C$8</f>
        <v>0</v>
      </c>
      <c r="W164" s="142">
        <f>(W20+W98)*'Data - P&amp;L'!$C$8</f>
        <v>0</v>
      </c>
      <c r="X164" s="142">
        <f>(X20+X98)*'Data - P&amp;L'!$C$8</f>
        <v>0</v>
      </c>
      <c r="Y164" s="142">
        <f>(Y20+Y98)*'Data - P&amp;L'!$C$8</f>
        <v>0</v>
      </c>
      <c r="Z164" s="142">
        <f>(Z20+Z98)*'Data - P&amp;L'!$C$8</f>
        <v>0</v>
      </c>
      <c r="AA164" s="142">
        <f>(AA20+AA98)*'Data - P&amp;L'!$C$8</f>
        <v>0</v>
      </c>
      <c r="AB164" s="142">
        <f>(AB20+AB98)*'Data - P&amp;L'!$C$8</f>
        <v>0</v>
      </c>
      <c r="AC164" s="142">
        <f>(AC20+AC98)*'Data - P&amp;L'!$C$8</f>
        <v>0</v>
      </c>
      <c r="AD164" s="142">
        <f>(AD20+AD98)*'Data - P&amp;L'!$C$8</f>
        <v>0</v>
      </c>
      <c r="AE164" s="142">
        <f>(AE20+AE98)*'Data - P&amp;L'!$C$8</f>
        <v>0</v>
      </c>
      <c r="AF164" s="142">
        <f>(AF20+AF98)*'Data - P&amp;L'!$C$8</f>
        <v>0</v>
      </c>
      <c r="AG164" s="126">
        <f t="shared" si="42"/>
        <v>0</v>
      </c>
    </row>
    <row r="165">
      <c r="A165" s="243" t="s">
        <v>921</v>
      </c>
      <c r="B165" s="142">
        <f>(B21+B22+B99+B100)*'Data - P&amp;L'!$C$9</f>
        <v>0</v>
      </c>
      <c r="C165" s="142">
        <f>(C21+C22+C99+C100)*'Data - P&amp;L'!$C$9</f>
        <v>0</v>
      </c>
      <c r="D165" s="142">
        <f>(D21+D22+D99+D100)*'Data - P&amp;L'!$C$9</f>
        <v>0</v>
      </c>
      <c r="E165" s="142">
        <f>(E21+E22+E99+E100)*'Data - P&amp;L'!$C$9</f>
        <v>0</v>
      </c>
      <c r="F165" s="142">
        <f>(F21+F22+F99+F100)*'Data - P&amp;L'!$C$9</f>
        <v>0</v>
      </c>
      <c r="G165" s="142">
        <f>(G21+G22+G99+G100)*'Data - P&amp;L'!$C$9</f>
        <v>0</v>
      </c>
      <c r="H165" s="142">
        <f>(H21+H22+H99+H100)*'Data - P&amp;L'!$C$9</f>
        <v>0</v>
      </c>
      <c r="I165" s="142">
        <f>(I21+I22+I99+I100)*'Data - P&amp;L'!$C$9</f>
        <v>0</v>
      </c>
      <c r="J165" s="142">
        <f>(J21+J22+J99+J100)*'Data - P&amp;L'!$C$9</f>
        <v>0</v>
      </c>
      <c r="K165" s="142">
        <f>(K21+K22+K99+K100)*'Data - P&amp;L'!$C$9</f>
        <v>0</v>
      </c>
      <c r="L165" s="142">
        <f>(L21+L22+L99+L100)*'Data - P&amp;L'!$C$9</f>
        <v>0</v>
      </c>
      <c r="M165" s="142">
        <f>(M21+M22+M99+M100)*'Data - P&amp;L'!$C$9</f>
        <v>0</v>
      </c>
      <c r="N165" s="142">
        <f>(N21+N22+N99+N100)*'Data - P&amp;L'!$C$9</f>
        <v>0</v>
      </c>
      <c r="O165" s="142">
        <f>(O21+O22+O99+O100)*'Data - P&amp;L'!$C$9</f>
        <v>0</v>
      </c>
      <c r="P165" s="142">
        <f>(P21+P22+P99+P100)*'Data - P&amp;L'!$C$9</f>
        <v>0</v>
      </c>
      <c r="Q165" s="142">
        <f>(Q21+Q22+Q99+Q100)*'Data - P&amp;L'!$C$9</f>
        <v>0</v>
      </c>
      <c r="R165" s="142">
        <f>(R21+R22+R99+R100)*'Data - P&amp;L'!$C$9</f>
        <v>0</v>
      </c>
      <c r="S165" s="142">
        <f>(S21+S22+S99+S100)*'Data - P&amp;L'!$C$9</f>
        <v>0</v>
      </c>
      <c r="T165" s="142">
        <f>(T21+T22+T99+T100)*'Data - P&amp;L'!$C$9</f>
        <v>0</v>
      </c>
      <c r="U165" s="142">
        <f>(U21+U22+U99+U100)*'Data - P&amp;L'!$C$9</f>
        <v>0</v>
      </c>
      <c r="V165" s="142">
        <f>(V21+V22+V99+V100)*'Data - P&amp;L'!$C$9</f>
        <v>0</v>
      </c>
      <c r="W165" s="142">
        <f>(W21+W22+W99+W100)*'Data - P&amp;L'!$C$9</f>
        <v>0</v>
      </c>
      <c r="X165" s="142">
        <f>(X21+X22+X99+X100)*'Data - P&amp;L'!$C$9</f>
        <v>0</v>
      </c>
      <c r="Y165" s="142">
        <f>(Y21+Y22+Y99+Y100)*'Data - P&amp;L'!$C$9</f>
        <v>0</v>
      </c>
      <c r="Z165" s="142">
        <f>(Z21+Z22+Z99+Z100)*'Data - P&amp;L'!$C$9</f>
        <v>0</v>
      </c>
      <c r="AA165" s="142">
        <f>(AA21+AA22+AA99+AA100)*'Data - P&amp;L'!$C$9</f>
        <v>0</v>
      </c>
      <c r="AB165" s="142">
        <f>(AB21+AB22+AB99+AB100)*'Data - P&amp;L'!$C$9</f>
        <v>0</v>
      </c>
      <c r="AC165" s="142">
        <f>(AC21+AC22+AC99+AC100)*'Data - P&amp;L'!$C$9</f>
        <v>0</v>
      </c>
      <c r="AD165" s="142">
        <f>(AD21+AD22+AD99+AD100)*'Data - P&amp;L'!$C$9</f>
        <v>0</v>
      </c>
      <c r="AE165" s="142">
        <f>(AE21+AE22+AE99+AE100)*'Data - P&amp;L'!$C$9</f>
        <v>0</v>
      </c>
      <c r="AF165" s="142">
        <f>(AF21+AF22+AF99+AF100)*'Data - P&amp;L'!$C$9</f>
        <v>0</v>
      </c>
      <c r="AG165" s="126">
        <f t="shared" si="42"/>
        <v>0</v>
      </c>
    </row>
    <row r="166">
      <c r="A166" s="243" t="s">
        <v>922</v>
      </c>
      <c r="B166" s="142">
        <f>(B23+B24+B101+B102)*'Data - P&amp;L'!$C$5</f>
        <v>0</v>
      </c>
      <c r="C166" s="142">
        <f>(C23+C24+C101+C102)*'Data - P&amp;L'!$C$5</f>
        <v>0</v>
      </c>
      <c r="D166" s="142">
        <f>(D23+D24+D101+D102)*'Data - P&amp;L'!$C$5</f>
        <v>0</v>
      </c>
      <c r="E166" s="142">
        <f>(E23+E24+E101+E102)*'Data - P&amp;L'!$C$5</f>
        <v>0</v>
      </c>
      <c r="F166" s="142">
        <f>(F23+F24+F101+F102)*'Data - P&amp;L'!$C$5</f>
        <v>0</v>
      </c>
      <c r="G166" s="142">
        <f>(G23+G24+G101+G102)*'Data - P&amp;L'!$C$5</f>
        <v>0</v>
      </c>
      <c r="H166" s="142">
        <f>(H23+H24+H101+H102)*'Data - P&amp;L'!$C$5</f>
        <v>0</v>
      </c>
      <c r="I166" s="142">
        <f>(I23+I24+I101+I102)*'Data - P&amp;L'!$C$5</f>
        <v>0</v>
      </c>
      <c r="J166" s="142">
        <f>(J23+J24+J101+J102)*'Data - P&amp;L'!$C$5</f>
        <v>0</v>
      </c>
      <c r="K166" s="142">
        <f>(K23+K24+K101+K102)*'Data - P&amp;L'!$C$5</f>
        <v>0</v>
      </c>
      <c r="L166" s="142">
        <f>(L23+L24+L101+L102)*'Data - P&amp;L'!$C$5</f>
        <v>0</v>
      </c>
      <c r="M166" s="142">
        <f>(M23+M24+M101+M102)*'Data - P&amp;L'!$C$5</f>
        <v>0</v>
      </c>
      <c r="N166" s="142">
        <f>(N23+N24+N101+N102)*'Data - P&amp;L'!$C$5</f>
        <v>0</v>
      </c>
      <c r="O166" s="142">
        <f>(O23+O24+O101+O102)*'Data - P&amp;L'!$C$5</f>
        <v>0</v>
      </c>
      <c r="P166" s="142">
        <f>(P23+P24+P101+P102)*'Data - P&amp;L'!$C$5</f>
        <v>0</v>
      </c>
      <c r="Q166" s="142">
        <f>(Q23+Q24+Q101+Q102)*'Data - P&amp;L'!$C$5</f>
        <v>0</v>
      </c>
      <c r="R166" s="142">
        <f>(R23+R24+R101+R102)*'Data - P&amp;L'!$C$5</f>
        <v>0</v>
      </c>
      <c r="S166" s="142">
        <f>(S23+S24+S101+S102)*'Data - P&amp;L'!$C$5</f>
        <v>0</v>
      </c>
      <c r="T166" s="142">
        <f>(T23+T24+T101+T102)*'Data - P&amp;L'!$C$5</f>
        <v>0</v>
      </c>
      <c r="U166" s="142">
        <f>(U23+U24+U101+U102)*'Data - P&amp;L'!$C$5</f>
        <v>0</v>
      </c>
      <c r="V166" s="142">
        <f>(V23+V24+V101+V102)*'Data - P&amp;L'!$C$5</f>
        <v>0</v>
      </c>
      <c r="W166" s="142">
        <f>(W23+W24+W101+W102)*'Data - P&amp;L'!$C$5</f>
        <v>0</v>
      </c>
      <c r="X166" s="142">
        <f>(X23+X24+X101+X102)*'Data - P&amp;L'!$C$5</f>
        <v>0</v>
      </c>
      <c r="Y166" s="142">
        <f>(Y23+Y24+Y101+Y102)*'Data - P&amp;L'!$C$5</f>
        <v>0</v>
      </c>
      <c r="Z166" s="142">
        <f>(Z23+Z24+Z101+Z102)*'Data - P&amp;L'!$C$5</f>
        <v>0</v>
      </c>
      <c r="AA166" s="142">
        <f>(AA23+AA24+AA101+AA102)*'Data - P&amp;L'!$C$5</f>
        <v>0</v>
      </c>
      <c r="AB166" s="142">
        <f>(AB23+AB24+AB101+AB102)*'Data - P&amp;L'!$C$5</f>
        <v>0</v>
      </c>
      <c r="AC166" s="142">
        <f>(AC23+AC24+AC101+AC102)*'Data - P&amp;L'!$C$5</f>
        <v>0</v>
      </c>
      <c r="AD166" s="142">
        <f>(AD23+AD24+AD101+AD102)*'Data - P&amp;L'!$C$5</f>
        <v>0</v>
      </c>
      <c r="AE166" s="142">
        <f>(AE23+AE24+AE101+AE102)*'Data - P&amp;L'!$C$5</f>
        <v>0</v>
      </c>
      <c r="AF166" s="142">
        <f>(AF23+AF24+AF101+AF102)*'Data - P&amp;L'!$C$5</f>
        <v>0</v>
      </c>
      <c r="AG166" s="126">
        <f t="shared" si="42"/>
        <v>0</v>
      </c>
    </row>
    <row r="167">
      <c r="A167" s="243" t="s">
        <v>923</v>
      </c>
      <c r="B167" s="142">
        <f>(B25+B26+B103+B104)*'Data - P&amp;L'!$C$10</f>
        <v>0</v>
      </c>
      <c r="C167" s="142">
        <f>(C25+C26+C103+C104)*'Data - P&amp;L'!$C$10</f>
        <v>0</v>
      </c>
      <c r="D167" s="142">
        <f>(D25+D26+D103+D104)*'Data - P&amp;L'!$C$10</f>
        <v>0</v>
      </c>
      <c r="E167" s="142">
        <f>(E25+E26+E103+E104)*'Data - P&amp;L'!$C$10</f>
        <v>0</v>
      </c>
      <c r="F167" s="142">
        <f>(F25+F26+F103+F104)*'Data - P&amp;L'!$C$10</f>
        <v>0</v>
      </c>
      <c r="G167" s="142">
        <f>(G25+G26+G103+G104)*'Data - P&amp;L'!$C$10</f>
        <v>0</v>
      </c>
      <c r="H167" s="142">
        <f>(H25+H26+H103+H104)*'Data - P&amp;L'!$C$10</f>
        <v>0</v>
      </c>
      <c r="I167" s="142">
        <f>(I25+I26+I103+I104)*'Data - P&amp;L'!$C$10</f>
        <v>0</v>
      </c>
      <c r="J167" s="142">
        <f>(J25+J26+J103+J104)*'Data - P&amp;L'!$C$10</f>
        <v>0</v>
      </c>
      <c r="K167" s="142">
        <f>(K25+K26+K103+K104)*'Data - P&amp;L'!$C$10</f>
        <v>0</v>
      </c>
      <c r="L167" s="142">
        <f>(L25+L26+L103+L104)*'Data - P&amp;L'!$C$10</f>
        <v>0</v>
      </c>
      <c r="M167" s="142">
        <f>(M25+M26+M103+M104)*'Data - P&amp;L'!$C$10</f>
        <v>0</v>
      </c>
      <c r="N167" s="142">
        <f>(N25+N26+N103+N104)*'Data - P&amp;L'!$C$10</f>
        <v>0</v>
      </c>
      <c r="O167" s="142">
        <f>(O25+O26+O103+O104)*'Data - P&amp;L'!$C$10</f>
        <v>0</v>
      </c>
      <c r="P167" s="142">
        <f>(P25+P26+P103+P104)*'Data - P&amp;L'!$C$10</f>
        <v>0</v>
      </c>
      <c r="Q167" s="142">
        <f>(Q25+Q26+Q103+Q104)*'Data - P&amp;L'!$C$10</f>
        <v>0</v>
      </c>
      <c r="R167" s="142">
        <f>(R25+R26+R103+R104)*'Data - P&amp;L'!$C$10</f>
        <v>0</v>
      </c>
      <c r="S167" s="142">
        <f>(S25+S26+S103+S104)*'Data - P&amp;L'!$C$10</f>
        <v>0</v>
      </c>
      <c r="T167" s="142">
        <f>(T25+T26+T103+T104)*'Data - P&amp;L'!$C$10</f>
        <v>0</v>
      </c>
      <c r="U167" s="142">
        <f>(U25+U26+U103+U104)*'Data - P&amp;L'!$C$10</f>
        <v>0</v>
      </c>
      <c r="V167" s="142">
        <f>(V25+V26+V103+V104)*'Data - P&amp;L'!$C$10</f>
        <v>0</v>
      </c>
      <c r="W167" s="142">
        <f>(W25+W26+W103+W104)*'Data - P&amp;L'!$C$10</f>
        <v>0</v>
      </c>
      <c r="X167" s="142">
        <f>(X25+X26+X103+X104)*'Data - P&amp;L'!$C$10</f>
        <v>0</v>
      </c>
      <c r="Y167" s="142">
        <f>(Y25+Y26+Y103+Y104)*'Data - P&amp;L'!$C$10</f>
        <v>0</v>
      </c>
      <c r="Z167" s="142">
        <f>(Z25+Z26+Z103+Z104)*'Data - P&amp;L'!$C$10</f>
        <v>0</v>
      </c>
      <c r="AA167" s="142">
        <f>(AA25+AA26+AA103+AA104)*'Data - P&amp;L'!$C$10</f>
        <v>0</v>
      </c>
      <c r="AB167" s="142">
        <f>(AB25+AB26+AB103+AB104)*'Data - P&amp;L'!$C$10</f>
        <v>0</v>
      </c>
      <c r="AC167" s="142">
        <f>(AC25+AC26+AC103+AC104)*'Data - P&amp;L'!$C$10</f>
        <v>0</v>
      </c>
      <c r="AD167" s="142">
        <f>(AD25+AD26+AD103+AD104)*'Data - P&amp;L'!$C$10</f>
        <v>0</v>
      </c>
      <c r="AE167" s="142">
        <f>(AE25+AE26+AE103+AE104)*'Data - P&amp;L'!$C$10</f>
        <v>0</v>
      </c>
      <c r="AF167" s="142">
        <f>(AF25+AF26+AF103+AF104)*'Data - P&amp;L'!$C$10</f>
        <v>0</v>
      </c>
      <c r="AG167" s="126">
        <f t="shared" si="42"/>
        <v>0</v>
      </c>
    </row>
    <row r="168">
      <c r="A168" s="448" t="s">
        <v>924</v>
      </c>
      <c r="B168" s="244">
        <f>(B17*'Data - P&amp;L'!$C$38)+(B95*'Data - P&amp;L'!$C$39)</f>
        <v>119.4</v>
      </c>
      <c r="C168" s="244">
        <f>(C17*'Data - P&amp;L'!$C$38)+(C95*'Data - P&amp;L'!$C$39)</f>
        <v>0</v>
      </c>
      <c r="D168" s="244">
        <f>(D17*'Data - P&amp;L'!$C$38)+(D95*'Data - P&amp;L'!$C$39)</f>
        <v>167.16</v>
      </c>
      <c r="E168" s="244">
        <f>(E17*'Data - P&amp;L'!$C$38)+(E95*'Data - P&amp;L'!$C$39)</f>
        <v>83.58</v>
      </c>
      <c r="F168" s="244">
        <f>(F17*'Data - P&amp;L'!$C$38)+(F95*'Data - P&amp;L'!$C$39)</f>
        <v>35.82</v>
      </c>
      <c r="G168" s="244">
        <f>(G17*'Data - P&amp;L'!$C$38)+(G95*'Data - P&amp;L'!$C$39)</f>
        <v>11.94</v>
      </c>
      <c r="H168" s="244">
        <f>(H17*'Data - P&amp;L'!$C$38)+(H95*'Data - P&amp;L'!$C$39)</f>
        <v>155.22</v>
      </c>
      <c r="I168" s="244">
        <f>(I17*'Data - P&amp;L'!$C$38)+(I95*'Data - P&amp;L'!$C$39)</f>
        <v>47.76</v>
      </c>
      <c r="J168" s="244">
        <f>(J17*'Data - P&amp;L'!$C$38)+(J95*'Data - P&amp;L'!$C$39)</f>
        <v>35.82</v>
      </c>
      <c r="K168" s="244">
        <f>(K17*'Data - P&amp;L'!$C$38)+(K95*'Data - P&amp;L'!$C$39)</f>
        <v>71.64</v>
      </c>
      <c r="L168" s="244">
        <f>(L17*'Data - P&amp;L'!$C$38)+(L95*'Data - P&amp;L'!$C$39)</f>
        <v>131.34</v>
      </c>
      <c r="M168" s="244">
        <f>(M17*'Data - P&amp;L'!$C$38)+(M95*'Data - P&amp;L'!$C$39)</f>
        <v>71.64</v>
      </c>
      <c r="N168" s="244">
        <f>(N17*'Data - P&amp;L'!$C$38)+(N95*'Data - P&amp;L'!$C$39)</f>
        <v>11.94</v>
      </c>
      <c r="O168" s="244">
        <f>(O17*'Data - P&amp;L'!$C$38)+(O95*'Data - P&amp;L'!$C$39)</f>
        <v>35.82</v>
      </c>
      <c r="P168" s="244">
        <f>(P17*'Data - P&amp;L'!$C$38)+(P95*'Data - P&amp;L'!$C$39)</f>
        <v>47.76</v>
      </c>
      <c r="Q168" s="244">
        <f>(Q17*'Data - P&amp;L'!$C$38)+(Q95*'Data - P&amp;L'!$C$39)</f>
        <v>59.7</v>
      </c>
      <c r="R168" s="244">
        <f>(R17*'Data - P&amp;L'!$C$38)+(R95*'Data - P&amp;L'!$C$39)</f>
        <v>95.52</v>
      </c>
      <c r="S168" s="244">
        <f>(S17*'Data - P&amp;L'!$C$38)+(S95*'Data - P&amp;L'!$C$39)</f>
        <v>23.88</v>
      </c>
      <c r="T168" s="244">
        <f>(T17*'Data - P&amp;L'!$C$38)+(T95*'Data - P&amp;L'!$C$39)</f>
        <v>119.4</v>
      </c>
      <c r="U168" s="244">
        <f>(U17*'Data - P&amp;L'!$C$38)+(U95*'Data - P&amp;L'!$C$39)</f>
        <v>131.34</v>
      </c>
      <c r="V168" s="244">
        <f>(V17*'Data - P&amp;L'!$C$38)+(V95*'Data - P&amp;L'!$C$39)</f>
        <v>155.22</v>
      </c>
      <c r="W168" s="244">
        <f>(W17*'Data - P&amp;L'!$C$38)+(W95*'Data - P&amp;L'!$C$39)</f>
        <v>143.28</v>
      </c>
      <c r="X168" s="244">
        <f>(X17*'Data - P&amp;L'!$C$38)+(X95*'Data - P&amp;L'!$C$39)</f>
        <v>71.64</v>
      </c>
      <c r="Y168" s="244">
        <f>(Y17*'Data - P&amp;L'!$C$38)+(Y95*'Data - P&amp;L'!$C$39)</f>
        <v>11.94</v>
      </c>
      <c r="Z168" s="244">
        <f>(Z17*'Data - P&amp;L'!$C$38)+(Z95*'Data - P&amp;L'!$C$39)</f>
        <v>11.94</v>
      </c>
      <c r="AA168" s="244">
        <f>(AA17*'Data - P&amp;L'!$C$38)+(AA95*'Data - P&amp;L'!$C$39)</f>
        <v>71.64</v>
      </c>
      <c r="AB168" s="244">
        <f>(AB17*'Data - P&amp;L'!$C$38)+(AB95*'Data - P&amp;L'!$C$39)</f>
        <v>71.64</v>
      </c>
      <c r="AC168" s="244">
        <f>(AC17*'Data - P&amp;L'!$C$38)+(AC95*'Data - P&amp;L'!$C$39)</f>
        <v>83.58</v>
      </c>
      <c r="AD168" s="244">
        <f>(AD17*'Data - P&amp;L'!$C$38)+(AD95*'Data - P&amp;L'!$C$39)</f>
        <v>71.64</v>
      </c>
      <c r="AE168" s="244">
        <f>(AE17*'Data - P&amp;L'!$C$38)+(AE95*'Data - P&amp;L'!$C$39)</f>
        <v>143.28</v>
      </c>
      <c r="AF168" s="244">
        <f>(AF17*'Data - P&amp;L'!$C$38)+(AF95*'Data - P&amp;L'!$C$39)</f>
        <v>71.64</v>
      </c>
      <c r="AG168" s="242">
        <f t="shared" si="42"/>
        <v>2364.12</v>
      </c>
    </row>
    <row r="169">
      <c r="A169" s="243" t="s">
        <v>925</v>
      </c>
      <c r="B169" s="142">
        <f>(B17*'Data - P&amp;L'!$C$34)+(B95*'Data - P&amp;L'!$C$35)</f>
        <v>407.28</v>
      </c>
      <c r="C169" s="142">
        <f>(C17*'Data - P&amp;L'!$C$34)+(C95*'Data - P&amp;L'!$C$35)</f>
        <v>0</v>
      </c>
      <c r="D169" s="142">
        <f>(D17*'Data - P&amp;L'!$C$34)+(D95*'Data - P&amp;L'!$C$35)</f>
        <v>581.6</v>
      </c>
      <c r="E169" s="142">
        <f>(E17*'Data - P&amp;L'!$C$34)+(E95*'Data - P&amp;L'!$C$35)</f>
        <v>276.54</v>
      </c>
      <c r="F169" s="142">
        <f>(F17*'Data - P&amp;L'!$C$34)+(F95*'Data - P&amp;L'!$C$35)</f>
        <v>45.18</v>
      </c>
      <c r="G169" s="142">
        <f>(G17*'Data - P&amp;L'!$C$34)+(G95*'Data - P&amp;L'!$C$35)</f>
        <v>15.06</v>
      </c>
      <c r="H169" s="142">
        <f>(H17*'Data - P&amp;L'!$C$34)+(H95*'Data - P&amp;L'!$C$35)</f>
        <v>538.02</v>
      </c>
      <c r="I169" s="142">
        <f>(I17*'Data - P&amp;L'!$C$34)+(I95*'Data - P&amp;L'!$C$35)</f>
        <v>88.76</v>
      </c>
      <c r="J169" s="142">
        <f>(J17*'Data - P&amp;L'!$C$34)+(J95*'Data - P&amp;L'!$C$35)</f>
        <v>130.74</v>
      </c>
      <c r="K169" s="142">
        <f>(K17*'Data - P&amp;L'!$C$34)+(K95*'Data - P&amp;L'!$C$35)</f>
        <v>175.92</v>
      </c>
      <c r="L169" s="142">
        <f>(L17*'Data - P&amp;L'!$C$34)+(L95*'Data - P&amp;L'!$C$35)</f>
        <v>365.3</v>
      </c>
      <c r="M169" s="142">
        <f>(M17*'Data - P&amp;L'!$C$34)+(M95*'Data - P&amp;L'!$C$35)</f>
        <v>147.4</v>
      </c>
      <c r="N169" s="142">
        <f>(N17*'Data - P&amp;L'!$C$34)+(N95*'Data - P&amp;L'!$C$35)</f>
        <v>15.06</v>
      </c>
      <c r="O169" s="142">
        <f>(O17*'Data - P&amp;L'!$C$34)+(O95*'Data - P&amp;L'!$C$35)</f>
        <v>102.22</v>
      </c>
      <c r="P169" s="142">
        <f>(P17*'Data - P&amp;L'!$C$34)+(P95*'Data - P&amp;L'!$C$35)</f>
        <v>117.28</v>
      </c>
      <c r="Q169" s="142">
        <f>(Q17*'Data - P&amp;L'!$C$34)+(Q95*'Data - P&amp;L'!$C$35)</f>
        <v>189.38</v>
      </c>
      <c r="R169" s="142">
        <f>(R17*'Data - P&amp;L'!$C$34)+(R95*'Data - P&amp;L'!$C$35)</f>
        <v>291.6</v>
      </c>
      <c r="S169" s="142">
        <f>(S17*'Data - P&amp;L'!$C$34)+(S95*'Data - P&amp;L'!$C$35)</f>
        <v>30.12</v>
      </c>
      <c r="T169" s="142">
        <f>(T17*'Data - P&amp;L'!$C$34)+(T95*'Data - P&amp;L'!$C$35)</f>
        <v>435.8</v>
      </c>
      <c r="U169" s="142">
        <f>(U17*'Data - P&amp;L'!$C$34)+(U95*'Data - P&amp;L'!$C$35)</f>
        <v>365.3</v>
      </c>
      <c r="V169" s="142">
        <f>(V17*'Data - P&amp;L'!$C$34)+(V95*'Data - P&amp;L'!$C$35)</f>
        <v>538.02</v>
      </c>
      <c r="W169" s="142">
        <f>(W17*'Data - P&amp;L'!$C$34)+(W95*'Data - P&amp;L'!$C$35)</f>
        <v>437.4</v>
      </c>
      <c r="X169" s="142">
        <f>(X17*'Data - P&amp;L'!$C$34)+(X95*'Data - P&amp;L'!$C$35)</f>
        <v>232.96</v>
      </c>
      <c r="Y169" s="142">
        <f>(Y17*'Data - P&amp;L'!$C$34)+(Y95*'Data - P&amp;L'!$C$35)</f>
        <v>43.58</v>
      </c>
      <c r="Z169" s="142">
        <f>(Z17*'Data - P&amp;L'!$C$34)+(Z95*'Data - P&amp;L'!$C$35)</f>
        <v>15.06</v>
      </c>
      <c r="AA169" s="142">
        <f>(AA17*'Data - P&amp;L'!$C$34)+(AA95*'Data - P&amp;L'!$C$35)</f>
        <v>90.36</v>
      </c>
      <c r="AB169" s="142">
        <f>(AB17*'Data - P&amp;L'!$C$34)+(AB95*'Data - P&amp;L'!$C$35)</f>
        <v>118.88</v>
      </c>
      <c r="AC169" s="142">
        <f>(AC17*'Data - P&amp;L'!$C$34)+(AC95*'Data - P&amp;L'!$C$35)</f>
        <v>276.54</v>
      </c>
      <c r="AD169" s="142">
        <f>(AD17*'Data - P&amp;L'!$C$34)+(AD95*'Data - P&amp;L'!$C$35)</f>
        <v>261.48</v>
      </c>
      <c r="AE169" s="142">
        <f>(AE17*'Data - P&amp;L'!$C$34)+(AE95*'Data - P&amp;L'!$C$35)</f>
        <v>351.84</v>
      </c>
      <c r="AF169" s="142">
        <f>(AF17*'Data - P&amp;L'!$C$34)+(AF95*'Data - P&amp;L'!$C$35)</f>
        <v>261.48</v>
      </c>
      <c r="AG169" s="126">
        <f t="shared" si="42"/>
        <v>6946.16</v>
      </c>
    </row>
    <row r="170">
      <c r="A170" s="243" t="s">
        <v>926</v>
      </c>
      <c r="B170" s="142">
        <f>(B27*'Data - P&amp;L'!$D$38)+(B105*'Data - P&amp;L'!$D$39)</f>
        <v>0</v>
      </c>
      <c r="C170" s="142">
        <f>(C27*'Data - P&amp;L'!$D$38)+(C105*'Data - P&amp;L'!$D$39)</f>
        <v>0</v>
      </c>
      <c r="D170" s="142">
        <f>(D27*'Data - P&amp;L'!$D$38)+(D105*'Data - P&amp;L'!$D$39)</f>
        <v>0</v>
      </c>
      <c r="E170" s="142">
        <f>(E27*'Data - P&amp;L'!$D$38)+(E105*'Data - P&amp;L'!$D$39)</f>
        <v>0</v>
      </c>
      <c r="F170" s="142">
        <f>(F27*'Data - P&amp;L'!$D$38)+(F105*'Data - P&amp;L'!$D$39)</f>
        <v>0</v>
      </c>
      <c r="G170" s="142">
        <f>(G27*'Data - P&amp;L'!$D$38)+(G105*'Data - P&amp;L'!$D$39)</f>
        <v>0</v>
      </c>
      <c r="H170" s="142">
        <f>(H27*'Data - P&amp;L'!$D$38)+(H105*'Data - P&amp;L'!$D$39)</f>
        <v>0</v>
      </c>
      <c r="I170" s="142">
        <f>(I27*'Data - P&amp;L'!$D$38)+(I105*'Data - P&amp;L'!$D$39)</f>
        <v>0</v>
      </c>
      <c r="J170" s="142">
        <f>(J27*'Data - P&amp;L'!$D$38)+(J105*'Data - P&amp;L'!$D$39)</f>
        <v>0</v>
      </c>
      <c r="K170" s="142">
        <f>(K27*'Data - P&amp;L'!$D$38)+(K105*'Data - P&amp;L'!$D$39)</f>
        <v>0</v>
      </c>
      <c r="L170" s="142">
        <f>(L27*'Data - P&amp;L'!$D$38)+(L105*'Data - P&amp;L'!$D$39)</f>
        <v>0</v>
      </c>
      <c r="M170" s="142">
        <f>(M27*'Data - P&amp;L'!$D$38)+(M105*'Data - P&amp;L'!$D$39)</f>
        <v>0</v>
      </c>
      <c r="N170" s="142">
        <f>(N27*'Data - P&amp;L'!$D$38)+(N105*'Data - P&amp;L'!$D$39)</f>
        <v>0</v>
      </c>
      <c r="O170" s="142">
        <f>(O27*'Data - P&amp;L'!$D$38)+(O105*'Data - P&amp;L'!$D$39)</f>
        <v>0</v>
      </c>
      <c r="P170" s="142">
        <f>(P27*'Data - P&amp;L'!$D$38)+(P105*'Data - P&amp;L'!$D$39)</f>
        <v>0</v>
      </c>
      <c r="Q170" s="142">
        <f>(Q27*'Data - P&amp;L'!$D$38)+(Q105*'Data - P&amp;L'!$D$39)</f>
        <v>0</v>
      </c>
      <c r="R170" s="142">
        <f>(R27*'Data - P&amp;L'!$D$38)+(R105*'Data - P&amp;L'!$D$39)</f>
        <v>0</v>
      </c>
      <c r="S170" s="142">
        <f>(S27*'Data - P&amp;L'!$D$38)+(S105*'Data - P&amp;L'!$D$39)</f>
        <v>0</v>
      </c>
      <c r="T170" s="142">
        <f>(T27*'Data - P&amp;L'!$D$38)+(T105*'Data - P&amp;L'!$D$39)</f>
        <v>0</v>
      </c>
      <c r="U170" s="142">
        <f>(U27*'Data - P&amp;L'!$D$38)+(U105*'Data - P&amp;L'!$D$39)</f>
        <v>0</v>
      </c>
      <c r="V170" s="142">
        <f>(V27*'Data - P&amp;L'!$D$38)+(V105*'Data - P&amp;L'!$D$39)</f>
        <v>0</v>
      </c>
      <c r="W170" s="142">
        <f>(W27*'Data - P&amp;L'!$D$38)+(W105*'Data - P&amp;L'!$D$39)</f>
        <v>0</v>
      </c>
      <c r="X170" s="142">
        <f>(X27*'Data - P&amp;L'!$D$38)+(X105*'Data - P&amp;L'!$D$39)</f>
        <v>0</v>
      </c>
      <c r="Y170" s="142">
        <f>(Y27*'Data - P&amp;L'!$D$38)+(Y105*'Data - P&amp;L'!$D$39)</f>
        <v>0</v>
      </c>
      <c r="Z170" s="142">
        <f>(Z27*'Data - P&amp;L'!$D$38)+(Z105*'Data - P&amp;L'!$D$39)</f>
        <v>0</v>
      </c>
      <c r="AA170" s="142">
        <f>(AA27*'Data - P&amp;L'!$D$38)+(AA105*'Data - P&amp;L'!$D$39)</f>
        <v>0</v>
      </c>
      <c r="AB170" s="142">
        <f>(AB27*'Data - P&amp;L'!$D$38)+(AB105*'Data - P&amp;L'!$D$39)</f>
        <v>0</v>
      </c>
      <c r="AC170" s="142">
        <f>(AC27*'Data - P&amp;L'!$D$38)+(AC105*'Data - P&amp;L'!$D$39)</f>
        <v>0</v>
      </c>
      <c r="AD170" s="142">
        <f>(AD27*'Data - P&amp;L'!$D$38)+(AD105*'Data - P&amp;L'!$D$39)</f>
        <v>0</v>
      </c>
      <c r="AE170" s="142">
        <f>(AE27*'Data - P&amp;L'!$D$38)+(AE105*'Data - P&amp;L'!$D$39)</f>
        <v>0</v>
      </c>
      <c r="AF170" s="142">
        <f>(AF27*'Data - P&amp;L'!$D$38)+(AF105*'Data - P&amp;L'!$D$39)</f>
        <v>0</v>
      </c>
      <c r="AG170" s="126">
        <f t="shared" si="42"/>
        <v>0</v>
      </c>
    </row>
    <row r="171">
      <c r="A171" s="249" t="s">
        <v>927</v>
      </c>
      <c r="B171" s="250">
        <f>(B27*'Data - P&amp;L'!$D$34)+(B105*'Data - P&amp;L'!$D$35)</f>
        <v>0</v>
      </c>
      <c r="C171" s="250">
        <f>(C27*'Data - P&amp;L'!$D$34)+(C105*'Data - P&amp;L'!$D$35)</f>
        <v>0</v>
      </c>
      <c r="D171" s="250">
        <f>(D27*'Data - P&amp;L'!$D$34)+(D105*'Data - P&amp;L'!$D$35)</f>
        <v>0</v>
      </c>
      <c r="E171" s="250">
        <f>(E27*'Data - P&amp;L'!$D$34)+(E105*'Data - P&amp;L'!$D$35)</f>
        <v>0</v>
      </c>
      <c r="F171" s="250">
        <f>(F27*'Data - P&amp;L'!$D$34)+(F105*'Data - P&amp;L'!$D$35)</f>
        <v>0</v>
      </c>
      <c r="G171" s="250">
        <f>(G27*'Data - P&amp;L'!$D$34)+(G105*'Data - P&amp;L'!$D$35)</f>
        <v>0</v>
      </c>
      <c r="H171" s="250">
        <f>(H27*'Data - P&amp;L'!$D$34)+(H105*'Data - P&amp;L'!$D$35)</f>
        <v>0</v>
      </c>
      <c r="I171" s="250">
        <f>(I27*'Data - P&amp;L'!$D$34)+(I105*'Data - P&amp;L'!$D$35)</f>
        <v>0</v>
      </c>
      <c r="J171" s="250">
        <f>(J27*'Data - P&amp;L'!$D$34)+(J105*'Data - P&amp;L'!$D$35)</f>
        <v>0</v>
      </c>
      <c r="K171" s="250">
        <f>(K27*'Data - P&amp;L'!$D$34)+(K105*'Data - P&amp;L'!$D$35)</f>
        <v>0</v>
      </c>
      <c r="L171" s="250">
        <f>(L27*'Data - P&amp;L'!$D$34)+(L105*'Data - P&amp;L'!$D$35)</f>
        <v>0</v>
      </c>
      <c r="M171" s="250">
        <f>(M27*'Data - P&amp;L'!$D$34)+(M105*'Data - P&amp;L'!$D$35)</f>
        <v>0</v>
      </c>
      <c r="N171" s="250">
        <f>(N27*'Data - P&amp;L'!$D$34)+(N105*'Data - P&amp;L'!$D$35)</f>
        <v>0</v>
      </c>
      <c r="O171" s="250">
        <f>(O27*'Data - P&amp;L'!$D$34)+(O105*'Data - P&amp;L'!$D$35)</f>
        <v>0</v>
      </c>
      <c r="P171" s="250">
        <f>(P27*'Data - P&amp;L'!$D$34)+(P105*'Data - P&amp;L'!$D$35)</f>
        <v>0</v>
      </c>
      <c r="Q171" s="250">
        <f>(Q27*'Data - P&amp;L'!$D$34)+(Q105*'Data - P&amp;L'!$D$35)</f>
        <v>0</v>
      </c>
      <c r="R171" s="250">
        <f>(R27*'Data - P&amp;L'!$D$34)+(R105*'Data - P&amp;L'!$D$35)</f>
        <v>0</v>
      </c>
      <c r="S171" s="250">
        <f>(S27*'Data - P&amp;L'!$D$34)+(S105*'Data - P&amp;L'!$D$35)</f>
        <v>0</v>
      </c>
      <c r="T171" s="250">
        <f>(T27*'Data - P&amp;L'!$D$34)+(T105*'Data - P&amp;L'!$D$35)</f>
        <v>0</v>
      </c>
      <c r="U171" s="250">
        <f>(U27*'Data - P&amp;L'!$D$34)+(U105*'Data - P&amp;L'!$D$35)</f>
        <v>0</v>
      </c>
      <c r="V171" s="250">
        <f>(V27*'Data - P&amp;L'!$D$34)+(V105*'Data - P&amp;L'!$D$35)</f>
        <v>0</v>
      </c>
      <c r="W171" s="250">
        <f>(W27*'Data - P&amp;L'!$D$34)+(W105*'Data - P&amp;L'!$D$35)</f>
        <v>0</v>
      </c>
      <c r="X171" s="250">
        <f>(X27*'Data - P&amp;L'!$D$34)+(X105*'Data - P&amp;L'!$D$35)</f>
        <v>0</v>
      </c>
      <c r="Y171" s="250">
        <f>(Y27*'Data - P&amp;L'!$D$34)+(Y105*'Data - P&amp;L'!$D$35)</f>
        <v>0</v>
      </c>
      <c r="Z171" s="250">
        <f>(Z27*'Data - P&amp;L'!$D$34)+(Z105*'Data - P&amp;L'!$D$35)</f>
        <v>0</v>
      </c>
      <c r="AA171" s="250">
        <f>(AA27*'Data - P&amp;L'!$D$34)+(AA105*'Data - P&amp;L'!$D$35)</f>
        <v>0</v>
      </c>
      <c r="AB171" s="250">
        <f>(AB27*'Data - P&amp;L'!$D$34)+(AB105*'Data - P&amp;L'!$D$35)</f>
        <v>0</v>
      </c>
      <c r="AC171" s="250">
        <f>(AC27*'Data - P&amp;L'!$D$34)+(AC105*'Data - P&amp;L'!$D$35)</f>
        <v>0</v>
      </c>
      <c r="AD171" s="250">
        <f>(AD27*'Data - P&amp;L'!$D$34)+(AD105*'Data - P&amp;L'!$D$35)</f>
        <v>0</v>
      </c>
      <c r="AE171" s="250">
        <f>(AE27*'Data - P&amp;L'!$D$34)+(AE105*'Data - P&amp;L'!$D$35)</f>
        <v>0</v>
      </c>
      <c r="AF171" s="250">
        <f>(AF27*'Data - P&amp;L'!$D$34)+(AF105*'Data - P&amp;L'!$D$35)</f>
        <v>0</v>
      </c>
      <c r="AG171" s="132">
        <f t="shared" si="42"/>
        <v>0</v>
      </c>
    </row>
    <row r="172">
      <c r="AG172" s="259"/>
    </row>
    <row r="173">
      <c r="A173" s="625" t="s">
        <v>928</v>
      </c>
      <c r="B173" s="261"/>
      <c r="C173" s="261"/>
      <c r="D173" s="261"/>
      <c r="E173" s="261"/>
      <c r="F173" s="261"/>
      <c r="G173" s="261"/>
      <c r="H173" s="261"/>
      <c r="I173" s="261"/>
      <c r="J173" s="261"/>
      <c r="K173" s="261"/>
      <c r="L173" s="261"/>
      <c r="M173" s="261"/>
      <c r="N173" s="261"/>
      <c r="O173" s="261"/>
      <c r="P173" s="261"/>
      <c r="Q173" s="261"/>
      <c r="R173" s="261"/>
      <c r="S173" s="261"/>
      <c r="T173" s="261"/>
      <c r="U173" s="261"/>
      <c r="V173" s="261"/>
      <c r="W173" s="261"/>
      <c r="X173" s="261"/>
      <c r="Y173" s="261"/>
      <c r="Z173" s="261"/>
      <c r="AA173" s="261"/>
      <c r="AB173" s="261"/>
      <c r="AC173" s="261"/>
      <c r="AD173" s="261"/>
      <c r="AE173" s="261"/>
      <c r="AF173" s="261"/>
      <c r="AG173" s="262"/>
    </row>
    <row r="174">
      <c r="A174" s="263">
        <f>SUM(B173:AF173)</f>
        <v>0</v>
      </c>
      <c r="B174" s="255"/>
      <c r="C174" s="255"/>
      <c r="D174" s="255"/>
      <c r="E174" s="255"/>
      <c r="F174" s="255"/>
      <c r="G174" s="255"/>
      <c r="H174" s="255"/>
      <c r="I174" s="255"/>
      <c r="J174" s="255"/>
      <c r="K174" s="255"/>
      <c r="L174" s="255"/>
      <c r="M174" s="255"/>
      <c r="N174" s="255"/>
      <c r="O174" s="255"/>
      <c r="P174" s="255"/>
      <c r="Q174" s="255"/>
      <c r="R174" s="255"/>
      <c r="S174" s="255"/>
      <c r="T174" s="255"/>
      <c r="U174" s="255"/>
      <c r="V174" s="255"/>
      <c r="W174" s="255"/>
      <c r="X174" s="255"/>
      <c r="Y174" s="255"/>
      <c r="Z174" s="255"/>
      <c r="AA174" s="255"/>
      <c r="AB174" s="255"/>
      <c r="AC174" s="255"/>
      <c r="AD174" s="255"/>
      <c r="AE174" s="255"/>
      <c r="AF174" s="255"/>
      <c r="AG174" s="126"/>
    </row>
    <row r="175">
      <c r="A175" s="626" t="s">
        <v>929</v>
      </c>
      <c r="B175" s="255"/>
      <c r="C175" s="255"/>
      <c r="D175" s="255"/>
      <c r="E175" s="255"/>
      <c r="F175" s="255"/>
      <c r="G175" s="255"/>
      <c r="H175" s="255"/>
      <c r="I175" s="255"/>
      <c r="J175" s="255"/>
      <c r="K175" s="255"/>
      <c r="L175" s="255"/>
      <c r="M175" s="255"/>
      <c r="N175" s="255"/>
      <c r="O175" s="255"/>
      <c r="P175" s="255"/>
      <c r="Q175" s="255"/>
      <c r="R175" s="255"/>
      <c r="S175" s="255"/>
      <c r="T175" s="255"/>
      <c r="U175" s="255"/>
      <c r="V175" s="255"/>
      <c r="W175" s="255"/>
      <c r="X175" s="255"/>
      <c r="Y175" s="255"/>
      <c r="Z175" s="255"/>
      <c r="AA175" s="255"/>
      <c r="AB175" s="255"/>
      <c r="AC175" s="255"/>
      <c r="AD175" s="255"/>
      <c r="AE175" s="255"/>
      <c r="AF175" s="255"/>
      <c r="AG175" s="126"/>
    </row>
    <row r="176">
      <c r="A176" s="263">
        <f>SUM(B175:AF175)</f>
        <v>0</v>
      </c>
      <c r="B176" s="255"/>
      <c r="C176" s="255"/>
      <c r="D176" s="255"/>
      <c r="E176" s="255"/>
      <c r="F176" s="255"/>
      <c r="G176" s="255"/>
      <c r="H176" s="255"/>
      <c r="I176" s="255"/>
      <c r="J176" s="255"/>
      <c r="K176" s="255"/>
      <c r="L176" s="255"/>
      <c r="M176" s="255"/>
      <c r="N176" s="255"/>
      <c r="O176" s="255"/>
      <c r="P176" s="255"/>
      <c r="Q176" s="255"/>
      <c r="R176" s="255"/>
      <c r="S176" s="255"/>
      <c r="T176" s="255"/>
      <c r="U176" s="255"/>
      <c r="V176" s="255"/>
      <c r="W176" s="255"/>
      <c r="X176" s="255"/>
      <c r="Y176" s="255"/>
      <c r="Z176" s="255"/>
      <c r="AA176" s="255"/>
      <c r="AB176" s="255"/>
      <c r="AC176" s="255"/>
      <c r="AD176" s="255"/>
      <c r="AE176" s="255"/>
      <c r="AF176" s="255"/>
      <c r="AG176" s="126"/>
    </row>
    <row r="177">
      <c r="A177" s="625" t="s">
        <v>930</v>
      </c>
      <c r="B177" s="261" t="str">
        <f t="shared" ref="B177:AF177" si="43">#REF!-B169</f>
        <v>#REF!</v>
      </c>
      <c r="C177" s="261" t="str">
        <f t="shared" si="43"/>
        <v>#REF!</v>
      </c>
      <c r="D177" s="261" t="str">
        <f t="shared" si="43"/>
        <v>#REF!</v>
      </c>
      <c r="E177" s="261" t="str">
        <f t="shared" si="43"/>
        <v>#REF!</v>
      </c>
      <c r="F177" s="261" t="str">
        <f t="shared" si="43"/>
        <v>#REF!</v>
      </c>
      <c r="G177" s="261" t="str">
        <f t="shared" si="43"/>
        <v>#REF!</v>
      </c>
      <c r="H177" s="261" t="str">
        <f t="shared" si="43"/>
        <v>#REF!</v>
      </c>
      <c r="I177" s="261" t="str">
        <f t="shared" si="43"/>
        <v>#REF!</v>
      </c>
      <c r="J177" s="261" t="str">
        <f t="shared" si="43"/>
        <v>#REF!</v>
      </c>
      <c r="K177" s="261" t="str">
        <f t="shared" si="43"/>
        <v>#REF!</v>
      </c>
      <c r="L177" s="261" t="str">
        <f t="shared" si="43"/>
        <v>#REF!</v>
      </c>
      <c r="M177" s="261" t="str">
        <f t="shared" si="43"/>
        <v>#REF!</v>
      </c>
      <c r="N177" s="261" t="str">
        <f t="shared" si="43"/>
        <v>#REF!</v>
      </c>
      <c r="O177" s="261" t="str">
        <f t="shared" si="43"/>
        <v>#REF!</v>
      </c>
      <c r="P177" s="261" t="str">
        <f t="shared" si="43"/>
        <v>#REF!</v>
      </c>
      <c r="Q177" s="261" t="str">
        <f t="shared" si="43"/>
        <v>#REF!</v>
      </c>
      <c r="R177" s="261" t="str">
        <f t="shared" si="43"/>
        <v>#REF!</v>
      </c>
      <c r="S177" s="261" t="str">
        <f t="shared" si="43"/>
        <v>#REF!</v>
      </c>
      <c r="T177" s="261" t="str">
        <f t="shared" si="43"/>
        <v>#REF!</v>
      </c>
      <c r="U177" s="261" t="str">
        <f t="shared" si="43"/>
        <v>#REF!</v>
      </c>
      <c r="V177" s="261" t="str">
        <f t="shared" si="43"/>
        <v>#REF!</v>
      </c>
      <c r="W177" s="261" t="str">
        <f t="shared" si="43"/>
        <v>#REF!</v>
      </c>
      <c r="X177" s="261" t="str">
        <f t="shared" si="43"/>
        <v>#REF!</v>
      </c>
      <c r="Y177" s="261" t="str">
        <f t="shared" si="43"/>
        <v>#REF!</v>
      </c>
      <c r="Z177" s="261" t="str">
        <f t="shared" si="43"/>
        <v>#REF!</v>
      </c>
      <c r="AA177" s="261" t="str">
        <f t="shared" si="43"/>
        <v>#REF!</v>
      </c>
      <c r="AB177" s="261" t="str">
        <f t="shared" si="43"/>
        <v>#REF!</v>
      </c>
      <c r="AC177" s="261" t="str">
        <f t="shared" si="43"/>
        <v>#REF!</v>
      </c>
      <c r="AD177" s="261" t="str">
        <f t="shared" si="43"/>
        <v>#REF!</v>
      </c>
      <c r="AE177" s="261" t="str">
        <f t="shared" si="43"/>
        <v>#REF!</v>
      </c>
      <c r="AF177" s="261" t="str">
        <f t="shared" si="43"/>
        <v>#REF!</v>
      </c>
      <c r="AG177" s="262" t="str">
        <f>SUM(B177:AF177)</f>
        <v>#REF!</v>
      </c>
    </row>
    <row r="178">
      <c r="A178" s="473" t="str">
        <f>SUM(B177:AF177)</f>
        <v>#REF!</v>
      </c>
      <c r="B178" s="266"/>
      <c r="C178" s="266"/>
      <c r="D178" s="266"/>
      <c r="E178" s="266"/>
      <c r="F178" s="266"/>
      <c r="G178" s="266"/>
      <c r="H178" s="266"/>
      <c r="I178" s="266"/>
      <c r="J178" s="266"/>
      <c r="K178" s="266"/>
      <c r="L178" s="266"/>
      <c r="M178" s="266"/>
      <c r="N178" s="266"/>
      <c r="O178" s="266"/>
      <c r="P178" s="266"/>
      <c r="Q178" s="266"/>
      <c r="R178" s="266"/>
      <c r="S178" s="266"/>
      <c r="T178" s="266"/>
      <c r="U178" s="266"/>
      <c r="V178" s="266"/>
      <c r="W178" s="266"/>
      <c r="X178" s="266"/>
      <c r="Y178" s="266"/>
      <c r="Z178" s="266"/>
      <c r="AA178" s="266"/>
      <c r="AB178" s="266"/>
      <c r="AC178" s="266"/>
      <c r="AD178" s="266"/>
      <c r="AE178" s="266"/>
      <c r="AF178" s="266"/>
      <c r="AG178" s="126"/>
    </row>
    <row r="179">
      <c r="A179" s="626" t="s">
        <v>931</v>
      </c>
      <c r="B179" s="255" t="str">
        <f t="shared" ref="B179:AF179" si="44">#REF!-B171</f>
        <v>#REF!</v>
      </c>
      <c r="C179" s="255" t="str">
        <f t="shared" si="44"/>
        <v>#REF!</v>
      </c>
      <c r="D179" s="255" t="str">
        <f t="shared" si="44"/>
        <v>#REF!</v>
      </c>
      <c r="E179" s="255" t="str">
        <f t="shared" si="44"/>
        <v>#REF!</v>
      </c>
      <c r="F179" s="255" t="str">
        <f t="shared" si="44"/>
        <v>#REF!</v>
      </c>
      <c r="G179" s="255" t="str">
        <f t="shared" si="44"/>
        <v>#REF!</v>
      </c>
      <c r="H179" s="255" t="str">
        <f t="shared" si="44"/>
        <v>#REF!</v>
      </c>
      <c r="I179" s="255" t="str">
        <f t="shared" si="44"/>
        <v>#REF!</v>
      </c>
      <c r="J179" s="255" t="str">
        <f t="shared" si="44"/>
        <v>#REF!</v>
      </c>
      <c r="K179" s="255" t="str">
        <f t="shared" si="44"/>
        <v>#REF!</v>
      </c>
      <c r="L179" s="255" t="str">
        <f t="shared" si="44"/>
        <v>#REF!</v>
      </c>
      <c r="M179" s="255" t="str">
        <f t="shared" si="44"/>
        <v>#REF!</v>
      </c>
      <c r="N179" s="255" t="str">
        <f t="shared" si="44"/>
        <v>#REF!</v>
      </c>
      <c r="O179" s="255" t="str">
        <f t="shared" si="44"/>
        <v>#REF!</v>
      </c>
      <c r="P179" s="255" t="str">
        <f t="shared" si="44"/>
        <v>#REF!</v>
      </c>
      <c r="Q179" s="255" t="str">
        <f t="shared" si="44"/>
        <v>#REF!</v>
      </c>
      <c r="R179" s="255" t="str">
        <f t="shared" si="44"/>
        <v>#REF!</v>
      </c>
      <c r="S179" s="255" t="str">
        <f t="shared" si="44"/>
        <v>#REF!</v>
      </c>
      <c r="T179" s="255" t="str">
        <f t="shared" si="44"/>
        <v>#REF!</v>
      </c>
      <c r="U179" s="255" t="str">
        <f t="shared" si="44"/>
        <v>#REF!</v>
      </c>
      <c r="V179" s="255" t="str">
        <f t="shared" si="44"/>
        <v>#REF!</v>
      </c>
      <c r="W179" s="255" t="str">
        <f t="shared" si="44"/>
        <v>#REF!</v>
      </c>
      <c r="X179" s="255" t="str">
        <f t="shared" si="44"/>
        <v>#REF!</v>
      </c>
      <c r="Y179" s="255" t="str">
        <f t="shared" si="44"/>
        <v>#REF!</v>
      </c>
      <c r="Z179" s="255" t="str">
        <f t="shared" si="44"/>
        <v>#REF!</v>
      </c>
      <c r="AA179" s="255" t="str">
        <f t="shared" si="44"/>
        <v>#REF!</v>
      </c>
      <c r="AB179" s="255" t="str">
        <f t="shared" si="44"/>
        <v>#REF!</v>
      </c>
      <c r="AC179" s="255" t="str">
        <f t="shared" si="44"/>
        <v>#REF!</v>
      </c>
      <c r="AD179" s="255" t="str">
        <f t="shared" si="44"/>
        <v>#REF!</v>
      </c>
      <c r="AE179" s="255" t="str">
        <f t="shared" si="44"/>
        <v>#REF!</v>
      </c>
      <c r="AF179" s="255" t="str">
        <f t="shared" si="44"/>
        <v>#REF!</v>
      </c>
      <c r="AG179" s="126" t="str">
        <f>SUM(B179:AF179)</f>
        <v>#REF!</v>
      </c>
    </row>
    <row r="180">
      <c r="A180" s="627" t="str">
        <f>SUM(B179:AF179)</f>
        <v>#REF!</v>
      </c>
      <c r="B180" s="478"/>
      <c r="C180" s="478"/>
      <c r="D180" s="478"/>
      <c r="E180" s="478"/>
      <c r="F180" s="478"/>
      <c r="G180" s="478"/>
      <c r="H180" s="478"/>
      <c r="I180" s="478"/>
      <c r="J180" s="478"/>
      <c r="K180" s="478"/>
      <c r="L180" s="478"/>
      <c r="M180" s="478"/>
      <c r="N180" s="478"/>
      <c r="O180" s="478"/>
      <c r="P180" s="478"/>
      <c r="Q180" s="478"/>
      <c r="R180" s="478"/>
      <c r="S180" s="478"/>
      <c r="T180" s="478"/>
      <c r="U180" s="478"/>
      <c r="V180" s="478"/>
      <c r="W180" s="478"/>
      <c r="X180" s="478"/>
      <c r="Y180" s="478"/>
      <c r="Z180" s="478"/>
      <c r="AA180" s="478"/>
      <c r="AB180" s="478"/>
      <c r="AC180" s="478"/>
      <c r="AD180" s="478"/>
      <c r="AE180" s="478"/>
      <c r="AF180" s="478"/>
      <c r="AG180" s="270"/>
    </row>
    <row r="181">
      <c r="AG181" s="259"/>
    </row>
    <row r="182">
      <c r="AG182" s="259"/>
    </row>
    <row r="183">
      <c r="AG183" s="259"/>
    </row>
    <row r="184">
      <c r="AG184" s="259"/>
    </row>
    <row r="185">
      <c r="AG185" s="259"/>
    </row>
    <row r="186">
      <c r="AG186" s="259"/>
    </row>
    <row r="187">
      <c r="AG187" s="259"/>
    </row>
    <row r="188">
      <c r="AG188" s="259"/>
    </row>
    <row r="189">
      <c r="AG189" s="259"/>
    </row>
    <row r="190">
      <c r="AG190" s="259"/>
    </row>
    <row r="191">
      <c r="AG191" s="259"/>
    </row>
    <row r="192">
      <c r="AG192" s="259"/>
    </row>
    <row r="193">
      <c r="AG193" s="259"/>
    </row>
    <row r="194">
      <c r="AG194" s="259"/>
    </row>
    <row r="195">
      <c r="AG195" s="259"/>
    </row>
    <row r="196">
      <c r="AG196" s="259"/>
    </row>
    <row r="197">
      <c r="AG197" s="259"/>
    </row>
    <row r="198">
      <c r="AG198" s="259"/>
    </row>
    <row r="199">
      <c r="AG199" s="259"/>
    </row>
    <row r="200">
      <c r="AG200" s="259"/>
    </row>
    <row r="201">
      <c r="AG201" s="259"/>
    </row>
    <row r="202">
      <c r="AG202" s="259"/>
    </row>
    <row r="203">
      <c r="AG203" s="259"/>
    </row>
    <row r="204">
      <c r="AG204" s="259"/>
    </row>
    <row r="205">
      <c r="AG205" s="259"/>
    </row>
    <row r="206">
      <c r="AG206" s="259"/>
    </row>
    <row r="207">
      <c r="AG207" s="259"/>
    </row>
    <row r="208">
      <c r="AG208" s="259"/>
    </row>
    <row r="209">
      <c r="AG209" s="259"/>
    </row>
    <row r="210">
      <c r="AG210" s="259"/>
    </row>
    <row r="211">
      <c r="AG211" s="259"/>
    </row>
    <row r="212">
      <c r="AG212" s="259"/>
    </row>
    <row r="213">
      <c r="AG213" s="259"/>
    </row>
    <row r="214">
      <c r="AG214" s="259"/>
    </row>
    <row r="215">
      <c r="AG215" s="259"/>
    </row>
    <row r="216">
      <c r="AG216" s="259"/>
    </row>
    <row r="217">
      <c r="AG217" s="259"/>
    </row>
    <row r="218">
      <c r="AG218" s="259"/>
    </row>
    <row r="219">
      <c r="AG219" s="259"/>
    </row>
    <row r="220">
      <c r="AG220" s="259"/>
    </row>
    <row r="221">
      <c r="AG221" s="259"/>
    </row>
    <row r="222">
      <c r="AG222" s="259"/>
    </row>
    <row r="223">
      <c r="AG223" s="259"/>
    </row>
    <row r="224">
      <c r="AG224" s="259"/>
    </row>
    <row r="225">
      <c r="AG225" s="259"/>
    </row>
    <row r="226">
      <c r="AG226" s="259"/>
    </row>
    <row r="227">
      <c r="AG227" s="259"/>
    </row>
    <row r="228">
      <c r="AG228" s="259"/>
    </row>
    <row r="229">
      <c r="AG229" s="259"/>
    </row>
    <row r="230">
      <c r="AG230" s="259"/>
    </row>
    <row r="231">
      <c r="AG231" s="259"/>
    </row>
    <row r="232">
      <c r="AG232" s="259"/>
    </row>
    <row r="233">
      <c r="AG233" s="259"/>
    </row>
    <row r="234">
      <c r="AG234" s="259"/>
    </row>
    <row r="235">
      <c r="AG235" s="259"/>
    </row>
    <row r="236">
      <c r="AG236" s="259"/>
    </row>
    <row r="237">
      <c r="AG237" s="259"/>
    </row>
    <row r="238">
      <c r="AG238" s="259"/>
    </row>
    <row r="239">
      <c r="AG239" s="259"/>
    </row>
    <row r="240">
      <c r="AG240" s="259"/>
    </row>
    <row r="241">
      <c r="AG241" s="259"/>
    </row>
    <row r="242">
      <c r="AG242" s="259"/>
    </row>
    <row r="243">
      <c r="AG243" s="259"/>
    </row>
    <row r="244">
      <c r="AG244" s="259"/>
    </row>
    <row r="245">
      <c r="AG245" s="259"/>
    </row>
    <row r="246">
      <c r="AG246" s="259"/>
    </row>
    <row r="247">
      <c r="AG247" s="259"/>
    </row>
    <row r="248">
      <c r="AG248" s="259"/>
    </row>
    <row r="249">
      <c r="AG249" s="259"/>
    </row>
    <row r="250">
      <c r="AG250" s="259"/>
    </row>
    <row r="251">
      <c r="AG251" s="259"/>
    </row>
    <row r="252">
      <c r="AG252" s="259"/>
    </row>
    <row r="253">
      <c r="AG253" s="259"/>
    </row>
    <row r="254">
      <c r="AG254" s="259"/>
    </row>
    <row r="255">
      <c r="AG255" s="259"/>
    </row>
    <row r="256">
      <c r="AG256" s="259"/>
    </row>
    <row r="257">
      <c r="AG257" s="259"/>
    </row>
    <row r="258">
      <c r="AG258" s="259"/>
    </row>
    <row r="259">
      <c r="AG259" s="259"/>
    </row>
    <row r="260">
      <c r="AG260" s="259"/>
    </row>
    <row r="261">
      <c r="AG261" s="259"/>
    </row>
    <row r="262">
      <c r="AG262" s="259"/>
    </row>
    <row r="263">
      <c r="AG263" s="259"/>
    </row>
    <row r="264">
      <c r="AG264" s="259"/>
    </row>
    <row r="265">
      <c r="AG265" s="259"/>
    </row>
    <row r="266">
      <c r="AG266" s="259"/>
    </row>
    <row r="267">
      <c r="AG267" s="259"/>
    </row>
    <row r="268">
      <c r="AG268" s="259"/>
    </row>
    <row r="269">
      <c r="AG269" s="259"/>
    </row>
    <row r="270">
      <c r="AG270" s="259"/>
    </row>
    <row r="271">
      <c r="AG271" s="259"/>
    </row>
    <row r="272">
      <c r="AG272" s="259"/>
    </row>
    <row r="273">
      <c r="AG273" s="259"/>
    </row>
    <row r="274">
      <c r="AG274" s="259"/>
    </row>
    <row r="275">
      <c r="AG275" s="259"/>
    </row>
    <row r="276">
      <c r="AG276" s="259"/>
    </row>
    <row r="277">
      <c r="AG277" s="259"/>
    </row>
    <row r="278">
      <c r="AG278" s="259"/>
    </row>
    <row r="279">
      <c r="AG279" s="259"/>
    </row>
    <row r="280">
      <c r="AG280" s="259"/>
    </row>
    <row r="281">
      <c r="AG281" s="259"/>
    </row>
    <row r="282">
      <c r="AG282" s="259"/>
    </row>
    <row r="283">
      <c r="AG283" s="259"/>
    </row>
    <row r="284">
      <c r="AG284" s="259"/>
    </row>
    <row r="285">
      <c r="AG285" s="259"/>
    </row>
    <row r="286">
      <c r="AG286" s="259"/>
    </row>
    <row r="287">
      <c r="AG287" s="259"/>
    </row>
    <row r="288">
      <c r="AG288" s="259"/>
    </row>
    <row r="289">
      <c r="AG289" s="259"/>
    </row>
    <row r="290">
      <c r="AG290" s="259"/>
    </row>
    <row r="291">
      <c r="AG291" s="259"/>
    </row>
    <row r="292">
      <c r="AG292" s="259"/>
    </row>
    <row r="293">
      <c r="AG293" s="259"/>
    </row>
    <row r="294">
      <c r="AG294" s="259"/>
    </row>
    <row r="295">
      <c r="AG295" s="259"/>
    </row>
    <row r="296">
      <c r="AG296" s="259"/>
    </row>
    <row r="297">
      <c r="AG297" s="259"/>
    </row>
    <row r="298">
      <c r="AG298" s="259"/>
    </row>
    <row r="299">
      <c r="AG299" s="259"/>
    </row>
    <row r="300">
      <c r="AG300" s="259"/>
    </row>
    <row r="301">
      <c r="AG301" s="259"/>
    </row>
    <row r="302">
      <c r="AG302" s="259"/>
    </row>
    <row r="303">
      <c r="AG303" s="259"/>
    </row>
    <row r="304">
      <c r="AG304" s="259"/>
    </row>
    <row r="305">
      <c r="AG305" s="259"/>
    </row>
    <row r="306">
      <c r="AG306" s="259"/>
    </row>
    <row r="307">
      <c r="AG307" s="259"/>
    </row>
    <row r="308">
      <c r="AG308" s="259"/>
    </row>
    <row r="309">
      <c r="AG309" s="259"/>
    </row>
    <row r="310">
      <c r="AG310" s="259"/>
    </row>
    <row r="311">
      <c r="AG311" s="259"/>
    </row>
    <row r="312">
      <c r="AG312" s="259"/>
    </row>
    <row r="313">
      <c r="AG313" s="259"/>
    </row>
    <row r="314">
      <c r="AG314" s="259"/>
    </row>
    <row r="315">
      <c r="AG315" s="259"/>
    </row>
    <row r="316">
      <c r="AG316" s="259"/>
    </row>
    <row r="317">
      <c r="AG317" s="259"/>
    </row>
    <row r="318">
      <c r="AG318" s="259"/>
    </row>
    <row r="319">
      <c r="AG319" s="259"/>
    </row>
    <row r="320">
      <c r="AG320" s="259"/>
    </row>
    <row r="321">
      <c r="AG321" s="259"/>
    </row>
    <row r="322">
      <c r="AG322" s="259"/>
    </row>
    <row r="323">
      <c r="AG323" s="259"/>
    </row>
    <row r="324">
      <c r="AG324" s="259"/>
    </row>
    <row r="325">
      <c r="AG325" s="259"/>
    </row>
    <row r="326">
      <c r="AG326" s="259"/>
    </row>
    <row r="327">
      <c r="AG327" s="259"/>
    </row>
    <row r="328">
      <c r="AG328" s="259"/>
    </row>
    <row r="329">
      <c r="AG329" s="259"/>
    </row>
    <row r="330">
      <c r="AG330" s="259"/>
    </row>
    <row r="331">
      <c r="AG331" s="259"/>
    </row>
    <row r="332">
      <c r="AG332" s="259"/>
    </row>
    <row r="333">
      <c r="AG333" s="259"/>
    </row>
    <row r="334">
      <c r="AG334" s="259"/>
    </row>
    <row r="335">
      <c r="AG335" s="259"/>
    </row>
    <row r="336">
      <c r="AG336" s="259"/>
    </row>
    <row r="337">
      <c r="AG337" s="259"/>
    </row>
    <row r="338">
      <c r="AG338" s="259"/>
    </row>
    <row r="339">
      <c r="AG339" s="259"/>
    </row>
    <row r="340">
      <c r="AG340" s="259"/>
    </row>
    <row r="341">
      <c r="AG341" s="259"/>
    </row>
    <row r="342">
      <c r="AG342" s="259"/>
    </row>
    <row r="343">
      <c r="AG343" s="259"/>
    </row>
    <row r="344">
      <c r="AG344" s="259"/>
    </row>
    <row r="345">
      <c r="AG345" s="259"/>
    </row>
    <row r="346">
      <c r="AG346" s="259"/>
    </row>
    <row r="347">
      <c r="AG347" s="259"/>
    </row>
    <row r="348">
      <c r="AG348" s="259"/>
    </row>
    <row r="349">
      <c r="AG349" s="259"/>
    </row>
    <row r="350">
      <c r="AG350" s="259"/>
    </row>
    <row r="351">
      <c r="AG351" s="259"/>
    </row>
    <row r="352">
      <c r="AG352" s="259"/>
    </row>
    <row r="353">
      <c r="AG353" s="259"/>
    </row>
    <row r="354">
      <c r="AG354" s="259"/>
    </row>
    <row r="355">
      <c r="AG355" s="259"/>
    </row>
    <row r="356">
      <c r="AG356" s="259"/>
    </row>
    <row r="357">
      <c r="AG357" s="259"/>
    </row>
    <row r="358">
      <c r="AG358" s="259"/>
    </row>
    <row r="359">
      <c r="AG359" s="259"/>
    </row>
    <row r="360">
      <c r="AG360" s="259"/>
    </row>
    <row r="361">
      <c r="AG361" s="259"/>
    </row>
    <row r="362">
      <c r="AG362" s="259"/>
    </row>
    <row r="363">
      <c r="AG363" s="259"/>
    </row>
    <row r="364">
      <c r="AG364" s="259"/>
    </row>
    <row r="365">
      <c r="AG365" s="259"/>
    </row>
    <row r="366">
      <c r="AG366" s="259"/>
    </row>
    <row r="367">
      <c r="AG367" s="259"/>
    </row>
    <row r="368">
      <c r="AG368" s="259"/>
    </row>
    <row r="369">
      <c r="AG369" s="259"/>
    </row>
    <row r="370">
      <c r="AG370" s="259"/>
    </row>
    <row r="371">
      <c r="AG371" s="259"/>
    </row>
    <row r="372">
      <c r="AG372" s="259"/>
    </row>
    <row r="373">
      <c r="AG373" s="259"/>
    </row>
    <row r="374">
      <c r="AG374" s="259"/>
    </row>
    <row r="375">
      <c r="AG375" s="259"/>
    </row>
    <row r="376">
      <c r="AG376" s="259"/>
    </row>
    <row r="377">
      <c r="AG377" s="259"/>
    </row>
    <row r="378">
      <c r="AG378" s="259"/>
    </row>
    <row r="379">
      <c r="AG379" s="259"/>
    </row>
    <row r="380">
      <c r="AG380" s="259"/>
    </row>
    <row r="381">
      <c r="AG381" s="259"/>
    </row>
    <row r="382">
      <c r="AG382" s="259"/>
    </row>
    <row r="383">
      <c r="AG383" s="259"/>
    </row>
    <row r="384">
      <c r="AG384" s="259"/>
    </row>
    <row r="385">
      <c r="AG385" s="259"/>
    </row>
    <row r="386">
      <c r="AG386" s="259"/>
    </row>
    <row r="387">
      <c r="AG387" s="259"/>
    </row>
    <row r="388">
      <c r="AG388" s="259"/>
    </row>
    <row r="389">
      <c r="AG389" s="259"/>
    </row>
    <row r="390">
      <c r="AG390" s="259"/>
    </row>
    <row r="391">
      <c r="AG391" s="259"/>
    </row>
    <row r="392">
      <c r="AG392" s="259"/>
    </row>
    <row r="393">
      <c r="AG393" s="259"/>
    </row>
    <row r="394">
      <c r="AG394" s="259"/>
    </row>
    <row r="395">
      <c r="AG395" s="259"/>
    </row>
    <row r="396">
      <c r="AG396" s="259"/>
    </row>
    <row r="397">
      <c r="AG397" s="259"/>
    </row>
    <row r="398">
      <c r="AG398" s="259"/>
    </row>
    <row r="399">
      <c r="AG399" s="259"/>
    </row>
    <row r="400">
      <c r="AG400" s="259"/>
    </row>
    <row r="401">
      <c r="AG401" s="259"/>
    </row>
    <row r="402">
      <c r="AG402" s="259"/>
    </row>
    <row r="403">
      <c r="AG403" s="259"/>
    </row>
    <row r="404">
      <c r="AG404" s="259"/>
    </row>
    <row r="405">
      <c r="AG405" s="259"/>
    </row>
    <row r="406">
      <c r="AG406" s="259"/>
    </row>
    <row r="407">
      <c r="AG407" s="259"/>
    </row>
    <row r="408">
      <c r="AG408" s="259"/>
    </row>
    <row r="409">
      <c r="AG409" s="259"/>
    </row>
    <row r="410">
      <c r="AG410" s="259"/>
    </row>
    <row r="411">
      <c r="AG411" s="259"/>
    </row>
    <row r="412">
      <c r="AG412" s="259"/>
    </row>
    <row r="413">
      <c r="AG413" s="259"/>
    </row>
    <row r="414">
      <c r="AG414" s="259"/>
    </row>
    <row r="415">
      <c r="AG415" s="259"/>
    </row>
    <row r="416">
      <c r="AG416" s="259"/>
    </row>
    <row r="417">
      <c r="AG417" s="259"/>
    </row>
    <row r="418">
      <c r="AG418" s="259"/>
    </row>
    <row r="419">
      <c r="AG419" s="259"/>
    </row>
    <row r="420">
      <c r="AG420" s="259"/>
    </row>
    <row r="421">
      <c r="AG421" s="259"/>
    </row>
    <row r="422">
      <c r="AG422" s="259"/>
    </row>
    <row r="423">
      <c r="AG423" s="259"/>
    </row>
    <row r="424">
      <c r="AG424" s="259"/>
    </row>
    <row r="425">
      <c r="AG425" s="259"/>
    </row>
    <row r="426">
      <c r="AG426" s="259"/>
    </row>
    <row r="427">
      <c r="AG427" s="259"/>
    </row>
    <row r="428">
      <c r="AG428" s="259"/>
    </row>
    <row r="429">
      <c r="AG429" s="259"/>
    </row>
    <row r="430">
      <c r="AG430" s="259"/>
    </row>
    <row r="431">
      <c r="AG431" s="259"/>
    </row>
    <row r="432">
      <c r="AG432" s="259"/>
    </row>
    <row r="433">
      <c r="AG433" s="259"/>
    </row>
    <row r="434">
      <c r="AG434" s="259"/>
    </row>
    <row r="435">
      <c r="AG435" s="259"/>
    </row>
    <row r="436">
      <c r="AG436" s="259"/>
    </row>
    <row r="437">
      <c r="AG437" s="259"/>
    </row>
    <row r="438">
      <c r="AG438" s="259"/>
    </row>
    <row r="439">
      <c r="AG439" s="259"/>
    </row>
    <row r="440">
      <c r="AG440" s="259"/>
    </row>
    <row r="441">
      <c r="AG441" s="259"/>
    </row>
    <row r="442">
      <c r="AG442" s="259"/>
    </row>
    <row r="443">
      <c r="AG443" s="259"/>
    </row>
    <row r="444">
      <c r="AG444" s="259"/>
    </row>
    <row r="445">
      <c r="AG445" s="259"/>
    </row>
    <row r="446">
      <c r="AG446" s="259"/>
    </row>
    <row r="447">
      <c r="AG447" s="259"/>
    </row>
    <row r="448">
      <c r="AG448" s="259"/>
    </row>
    <row r="449">
      <c r="AG449" s="259"/>
    </row>
    <row r="450">
      <c r="AG450" s="259"/>
    </row>
    <row r="451">
      <c r="AG451" s="259"/>
    </row>
    <row r="452">
      <c r="AG452" s="259"/>
    </row>
    <row r="453">
      <c r="AG453" s="259"/>
    </row>
    <row r="454">
      <c r="AG454" s="259"/>
    </row>
    <row r="455">
      <c r="AG455" s="259"/>
    </row>
    <row r="456">
      <c r="AG456" s="259"/>
    </row>
    <row r="457">
      <c r="AG457" s="259"/>
    </row>
    <row r="458">
      <c r="AG458" s="259"/>
    </row>
    <row r="459">
      <c r="AG459" s="259"/>
    </row>
    <row r="460">
      <c r="AG460" s="259"/>
    </row>
    <row r="461">
      <c r="AG461" s="259"/>
    </row>
    <row r="462">
      <c r="AG462" s="259"/>
    </row>
    <row r="463">
      <c r="AG463" s="259"/>
    </row>
    <row r="464">
      <c r="AG464" s="259"/>
    </row>
    <row r="465">
      <c r="AG465" s="259"/>
    </row>
    <row r="466">
      <c r="AG466" s="259"/>
    </row>
    <row r="467">
      <c r="AG467" s="259"/>
    </row>
    <row r="468">
      <c r="AG468" s="259"/>
    </row>
    <row r="469">
      <c r="AG469" s="259"/>
    </row>
    <row r="470">
      <c r="AG470" s="259"/>
    </row>
    <row r="471">
      <c r="AG471" s="259"/>
    </row>
    <row r="472">
      <c r="AG472" s="259"/>
    </row>
    <row r="473">
      <c r="AG473" s="259"/>
    </row>
    <row r="474">
      <c r="AG474" s="259"/>
    </row>
    <row r="475">
      <c r="AG475" s="259"/>
    </row>
    <row r="476">
      <c r="AG476" s="259"/>
    </row>
    <row r="477">
      <c r="AG477" s="259"/>
    </row>
    <row r="478">
      <c r="AG478" s="259"/>
    </row>
    <row r="479">
      <c r="AG479" s="259"/>
    </row>
    <row r="480">
      <c r="AG480" s="259"/>
    </row>
    <row r="481">
      <c r="AG481" s="259"/>
    </row>
    <row r="482">
      <c r="AG482" s="259"/>
    </row>
    <row r="483">
      <c r="AG483" s="259"/>
    </row>
    <row r="484">
      <c r="AG484" s="259"/>
    </row>
    <row r="485">
      <c r="AG485" s="259"/>
    </row>
    <row r="486">
      <c r="AG486" s="259"/>
    </row>
    <row r="487">
      <c r="AG487" s="259"/>
    </row>
    <row r="488">
      <c r="AG488" s="259"/>
    </row>
    <row r="489">
      <c r="AG489" s="259"/>
    </row>
    <row r="490">
      <c r="AG490" s="259"/>
    </row>
    <row r="491">
      <c r="AG491" s="259"/>
    </row>
    <row r="492">
      <c r="AG492" s="259"/>
    </row>
    <row r="493">
      <c r="AG493" s="259"/>
    </row>
    <row r="494">
      <c r="AG494" s="259"/>
    </row>
    <row r="495">
      <c r="AG495" s="259"/>
    </row>
    <row r="496">
      <c r="AG496" s="259"/>
    </row>
    <row r="497">
      <c r="AG497" s="259"/>
    </row>
    <row r="498">
      <c r="AG498" s="259"/>
    </row>
    <row r="499">
      <c r="AG499" s="259"/>
    </row>
    <row r="500">
      <c r="AG500" s="259"/>
    </row>
    <row r="501">
      <c r="AG501" s="259"/>
    </row>
    <row r="502">
      <c r="AG502" s="259"/>
    </row>
    <row r="503">
      <c r="AG503" s="259"/>
    </row>
    <row r="504">
      <c r="AG504" s="259"/>
    </row>
    <row r="505">
      <c r="AG505" s="259"/>
    </row>
    <row r="506">
      <c r="AG506" s="259"/>
    </row>
    <row r="507">
      <c r="AG507" s="259"/>
    </row>
    <row r="508">
      <c r="AG508" s="259"/>
    </row>
    <row r="509">
      <c r="AG509" s="259"/>
    </row>
    <row r="510">
      <c r="AG510" s="259"/>
    </row>
    <row r="511">
      <c r="AG511" s="259"/>
    </row>
    <row r="512">
      <c r="AG512" s="259"/>
    </row>
    <row r="513">
      <c r="AG513" s="259"/>
    </row>
    <row r="514">
      <c r="AG514" s="259"/>
    </row>
    <row r="515">
      <c r="AG515" s="259"/>
    </row>
    <row r="516">
      <c r="AG516" s="259"/>
    </row>
    <row r="517">
      <c r="AG517" s="259"/>
    </row>
    <row r="518">
      <c r="AG518" s="259"/>
    </row>
    <row r="519">
      <c r="AG519" s="259"/>
    </row>
    <row r="520">
      <c r="AG520" s="259"/>
    </row>
    <row r="521">
      <c r="AG521" s="259"/>
    </row>
    <row r="522">
      <c r="AG522" s="259"/>
    </row>
    <row r="523">
      <c r="AG523" s="259"/>
    </row>
    <row r="524">
      <c r="AG524" s="259"/>
    </row>
    <row r="525">
      <c r="AG525" s="259"/>
    </row>
    <row r="526">
      <c r="AG526" s="259"/>
    </row>
    <row r="527">
      <c r="AG527" s="259"/>
    </row>
    <row r="528">
      <c r="AG528" s="259"/>
    </row>
    <row r="529">
      <c r="AG529" s="259"/>
    </row>
    <row r="530">
      <c r="AG530" s="259"/>
    </row>
    <row r="531">
      <c r="AG531" s="259"/>
    </row>
    <row r="532">
      <c r="AG532" s="259"/>
    </row>
    <row r="533">
      <c r="AG533" s="259"/>
    </row>
    <row r="534">
      <c r="AG534" s="259"/>
    </row>
    <row r="535">
      <c r="AG535" s="259"/>
    </row>
    <row r="536">
      <c r="AG536" s="259"/>
    </row>
    <row r="537">
      <c r="AG537" s="259"/>
    </row>
    <row r="538">
      <c r="AG538" s="259"/>
    </row>
    <row r="539">
      <c r="AG539" s="259"/>
    </row>
    <row r="540">
      <c r="AG540" s="259"/>
    </row>
    <row r="541">
      <c r="AG541" s="259"/>
    </row>
    <row r="542">
      <c r="AG542" s="259"/>
    </row>
    <row r="543">
      <c r="AG543" s="259"/>
    </row>
    <row r="544">
      <c r="AG544" s="259"/>
    </row>
    <row r="545">
      <c r="AG545" s="259"/>
    </row>
    <row r="546">
      <c r="AG546" s="259"/>
    </row>
    <row r="547">
      <c r="AG547" s="259"/>
    </row>
    <row r="548">
      <c r="AG548" s="259"/>
    </row>
    <row r="549">
      <c r="AG549" s="259"/>
    </row>
    <row r="550">
      <c r="AG550" s="259"/>
    </row>
    <row r="551">
      <c r="AG551" s="259"/>
    </row>
    <row r="552">
      <c r="AG552" s="259"/>
    </row>
    <row r="553">
      <c r="AG553" s="259"/>
    </row>
    <row r="554">
      <c r="AG554" s="259"/>
    </row>
    <row r="555">
      <c r="AG555" s="259"/>
    </row>
    <row r="556">
      <c r="AG556" s="259"/>
    </row>
    <row r="557">
      <c r="AG557" s="259"/>
    </row>
    <row r="558">
      <c r="AG558" s="259"/>
    </row>
    <row r="559">
      <c r="AG559" s="259"/>
    </row>
    <row r="560">
      <c r="AG560" s="259"/>
    </row>
    <row r="561">
      <c r="AG561" s="259"/>
    </row>
    <row r="562">
      <c r="AG562" s="259"/>
    </row>
    <row r="563">
      <c r="AG563" s="259"/>
    </row>
    <row r="564">
      <c r="AG564" s="259"/>
    </row>
    <row r="565">
      <c r="AG565" s="259"/>
    </row>
    <row r="566">
      <c r="AG566" s="259"/>
    </row>
    <row r="567">
      <c r="AG567" s="259"/>
    </row>
    <row r="568">
      <c r="AG568" s="259"/>
    </row>
    <row r="569">
      <c r="AG569" s="259"/>
    </row>
    <row r="570">
      <c r="AG570" s="259"/>
    </row>
    <row r="571">
      <c r="AG571" s="259"/>
    </row>
    <row r="572">
      <c r="AG572" s="259"/>
    </row>
    <row r="573">
      <c r="AG573" s="259"/>
    </row>
    <row r="574">
      <c r="AG574" s="259"/>
    </row>
    <row r="575">
      <c r="AG575" s="259"/>
    </row>
    <row r="576">
      <c r="AG576" s="259"/>
    </row>
    <row r="577">
      <c r="AG577" s="259"/>
    </row>
    <row r="578">
      <c r="AG578" s="259"/>
    </row>
    <row r="579">
      <c r="AG579" s="259"/>
    </row>
    <row r="580">
      <c r="AG580" s="259"/>
    </row>
    <row r="581">
      <c r="AG581" s="259"/>
    </row>
    <row r="582">
      <c r="AG582" s="259"/>
    </row>
    <row r="583">
      <c r="AG583" s="259"/>
    </row>
    <row r="584">
      <c r="AG584" s="259"/>
    </row>
    <row r="585">
      <c r="AG585" s="259"/>
    </row>
    <row r="586">
      <c r="AG586" s="259"/>
    </row>
    <row r="587">
      <c r="AG587" s="259"/>
    </row>
    <row r="588">
      <c r="AG588" s="259"/>
    </row>
    <row r="589">
      <c r="AG589" s="259"/>
    </row>
    <row r="590">
      <c r="AG590" s="259"/>
    </row>
    <row r="591">
      <c r="AG591" s="259"/>
    </row>
    <row r="592">
      <c r="AG592" s="259"/>
    </row>
    <row r="593">
      <c r="AG593" s="259"/>
    </row>
    <row r="594">
      <c r="AG594" s="259"/>
    </row>
    <row r="595">
      <c r="AG595" s="259"/>
    </row>
    <row r="596">
      <c r="AG596" s="259"/>
    </row>
    <row r="597">
      <c r="AG597" s="259"/>
    </row>
    <row r="598">
      <c r="AG598" s="259"/>
    </row>
    <row r="599">
      <c r="AG599" s="259"/>
    </row>
    <row r="600">
      <c r="AG600" s="259"/>
    </row>
    <row r="601">
      <c r="AG601" s="259"/>
    </row>
    <row r="602">
      <c r="AG602" s="259"/>
    </row>
    <row r="603">
      <c r="AG603" s="259"/>
    </row>
    <row r="604">
      <c r="AG604" s="259"/>
    </row>
    <row r="605">
      <c r="AG605" s="259"/>
    </row>
    <row r="606">
      <c r="AG606" s="259"/>
    </row>
    <row r="607">
      <c r="AG607" s="259"/>
    </row>
    <row r="608">
      <c r="AG608" s="259"/>
    </row>
    <row r="609">
      <c r="AG609" s="259"/>
    </row>
    <row r="610">
      <c r="AG610" s="259"/>
    </row>
    <row r="611">
      <c r="AG611" s="259"/>
    </row>
    <row r="612">
      <c r="AG612" s="259"/>
    </row>
    <row r="613">
      <c r="AG613" s="259"/>
    </row>
    <row r="614">
      <c r="AG614" s="259"/>
    </row>
    <row r="615">
      <c r="AG615" s="259"/>
    </row>
    <row r="616">
      <c r="AG616" s="259"/>
    </row>
    <row r="617">
      <c r="AG617" s="259"/>
    </row>
    <row r="618">
      <c r="AG618" s="259"/>
    </row>
    <row r="619">
      <c r="AG619" s="259"/>
    </row>
    <row r="620">
      <c r="AG620" s="259"/>
    </row>
    <row r="621">
      <c r="AG621" s="259"/>
    </row>
    <row r="622">
      <c r="AG622" s="259"/>
    </row>
    <row r="623">
      <c r="AG623" s="259"/>
    </row>
    <row r="624">
      <c r="AG624" s="259"/>
    </row>
    <row r="625">
      <c r="AG625" s="259"/>
    </row>
    <row r="626">
      <c r="AG626" s="259"/>
    </row>
    <row r="627">
      <c r="AG627" s="259"/>
    </row>
    <row r="628">
      <c r="AG628" s="259"/>
    </row>
    <row r="629">
      <c r="AG629" s="259"/>
    </row>
    <row r="630">
      <c r="AG630" s="259"/>
    </row>
    <row r="631">
      <c r="AG631" s="259"/>
    </row>
    <row r="632">
      <c r="AG632" s="259"/>
    </row>
    <row r="633">
      <c r="AG633" s="259"/>
    </row>
    <row r="634">
      <c r="AG634" s="259"/>
    </row>
    <row r="635">
      <c r="AG635" s="259"/>
    </row>
    <row r="636">
      <c r="AG636" s="259"/>
    </row>
    <row r="637">
      <c r="AG637" s="259"/>
    </row>
    <row r="638">
      <c r="AG638" s="259"/>
    </row>
    <row r="639">
      <c r="AG639" s="259"/>
    </row>
    <row r="640">
      <c r="AG640" s="259"/>
    </row>
    <row r="641">
      <c r="AG641" s="259"/>
    </row>
    <row r="642">
      <c r="AG642" s="259"/>
    </row>
    <row r="643">
      <c r="AG643" s="259"/>
    </row>
    <row r="644">
      <c r="AG644" s="259"/>
    </row>
    <row r="645">
      <c r="AG645" s="259"/>
    </row>
    <row r="646">
      <c r="AG646" s="259"/>
    </row>
    <row r="647">
      <c r="AG647" s="259"/>
    </row>
    <row r="648">
      <c r="AG648" s="259"/>
    </row>
    <row r="649">
      <c r="AG649" s="259"/>
    </row>
    <row r="650">
      <c r="AG650" s="259"/>
    </row>
    <row r="651">
      <c r="AG651" s="259"/>
    </row>
    <row r="652">
      <c r="AG652" s="259"/>
    </row>
    <row r="653">
      <c r="AG653" s="259"/>
    </row>
    <row r="654">
      <c r="AG654" s="259"/>
    </row>
    <row r="655">
      <c r="AG655" s="259"/>
    </row>
    <row r="656">
      <c r="AG656" s="259"/>
    </row>
    <row r="657">
      <c r="AG657" s="259"/>
    </row>
    <row r="658">
      <c r="AG658" s="259"/>
    </row>
    <row r="659">
      <c r="AG659" s="259"/>
    </row>
    <row r="660">
      <c r="AG660" s="259"/>
    </row>
    <row r="661">
      <c r="AG661" s="259"/>
    </row>
    <row r="662">
      <c r="AG662" s="259"/>
    </row>
    <row r="663">
      <c r="AG663" s="259"/>
    </row>
    <row r="664">
      <c r="AG664" s="259"/>
    </row>
    <row r="665">
      <c r="AG665" s="259"/>
    </row>
    <row r="666">
      <c r="AG666" s="259"/>
    </row>
    <row r="667">
      <c r="AG667" s="259"/>
    </row>
    <row r="668">
      <c r="AG668" s="259"/>
    </row>
    <row r="669">
      <c r="AG669" s="259"/>
    </row>
    <row r="670">
      <c r="AG670" s="259"/>
    </row>
    <row r="671">
      <c r="AG671" s="259"/>
    </row>
    <row r="672">
      <c r="AG672" s="259"/>
    </row>
    <row r="673">
      <c r="AG673" s="259"/>
    </row>
    <row r="674">
      <c r="AG674" s="259"/>
    </row>
    <row r="675">
      <c r="AG675" s="259"/>
    </row>
    <row r="676">
      <c r="AG676" s="259"/>
    </row>
    <row r="677">
      <c r="AG677" s="259"/>
    </row>
    <row r="678">
      <c r="AG678" s="259"/>
    </row>
    <row r="679">
      <c r="AG679" s="259"/>
    </row>
    <row r="680">
      <c r="AG680" s="259"/>
    </row>
    <row r="681">
      <c r="AG681" s="259"/>
    </row>
    <row r="682">
      <c r="AG682" s="259"/>
    </row>
    <row r="683">
      <c r="AG683" s="259"/>
    </row>
    <row r="684">
      <c r="AG684" s="259"/>
    </row>
    <row r="685">
      <c r="AG685" s="259"/>
    </row>
    <row r="686">
      <c r="AG686" s="259"/>
    </row>
    <row r="687">
      <c r="AG687" s="259"/>
    </row>
    <row r="688">
      <c r="AG688" s="259"/>
    </row>
    <row r="689">
      <c r="AG689" s="259"/>
    </row>
    <row r="690">
      <c r="AG690" s="259"/>
    </row>
    <row r="691">
      <c r="AG691" s="259"/>
    </row>
    <row r="692">
      <c r="AG692" s="259"/>
    </row>
    <row r="693">
      <c r="AG693" s="259"/>
    </row>
    <row r="694">
      <c r="AG694" s="259"/>
    </row>
    <row r="695">
      <c r="AG695" s="259"/>
    </row>
    <row r="696">
      <c r="AG696" s="259"/>
    </row>
    <row r="697">
      <c r="AG697" s="259"/>
    </row>
    <row r="698">
      <c r="AG698" s="259"/>
    </row>
    <row r="699">
      <c r="AG699" s="259"/>
    </row>
    <row r="700">
      <c r="AG700" s="259"/>
    </row>
    <row r="701">
      <c r="AG701" s="259"/>
    </row>
    <row r="702">
      <c r="AG702" s="259"/>
    </row>
    <row r="703">
      <c r="AG703" s="259"/>
    </row>
    <row r="704">
      <c r="AG704" s="259"/>
    </row>
    <row r="705">
      <c r="AG705" s="259"/>
    </row>
    <row r="706">
      <c r="AG706" s="259"/>
    </row>
    <row r="707">
      <c r="AG707" s="259"/>
    </row>
    <row r="708">
      <c r="AG708" s="259"/>
    </row>
    <row r="709">
      <c r="AG709" s="259"/>
    </row>
    <row r="710">
      <c r="AG710" s="259"/>
    </row>
    <row r="711">
      <c r="AG711" s="259"/>
    </row>
    <row r="712">
      <c r="AG712" s="259"/>
    </row>
    <row r="713">
      <c r="AG713" s="259"/>
    </row>
    <row r="714">
      <c r="AG714" s="259"/>
    </row>
    <row r="715">
      <c r="AG715" s="259"/>
    </row>
    <row r="716">
      <c r="AG716" s="259"/>
    </row>
    <row r="717">
      <c r="AG717" s="259"/>
    </row>
    <row r="718">
      <c r="AG718" s="259"/>
    </row>
    <row r="719">
      <c r="AG719" s="259"/>
    </row>
    <row r="720">
      <c r="AG720" s="259"/>
    </row>
    <row r="721">
      <c r="AG721" s="259"/>
    </row>
    <row r="722">
      <c r="AG722" s="259"/>
    </row>
    <row r="723">
      <c r="AG723" s="259"/>
    </row>
    <row r="724">
      <c r="AG724" s="259"/>
    </row>
    <row r="725">
      <c r="AG725" s="259"/>
    </row>
    <row r="726">
      <c r="AG726" s="259"/>
    </row>
    <row r="727">
      <c r="AG727" s="259"/>
    </row>
    <row r="728">
      <c r="AG728" s="259"/>
    </row>
    <row r="729">
      <c r="AG729" s="259"/>
    </row>
    <row r="730">
      <c r="AG730" s="259"/>
    </row>
    <row r="731">
      <c r="AG731" s="259"/>
    </row>
    <row r="732">
      <c r="AG732" s="259"/>
    </row>
    <row r="733">
      <c r="AG733" s="259"/>
    </row>
    <row r="734">
      <c r="AG734" s="259"/>
    </row>
    <row r="735">
      <c r="AG735" s="259"/>
    </row>
    <row r="736">
      <c r="AG736" s="259"/>
    </row>
    <row r="737">
      <c r="AG737" s="259"/>
    </row>
    <row r="738">
      <c r="AG738" s="259"/>
    </row>
    <row r="739">
      <c r="AG739" s="259"/>
    </row>
    <row r="740">
      <c r="AG740" s="259"/>
    </row>
    <row r="741">
      <c r="AG741" s="259"/>
    </row>
    <row r="742">
      <c r="AG742" s="259"/>
    </row>
    <row r="743">
      <c r="AG743" s="259"/>
    </row>
    <row r="744">
      <c r="AG744" s="259"/>
    </row>
    <row r="745">
      <c r="AG745" s="259"/>
    </row>
    <row r="746">
      <c r="AG746" s="259"/>
    </row>
    <row r="747">
      <c r="AG747" s="259"/>
    </row>
    <row r="748">
      <c r="AG748" s="259"/>
    </row>
    <row r="749">
      <c r="AG749" s="259"/>
    </row>
    <row r="750">
      <c r="AG750" s="259"/>
    </row>
    <row r="751">
      <c r="AG751" s="259"/>
    </row>
    <row r="752">
      <c r="AG752" s="259"/>
    </row>
    <row r="753">
      <c r="AG753" s="259"/>
    </row>
    <row r="754">
      <c r="AG754" s="259"/>
    </row>
    <row r="755">
      <c r="AG755" s="259"/>
    </row>
    <row r="756">
      <c r="AG756" s="259"/>
    </row>
    <row r="757">
      <c r="AG757" s="259"/>
    </row>
    <row r="758">
      <c r="AG758" s="259"/>
    </row>
    <row r="759">
      <c r="AG759" s="259"/>
    </row>
    <row r="760">
      <c r="AG760" s="259"/>
    </row>
    <row r="761">
      <c r="AG761" s="259"/>
    </row>
    <row r="762">
      <c r="AG762" s="259"/>
    </row>
    <row r="763">
      <c r="AG763" s="259"/>
    </row>
    <row r="764">
      <c r="AG764" s="259"/>
    </row>
    <row r="765">
      <c r="AG765" s="259"/>
    </row>
    <row r="766">
      <c r="AG766" s="259"/>
    </row>
    <row r="767">
      <c r="AG767" s="259"/>
    </row>
    <row r="768">
      <c r="AG768" s="259"/>
    </row>
    <row r="769">
      <c r="AG769" s="259"/>
    </row>
    <row r="770">
      <c r="AG770" s="259"/>
    </row>
    <row r="771">
      <c r="AG771" s="259"/>
    </row>
    <row r="772">
      <c r="AG772" s="259"/>
    </row>
    <row r="773">
      <c r="AG773" s="259"/>
    </row>
    <row r="774">
      <c r="AG774" s="259"/>
    </row>
    <row r="775">
      <c r="AG775" s="259"/>
    </row>
    <row r="776">
      <c r="AG776" s="259"/>
    </row>
    <row r="777">
      <c r="AG777" s="259"/>
    </row>
    <row r="778">
      <c r="AG778" s="259"/>
    </row>
    <row r="779">
      <c r="AG779" s="259"/>
    </row>
  </sheetData>
  <conditionalFormatting sqref="B177:AF177 B179:AF179">
    <cfRule type="cellIs" dxfId="0" priority="1" operator="greaterThan">
      <formula>0</formula>
    </cfRule>
  </conditionalFormatting>
  <conditionalFormatting sqref="B177:AF177 B179:AF179">
    <cfRule type="cellIs" dxfId="1" priority="2" operator="lessThan">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296" t="s">
        <v>99</v>
      </c>
      <c r="B1" s="77">
        <v>45292.0</v>
      </c>
      <c r="C1" s="77">
        <v>45293.0</v>
      </c>
      <c r="D1" s="77">
        <v>45294.0</v>
      </c>
      <c r="E1" s="77">
        <v>45295.0</v>
      </c>
      <c r="F1" s="77">
        <v>45296.0</v>
      </c>
      <c r="G1" s="77">
        <v>45297.0</v>
      </c>
      <c r="H1" s="77">
        <v>45298.0</v>
      </c>
      <c r="I1" s="77">
        <v>45299.0</v>
      </c>
      <c r="J1" s="77">
        <v>45300.0</v>
      </c>
      <c r="K1" s="77">
        <v>45301.0</v>
      </c>
      <c r="L1" s="77">
        <v>45302.0</v>
      </c>
      <c r="M1" s="77">
        <v>45303.0</v>
      </c>
      <c r="N1" s="77">
        <v>45304.0</v>
      </c>
      <c r="O1" s="77">
        <v>45305.0</v>
      </c>
      <c r="P1" s="77">
        <v>45306.0</v>
      </c>
      <c r="Q1" s="77">
        <v>45307.0</v>
      </c>
      <c r="R1" s="77">
        <v>45308.0</v>
      </c>
      <c r="S1" s="77">
        <v>45309.0</v>
      </c>
      <c r="T1" s="77">
        <v>45310.0</v>
      </c>
      <c r="U1" s="77">
        <v>45311.0</v>
      </c>
      <c r="V1" s="77">
        <v>45312.0</v>
      </c>
      <c r="W1" s="77">
        <v>45313.0</v>
      </c>
      <c r="X1" s="77">
        <v>45314.0</v>
      </c>
      <c r="Y1" s="77">
        <v>45315.0</v>
      </c>
      <c r="Z1" s="77">
        <v>45316.0</v>
      </c>
      <c r="AA1" s="77">
        <v>45317.0</v>
      </c>
      <c r="AB1" s="77">
        <v>45318.0</v>
      </c>
      <c r="AC1" s="77">
        <v>45319.0</v>
      </c>
      <c r="AD1" s="77">
        <v>45320.0</v>
      </c>
      <c r="AE1" s="77">
        <v>45321.0</v>
      </c>
      <c r="AF1" s="77">
        <v>45322.0</v>
      </c>
      <c r="AG1" s="628"/>
    </row>
    <row r="2">
      <c r="A2" s="79" t="s">
        <v>100</v>
      </c>
      <c r="B2" s="80" t="s">
        <v>0</v>
      </c>
      <c r="C2" s="80" t="s">
        <v>7</v>
      </c>
      <c r="D2" s="80" t="s">
        <v>2</v>
      </c>
      <c r="E2" s="80" t="s">
        <v>3</v>
      </c>
      <c r="F2" s="80" t="s">
        <v>4</v>
      </c>
      <c r="G2" s="80" t="s">
        <v>5</v>
      </c>
      <c r="H2" s="80" t="s">
        <v>6</v>
      </c>
      <c r="I2" s="80" t="s">
        <v>0</v>
      </c>
      <c r="J2" s="80" t="s">
        <v>7</v>
      </c>
      <c r="K2" s="80" t="s">
        <v>2</v>
      </c>
      <c r="L2" s="80" t="s">
        <v>3</v>
      </c>
      <c r="M2" s="80" t="s">
        <v>4</v>
      </c>
      <c r="N2" s="80" t="s">
        <v>5</v>
      </c>
      <c r="O2" s="80" t="s">
        <v>6</v>
      </c>
      <c r="P2" s="80" t="s">
        <v>0</v>
      </c>
      <c r="Q2" s="80" t="s">
        <v>7</v>
      </c>
      <c r="R2" s="80" t="s">
        <v>2</v>
      </c>
      <c r="S2" s="80" t="s">
        <v>3</v>
      </c>
      <c r="T2" s="80" t="s">
        <v>4</v>
      </c>
      <c r="U2" s="80" t="s">
        <v>5</v>
      </c>
      <c r="V2" s="80" t="s">
        <v>6</v>
      </c>
      <c r="W2" s="80" t="s">
        <v>0</v>
      </c>
      <c r="X2" s="80" t="s">
        <v>7</v>
      </c>
      <c r="Y2" s="80" t="s">
        <v>2</v>
      </c>
      <c r="Z2" s="80" t="s">
        <v>3</v>
      </c>
      <c r="AA2" s="80" t="s">
        <v>4</v>
      </c>
      <c r="AB2" s="80" t="s">
        <v>5</v>
      </c>
      <c r="AC2" s="80" t="s">
        <v>6</v>
      </c>
      <c r="AD2" s="80" t="s">
        <v>0</v>
      </c>
      <c r="AE2" s="80" t="s">
        <v>7</v>
      </c>
      <c r="AF2" s="80" t="s">
        <v>2</v>
      </c>
      <c r="AG2" s="628"/>
    </row>
    <row r="3">
      <c r="A3" s="140" t="s">
        <v>87</v>
      </c>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629"/>
    </row>
    <row r="4">
      <c r="A4" s="141" t="s">
        <v>932</v>
      </c>
      <c r="B4" s="142">
        <f>Summary!B22</f>
        <v>0</v>
      </c>
      <c r="C4" s="142">
        <f>Summary!C22</f>
        <v>0</v>
      </c>
      <c r="D4" s="142">
        <f>Summary!D22</f>
        <v>0</v>
      </c>
      <c r="E4" s="142">
        <f>Summary!E22</f>
        <v>0</v>
      </c>
      <c r="F4" s="142">
        <f>Summary!F22</f>
        <v>0</v>
      </c>
      <c r="G4" s="142">
        <f>Summary!G22</f>
        <v>0</v>
      </c>
      <c r="H4" s="142">
        <f>Summary!H22</f>
        <v>0</v>
      </c>
      <c r="I4" s="142">
        <f>Summary!I22</f>
        <v>0</v>
      </c>
      <c r="J4" s="142">
        <f>Summary!J22</f>
        <v>0</v>
      </c>
      <c r="K4" s="142">
        <f>Summary!K22</f>
        <v>0</v>
      </c>
      <c r="L4" s="142">
        <f>Summary!L22</f>
        <v>0</v>
      </c>
      <c r="M4" s="142">
        <f>Summary!M22</f>
        <v>0</v>
      </c>
      <c r="N4" s="142">
        <f>Summary!N22</f>
        <v>0</v>
      </c>
      <c r="O4" s="142">
        <f>Summary!O22</f>
        <v>0</v>
      </c>
      <c r="P4" s="142">
        <f>Summary!P22</f>
        <v>0</v>
      </c>
      <c r="Q4" s="142">
        <f>Summary!Q22</f>
        <v>0</v>
      </c>
      <c r="R4" s="142">
        <f>Summary!R22</f>
        <v>318.409386</v>
      </c>
      <c r="S4" s="142">
        <f>Summary!S22</f>
        <v>0</v>
      </c>
      <c r="T4" s="142">
        <f>Summary!T22</f>
        <v>318.409386</v>
      </c>
      <c r="U4" s="142">
        <f>Summary!U22</f>
        <v>0</v>
      </c>
      <c r="V4" s="142">
        <f>Summary!V22</f>
        <v>0</v>
      </c>
      <c r="W4" s="142">
        <f>Summary!W22</f>
        <v>0</v>
      </c>
      <c r="X4" s="142">
        <f>Summary!X22</f>
        <v>0</v>
      </c>
      <c r="Y4" s="142">
        <f>Summary!Y22</f>
        <v>0</v>
      </c>
      <c r="Z4" s="142">
        <f>Summary!Z22</f>
        <v>0</v>
      </c>
      <c r="AA4" s="142">
        <f>Summary!AA22</f>
        <v>0</v>
      </c>
      <c r="AB4" s="142">
        <f>Summary!AB22</f>
        <v>0</v>
      </c>
      <c r="AC4" s="142">
        <f>Summary!AC22</f>
        <v>0</v>
      </c>
      <c r="AD4" s="142">
        <f>Summary!AD22</f>
        <v>0</v>
      </c>
      <c r="AE4" s="142">
        <f>Summary!AE22</f>
        <v>318.409386</v>
      </c>
      <c r="AF4" s="142">
        <f>Summary!AF22</f>
        <v>0</v>
      </c>
      <c r="AG4" s="629">
        <f t="shared" ref="AG4:AG7" si="1">sum(B4:AF4)</f>
        <v>955.228158</v>
      </c>
    </row>
    <row r="5">
      <c r="A5" s="141" t="s">
        <v>933</v>
      </c>
      <c r="B5" s="630">
        <f>Summary!B26</f>
        <v>0</v>
      </c>
      <c r="C5" s="630">
        <f>Summary!C26</f>
        <v>0</v>
      </c>
      <c r="D5" s="630">
        <f>Summary!D26</f>
        <v>0</v>
      </c>
      <c r="E5" s="630">
        <f>Summary!E26</f>
        <v>0</v>
      </c>
      <c r="F5" s="630">
        <f>Summary!F26</f>
        <v>0</v>
      </c>
      <c r="G5" s="630">
        <f>Summary!G26</f>
        <v>0</v>
      </c>
      <c r="H5" s="142">
        <f>Summary!H26</f>
        <v>0</v>
      </c>
      <c r="I5" s="142">
        <f>Summary!I26</f>
        <v>0</v>
      </c>
      <c r="J5" s="142">
        <f>Summary!J26</f>
        <v>0</v>
      </c>
      <c r="K5" s="142">
        <f>Summary!K26</f>
        <v>0</v>
      </c>
      <c r="L5" s="142">
        <f>Summary!L26</f>
        <v>0</v>
      </c>
      <c r="M5" s="142">
        <f>Summary!M26</f>
        <v>0</v>
      </c>
      <c r="N5" s="142">
        <f>Summary!N26</f>
        <v>0</v>
      </c>
      <c r="O5" s="142">
        <f>Summary!O26</f>
        <v>0</v>
      </c>
      <c r="P5" s="142">
        <f>Summary!P26</f>
        <v>0</v>
      </c>
      <c r="Q5" s="142">
        <f>Summary!Q26</f>
        <v>0</v>
      </c>
      <c r="R5" s="142">
        <f>Summary!R26</f>
        <v>299</v>
      </c>
      <c r="S5" s="142">
        <f>Summary!S26</f>
        <v>0</v>
      </c>
      <c r="T5" s="142">
        <f>Summary!T26</f>
        <v>0</v>
      </c>
      <c r="U5" s="142">
        <f>Summary!U26</f>
        <v>0</v>
      </c>
      <c r="V5" s="142">
        <f>Summary!V26</f>
        <v>0</v>
      </c>
      <c r="W5" s="142">
        <f>Summary!W26</f>
        <v>0</v>
      </c>
      <c r="X5" s="142">
        <f>Summary!X26</f>
        <v>0</v>
      </c>
      <c r="Y5" s="142">
        <f>Summary!Y26</f>
        <v>0</v>
      </c>
      <c r="Z5" s="142">
        <f>Summary!Z26</f>
        <v>0</v>
      </c>
      <c r="AA5" s="142">
        <f>Summary!AA26</f>
        <v>0</v>
      </c>
      <c r="AB5" s="142">
        <f>Summary!AB26</f>
        <v>0</v>
      </c>
      <c r="AC5" s="142">
        <f>Summary!AC26</f>
        <v>0</v>
      </c>
      <c r="AD5" s="142">
        <f>Summary!AD26</f>
        <v>0</v>
      </c>
      <c r="AE5" s="142">
        <f>Summary!AE26</f>
        <v>0</v>
      </c>
      <c r="AF5" s="142">
        <f>Summary!AF26</f>
        <v>0</v>
      </c>
      <c r="AG5" s="629">
        <f t="shared" si="1"/>
        <v>299</v>
      </c>
    </row>
    <row r="6">
      <c r="A6" s="141" t="s">
        <v>934</v>
      </c>
      <c r="B6" s="631">
        <f>Summary!B33</f>
        <v>2864.7186</v>
      </c>
      <c r="C6" s="631">
        <f>Summary!C34</f>
        <v>0</v>
      </c>
      <c r="D6" s="631">
        <f>Summary!D34</f>
        <v>4014</v>
      </c>
      <c r="E6" s="631">
        <f>Summary!E34</f>
        <v>2069</v>
      </c>
      <c r="F6" s="631">
        <f>Summary!F34</f>
        <v>224</v>
      </c>
      <c r="G6" s="631">
        <f>Summary!G34</f>
        <v>0</v>
      </c>
      <c r="H6" s="631">
        <f>Summary!H34</f>
        <v>3739</v>
      </c>
      <c r="I6" s="631">
        <f>Summary!I34</f>
        <v>688</v>
      </c>
      <c r="J6" s="631">
        <f>Summary!J34</f>
        <v>1221</v>
      </c>
      <c r="K6" s="631">
        <f>Summary!K34</f>
        <v>1110</v>
      </c>
      <c r="L6" s="631">
        <f>Summary!L34</f>
        <v>2211</v>
      </c>
      <c r="M6" s="631">
        <f>Summary!M34</f>
        <v>1131</v>
      </c>
      <c r="N6" s="631">
        <f>Summary!N34</f>
        <v>450</v>
      </c>
      <c r="O6" s="631">
        <f>Summary!O34</f>
        <v>750</v>
      </c>
      <c r="P6" s="631">
        <f>Summary!P34</f>
        <v>870</v>
      </c>
      <c r="Q6" s="631">
        <f>Summary!Q34</f>
        <v>1350</v>
      </c>
      <c r="R6" s="631">
        <f>Summary!R34</f>
        <v>1860</v>
      </c>
      <c r="S6" s="631">
        <f>Summary!S34</f>
        <v>210</v>
      </c>
      <c r="T6" s="631">
        <f>Summary!T34</f>
        <v>3060</v>
      </c>
      <c r="U6" s="631">
        <f>Summary!U34</f>
        <v>2250</v>
      </c>
      <c r="V6" s="631">
        <f>Summary!V33</f>
        <v>4055.651856</v>
      </c>
      <c r="W6" s="631">
        <f>Summary!W33</f>
        <v>2997.807546</v>
      </c>
      <c r="X6" s="631">
        <f>Summary!X33</f>
        <v>1713.513546</v>
      </c>
      <c r="Y6" s="631">
        <f>Summary!Y33</f>
        <v>700.524</v>
      </c>
      <c r="Z6" s="631">
        <f>Summary!Z33</f>
        <v>0</v>
      </c>
      <c r="AA6" s="631">
        <f>Summary!AA33</f>
        <v>0</v>
      </c>
      <c r="AB6" s="631">
        <f>Summary!AB33</f>
        <v>573.156</v>
      </c>
      <c r="AC6" s="631">
        <f>Summary!AC33</f>
        <v>256.338714</v>
      </c>
      <c r="AD6" s="631">
        <f>Summary!AD33</f>
        <v>256.338714</v>
      </c>
      <c r="AE6" s="631">
        <f>Summary!AE33</f>
        <v>256.338714</v>
      </c>
      <c r="AF6" s="631">
        <f>Summary!AF33</f>
        <v>256.338714</v>
      </c>
      <c r="AG6" s="629">
        <f t="shared" si="1"/>
        <v>41137.7264</v>
      </c>
    </row>
    <row r="7">
      <c r="A7" s="632" t="s">
        <v>935</v>
      </c>
      <c r="B7" s="631">
        <f t="shared" ref="B7:AF7" si="2">SUM(B4:B6)</f>
        <v>2864.7186</v>
      </c>
      <c r="C7" s="631">
        <f t="shared" si="2"/>
        <v>0</v>
      </c>
      <c r="D7" s="631">
        <f t="shared" si="2"/>
        <v>4014</v>
      </c>
      <c r="E7" s="631">
        <f t="shared" si="2"/>
        <v>2069</v>
      </c>
      <c r="F7" s="631">
        <f t="shared" si="2"/>
        <v>224</v>
      </c>
      <c r="G7" s="631">
        <f t="shared" si="2"/>
        <v>0</v>
      </c>
      <c r="H7" s="631">
        <f t="shared" si="2"/>
        <v>3739</v>
      </c>
      <c r="I7" s="631">
        <f t="shared" si="2"/>
        <v>688</v>
      </c>
      <c r="J7" s="631">
        <f t="shared" si="2"/>
        <v>1221</v>
      </c>
      <c r="K7" s="631">
        <f t="shared" si="2"/>
        <v>1110</v>
      </c>
      <c r="L7" s="631">
        <f t="shared" si="2"/>
        <v>2211</v>
      </c>
      <c r="M7" s="631">
        <f t="shared" si="2"/>
        <v>1131</v>
      </c>
      <c r="N7" s="631">
        <f t="shared" si="2"/>
        <v>450</v>
      </c>
      <c r="O7" s="631">
        <f t="shared" si="2"/>
        <v>750</v>
      </c>
      <c r="P7" s="631">
        <f t="shared" si="2"/>
        <v>870</v>
      </c>
      <c r="Q7" s="631">
        <f t="shared" si="2"/>
        <v>1350</v>
      </c>
      <c r="R7" s="631">
        <f t="shared" si="2"/>
        <v>2477.409386</v>
      </c>
      <c r="S7" s="631">
        <f t="shared" si="2"/>
        <v>210</v>
      </c>
      <c r="T7" s="631">
        <f t="shared" si="2"/>
        <v>3378.409386</v>
      </c>
      <c r="U7" s="631">
        <f t="shared" si="2"/>
        <v>2250</v>
      </c>
      <c r="V7" s="631">
        <f t="shared" si="2"/>
        <v>4055.651856</v>
      </c>
      <c r="W7" s="631">
        <f t="shared" si="2"/>
        <v>2997.807546</v>
      </c>
      <c r="X7" s="631">
        <f t="shared" si="2"/>
        <v>1713.513546</v>
      </c>
      <c r="Y7" s="631">
        <f t="shared" si="2"/>
        <v>700.524</v>
      </c>
      <c r="Z7" s="631">
        <f t="shared" si="2"/>
        <v>0</v>
      </c>
      <c r="AA7" s="631">
        <f t="shared" si="2"/>
        <v>0</v>
      </c>
      <c r="AB7" s="631">
        <f t="shared" si="2"/>
        <v>573.156</v>
      </c>
      <c r="AC7" s="631">
        <f t="shared" si="2"/>
        <v>256.338714</v>
      </c>
      <c r="AD7" s="631">
        <f t="shared" si="2"/>
        <v>256.338714</v>
      </c>
      <c r="AE7" s="631">
        <f t="shared" si="2"/>
        <v>574.7481</v>
      </c>
      <c r="AF7" s="631">
        <f t="shared" si="2"/>
        <v>256.338714</v>
      </c>
      <c r="AG7" s="629">
        <f t="shared" si="1"/>
        <v>42391.95456</v>
      </c>
    </row>
    <row r="8">
      <c r="A8" s="98"/>
      <c r="B8" s="82"/>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633"/>
    </row>
    <row r="9">
      <c r="A9" s="147" t="s">
        <v>94</v>
      </c>
      <c r="B9" s="82"/>
      <c r="C9" s="82"/>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633"/>
    </row>
    <row r="10">
      <c r="A10" s="148" t="s">
        <v>936</v>
      </c>
      <c r="B10" s="166">
        <f>Summary!B58</f>
        <v>0</v>
      </c>
      <c r="C10" s="166">
        <f>Summary!C58</f>
        <v>0</v>
      </c>
      <c r="D10" s="166">
        <f>Summary!D58</f>
        <v>0</v>
      </c>
      <c r="E10" s="166">
        <f>Summary!E58</f>
        <v>0</v>
      </c>
      <c r="F10" s="166">
        <f>Summary!F58</f>
        <v>0</v>
      </c>
      <c r="G10" s="166">
        <f>Summary!G58</f>
        <v>0</v>
      </c>
      <c r="H10" s="166">
        <f>Summary!H58</f>
        <v>0</v>
      </c>
      <c r="I10" s="166">
        <f>Summary!I58</f>
        <v>0</v>
      </c>
      <c r="J10" s="166">
        <f>Summary!J58</f>
        <v>0</v>
      </c>
      <c r="K10" s="166">
        <f>Summary!K58</f>
        <v>0</v>
      </c>
      <c r="L10" s="166">
        <f>Summary!L58</f>
        <v>0</v>
      </c>
      <c r="M10" s="166">
        <f>Summary!M58</f>
        <v>0</v>
      </c>
      <c r="N10" s="166">
        <f>Summary!N58</f>
        <v>0</v>
      </c>
      <c r="O10" s="166">
        <f>Summary!O58</f>
        <v>0</v>
      </c>
      <c r="P10" s="166">
        <f>Summary!P58</f>
        <v>0</v>
      </c>
      <c r="Q10" s="166">
        <f>Summary!Q58</f>
        <v>0</v>
      </c>
      <c r="R10" s="166">
        <f>Summary!R58</f>
        <v>1</v>
      </c>
      <c r="S10" s="166">
        <f>Summary!S58</f>
        <v>0</v>
      </c>
      <c r="T10" s="166">
        <f>Summary!T58</f>
        <v>1</v>
      </c>
      <c r="U10" s="166">
        <f>Summary!U58</f>
        <v>0</v>
      </c>
      <c r="V10" s="166">
        <f>Summary!V58</f>
        <v>0</v>
      </c>
      <c r="W10" s="166">
        <f>Summary!W58</f>
        <v>0</v>
      </c>
      <c r="X10" s="166">
        <f>Summary!X58</f>
        <v>0</v>
      </c>
      <c r="Y10" s="166">
        <f>Summary!Y58</f>
        <v>0</v>
      </c>
      <c r="Z10" s="166">
        <f>Summary!Z58</f>
        <v>0</v>
      </c>
      <c r="AA10" s="166">
        <f>Summary!AA58</f>
        <v>0</v>
      </c>
      <c r="AB10" s="166">
        <f>Summary!AB58</f>
        <v>0</v>
      </c>
      <c r="AC10" s="166">
        <f>Summary!AC58</f>
        <v>0</v>
      </c>
      <c r="AD10" s="166">
        <f>Summary!AD58</f>
        <v>0</v>
      </c>
      <c r="AE10" s="166">
        <f>Summary!AE58</f>
        <v>1</v>
      </c>
      <c r="AF10" s="166">
        <f>Summary!AF58</f>
        <v>0</v>
      </c>
      <c r="AG10" s="629">
        <f t="shared" ref="AG10:AG13" si="3">sum(B10:AF10)</f>
        <v>3</v>
      </c>
    </row>
    <row r="11">
      <c r="A11" s="148" t="s">
        <v>937</v>
      </c>
      <c r="B11" s="634">
        <f>Summary!B59</f>
        <v>0</v>
      </c>
      <c r="C11" s="634">
        <f>Summary!C59</f>
        <v>0</v>
      </c>
      <c r="D11" s="634">
        <f>Summary!D59</f>
        <v>0</v>
      </c>
      <c r="E11" s="634">
        <f>Summary!E59</f>
        <v>0</v>
      </c>
      <c r="F11" s="634">
        <f>Summary!F59</f>
        <v>0</v>
      </c>
      <c r="G11" s="634">
        <f>Summary!G59</f>
        <v>0</v>
      </c>
      <c r="H11" s="166">
        <f>Summary!H59</f>
        <v>0</v>
      </c>
      <c r="I11" s="166">
        <f>Summary!I59</f>
        <v>0</v>
      </c>
      <c r="J11" s="166">
        <f>Summary!J59</f>
        <v>0</v>
      </c>
      <c r="K11" s="166">
        <f>Summary!K59</f>
        <v>0</v>
      </c>
      <c r="L11" s="166">
        <f>Summary!L59</f>
        <v>0</v>
      </c>
      <c r="M11" s="166">
        <f>Summary!M59</f>
        <v>0</v>
      </c>
      <c r="N11" s="166">
        <f>Summary!N59</f>
        <v>0</v>
      </c>
      <c r="O11" s="166">
        <f>Summary!O59</f>
        <v>0</v>
      </c>
      <c r="P11" s="166">
        <f>Summary!P59</f>
        <v>0</v>
      </c>
      <c r="Q11" s="166">
        <f>Summary!Q59</f>
        <v>0</v>
      </c>
      <c r="R11" s="166">
        <f>Summary!R59</f>
        <v>0</v>
      </c>
      <c r="S11" s="166">
        <f>Summary!S59</f>
        <v>0</v>
      </c>
      <c r="T11" s="166">
        <f>Summary!T59</f>
        <v>0</v>
      </c>
      <c r="U11" s="166">
        <f>Summary!U59</f>
        <v>0</v>
      </c>
      <c r="V11" s="166">
        <f>Summary!V59</f>
        <v>0</v>
      </c>
      <c r="W11" s="166">
        <f>Summary!W59</f>
        <v>0</v>
      </c>
      <c r="X11" s="166">
        <f>Summary!X59</f>
        <v>0</v>
      </c>
      <c r="Y11" s="166">
        <f>Summary!Y59</f>
        <v>0</v>
      </c>
      <c r="Z11" s="166">
        <f>Summary!Z59</f>
        <v>0</v>
      </c>
      <c r="AA11" s="166">
        <f>Summary!AA59</f>
        <v>0</v>
      </c>
      <c r="AB11" s="166">
        <f>Summary!AB59</f>
        <v>0</v>
      </c>
      <c r="AC11" s="166">
        <f>Summary!AC59</f>
        <v>0</v>
      </c>
      <c r="AD11" s="166">
        <f>Summary!AD59</f>
        <v>0</v>
      </c>
      <c r="AE11" s="166">
        <f>Summary!AE59</f>
        <v>0</v>
      </c>
      <c r="AF11" s="166">
        <f>Summary!AF59</f>
        <v>0</v>
      </c>
      <c r="AG11" s="629">
        <f t="shared" si="3"/>
        <v>0</v>
      </c>
    </row>
    <row r="12">
      <c r="A12" s="148" t="s">
        <v>938</v>
      </c>
      <c r="B12" s="150">
        <f>Summary!B63</f>
        <v>9</v>
      </c>
      <c r="C12" s="150">
        <f>Summary!C63</f>
        <v>0</v>
      </c>
      <c r="D12" s="150">
        <f>Summary!D63</f>
        <v>13</v>
      </c>
      <c r="E12" s="150">
        <f>Summary!E63</f>
        <v>6</v>
      </c>
      <c r="F12" s="150">
        <f>Summary!F63</f>
        <v>0</v>
      </c>
      <c r="G12" s="150">
        <f>Summary!G63</f>
        <v>0</v>
      </c>
      <c r="H12" s="150">
        <f>Summary!H63</f>
        <v>12</v>
      </c>
      <c r="I12" s="150">
        <f>Summary!I63</f>
        <v>1</v>
      </c>
      <c r="J12" s="150">
        <f>Summary!J63</f>
        <v>3</v>
      </c>
      <c r="K12" s="150">
        <f>Summary!K63</f>
        <v>3</v>
      </c>
      <c r="L12" s="150">
        <f>Summary!L63</f>
        <v>7</v>
      </c>
      <c r="M12" s="150">
        <f>Summary!M63</f>
        <v>2</v>
      </c>
      <c r="N12" s="150">
        <f>Summary!N63</f>
        <v>0</v>
      </c>
      <c r="O12" s="150">
        <f>Summary!O63</f>
        <v>2</v>
      </c>
      <c r="P12" s="150">
        <f>Summary!P63</f>
        <v>2</v>
      </c>
      <c r="Q12" s="150">
        <f>Summary!Q63</f>
        <v>4</v>
      </c>
      <c r="R12" s="150">
        <f>Summary!R63</f>
        <v>6</v>
      </c>
      <c r="S12" s="150">
        <f>Summary!S63</f>
        <v>0</v>
      </c>
      <c r="T12" s="150">
        <f>Summary!T63</f>
        <v>10</v>
      </c>
      <c r="U12" s="150">
        <f>Summary!U63</f>
        <v>7</v>
      </c>
      <c r="V12" s="150">
        <f>Summary!V63</f>
        <v>12</v>
      </c>
      <c r="W12" s="150">
        <f>Summary!W63</f>
        <v>9</v>
      </c>
      <c r="X12" s="150">
        <f>Summary!X63</f>
        <v>5</v>
      </c>
      <c r="Y12" s="150">
        <f>Summary!Y63</f>
        <v>1</v>
      </c>
      <c r="Z12" s="150">
        <f>Summary!Z63</f>
        <v>0</v>
      </c>
      <c r="AA12" s="150">
        <f>Summary!AA63</f>
        <v>0</v>
      </c>
      <c r="AB12" s="150">
        <f>Summary!AB63</f>
        <v>1</v>
      </c>
      <c r="AC12" s="150">
        <f>Summary!AC63</f>
        <v>6</v>
      </c>
      <c r="AD12" s="150">
        <f>Summary!AD63</f>
        <v>6</v>
      </c>
      <c r="AE12" s="150">
        <f>Summary!AE63</f>
        <v>6</v>
      </c>
      <c r="AF12" s="150">
        <f>Summary!AF63</f>
        <v>6</v>
      </c>
      <c r="AG12" s="629">
        <f t="shared" si="3"/>
        <v>139</v>
      </c>
    </row>
    <row r="13">
      <c r="A13" s="148" t="s">
        <v>939</v>
      </c>
      <c r="B13" s="150">
        <f t="shared" ref="B13:AF13" si="4">SUM(B10:B12)</f>
        <v>9</v>
      </c>
      <c r="C13" s="150">
        <f t="shared" si="4"/>
        <v>0</v>
      </c>
      <c r="D13" s="150">
        <f t="shared" si="4"/>
        <v>13</v>
      </c>
      <c r="E13" s="150">
        <f t="shared" si="4"/>
        <v>6</v>
      </c>
      <c r="F13" s="150">
        <f t="shared" si="4"/>
        <v>0</v>
      </c>
      <c r="G13" s="150">
        <f t="shared" si="4"/>
        <v>0</v>
      </c>
      <c r="H13" s="150">
        <f t="shared" si="4"/>
        <v>12</v>
      </c>
      <c r="I13" s="150">
        <f t="shared" si="4"/>
        <v>1</v>
      </c>
      <c r="J13" s="150">
        <f t="shared" si="4"/>
        <v>3</v>
      </c>
      <c r="K13" s="150">
        <f t="shared" si="4"/>
        <v>3</v>
      </c>
      <c r="L13" s="150">
        <f t="shared" si="4"/>
        <v>7</v>
      </c>
      <c r="M13" s="150">
        <f t="shared" si="4"/>
        <v>2</v>
      </c>
      <c r="N13" s="150">
        <f t="shared" si="4"/>
        <v>0</v>
      </c>
      <c r="O13" s="150">
        <f t="shared" si="4"/>
        <v>2</v>
      </c>
      <c r="P13" s="150">
        <f t="shared" si="4"/>
        <v>2</v>
      </c>
      <c r="Q13" s="150">
        <f t="shared" si="4"/>
        <v>4</v>
      </c>
      <c r="R13" s="150">
        <f t="shared" si="4"/>
        <v>7</v>
      </c>
      <c r="S13" s="150">
        <f t="shared" si="4"/>
        <v>0</v>
      </c>
      <c r="T13" s="150">
        <f t="shared" si="4"/>
        <v>11</v>
      </c>
      <c r="U13" s="150">
        <f t="shared" si="4"/>
        <v>7</v>
      </c>
      <c r="V13" s="150">
        <f t="shared" si="4"/>
        <v>12</v>
      </c>
      <c r="W13" s="150">
        <f t="shared" si="4"/>
        <v>9</v>
      </c>
      <c r="X13" s="150">
        <f t="shared" si="4"/>
        <v>5</v>
      </c>
      <c r="Y13" s="150">
        <f t="shared" si="4"/>
        <v>1</v>
      </c>
      <c r="Z13" s="150">
        <f t="shared" si="4"/>
        <v>0</v>
      </c>
      <c r="AA13" s="150">
        <f t="shared" si="4"/>
        <v>0</v>
      </c>
      <c r="AB13" s="150">
        <f t="shared" si="4"/>
        <v>1</v>
      </c>
      <c r="AC13" s="150">
        <f t="shared" si="4"/>
        <v>6</v>
      </c>
      <c r="AD13" s="150">
        <f t="shared" si="4"/>
        <v>6</v>
      </c>
      <c r="AE13" s="150">
        <f t="shared" si="4"/>
        <v>7</v>
      </c>
      <c r="AF13" s="150">
        <f t="shared" si="4"/>
        <v>6</v>
      </c>
      <c r="AG13" s="629">
        <f t="shared" si="3"/>
        <v>142</v>
      </c>
    </row>
    <row r="14">
      <c r="A14" s="98"/>
      <c r="B14" s="82"/>
      <c r="C14" s="82"/>
      <c r="D14" s="82"/>
      <c r="E14" s="82"/>
      <c r="F14" s="82"/>
      <c r="G14" s="82"/>
      <c r="H14" s="82"/>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633"/>
    </row>
    <row r="15">
      <c r="A15" s="147" t="s">
        <v>940</v>
      </c>
      <c r="B15" s="82"/>
      <c r="C15" s="82"/>
      <c r="D15" s="82"/>
      <c r="E15" s="82"/>
      <c r="F15" s="82"/>
      <c r="G15" s="82"/>
      <c r="H15" s="82"/>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633"/>
    </row>
    <row r="16">
      <c r="A16" s="157" t="s">
        <v>941</v>
      </c>
      <c r="B16" s="158">
        <f>Summary!B22</f>
        <v>0</v>
      </c>
      <c r="C16" s="158">
        <f>Summary!C22</f>
        <v>0</v>
      </c>
      <c r="D16" s="158">
        <f>Summary!D22</f>
        <v>0</v>
      </c>
      <c r="E16" s="158">
        <f>Summary!E22</f>
        <v>0</v>
      </c>
      <c r="F16" s="158">
        <f>Summary!F22</f>
        <v>0</v>
      </c>
      <c r="G16" s="158">
        <f>Summary!G22</f>
        <v>0</v>
      </c>
      <c r="H16" s="158">
        <f>Summary!H22</f>
        <v>0</v>
      </c>
      <c r="I16" s="158">
        <f>Summary!I22</f>
        <v>0</v>
      </c>
      <c r="J16" s="158">
        <f>Summary!J22</f>
        <v>0</v>
      </c>
      <c r="K16" s="158">
        <f>Summary!K22</f>
        <v>0</v>
      </c>
      <c r="L16" s="158">
        <f>Summary!L22</f>
        <v>0</v>
      </c>
      <c r="M16" s="158">
        <f>Summary!M22</f>
        <v>0</v>
      </c>
      <c r="N16" s="158">
        <f>Summary!N22</f>
        <v>0</v>
      </c>
      <c r="O16" s="158">
        <f>Summary!O22</f>
        <v>0</v>
      </c>
      <c r="P16" s="158">
        <f>Summary!P22</f>
        <v>0</v>
      </c>
      <c r="Q16" s="158">
        <f>Summary!Q22</f>
        <v>0</v>
      </c>
      <c r="R16" s="158">
        <f>Summary!R22</f>
        <v>318.409386</v>
      </c>
      <c r="S16" s="158">
        <f>Summary!S22</f>
        <v>0</v>
      </c>
      <c r="T16" s="158">
        <f>Summary!T22</f>
        <v>318.409386</v>
      </c>
      <c r="U16" s="158">
        <f>Summary!U22</f>
        <v>0</v>
      </c>
      <c r="V16" s="158">
        <f>Summary!V22</f>
        <v>0</v>
      </c>
      <c r="W16" s="158">
        <f>Summary!W22</f>
        <v>0</v>
      </c>
      <c r="X16" s="158">
        <f>Summary!X22</f>
        <v>0</v>
      </c>
      <c r="Y16" s="158">
        <f>Summary!Y22</f>
        <v>0</v>
      </c>
      <c r="Z16" s="158">
        <f>Summary!Z22</f>
        <v>0</v>
      </c>
      <c r="AA16" s="158">
        <f>Summary!AA22</f>
        <v>0</v>
      </c>
      <c r="AB16" s="158">
        <f>Summary!AB22</f>
        <v>0</v>
      </c>
      <c r="AC16" s="158">
        <f>Summary!AC22</f>
        <v>0</v>
      </c>
      <c r="AD16" s="158">
        <f>Summary!AD22</f>
        <v>0</v>
      </c>
      <c r="AE16" s="158">
        <f>Summary!AE22</f>
        <v>318.409386</v>
      </c>
      <c r="AF16" s="158">
        <f>Summary!AF22</f>
        <v>0</v>
      </c>
      <c r="AG16" s="635">
        <f t="shared" ref="AG16:AG20" si="5">SUM(B16:AF16)</f>
        <v>955.228158</v>
      </c>
    </row>
    <row r="17">
      <c r="A17" s="157" t="s">
        <v>942</v>
      </c>
      <c r="B17" s="158">
        <v>0.0</v>
      </c>
      <c r="C17" s="158">
        <v>0.0</v>
      </c>
      <c r="D17" s="158">
        <v>0.0</v>
      </c>
      <c r="E17" s="158">
        <v>0.0</v>
      </c>
      <c r="F17" s="158">
        <v>0.0</v>
      </c>
      <c r="G17" s="158">
        <v>0.0</v>
      </c>
      <c r="H17" s="158">
        <v>0.0</v>
      </c>
      <c r="I17" s="158">
        <v>0.0</v>
      </c>
      <c r="J17" s="158">
        <v>0.0</v>
      </c>
      <c r="K17" s="158">
        <v>0.0</v>
      </c>
      <c r="L17" s="158">
        <v>0.0</v>
      </c>
      <c r="M17" s="158">
        <v>0.0</v>
      </c>
      <c r="N17" s="158">
        <v>0.0</v>
      </c>
      <c r="O17" s="158">
        <v>0.0</v>
      </c>
      <c r="P17" s="158">
        <v>0.0</v>
      </c>
      <c r="Q17" s="316">
        <v>0.0</v>
      </c>
      <c r="R17" s="158">
        <v>0.0</v>
      </c>
      <c r="S17" s="158">
        <v>0.0</v>
      </c>
      <c r="T17" s="158">
        <v>0.0</v>
      </c>
      <c r="U17" s="316">
        <v>0.0</v>
      </c>
      <c r="V17" s="158">
        <v>0.0</v>
      </c>
      <c r="W17" s="158">
        <v>0.0</v>
      </c>
      <c r="X17" s="158">
        <v>0.0</v>
      </c>
      <c r="Y17" s="158">
        <v>0.0</v>
      </c>
      <c r="Z17" s="158">
        <v>0.0</v>
      </c>
      <c r="AA17" s="158">
        <v>0.0</v>
      </c>
      <c r="AB17" s="158">
        <v>0.0</v>
      </c>
      <c r="AC17" s="158"/>
      <c r="AD17" s="158"/>
      <c r="AE17" s="158"/>
      <c r="AF17" s="158"/>
      <c r="AG17" s="635">
        <f t="shared" si="5"/>
        <v>0</v>
      </c>
    </row>
    <row r="18">
      <c r="A18" s="157" t="s">
        <v>943</v>
      </c>
      <c r="B18" s="158">
        <v>0.0</v>
      </c>
      <c r="C18" s="158">
        <v>0.0</v>
      </c>
      <c r="D18" s="158">
        <v>0.0</v>
      </c>
      <c r="E18" s="158">
        <v>0.0</v>
      </c>
      <c r="F18" s="158">
        <v>0.0</v>
      </c>
      <c r="G18" s="158">
        <v>0.0</v>
      </c>
      <c r="H18" s="158">
        <v>0.0</v>
      </c>
      <c r="I18" s="158">
        <v>0.0</v>
      </c>
      <c r="J18" s="158">
        <v>0.0</v>
      </c>
      <c r="K18" s="158">
        <v>0.0</v>
      </c>
      <c r="L18" s="158">
        <v>0.0</v>
      </c>
      <c r="M18" s="158">
        <v>0.0</v>
      </c>
      <c r="N18" s="158">
        <v>0.0</v>
      </c>
      <c r="O18" s="158">
        <v>0.0</v>
      </c>
      <c r="P18" s="158">
        <v>0.0</v>
      </c>
      <c r="Q18" s="158">
        <v>0.0</v>
      </c>
      <c r="R18" s="158">
        <v>0.0</v>
      </c>
      <c r="S18" s="158">
        <v>0.0</v>
      </c>
      <c r="T18" s="158">
        <v>0.0</v>
      </c>
      <c r="U18" s="158">
        <v>0.0</v>
      </c>
      <c r="V18" s="158">
        <v>0.0</v>
      </c>
      <c r="W18" s="158">
        <v>0.0</v>
      </c>
      <c r="X18" s="158">
        <v>0.0</v>
      </c>
      <c r="Y18" s="158">
        <v>0.0</v>
      </c>
      <c r="Z18" s="158">
        <v>0.0</v>
      </c>
      <c r="AA18" s="158">
        <v>0.0</v>
      </c>
      <c r="AB18" s="158">
        <v>0.0</v>
      </c>
      <c r="AC18" s="158">
        <v>0.0</v>
      </c>
      <c r="AD18" s="158">
        <v>0.0</v>
      </c>
      <c r="AE18" s="158">
        <v>0.0</v>
      </c>
      <c r="AF18" s="158">
        <v>0.0</v>
      </c>
      <c r="AG18" s="635">
        <f t="shared" si="5"/>
        <v>0</v>
      </c>
    </row>
    <row r="19">
      <c r="A19" s="157" t="s">
        <v>944</v>
      </c>
      <c r="B19" s="158">
        <v>0.0</v>
      </c>
      <c r="C19" s="158">
        <v>0.0</v>
      </c>
      <c r="D19" s="158">
        <v>0.0</v>
      </c>
      <c r="E19" s="158">
        <v>0.0</v>
      </c>
      <c r="F19" s="158">
        <v>0.0</v>
      </c>
      <c r="G19" s="158">
        <v>0.0</v>
      </c>
      <c r="H19" s="158">
        <v>0.0</v>
      </c>
      <c r="I19" s="158">
        <v>0.0</v>
      </c>
      <c r="J19" s="158">
        <v>0.0</v>
      </c>
      <c r="K19" s="158">
        <v>0.0</v>
      </c>
      <c r="L19" s="158">
        <v>0.0</v>
      </c>
      <c r="M19" s="158">
        <v>0.0</v>
      </c>
      <c r="N19" s="158">
        <v>0.0</v>
      </c>
      <c r="O19" s="158">
        <v>0.0</v>
      </c>
      <c r="P19" s="158">
        <v>0.0</v>
      </c>
      <c r="Q19" s="158">
        <v>0.0</v>
      </c>
      <c r="R19" s="158">
        <v>0.0</v>
      </c>
      <c r="S19" s="158">
        <v>0.0</v>
      </c>
      <c r="T19" s="158">
        <v>0.0</v>
      </c>
      <c r="U19" s="158">
        <v>0.0</v>
      </c>
      <c r="V19" s="158">
        <v>0.0</v>
      </c>
      <c r="W19" s="158">
        <v>0.0</v>
      </c>
      <c r="X19" s="158">
        <v>0.0</v>
      </c>
      <c r="Y19" s="158">
        <v>0.0</v>
      </c>
      <c r="Z19" s="158">
        <v>0.0</v>
      </c>
      <c r="AA19" s="158">
        <v>0.0</v>
      </c>
      <c r="AB19" s="158">
        <v>0.0</v>
      </c>
      <c r="AC19" s="158">
        <v>0.0</v>
      </c>
      <c r="AD19" s="158">
        <v>0.0</v>
      </c>
      <c r="AE19" s="158">
        <v>0.0</v>
      </c>
      <c r="AF19" s="158">
        <v>0.0</v>
      </c>
      <c r="AG19" s="635">
        <f t="shared" si="5"/>
        <v>0</v>
      </c>
    </row>
    <row r="20">
      <c r="A20" s="334" t="s">
        <v>945</v>
      </c>
      <c r="B20" s="335">
        <f t="shared" ref="B20:AF20" si="6">SUM(B16:B19)</f>
        <v>0</v>
      </c>
      <c r="C20" s="335">
        <f t="shared" si="6"/>
        <v>0</v>
      </c>
      <c r="D20" s="335">
        <f t="shared" si="6"/>
        <v>0</v>
      </c>
      <c r="E20" s="335">
        <f t="shared" si="6"/>
        <v>0</v>
      </c>
      <c r="F20" s="335">
        <f t="shared" si="6"/>
        <v>0</v>
      </c>
      <c r="G20" s="335">
        <f t="shared" si="6"/>
        <v>0</v>
      </c>
      <c r="H20" s="335">
        <f t="shared" si="6"/>
        <v>0</v>
      </c>
      <c r="I20" s="335">
        <f t="shared" si="6"/>
        <v>0</v>
      </c>
      <c r="J20" s="335">
        <f t="shared" si="6"/>
        <v>0</v>
      </c>
      <c r="K20" s="335">
        <f t="shared" si="6"/>
        <v>0</v>
      </c>
      <c r="L20" s="335">
        <f t="shared" si="6"/>
        <v>0</v>
      </c>
      <c r="M20" s="335">
        <f t="shared" si="6"/>
        <v>0</v>
      </c>
      <c r="N20" s="335">
        <f t="shared" si="6"/>
        <v>0</v>
      </c>
      <c r="O20" s="335">
        <f t="shared" si="6"/>
        <v>0</v>
      </c>
      <c r="P20" s="335">
        <f t="shared" si="6"/>
        <v>0</v>
      </c>
      <c r="Q20" s="335">
        <f t="shared" si="6"/>
        <v>0</v>
      </c>
      <c r="R20" s="335">
        <f t="shared" si="6"/>
        <v>318.409386</v>
      </c>
      <c r="S20" s="335">
        <f t="shared" si="6"/>
        <v>0</v>
      </c>
      <c r="T20" s="335">
        <f t="shared" si="6"/>
        <v>318.409386</v>
      </c>
      <c r="U20" s="335">
        <f t="shared" si="6"/>
        <v>0</v>
      </c>
      <c r="V20" s="335">
        <f t="shared" si="6"/>
        <v>0</v>
      </c>
      <c r="W20" s="335">
        <f t="shared" si="6"/>
        <v>0</v>
      </c>
      <c r="X20" s="335">
        <f t="shared" si="6"/>
        <v>0</v>
      </c>
      <c r="Y20" s="335">
        <f t="shared" si="6"/>
        <v>0</v>
      </c>
      <c r="Z20" s="335">
        <f t="shared" si="6"/>
        <v>0</v>
      </c>
      <c r="AA20" s="335">
        <f t="shared" si="6"/>
        <v>0</v>
      </c>
      <c r="AB20" s="335">
        <f t="shared" si="6"/>
        <v>0</v>
      </c>
      <c r="AC20" s="335">
        <f t="shared" si="6"/>
        <v>0</v>
      </c>
      <c r="AD20" s="335">
        <f t="shared" si="6"/>
        <v>0</v>
      </c>
      <c r="AE20" s="335">
        <f t="shared" si="6"/>
        <v>318.409386</v>
      </c>
      <c r="AF20" s="335">
        <f t="shared" si="6"/>
        <v>0</v>
      </c>
      <c r="AG20" s="635">
        <f t="shared" si="5"/>
        <v>955.228158</v>
      </c>
    </row>
    <row r="21">
      <c r="A21" s="98"/>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633"/>
    </row>
    <row r="22">
      <c r="A22" s="147" t="s">
        <v>558</v>
      </c>
      <c r="B22" s="165"/>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629"/>
    </row>
    <row r="23">
      <c r="A23" s="163" t="s">
        <v>946</v>
      </c>
      <c r="B23" s="165">
        <f t="shared" ref="B23:AF23" si="7">B75-B40</f>
        <v>0</v>
      </c>
      <c r="C23" s="165">
        <f t="shared" si="7"/>
        <v>0</v>
      </c>
      <c r="D23" s="165">
        <f t="shared" si="7"/>
        <v>0</v>
      </c>
      <c r="E23" s="165">
        <f t="shared" si="7"/>
        <v>0</v>
      </c>
      <c r="F23" s="165">
        <f t="shared" si="7"/>
        <v>0</v>
      </c>
      <c r="G23" s="165">
        <f t="shared" si="7"/>
        <v>0</v>
      </c>
      <c r="H23" s="165">
        <f t="shared" si="7"/>
        <v>1</v>
      </c>
      <c r="I23" s="166">
        <f t="shared" si="7"/>
        <v>1</v>
      </c>
      <c r="J23" s="166">
        <f t="shared" si="7"/>
        <v>0</v>
      </c>
      <c r="K23" s="166">
        <f t="shared" si="7"/>
        <v>1</v>
      </c>
      <c r="L23" s="166">
        <f t="shared" si="7"/>
        <v>0</v>
      </c>
      <c r="M23" s="166">
        <f t="shared" si="7"/>
        <v>2</v>
      </c>
      <c r="N23" s="166">
        <f t="shared" si="7"/>
        <v>3</v>
      </c>
      <c r="O23" s="149">
        <f t="shared" si="7"/>
        <v>0</v>
      </c>
      <c r="P23" s="149">
        <f t="shared" si="7"/>
        <v>0</v>
      </c>
      <c r="Q23" s="149">
        <f t="shared" si="7"/>
        <v>0</v>
      </c>
      <c r="R23" s="166">
        <f t="shared" si="7"/>
        <v>0</v>
      </c>
      <c r="S23" s="166">
        <f t="shared" si="7"/>
        <v>0</v>
      </c>
      <c r="T23" s="166">
        <f t="shared" si="7"/>
        <v>0</v>
      </c>
      <c r="U23" s="166">
        <f t="shared" si="7"/>
        <v>0</v>
      </c>
      <c r="V23" s="166">
        <f t="shared" si="7"/>
        <v>0</v>
      </c>
      <c r="W23" s="166">
        <f t="shared" si="7"/>
        <v>0</v>
      </c>
      <c r="X23" s="166">
        <f t="shared" si="7"/>
        <v>0</v>
      </c>
      <c r="Y23" s="166">
        <f t="shared" si="7"/>
        <v>0</v>
      </c>
      <c r="Z23" s="149">
        <f t="shared" si="7"/>
        <v>0</v>
      </c>
      <c r="AA23" s="166">
        <f t="shared" si="7"/>
        <v>0</v>
      </c>
      <c r="AB23" s="166">
        <f t="shared" si="7"/>
        <v>0</v>
      </c>
      <c r="AC23" s="149">
        <f t="shared" si="7"/>
        <v>0</v>
      </c>
      <c r="AD23" s="149">
        <f t="shared" si="7"/>
        <v>0</v>
      </c>
      <c r="AE23" s="149">
        <f t="shared" si="7"/>
        <v>0</v>
      </c>
      <c r="AF23" s="149">
        <f t="shared" si="7"/>
        <v>0</v>
      </c>
      <c r="AG23" s="629">
        <f t="shared" ref="AG23:AG27" si="9">sum(B23:AF23)</f>
        <v>8</v>
      </c>
    </row>
    <row r="24">
      <c r="A24" s="163" t="s">
        <v>947</v>
      </c>
      <c r="B24" s="165">
        <f t="shared" ref="B24:AF24" si="8">B76-B41</f>
        <v>0</v>
      </c>
      <c r="C24" s="165">
        <f t="shared" si="8"/>
        <v>0</v>
      </c>
      <c r="D24" s="165">
        <f t="shared" si="8"/>
        <v>0</v>
      </c>
      <c r="E24" s="165">
        <f t="shared" si="8"/>
        <v>0</v>
      </c>
      <c r="F24" s="165">
        <f t="shared" si="8"/>
        <v>0</v>
      </c>
      <c r="G24" s="165">
        <f t="shared" si="8"/>
        <v>0</v>
      </c>
      <c r="H24" s="165">
        <f t="shared" si="8"/>
        <v>1</v>
      </c>
      <c r="I24" s="166">
        <f t="shared" si="8"/>
        <v>1</v>
      </c>
      <c r="J24" s="166">
        <f t="shared" si="8"/>
        <v>1</v>
      </c>
      <c r="K24" s="166">
        <f t="shared" si="8"/>
        <v>0</v>
      </c>
      <c r="L24" s="166">
        <f t="shared" si="8"/>
        <v>0</v>
      </c>
      <c r="M24" s="166">
        <f t="shared" si="8"/>
        <v>1</v>
      </c>
      <c r="N24" s="166">
        <f t="shared" si="8"/>
        <v>0</v>
      </c>
      <c r="O24" s="149">
        <f t="shared" si="8"/>
        <v>0</v>
      </c>
      <c r="P24" s="149">
        <f t="shared" si="8"/>
        <v>0</v>
      </c>
      <c r="Q24" s="149">
        <f t="shared" si="8"/>
        <v>0</v>
      </c>
      <c r="R24" s="166">
        <f t="shared" si="8"/>
        <v>0</v>
      </c>
      <c r="S24" s="166">
        <f t="shared" si="8"/>
        <v>0</v>
      </c>
      <c r="T24" s="166">
        <f t="shared" si="8"/>
        <v>0</v>
      </c>
      <c r="U24" s="166">
        <f t="shared" si="8"/>
        <v>0</v>
      </c>
      <c r="V24" s="166">
        <f t="shared" si="8"/>
        <v>0</v>
      </c>
      <c r="W24" s="166">
        <f t="shared" si="8"/>
        <v>0</v>
      </c>
      <c r="X24" s="166">
        <f t="shared" si="8"/>
        <v>0</v>
      </c>
      <c r="Y24" s="166">
        <f t="shared" si="8"/>
        <v>0</v>
      </c>
      <c r="Z24" s="149">
        <f t="shared" si="8"/>
        <v>0</v>
      </c>
      <c r="AA24" s="166">
        <f t="shared" si="8"/>
        <v>0</v>
      </c>
      <c r="AB24" s="166">
        <f t="shared" si="8"/>
        <v>0</v>
      </c>
      <c r="AC24" s="149">
        <f t="shared" si="8"/>
        <v>0</v>
      </c>
      <c r="AD24" s="149">
        <f t="shared" si="8"/>
        <v>0</v>
      </c>
      <c r="AE24" s="149">
        <f t="shared" si="8"/>
        <v>0</v>
      </c>
      <c r="AF24" s="149">
        <f t="shared" si="8"/>
        <v>0</v>
      </c>
      <c r="AG24" s="629">
        <f t="shared" si="9"/>
        <v>4</v>
      </c>
    </row>
    <row r="25">
      <c r="A25" s="163" t="s">
        <v>948</v>
      </c>
      <c r="B25" s="165">
        <f t="shared" ref="B25:AF25" si="10">B77-B42</f>
        <v>3</v>
      </c>
      <c r="C25" s="165">
        <f t="shared" si="10"/>
        <v>0</v>
      </c>
      <c r="D25" s="165">
        <f t="shared" si="10"/>
        <v>2</v>
      </c>
      <c r="E25" s="165">
        <f t="shared" si="10"/>
        <v>1</v>
      </c>
      <c r="F25" s="165">
        <f t="shared" si="10"/>
        <v>1</v>
      </c>
      <c r="G25" s="165">
        <f t="shared" si="10"/>
        <v>0</v>
      </c>
      <c r="H25" s="165">
        <f t="shared" si="10"/>
        <v>0</v>
      </c>
      <c r="I25" s="166">
        <f t="shared" si="10"/>
        <v>2</v>
      </c>
      <c r="J25" s="166">
        <f t="shared" si="10"/>
        <v>2</v>
      </c>
      <c r="K25" s="166">
        <f t="shared" si="10"/>
        <v>2</v>
      </c>
      <c r="L25" s="166">
        <f t="shared" si="10"/>
        <v>4</v>
      </c>
      <c r="M25" s="166">
        <f t="shared" si="10"/>
        <v>64</v>
      </c>
      <c r="N25" s="166">
        <f t="shared" si="10"/>
        <v>14</v>
      </c>
      <c r="O25" s="149">
        <f t="shared" si="10"/>
        <v>0</v>
      </c>
      <c r="P25" s="149">
        <f t="shared" si="10"/>
        <v>0</v>
      </c>
      <c r="Q25" s="149">
        <f t="shared" si="10"/>
        <v>0</v>
      </c>
      <c r="R25" s="166">
        <f t="shared" si="10"/>
        <v>1</v>
      </c>
      <c r="S25" s="166">
        <f t="shared" si="10"/>
        <v>2</v>
      </c>
      <c r="T25" s="166">
        <f t="shared" si="10"/>
        <v>0</v>
      </c>
      <c r="U25" s="166">
        <f t="shared" si="10"/>
        <v>0</v>
      </c>
      <c r="V25" s="166">
        <f t="shared" si="10"/>
        <v>0</v>
      </c>
      <c r="W25" s="166">
        <f t="shared" si="10"/>
        <v>0</v>
      </c>
      <c r="X25" s="166">
        <f t="shared" si="10"/>
        <v>0</v>
      </c>
      <c r="Y25" s="166">
        <f t="shared" si="10"/>
        <v>0</v>
      </c>
      <c r="Z25" s="166">
        <f t="shared" si="10"/>
        <v>0</v>
      </c>
      <c r="AA25" s="166">
        <f t="shared" si="10"/>
        <v>0</v>
      </c>
      <c r="AB25" s="166">
        <f t="shared" si="10"/>
        <v>0</v>
      </c>
      <c r="AC25" s="166">
        <f t="shared" si="10"/>
        <v>0</v>
      </c>
      <c r="AD25" s="166">
        <f t="shared" si="10"/>
        <v>0</v>
      </c>
      <c r="AE25" s="166">
        <f t="shared" si="10"/>
        <v>0</v>
      </c>
      <c r="AF25" s="166">
        <f t="shared" si="10"/>
        <v>0</v>
      </c>
      <c r="AG25" s="629">
        <f t="shared" si="9"/>
        <v>98</v>
      </c>
    </row>
    <row r="26">
      <c r="A26" s="163" t="s">
        <v>949</v>
      </c>
      <c r="B26" s="165">
        <f t="shared" ref="B26:AF26" si="11">B78-B43</f>
        <v>3</v>
      </c>
      <c r="C26" s="165">
        <f t="shared" si="11"/>
        <v>1</v>
      </c>
      <c r="D26" s="165">
        <f t="shared" si="11"/>
        <v>0</v>
      </c>
      <c r="E26" s="165">
        <f t="shared" si="11"/>
        <v>0</v>
      </c>
      <c r="F26" s="165">
        <f t="shared" si="11"/>
        <v>0</v>
      </c>
      <c r="G26" s="165">
        <f t="shared" si="11"/>
        <v>0</v>
      </c>
      <c r="H26" s="165">
        <f t="shared" si="11"/>
        <v>0</v>
      </c>
      <c r="I26" s="166">
        <f t="shared" si="11"/>
        <v>6</v>
      </c>
      <c r="J26" s="166">
        <f t="shared" si="11"/>
        <v>0</v>
      </c>
      <c r="K26" s="166">
        <f t="shared" si="11"/>
        <v>0</v>
      </c>
      <c r="L26" s="166">
        <f t="shared" si="11"/>
        <v>0</v>
      </c>
      <c r="M26" s="166">
        <f t="shared" si="11"/>
        <v>20</v>
      </c>
      <c r="N26" s="166">
        <f t="shared" si="11"/>
        <v>9</v>
      </c>
      <c r="O26" s="149">
        <f t="shared" si="11"/>
        <v>0</v>
      </c>
      <c r="P26" s="149">
        <f t="shared" si="11"/>
        <v>0</v>
      </c>
      <c r="Q26" s="149">
        <f t="shared" si="11"/>
        <v>0</v>
      </c>
      <c r="R26" s="166">
        <f t="shared" si="11"/>
        <v>1</v>
      </c>
      <c r="S26" s="166">
        <f t="shared" si="11"/>
        <v>0</v>
      </c>
      <c r="T26" s="166">
        <f t="shared" si="11"/>
        <v>0</v>
      </c>
      <c r="U26" s="166">
        <f t="shared" si="11"/>
        <v>0</v>
      </c>
      <c r="V26" s="166">
        <f t="shared" si="11"/>
        <v>0</v>
      </c>
      <c r="W26" s="166">
        <f t="shared" si="11"/>
        <v>0</v>
      </c>
      <c r="X26" s="166">
        <f t="shared" si="11"/>
        <v>0</v>
      </c>
      <c r="Y26" s="166">
        <f t="shared" si="11"/>
        <v>0</v>
      </c>
      <c r="Z26" s="166">
        <f t="shared" si="11"/>
        <v>0</v>
      </c>
      <c r="AA26" s="166">
        <f t="shared" si="11"/>
        <v>0</v>
      </c>
      <c r="AB26" s="166">
        <f t="shared" si="11"/>
        <v>0</v>
      </c>
      <c r="AC26" s="166">
        <f t="shared" si="11"/>
        <v>0</v>
      </c>
      <c r="AD26" s="166">
        <f t="shared" si="11"/>
        <v>0</v>
      </c>
      <c r="AE26" s="166">
        <f t="shared" si="11"/>
        <v>0</v>
      </c>
      <c r="AF26" s="166">
        <f t="shared" si="11"/>
        <v>0</v>
      </c>
      <c r="AG26" s="629">
        <f t="shared" si="9"/>
        <v>40</v>
      </c>
    </row>
    <row r="27">
      <c r="A27" s="636" t="s">
        <v>459</v>
      </c>
      <c r="B27" s="336">
        <f t="shared" ref="B27:AF27" si="12">SUM(B23:B26)</f>
        <v>6</v>
      </c>
      <c r="C27" s="336">
        <f t="shared" si="12"/>
        <v>1</v>
      </c>
      <c r="D27" s="336">
        <f t="shared" si="12"/>
        <v>2</v>
      </c>
      <c r="E27" s="336">
        <f t="shared" si="12"/>
        <v>1</v>
      </c>
      <c r="F27" s="336">
        <f t="shared" si="12"/>
        <v>1</v>
      </c>
      <c r="G27" s="336">
        <f t="shared" si="12"/>
        <v>0</v>
      </c>
      <c r="H27" s="336">
        <f t="shared" si="12"/>
        <v>2</v>
      </c>
      <c r="I27" s="336">
        <f t="shared" si="12"/>
        <v>10</v>
      </c>
      <c r="J27" s="336">
        <f t="shared" si="12"/>
        <v>3</v>
      </c>
      <c r="K27" s="336">
        <f t="shared" si="12"/>
        <v>3</v>
      </c>
      <c r="L27" s="336">
        <f t="shared" si="12"/>
        <v>4</v>
      </c>
      <c r="M27" s="336">
        <f t="shared" si="12"/>
        <v>87</v>
      </c>
      <c r="N27" s="336">
        <f t="shared" si="12"/>
        <v>26</v>
      </c>
      <c r="O27" s="336">
        <f t="shared" si="12"/>
        <v>0</v>
      </c>
      <c r="P27" s="336">
        <f t="shared" si="12"/>
        <v>0</v>
      </c>
      <c r="Q27" s="336">
        <f t="shared" si="12"/>
        <v>0</v>
      </c>
      <c r="R27" s="336">
        <f t="shared" si="12"/>
        <v>2</v>
      </c>
      <c r="S27" s="336">
        <f t="shared" si="12"/>
        <v>2</v>
      </c>
      <c r="T27" s="336">
        <f t="shared" si="12"/>
        <v>0</v>
      </c>
      <c r="U27" s="336">
        <f t="shared" si="12"/>
        <v>0</v>
      </c>
      <c r="V27" s="336">
        <f t="shared" si="12"/>
        <v>0</v>
      </c>
      <c r="W27" s="336">
        <f t="shared" si="12"/>
        <v>0</v>
      </c>
      <c r="X27" s="336">
        <f t="shared" si="12"/>
        <v>0</v>
      </c>
      <c r="Y27" s="336">
        <f t="shared" si="12"/>
        <v>0</v>
      </c>
      <c r="Z27" s="336">
        <f t="shared" si="12"/>
        <v>0</v>
      </c>
      <c r="AA27" s="336">
        <f t="shared" si="12"/>
        <v>0</v>
      </c>
      <c r="AB27" s="336">
        <f t="shared" si="12"/>
        <v>0</v>
      </c>
      <c r="AC27" s="336">
        <f t="shared" si="12"/>
        <v>0</v>
      </c>
      <c r="AD27" s="336">
        <f t="shared" si="12"/>
        <v>0</v>
      </c>
      <c r="AE27" s="336">
        <f t="shared" si="12"/>
        <v>0</v>
      </c>
      <c r="AF27" s="336">
        <f t="shared" si="12"/>
        <v>0</v>
      </c>
      <c r="AG27" s="629">
        <f t="shared" si="9"/>
        <v>150</v>
      </c>
    </row>
    <row r="28">
      <c r="A28" s="98"/>
      <c r="B28" s="171"/>
      <c r="C28" s="171"/>
      <c r="D28" s="171"/>
      <c r="E28" s="171"/>
      <c r="F28" s="171"/>
      <c r="G28" s="171"/>
      <c r="H28" s="171"/>
      <c r="I28" s="171"/>
      <c r="J28" s="82"/>
      <c r="K28" s="82"/>
      <c r="L28" s="82"/>
      <c r="M28" s="82"/>
      <c r="N28" s="82"/>
      <c r="O28" s="82"/>
      <c r="P28" s="82"/>
      <c r="Q28" s="82"/>
      <c r="R28" s="82"/>
      <c r="S28" s="82"/>
      <c r="T28" s="82"/>
      <c r="U28" s="82"/>
      <c r="V28" s="82"/>
      <c r="W28" s="82"/>
      <c r="X28" s="82"/>
      <c r="Y28" s="82"/>
      <c r="Z28" s="82"/>
      <c r="AA28" s="82"/>
      <c r="AB28" s="82"/>
      <c r="AC28" s="82"/>
      <c r="AD28" s="82"/>
      <c r="AE28" s="82"/>
      <c r="AF28" s="82"/>
      <c r="AG28" s="637"/>
    </row>
    <row r="29">
      <c r="A29" s="163" t="s">
        <v>122</v>
      </c>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629">
        <f t="shared" ref="AG29:AG37" si="13">sum(B29:AF29)</f>
        <v>0</v>
      </c>
    </row>
    <row r="30">
      <c r="A30" s="163" t="s">
        <v>123</v>
      </c>
      <c r="B30" s="95"/>
      <c r="C30" s="95"/>
      <c r="D30" s="95"/>
      <c r="E30" s="95"/>
      <c r="F30" s="95"/>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629">
        <f t="shared" si="13"/>
        <v>0</v>
      </c>
    </row>
    <row r="31">
      <c r="A31" s="163" t="s">
        <v>950</v>
      </c>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629">
        <f t="shared" si="13"/>
        <v>0</v>
      </c>
    </row>
    <row r="32">
      <c r="A32" s="163" t="s">
        <v>951</v>
      </c>
      <c r="B32" s="95"/>
      <c r="C32" s="95"/>
      <c r="D32" s="95"/>
      <c r="E32" s="95"/>
      <c r="F32" s="95"/>
      <c r="G32" s="95"/>
      <c r="H32" s="95"/>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629">
        <f t="shared" si="13"/>
        <v>0</v>
      </c>
    </row>
    <row r="33">
      <c r="A33" s="163" t="s">
        <v>952</v>
      </c>
      <c r="B33" s="95"/>
      <c r="C33" s="95"/>
      <c r="D33" s="95"/>
      <c r="E33" s="95"/>
      <c r="F33" s="95"/>
      <c r="G33" s="95"/>
      <c r="H33" s="95"/>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629">
        <f t="shared" si="13"/>
        <v>0</v>
      </c>
    </row>
    <row r="34">
      <c r="A34" s="163" t="s">
        <v>953</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629">
        <f t="shared" si="13"/>
        <v>0</v>
      </c>
    </row>
    <row r="35">
      <c r="A35" s="163" t="s">
        <v>954</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5"/>
      <c r="AD35" s="95"/>
      <c r="AE35" s="95"/>
      <c r="AF35" s="95"/>
      <c r="AG35" s="629">
        <f t="shared" si="13"/>
        <v>0</v>
      </c>
    </row>
    <row r="36">
      <c r="A36" s="163" t="s">
        <v>955</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629">
        <f t="shared" si="13"/>
        <v>0</v>
      </c>
    </row>
    <row r="37">
      <c r="A37" s="636" t="s">
        <v>109</v>
      </c>
      <c r="B37" s="336">
        <f t="shared" ref="B37:AF37" si="14">SUM(B29:B36)</f>
        <v>0</v>
      </c>
      <c r="C37" s="336">
        <f t="shared" si="14"/>
        <v>0</v>
      </c>
      <c r="D37" s="336">
        <f t="shared" si="14"/>
        <v>0</v>
      </c>
      <c r="E37" s="336">
        <f t="shared" si="14"/>
        <v>0</v>
      </c>
      <c r="F37" s="336">
        <f t="shared" si="14"/>
        <v>0</v>
      </c>
      <c r="G37" s="336">
        <f t="shared" si="14"/>
        <v>0</v>
      </c>
      <c r="H37" s="336">
        <f t="shared" si="14"/>
        <v>0</v>
      </c>
      <c r="I37" s="336">
        <f t="shared" si="14"/>
        <v>0</v>
      </c>
      <c r="J37" s="336">
        <f t="shared" si="14"/>
        <v>0</v>
      </c>
      <c r="K37" s="336">
        <f t="shared" si="14"/>
        <v>0</v>
      </c>
      <c r="L37" s="336">
        <f t="shared" si="14"/>
        <v>0</v>
      </c>
      <c r="M37" s="336">
        <f t="shared" si="14"/>
        <v>0</v>
      </c>
      <c r="N37" s="336">
        <f t="shared" si="14"/>
        <v>0</v>
      </c>
      <c r="O37" s="336">
        <f t="shared" si="14"/>
        <v>0</v>
      </c>
      <c r="P37" s="336">
        <f t="shared" si="14"/>
        <v>0</v>
      </c>
      <c r="Q37" s="336">
        <f t="shared" si="14"/>
        <v>0</v>
      </c>
      <c r="R37" s="336">
        <f t="shared" si="14"/>
        <v>0</v>
      </c>
      <c r="S37" s="336">
        <f t="shared" si="14"/>
        <v>0</v>
      </c>
      <c r="T37" s="336">
        <f t="shared" si="14"/>
        <v>0</v>
      </c>
      <c r="U37" s="336">
        <f t="shared" si="14"/>
        <v>0</v>
      </c>
      <c r="V37" s="336">
        <f t="shared" si="14"/>
        <v>0</v>
      </c>
      <c r="W37" s="336">
        <f t="shared" si="14"/>
        <v>0</v>
      </c>
      <c r="X37" s="336">
        <f t="shared" si="14"/>
        <v>0</v>
      </c>
      <c r="Y37" s="336">
        <f t="shared" si="14"/>
        <v>0</v>
      </c>
      <c r="Z37" s="336">
        <f t="shared" si="14"/>
        <v>0</v>
      </c>
      <c r="AA37" s="336">
        <f t="shared" si="14"/>
        <v>0</v>
      </c>
      <c r="AB37" s="336">
        <f t="shared" si="14"/>
        <v>0</v>
      </c>
      <c r="AC37" s="336">
        <f t="shared" si="14"/>
        <v>0</v>
      </c>
      <c r="AD37" s="336">
        <f t="shared" si="14"/>
        <v>0</v>
      </c>
      <c r="AE37" s="336">
        <f t="shared" si="14"/>
        <v>0</v>
      </c>
      <c r="AF37" s="336">
        <f t="shared" si="14"/>
        <v>0</v>
      </c>
      <c r="AG37" s="629">
        <f t="shared" si="13"/>
        <v>0</v>
      </c>
    </row>
    <row r="38">
      <c r="A38" s="224"/>
      <c r="B38" s="165"/>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629"/>
    </row>
    <row r="39">
      <c r="A39" s="147" t="s">
        <v>613</v>
      </c>
      <c r="B39" s="165"/>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629"/>
    </row>
    <row r="40">
      <c r="A40" s="163" t="s">
        <v>956</v>
      </c>
      <c r="B40" s="95"/>
      <c r="C40" s="95"/>
      <c r="D40" s="95"/>
      <c r="E40" s="95"/>
      <c r="F40" s="95"/>
      <c r="G40" s="95"/>
      <c r="H40" s="95"/>
      <c r="I40" s="88"/>
      <c r="J40" s="88"/>
      <c r="K40" s="166">
        <v>1.0</v>
      </c>
      <c r="L40" s="88"/>
      <c r="M40" s="166">
        <v>1.0</v>
      </c>
      <c r="N40" s="88"/>
      <c r="O40" s="617"/>
      <c r="P40" s="617"/>
      <c r="Q40" s="617"/>
      <c r="R40" s="88"/>
      <c r="S40" s="91"/>
      <c r="T40" s="91"/>
      <c r="U40" s="91"/>
      <c r="V40" s="91"/>
      <c r="W40" s="91"/>
      <c r="X40" s="91"/>
      <c r="Y40" s="91"/>
      <c r="Z40" s="618"/>
      <c r="AA40" s="91"/>
      <c r="AB40" s="91"/>
      <c r="AC40" s="618"/>
      <c r="AD40" s="618"/>
      <c r="AE40" s="618"/>
      <c r="AF40" s="618"/>
      <c r="AG40" s="629">
        <f t="shared" ref="AG40:AG44" si="15">sum(B40:AF40)</f>
        <v>2</v>
      </c>
    </row>
    <row r="41">
      <c r="A41" s="163" t="s">
        <v>957</v>
      </c>
      <c r="B41" s="95"/>
      <c r="C41" s="95"/>
      <c r="D41" s="95"/>
      <c r="E41" s="95"/>
      <c r="F41" s="95"/>
      <c r="G41" s="95"/>
      <c r="H41" s="95"/>
      <c r="I41" s="88"/>
      <c r="J41" s="88"/>
      <c r="K41" s="166">
        <v>0.0</v>
      </c>
      <c r="L41" s="166">
        <v>1.0</v>
      </c>
      <c r="M41" s="166">
        <v>1.0</v>
      </c>
      <c r="N41" s="166">
        <v>2.0</v>
      </c>
      <c r="O41" s="617"/>
      <c r="P41" s="617"/>
      <c r="Q41" s="617"/>
      <c r="R41" s="88"/>
      <c r="S41" s="91"/>
      <c r="T41" s="91"/>
      <c r="U41" s="91"/>
      <c r="V41" s="91"/>
      <c r="W41" s="91"/>
      <c r="X41" s="91"/>
      <c r="Y41" s="91"/>
      <c r="Z41" s="618"/>
      <c r="AA41" s="91"/>
      <c r="AB41" s="91"/>
      <c r="AC41" s="618"/>
      <c r="AD41" s="618"/>
      <c r="AE41" s="618"/>
      <c r="AF41" s="618"/>
      <c r="AG41" s="629">
        <f t="shared" si="15"/>
        <v>4</v>
      </c>
    </row>
    <row r="42">
      <c r="A42" s="163" t="s">
        <v>958</v>
      </c>
      <c r="B42" s="95"/>
      <c r="C42" s="95"/>
      <c r="D42" s="95"/>
      <c r="E42" s="95"/>
      <c r="F42" s="95"/>
      <c r="G42" s="95"/>
      <c r="H42" s="165">
        <v>3.0</v>
      </c>
      <c r="I42" s="166">
        <v>8.0</v>
      </c>
      <c r="J42" s="88"/>
      <c r="K42" s="88"/>
      <c r="L42" s="88"/>
      <c r="M42" s="166">
        <v>2.0</v>
      </c>
      <c r="N42" s="166">
        <v>1.0</v>
      </c>
      <c r="O42" s="617"/>
      <c r="P42" s="617"/>
      <c r="Q42" s="617"/>
      <c r="R42" s="166">
        <v>1.0</v>
      </c>
      <c r="S42" s="91"/>
      <c r="T42" s="91"/>
      <c r="U42" s="91"/>
      <c r="V42" s="91"/>
      <c r="W42" s="91"/>
      <c r="X42" s="91"/>
      <c r="Y42" s="91"/>
      <c r="Z42" s="619"/>
      <c r="AA42" s="91"/>
      <c r="AB42" s="91"/>
      <c r="AC42" s="91"/>
      <c r="AD42" s="91"/>
      <c r="AE42" s="91"/>
      <c r="AF42" s="91"/>
      <c r="AG42" s="629">
        <f t="shared" si="15"/>
        <v>15</v>
      </c>
    </row>
    <row r="43">
      <c r="A43" s="163" t="s">
        <v>959</v>
      </c>
      <c r="B43" s="95"/>
      <c r="C43" s="95"/>
      <c r="D43" s="95"/>
      <c r="E43" s="95"/>
      <c r="F43" s="95"/>
      <c r="G43" s="95"/>
      <c r="H43" s="95"/>
      <c r="I43" s="166">
        <v>1.0</v>
      </c>
      <c r="J43" s="88"/>
      <c r="K43" s="88"/>
      <c r="L43" s="88"/>
      <c r="M43" s="166">
        <v>1.0</v>
      </c>
      <c r="N43" s="88"/>
      <c r="O43" s="617"/>
      <c r="P43" s="617"/>
      <c r="Q43" s="617"/>
      <c r="R43" s="88"/>
      <c r="S43" s="91"/>
      <c r="T43" s="91"/>
      <c r="U43" s="91"/>
      <c r="V43" s="91"/>
      <c r="W43" s="91"/>
      <c r="X43" s="91"/>
      <c r="Y43" s="91"/>
      <c r="Z43" s="619"/>
      <c r="AA43" s="91"/>
      <c r="AB43" s="91"/>
      <c r="AC43" s="91"/>
      <c r="AD43" s="91"/>
      <c r="AE43" s="91"/>
      <c r="AF43" s="91"/>
      <c r="AG43" s="629">
        <f t="shared" si="15"/>
        <v>2</v>
      </c>
    </row>
    <row r="44">
      <c r="A44" s="636" t="s">
        <v>459</v>
      </c>
      <c r="B44" s="336">
        <f t="shared" ref="B44:AF44" si="16">SUM(B40:B43)</f>
        <v>0</v>
      </c>
      <c r="C44" s="336">
        <f t="shared" si="16"/>
        <v>0</v>
      </c>
      <c r="D44" s="336">
        <f t="shared" si="16"/>
        <v>0</v>
      </c>
      <c r="E44" s="336">
        <f t="shared" si="16"/>
        <v>0</v>
      </c>
      <c r="F44" s="336">
        <f t="shared" si="16"/>
        <v>0</v>
      </c>
      <c r="G44" s="336">
        <f t="shared" si="16"/>
        <v>0</v>
      </c>
      <c r="H44" s="336">
        <f t="shared" si="16"/>
        <v>3</v>
      </c>
      <c r="I44" s="336">
        <f t="shared" si="16"/>
        <v>9</v>
      </c>
      <c r="J44" s="336">
        <f t="shared" si="16"/>
        <v>0</v>
      </c>
      <c r="K44" s="336">
        <f t="shared" si="16"/>
        <v>1</v>
      </c>
      <c r="L44" s="336">
        <f t="shared" si="16"/>
        <v>1</v>
      </c>
      <c r="M44" s="336">
        <f t="shared" si="16"/>
        <v>5</v>
      </c>
      <c r="N44" s="336">
        <f t="shared" si="16"/>
        <v>3</v>
      </c>
      <c r="O44" s="336">
        <f t="shared" si="16"/>
        <v>0</v>
      </c>
      <c r="P44" s="336">
        <f t="shared" si="16"/>
        <v>0</v>
      </c>
      <c r="Q44" s="336">
        <f t="shared" si="16"/>
        <v>0</v>
      </c>
      <c r="R44" s="336">
        <f t="shared" si="16"/>
        <v>1</v>
      </c>
      <c r="S44" s="336">
        <f t="shared" si="16"/>
        <v>0</v>
      </c>
      <c r="T44" s="336">
        <f t="shared" si="16"/>
        <v>0</v>
      </c>
      <c r="U44" s="336">
        <f t="shared" si="16"/>
        <v>0</v>
      </c>
      <c r="V44" s="336">
        <f t="shared" si="16"/>
        <v>0</v>
      </c>
      <c r="W44" s="336">
        <f t="shared" si="16"/>
        <v>0</v>
      </c>
      <c r="X44" s="336">
        <f t="shared" si="16"/>
        <v>0</v>
      </c>
      <c r="Y44" s="336">
        <f t="shared" si="16"/>
        <v>0</v>
      </c>
      <c r="Z44" s="336">
        <f t="shared" si="16"/>
        <v>0</v>
      </c>
      <c r="AA44" s="336">
        <f t="shared" si="16"/>
        <v>0</v>
      </c>
      <c r="AB44" s="336">
        <f t="shared" si="16"/>
        <v>0</v>
      </c>
      <c r="AC44" s="336">
        <f t="shared" si="16"/>
        <v>0</v>
      </c>
      <c r="AD44" s="336">
        <f t="shared" si="16"/>
        <v>0</v>
      </c>
      <c r="AE44" s="336">
        <f t="shared" si="16"/>
        <v>0</v>
      </c>
      <c r="AF44" s="336">
        <f t="shared" si="16"/>
        <v>0</v>
      </c>
      <c r="AG44" s="629">
        <f t="shared" si="15"/>
        <v>23</v>
      </c>
    </row>
    <row r="45">
      <c r="A45" s="98"/>
      <c r="B45" s="171"/>
      <c r="C45" s="171"/>
      <c r="D45" s="171"/>
      <c r="E45" s="171"/>
      <c r="F45" s="171"/>
      <c r="G45" s="171"/>
      <c r="H45" s="171"/>
      <c r="I45" s="171"/>
      <c r="J45" s="82"/>
      <c r="K45" s="82"/>
      <c r="L45" s="82"/>
      <c r="M45" s="82"/>
      <c r="N45" s="82"/>
      <c r="O45" s="82"/>
      <c r="P45" s="82"/>
      <c r="Q45" s="82"/>
      <c r="R45" s="82"/>
      <c r="S45" s="82"/>
      <c r="T45" s="82"/>
      <c r="U45" s="82"/>
      <c r="V45" s="82"/>
      <c r="W45" s="82"/>
      <c r="X45" s="82"/>
      <c r="Y45" s="82"/>
      <c r="Z45" s="82"/>
      <c r="AA45" s="82"/>
      <c r="AB45" s="82"/>
      <c r="AC45" s="82"/>
      <c r="AD45" s="82"/>
      <c r="AE45" s="82"/>
      <c r="AF45" s="82"/>
      <c r="AG45" s="637"/>
    </row>
    <row r="46">
      <c r="A46" s="163" t="s">
        <v>122</v>
      </c>
      <c r="B46" s="95"/>
      <c r="C46" s="95"/>
      <c r="D46" s="95"/>
      <c r="E46" s="95"/>
      <c r="F46" s="95"/>
      <c r="G46" s="95"/>
      <c r="H46" s="95"/>
      <c r="I46" s="95"/>
      <c r="J46" s="95"/>
      <c r="K46" s="95"/>
      <c r="L46" s="95"/>
      <c r="M46" s="88"/>
      <c r="N46" s="88"/>
      <c r="O46" s="88"/>
      <c r="P46" s="88"/>
      <c r="Q46" s="88"/>
      <c r="R46" s="88"/>
      <c r="S46" s="91"/>
      <c r="T46" s="91"/>
      <c r="U46" s="91"/>
      <c r="V46" s="91"/>
      <c r="W46" s="91"/>
      <c r="X46" s="91"/>
      <c r="Y46" s="91"/>
      <c r="Z46" s="425"/>
      <c r="AA46" s="91"/>
      <c r="AB46" s="91"/>
      <c r="AC46" s="425"/>
      <c r="AD46" s="425"/>
      <c r="AE46" s="425"/>
      <c r="AF46" s="425"/>
      <c r="AG46" s="629">
        <f t="shared" ref="AG46:AG54" si="17">sum(B46:AF46)</f>
        <v>0</v>
      </c>
    </row>
    <row r="47">
      <c r="A47" s="163" t="s">
        <v>123</v>
      </c>
      <c r="B47" s="95"/>
      <c r="C47" s="95"/>
      <c r="D47" s="95"/>
      <c r="E47" s="95"/>
      <c r="F47" s="95"/>
      <c r="G47" s="95"/>
      <c r="H47" s="95"/>
      <c r="I47" s="95"/>
      <c r="J47" s="95"/>
      <c r="K47" s="95"/>
      <c r="L47" s="95"/>
      <c r="M47" s="88"/>
      <c r="N47" s="88"/>
      <c r="O47" s="88"/>
      <c r="P47" s="88"/>
      <c r="Q47" s="88"/>
      <c r="R47" s="88"/>
      <c r="S47" s="91"/>
      <c r="T47" s="91"/>
      <c r="U47" s="91"/>
      <c r="V47" s="91"/>
      <c r="W47" s="91"/>
      <c r="X47" s="91"/>
      <c r="Y47" s="91"/>
      <c r="Z47" s="618"/>
      <c r="AA47" s="426"/>
      <c r="AB47" s="91"/>
      <c r="AC47" s="426"/>
      <c r="AD47" s="426"/>
      <c r="AE47" s="426"/>
      <c r="AF47" s="426"/>
      <c r="AG47" s="629">
        <f t="shared" si="17"/>
        <v>0</v>
      </c>
    </row>
    <row r="48">
      <c r="A48" s="163" t="s">
        <v>960</v>
      </c>
      <c r="B48" s="95"/>
      <c r="C48" s="95"/>
      <c r="D48" s="95"/>
      <c r="E48" s="95"/>
      <c r="F48" s="95"/>
      <c r="G48" s="95"/>
      <c r="H48" s="95"/>
      <c r="I48" s="95"/>
      <c r="J48" s="95"/>
      <c r="K48" s="95"/>
      <c r="L48" s="95"/>
      <c r="M48" s="95"/>
      <c r="N48" s="95"/>
      <c r="O48" s="95"/>
      <c r="P48" s="95"/>
      <c r="Q48" s="95"/>
      <c r="R48" s="95"/>
      <c r="S48" s="95"/>
      <c r="T48" s="95"/>
      <c r="U48" s="95"/>
      <c r="V48" s="95"/>
      <c r="W48" s="95"/>
      <c r="X48" s="95"/>
      <c r="Y48" s="95"/>
      <c r="Z48" s="338"/>
      <c r="AA48" s="95"/>
      <c r="AB48" s="95"/>
      <c r="AC48" s="338"/>
      <c r="AD48" s="338"/>
      <c r="AE48" s="338"/>
      <c r="AF48" s="338"/>
      <c r="AG48" s="629">
        <f t="shared" si="17"/>
        <v>0</v>
      </c>
    </row>
    <row r="49">
      <c r="A49" s="163" t="s">
        <v>961</v>
      </c>
      <c r="B49" s="405"/>
      <c r="C49" s="405"/>
      <c r="D49" s="405"/>
      <c r="E49" s="405"/>
      <c r="F49" s="405"/>
      <c r="G49" s="95"/>
      <c r="H49" s="95"/>
      <c r="I49" s="95"/>
      <c r="J49" s="95"/>
      <c r="K49" s="95"/>
      <c r="L49" s="95"/>
      <c r="M49" s="88"/>
      <c r="N49" s="88"/>
      <c r="O49" s="617"/>
      <c r="P49" s="617"/>
      <c r="Q49" s="617"/>
      <c r="R49" s="617"/>
      <c r="S49" s="91"/>
      <c r="T49" s="91"/>
      <c r="U49" s="91"/>
      <c r="V49" s="95"/>
      <c r="W49" s="95"/>
      <c r="X49" s="95"/>
      <c r="Y49" s="95"/>
      <c r="Z49" s="338"/>
      <c r="AA49" s="95"/>
      <c r="AB49" s="95"/>
      <c r="AC49" s="338"/>
      <c r="AD49" s="338"/>
      <c r="AE49" s="338"/>
      <c r="AF49" s="338"/>
      <c r="AG49" s="629">
        <f t="shared" si="17"/>
        <v>0</v>
      </c>
    </row>
    <row r="50">
      <c r="A50" s="163" t="s">
        <v>962</v>
      </c>
      <c r="B50" s="95"/>
      <c r="C50" s="95"/>
      <c r="D50" s="95"/>
      <c r="E50" s="95"/>
      <c r="F50" s="95"/>
      <c r="G50" s="95"/>
      <c r="H50" s="95"/>
      <c r="I50" s="95"/>
      <c r="J50" s="95"/>
      <c r="K50" s="95"/>
      <c r="L50" s="95"/>
      <c r="M50" s="95"/>
      <c r="N50" s="95"/>
      <c r="O50" s="95"/>
      <c r="P50" s="95"/>
      <c r="Q50" s="95"/>
      <c r="R50" s="95"/>
      <c r="S50" s="95"/>
      <c r="T50" s="95"/>
      <c r="U50" s="95"/>
      <c r="V50" s="95"/>
      <c r="W50" s="95"/>
      <c r="X50" s="95"/>
      <c r="Y50" s="95"/>
      <c r="Z50" s="95"/>
      <c r="AA50" s="91"/>
      <c r="AB50" s="95"/>
      <c r="AC50" s="338"/>
      <c r="AD50" s="338"/>
      <c r="AE50" s="338"/>
      <c r="AF50" s="338"/>
      <c r="AG50" s="629">
        <f t="shared" si="17"/>
        <v>0</v>
      </c>
    </row>
    <row r="51">
      <c r="A51" s="163" t="s">
        <v>963</v>
      </c>
      <c r="B51" s="405"/>
      <c r="C51" s="405"/>
      <c r="D51" s="405"/>
      <c r="E51" s="405"/>
      <c r="F51" s="405"/>
      <c r="G51" s="95"/>
      <c r="H51" s="95"/>
      <c r="I51" s="95"/>
      <c r="J51" s="95"/>
      <c r="K51" s="95"/>
      <c r="L51" s="95"/>
      <c r="M51" s="88"/>
      <c r="N51" s="88"/>
      <c r="O51" s="617"/>
      <c r="P51" s="617"/>
      <c r="Q51" s="617"/>
      <c r="R51" s="617"/>
      <c r="S51" s="91"/>
      <c r="T51" s="91"/>
      <c r="U51" s="91"/>
      <c r="V51" s="95"/>
      <c r="W51" s="95"/>
      <c r="X51" s="95"/>
      <c r="Y51" s="95"/>
      <c r="Z51" s="95"/>
      <c r="AA51" s="91"/>
      <c r="AB51" s="95"/>
      <c r="AC51" s="338"/>
      <c r="AD51" s="338"/>
      <c r="AE51" s="338"/>
      <c r="AF51" s="338"/>
      <c r="AG51" s="629">
        <f t="shared" si="17"/>
        <v>0</v>
      </c>
    </row>
    <row r="52">
      <c r="A52" s="163" t="s">
        <v>964</v>
      </c>
      <c r="B52" s="95"/>
      <c r="C52" s="95"/>
      <c r="D52" s="95"/>
      <c r="E52" s="95"/>
      <c r="F52" s="95"/>
      <c r="G52" s="95"/>
      <c r="H52" s="95"/>
      <c r="I52" s="95"/>
      <c r="J52" s="95"/>
      <c r="K52" s="95"/>
      <c r="L52" s="95"/>
      <c r="M52" s="95"/>
      <c r="N52" s="95"/>
      <c r="O52" s="95"/>
      <c r="P52" s="95"/>
      <c r="Q52" s="95"/>
      <c r="R52" s="95"/>
      <c r="S52" s="95"/>
      <c r="T52" s="95"/>
      <c r="U52" s="95"/>
      <c r="V52" s="95"/>
      <c r="W52" s="95"/>
      <c r="X52" s="95"/>
      <c r="Y52" s="95"/>
      <c r="Z52" s="95"/>
      <c r="AA52" s="91"/>
      <c r="AB52" s="95"/>
      <c r="AC52" s="338"/>
      <c r="AD52" s="338"/>
      <c r="AE52" s="338"/>
      <c r="AF52" s="338"/>
      <c r="AG52" s="629">
        <f t="shared" si="17"/>
        <v>0</v>
      </c>
    </row>
    <row r="53">
      <c r="A53" s="163" t="s">
        <v>965</v>
      </c>
      <c r="B53" s="95"/>
      <c r="C53" s="95"/>
      <c r="D53" s="95"/>
      <c r="E53" s="95"/>
      <c r="F53" s="95"/>
      <c r="G53" s="95"/>
      <c r="H53" s="95"/>
      <c r="I53" s="95"/>
      <c r="J53" s="95"/>
      <c r="K53" s="95"/>
      <c r="L53" s="95"/>
      <c r="M53" s="95"/>
      <c r="N53" s="95"/>
      <c r="O53" s="95"/>
      <c r="P53" s="95"/>
      <c r="Q53" s="95"/>
      <c r="R53" s="95"/>
      <c r="S53" s="91"/>
      <c r="T53" s="91"/>
      <c r="U53" s="91"/>
      <c r="V53" s="95"/>
      <c r="W53" s="95"/>
      <c r="X53" s="95"/>
      <c r="Y53" s="95"/>
      <c r="Z53" s="95"/>
      <c r="AA53" s="91"/>
      <c r="AB53" s="95"/>
      <c r="AC53" s="338"/>
      <c r="AD53" s="338"/>
      <c r="AE53" s="338"/>
      <c r="AF53" s="338"/>
      <c r="AG53" s="629">
        <f t="shared" si="17"/>
        <v>0</v>
      </c>
    </row>
    <row r="54">
      <c r="A54" s="636" t="s">
        <v>109</v>
      </c>
      <c r="B54" s="336">
        <f t="shared" ref="B54:AF54" si="18">SUM(B46:B53)</f>
        <v>0</v>
      </c>
      <c r="C54" s="336">
        <f t="shared" si="18"/>
        <v>0</v>
      </c>
      <c r="D54" s="336">
        <f t="shared" si="18"/>
        <v>0</v>
      </c>
      <c r="E54" s="336">
        <f t="shared" si="18"/>
        <v>0</v>
      </c>
      <c r="F54" s="336">
        <f t="shared" si="18"/>
        <v>0</v>
      </c>
      <c r="G54" s="336">
        <f t="shared" si="18"/>
        <v>0</v>
      </c>
      <c r="H54" s="336">
        <f t="shared" si="18"/>
        <v>0</v>
      </c>
      <c r="I54" s="336">
        <f t="shared" si="18"/>
        <v>0</v>
      </c>
      <c r="J54" s="336">
        <f t="shared" si="18"/>
        <v>0</v>
      </c>
      <c r="K54" s="336">
        <f t="shared" si="18"/>
        <v>0</v>
      </c>
      <c r="L54" s="336">
        <f t="shared" si="18"/>
        <v>0</v>
      </c>
      <c r="M54" s="336">
        <f t="shared" si="18"/>
        <v>0</v>
      </c>
      <c r="N54" s="336">
        <f t="shared" si="18"/>
        <v>0</v>
      </c>
      <c r="O54" s="336">
        <f t="shared" si="18"/>
        <v>0</v>
      </c>
      <c r="P54" s="336">
        <f t="shared" si="18"/>
        <v>0</v>
      </c>
      <c r="Q54" s="336">
        <f t="shared" si="18"/>
        <v>0</v>
      </c>
      <c r="R54" s="336">
        <f t="shared" si="18"/>
        <v>0</v>
      </c>
      <c r="S54" s="336">
        <f t="shared" si="18"/>
        <v>0</v>
      </c>
      <c r="T54" s="336">
        <f t="shared" si="18"/>
        <v>0</v>
      </c>
      <c r="U54" s="336">
        <f t="shared" si="18"/>
        <v>0</v>
      </c>
      <c r="V54" s="336">
        <f t="shared" si="18"/>
        <v>0</v>
      </c>
      <c r="W54" s="336">
        <f t="shared" si="18"/>
        <v>0</v>
      </c>
      <c r="X54" s="336">
        <f t="shared" si="18"/>
        <v>0</v>
      </c>
      <c r="Y54" s="336">
        <f t="shared" si="18"/>
        <v>0</v>
      </c>
      <c r="Z54" s="336">
        <f t="shared" si="18"/>
        <v>0</v>
      </c>
      <c r="AA54" s="336">
        <f t="shared" si="18"/>
        <v>0</v>
      </c>
      <c r="AB54" s="336">
        <f t="shared" si="18"/>
        <v>0</v>
      </c>
      <c r="AC54" s="336">
        <f t="shared" si="18"/>
        <v>0</v>
      </c>
      <c r="AD54" s="336">
        <f t="shared" si="18"/>
        <v>0</v>
      </c>
      <c r="AE54" s="336">
        <f t="shared" si="18"/>
        <v>0</v>
      </c>
      <c r="AF54" s="336">
        <f t="shared" si="18"/>
        <v>0</v>
      </c>
      <c r="AG54" s="629">
        <f t="shared" si="17"/>
        <v>0</v>
      </c>
    </row>
    <row r="55">
      <c r="A55" s="224"/>
      <c r="B55" s="165"/>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629"/>
    </row>
    <row r="56">
      <c r="A56" s="147" t="s">
        <v>966</v>
      </c>
      <c r="B56" s="165"/>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629"/>
    </row>
    <row r="57">
      <c r="A57" s="163" t="s">
        <v>967</v>
      </c>
      <c r="B57" s="405"/>
      <c r="C57" s="95"/>
      <c r="D57" s="95"/>
      <c r="E57" s="95"/>
      <c r="F57" s="405"/>
      <c r="G57" s="95"/>
      <c r="H57" s="95"/>
      <c r="I57" s="88"/>
      <c r="J57" s="88"/>
      <c r="K57" s="88"/>
      <c r="L57" s="88"/>
      <c r="M57" s="88"/>
      <c r="N57" s="88"/>
      <c r="O57" s="617"/>
      <c r="P57" s="88"/>
      <c r="Q57" s="88"/>
      <c r="R57" s="88"/>
      <c r="S57" s="91"/>
      <c r="T57" s="91"/>
      <c r="U57" s="91"/>
      <c r="V57" s="91"/>
      <c r="W57" s="91"/>
      <c r="X57" s="91"/>
      <c r="Y57" s="91"/>
      <c r="Z57" s="618"/>
      <c r="AA57" s="91"/>
      <c r="AB57" s="91"/>
      <c r="AC57" s="618"/>
      <c r="AD57" s="618"/>
      <c r="AE57" s="618"/>
      <c r="AF57" s="618"/>
      <c r="AG57" s="638">
        <f t="shared" ref="AG57:AG61" si="19">sum(B57:AF57)</f>
        <v>0</v>
      </c>
    </row>
    <row r="58">
      <c r="A58" s="163" t="s">
        <v>968</v>
      </c>
      <c r="B58" s="405"/>
      <c r="C58" s="95"/>
      <c r="D58" s="95"/>
      <c r="E58" s="95"/>
      <c r="F58" s="405"/>
      <c r="G58" s="95"/>
      <c r="H58" s="95"/>
      <c r="I58" s="88"/>
      <c r="J58" s="88"/>
      <c r="K58" s="88"/>
      <c r="L58" s="88"/>
      <c r="M58" s="88"/>
      <c r="N58" s="88"/>
      <c r="O58" s="617"/>
      <c r="P58" s="88"/>
      <c r="Q58" s="88"/>
      <c r="R58" s="88"/>
      <c r="S58" s="91"/>
      <c r="T58" s="91"/>
      <c r="U58" s="91"/>
      <c r="V58" s="91"/>
      <c r="W58" s="91"/>
      <c r="X58" s="91"/>
      <c r="Y58" s="91"/>
      <c r="Z58" s="618"/>
      <c r="AA58" s="91"/>
      <c r="AB58" s="91"/>
      <c r="AC58" s="618"/>
      <c r="AD58" s="618"/>
      <c r="AE58" s="618"/>
      <c r="AF58" s="618"/>
      <c r="AG58" s="638">
        <f t="shared" si="19"/>
        <v>0</v>
      </c>
    </row>
    <row r="59">
      <c r="A59" s="163" t="s">
        <v>969</v>
      </c>
      <c r="B59" s="165">
        <f>Summary!B63</f>
        <v>9</v>
      </c>
      <c r="C59" s="165">
        <f>Summary!C63</f>
        <v>0</v>
      </c>
      <c r="D59" s="165">
        <f>Summary!D63</f>
        <v>13</v>
      </c>
      <c r="E59" s="165">
        <f>Summary!E63</f>
        <v>6</v>
      </c>
      <c r="F59" s="165">
        <f>Summary!F63</f>
        <v>0</v>
      </c>
      <c r="G59" s="165">
        <f>Summary!G63</f>
        <v>0</v>
      </c>
      <c r="H59" s="165">
        <f>Summary!H63</f>
        <v>12</v>
      </c>
      <c r="I59" s="165">
        <f>Summary!I63</f>
        <v>1</v>
      </c>
      <c r="J59" s="165">
        <f>Summary!J63</f>
        <v>3</v>
      </c>
      <c r="K59" s="165">
        <f>Summary!K63</f>
        <v>3</v>
      </c>
      <c r="L59" s="165">
        <f>Summary!L63</f>
        <v>7</v>
      </c>
      <c r="M59" s="165">
        <f>Summary!M63</f>
        <v>2</v>
      </c>
      <c r="N59" s="165">
        <f>Summary!N63</f>
        <v>0</v>
      </c>
      <c r="O59" s="165">
        <f>Summary!O63</f>
        <v>2</v>
      </c>
      <c r="P59" s="165">
        <f>Summary!P63</f>
        <v>2</v>
      </c>
      <c r="Q59" s="165">
        <f>Summary!Q63</f>
        <v>4</v>
      </c>
      <c r="R59" s="165">
        <f>Summary!R63</f>
        <v>6</v>
      </c>
      <c r="S59" s="165">
        <f>Summary!S63</f>
        <v>0</v>
      </c>
      <c r="T59" s="165">
        <f>Summary!T63</f>
        <v>10</v>
      </c>
      <c r="U59" s="165">
        <f>Summary!U63</f>
        <v>7</v>
      </c>
      <c r="V59" s="165">
        <f>Summary!V63</f>
        <v>12</v>
      </c>
      <c r="W59" s="165">
        <f>Summary!W63</f>
        <v>9</v>
      </c>
      <c r="X59" s="165">
        <v>0.0</v>
      </c>
      <c r="Y59" s="165">
        <f>Summary!Y63</f>
        <v>1</v>
      </c>
      <c r="Z59" s="165">
        <f>Summary!Z63</f>
        <v>0</v>
      </c>
      <c r="AA59" s="165">
        <f>Summary!AA63</f>
        <v>0</v>
      </c>
      <c r="AB59" s="165">
        <f>Summary!AB63</f>
        <v>1</v>
      </c>
      <c r="AC59" s="165">
        <f>Summary!AC63</f>
        <v>6</v>
      </c>
      <c r="AD59" s="165">
        <f>Summary!AD63</f>
        <v>6</v>
      </c>
      <c r="AE59" s="165">
        <f>Summary!AE63</f>
        <v>6</v>
      </c>
      <c r="AF59" s="165">
        <f>Summary!AF63</f>
        <v>6</v>
      </c>
      <c r="AG59" s="629">
        <f t="shared" si="19"/>
        <v>134</v>
      </c>
    </row>
    <row r="60">
      <c r="A60" s="163" t="s">
        <v>970</v>
      </c>
      <c r="B60" s="405"/>
      <c r="C60" s="95"/>
      <c r="D60" s="95"/>
      <c r="E60" s="95"/>
      <c r="F60" s="95"/>
      <c r="G60" s="95"/>
      <c r="H60" s="95"/>
      <c r="I60" s="88"/>
      <c r="J60" s="88"/>
      <c r="K60" s="88"/>
      <c r="L60" s="88"/>
      <c r="M60" s="88"/>
      <c r="N60" s="88"/>
      <c r="O60" s="617"/>
      <c r="P60" s="88"/>
      <c r="Q60" s="88"/>
      <c r="R60" s="88"/>
      <c r="S60" s="91"/>
      <c r="T60" s="91"/>
      <c r="U60" s="91"/>
      <c r="V60" s="91"/>
      <c r="W60" s="91"/>
      <c r="X60" s="91"/>
      <c r="Y60" s="91"/>
      <c r="Z60" s="619"/>
      <c r="AA60" s="91"/>
      <c r="AB60" s="91"/>
      <c r="AC60" s="91"/>
      <c r="AD60" s="91"/>
      <c r="AE60" s="91"/>
      <c r="AF60" s="91"/>
      <c r="AG60" s="638">
        <f t="shared" si="19"/>
        <v>0</v>
      </c>
    </row>
    <row r="61">
      <c r="A61" s="636" t="s">
        <v>459</v>
      </c>
      <c r="B61" s="336">
        <f t="shared" ref="B61:AF61" si="20">SUM(B57:B60)</f>
        <v>9</v>
      </c>
      <c r="C61" s="336">
        <f t="shared" si="20"/>
        <v>0</v>
      </c>
      <c r="D61" s="336">
        <f t="shared" si="20"/>
        <v>13</v>
      </c>
      <c r="E61" s="336">
        <f t="shared" si="20"/>
        <v>6</v>
      </c>
      <c r="F61" s="336">
        <f t="shared" si="20"/>
        <v>0</v>
      </c>
      <c r="G61" s="336">
        <f t="shared" si="20"/>
        <v>0</v>
      </c>
      <c r="H61" s="336">
        <f t="shared" si="20"/>
        <v>12</v>
      </c>
      <c r="I61" s="336">
        <f t="shared" si="20"/>
        <v>1</v>
      </c>
      <c r="J61" s="336">
        <f t="shared" si="20"/>
        <v>3</v>
      </c>
      <c r="K61" s="336">
        <f t="shared" si="20"/>
        <v>3</v>
      </c>
      <c r="L61" s="336">
        <f t="shared" si="20"/>
        <v>7</v>
      </c>
      <c r="M61" s="336">
        <f t="shared" si="20"/>
        <v>2</v>
      </c>
      <c r="N61" s="336">
        <f t="shared" si="20"/>
        <v>0</v>
      </c>
      <c r="O61" s="336">
        <f t="shared" si="20"/>
        <v>2</v>
      </c>
      <c r="P61" s="336">
        <f t="shared" si="20"/>
        <v>2</v>
      </c>
      <c r="Q61" s="336">
        <f t="shared" si="20"/>
        <v>4</v>
      </c>
      <c r="R61" s="336">
        <f t="shared" si="20"/>
        <v>6</v>
      </c>
      <c r="S61" s="336">
        <f t="shared" si="20"/>
        <v>0</v>
      </c>
      <c r="T61" s="336">
        <f t="shared" si="20"/>
        <v>10</v>
      </c>
      <c r="U61" s="336">
        <f t="shared" si="20"/>
        <v>7</v>
      </c>
      <c r="V61" s="336">
        <f t="shared" si="20"/>
        <v>12</v>
      </c>
      <c r="W61" s="336">
        <f t="shared" si="20"/>
        <v>9</v>
      </c>
      <c r="X61" s="336">
        <f t="shared" si="20"/>
        <v>0</v>
      </c>
      <c r="Y61" s="336">
        <f t="shared" si="20"/>
        <v>1</v>
      </c>
      <c r="Z61" s="336">
        <f t="shared" si="20"/>
        <v>0</v>
      </c>
      <c r="AA61" s="336">
        <f t="shared" si="20"/>
        <v>0</v>
      </c>
      <c r="AB61" s="336">
        <f t="shared" si="20"/>
        <v>1</v>
      </c>
      <c r="AC61" s="336">
        <f t="shared" si="20"/>
        <v>6</v>
      </c>
      <c r="AD61" s="336">
        <f t="shared" si="20"/>
        <v>6</v>
      </c>
      <c r="AE61" s="336">
        <f t="shared" si="20"/>
        <v>6</v>
      </c>
      <c r="AF61" s="336">
        <f t="shared" si="20"/>
        <v>6</v>
      </c>
      <c r="AG61" s="629">
        <f t="shared" si="19"/>
        <v>134</v>
      </c>
    </row>
    <row r="62">
      <c r="A62" s="98"/>
      <c r="B62" s="171"/>
      <c r="C62" s="171"/>
      <c r="D62" s="171"/>
      <c r="E62" s="171"/>
      <c r="F62" s="171"/>
      <c r="G62" s="171"/>
      <c r="H62" s="171"/>
      <c r="I62" s="171"/>
      <c r="J62" s="82"/>
      <c r="K62" s="82"/>
      <c r="L62" s="82"/>
      <c r="M62" s="82"/>
      <c r="N62" s="82"/>
      <c r="O62" s="82"/>
      <c r="P62" s="82"/>
      <c r="Q62" s="82"/>
      <c r="R62" s="82"/>
      <c r="S62" s="82"/>
      <c r="T62" s="82"/>
      <c r="U62" s="82"/>
      <c r="V62" s="82"/>
      <c r="W62" s="82"/>
      <c r="X62" s="82"/>
      <c r="Y62" s="82"/>
      <c r="Z62" s="82"/>
      <c r="AA62" s="82"/>
      <c r="AB62" s="82"/>
      <c r="AC62" s="82"/>
      <c r="AD62" s="82"/>
      <c r="AE62" s="82"/>
      <c r="AF62" s="82"/>
      <c r="AG62" s="637"/>
    </row>
    <row r="63">
      <c r="A63" s="163" t="s">
        <v>122</v>
      </c>
      <c r="B63" s="95"/>
      <c r="C63" s="95"/>
      <c r="D63" s="95"/>
      <c r="E63" s="95"/>
      <c r="F63" s="95"/>
      <c r="G63" s="95"/>
      <c r="H63" s="95"/>
      <c r="I63" s="88"/>
      <c r="J63" s="88"/>
      <c r="K63" s="88"/>
      <c r="L63" s="88"/>
      <c r="M63" s="88"/>
      <c r="N63" s="88"/>
      <c r="O63" s="88"/>
      <c r="P63" s="88"/>
      <c r="Q63" s="88"/>
      <c r="R63" s="88"/>
      <c r="S63" s="91"/>
      <c r="T63" s="91"/>
      <c r="U63" s="91"/>
      <c r="V63" s="91"/>
      <c r="W63" s="91"/>
      <c r="X63" s="91"/>
      <c r="Y63" s="91"/>
      <c r="Z63" s="425"/>
      <c r="AA63" s="91"/>
      <c r="AB63" s="91"/>
      <c r="AC63" s="425"/>
      <c r="AD63" s="425"/>
      <c r="AE63" s="425"/>
      <c r="AF63" s="425"/>
      <c r="AG63" s="638">
        <f t="shared" ref="AG63:AG71" si="21">sum(B63:AF63)</f>
        <v>0</v>
      </c>
    </row>
    <row r="64">
      <c r="A64" s="163" t="s">
        <v>123</v>
      </c>
      <c r="B64" s="95"/>
      <c r="C64" s="95"/>
      <c r="D64" s="95"/>
      <c r="E64" s="95"/>
      <c r="F64" s="95"/>
      <c r="G64" s="95"/>
      <c r="H64" s="95"/>
      <c r="I64" s="88"/>
      <c r="J64" s="88"/>
      <c r="K64" s="88"/>
      <c r="L64" s="88"/>
      <c r="M64" s="88"/>
      <c r="N64" s="95"/>
      <c r="O64" s="88"/>
      <c r="P64" s="95"/>
      <c r="Q64" s="88"/>
      <c r="R64" s="88"/>
      <c r="S64" s="91"/>
      <c r="T64" s="91"/>
      <c r="U64" s="91"/>
      <c r="V64" s="91"/>
      <c r="W64" s="91"/>
      <c r="X64" s="91"/>
      <c r="Y64" s="91"/>
      <c r="Z64" s="618"/>
      <c r="AA64" s="426"/>
      <c r="AB64" s="91"/>
      <c r="AC64" s="426"/>
      <c r="AD64" s="426"/>
      <c r="AE64" s="426"/>
      <c r="AF64" s="426"/>
      <c r="AG64" s="638">
        <f t="shared" si="21"/>
        <v>0</v>
      </c>
    </row>
    <row r="65">
      <c r="A65" s="163" t="s">
        <v>971</v>
      </c>
      <c r="B65" s="95"/>
      <c r="C65" s="95"/>
      <c r="D65" s="95"/>
      <c r="E65" s="95"/>
      <c r="F65" s="95"/>
      <c r="G65" s="95"/>
      <c r="H65" s="95"/>
      <c r="I65" s="95"/>
      <c r="J65" s="95"/>
      <c r="K65" s="95"/>
      <c r="L65" s="95"/>
      <c r="M65" s="95"/>
      <c r="N65" s="95"/>
      <c r="O65" s="95"/>
      <c r="P65" s="95"/>
      <c r="Q65" s="95"/>
      <c r="R65" s="95"/>
      <c r="S65" s="95"/>
      <c r="T65" s="95"/>
      <c r="U65" s="95"/>
      <c r="V65" s="95"/>
      <c r="W65" s="95"/>
      <c r="X65" s="95"/>
      <c r="Y65" s="95"/>
      <c r="Z65" s="338"/>
      <c r="AA65" s="95"/>
      <c r="AB65" s="95"/>
      <c r="AC65" s="338"/>
      <c r="AD65" s="338"/>
      <c r="AE65" s="338"/>
      <c r="AF65" s="338"/>
      <c r="AG65" s="638">
        <f t="shared" si="21"/>
        <v>0</v>
      </c>
    </row>
    <row r="66">
      <c r="A66" s="163" t="s">
        <v>972</v>
      </c>
      <c r="B66" s="405"/>
      <c r="C66" s="95"/>
      <c r="D66" s="95"/>
      <c r="E66" s="95"/>
      <c r="F66" s="95"/>
      <c r="G66" s="95"/>
      <c r="H66" s="95"/>
      <c r="I66" s="88"/>
      <c r="J66" s="88"/>
      <c r="K66" s="88"/>
      <c r="L66" s="88"/>
      <c r="M66" s="88"/>
      <c r="N66" s="88"/>
      <c r="O66" s="617"/>
      <c r="P66" s="88"/>
      <c r="Q66" s="88"/>
      <c r="R66" s="88"/>
      <c r="S66" s="91"/>
      <c r="T66" s="91"/>
      <c r="U66" s="95"/>
      <c r="V66" s="95"/>
      <c r="W66" s="95"/>
      <c r="X66" s="95"/>
      <c r="Y66" s="95"/>
      <c r="Z66" s="338"/>
      <c r="AA66" s="95"/>
      <c r="AB66" s="95"/>
      <c r="AC66" s="338"/>
      <c r="AD66" s="338"/>
      <c r="AE66" s="338"/>
      <c r="AF66" s="338"/>
      <c r="AG66" s="638">
        <f t="shared" si="21"/>
        <v>0</v>
      </c>
    </row>
    <row r="67">
      <c r="A67" s="163" t="s">
        <v>973</v>
      </c>
      <c r="B67" s="95"/>
      <c r="C67" s="95"/>
      <c r="D67" s="95"/>
      <c r="E67" s="95"/>
      <c r="F67" s="95"/>
      <c r="G67" s="95"/>
      <c r="H67" s="95"/>
      <c r="I67" s="95"/>
      <c r="J67" s="95"/>
      <c r="K67" s="95"/>
      <c r="L67" s="95"/>
      <c r="M67" s="95"/>
      <c r="N67" s="95"/>
      <c r="O67" s="95"/>
      <c r="P67" s="95"/>
      <c r="Q67" s="95"/>
      <c r="R67" s="95"/>
      <c r="S67" s="95"/>
      <c r="T67" s="95"/>
      <c r="U67" s="95"/>
      <c r="V67" s="95"/>
      <c r="W67" s="95"/>
      <c r="X67" s="95"/>
      <c r="Y67" s="95"/>
      <c r="Z67" s="95"/>
      <c r="AA67" s="91"/>
      <c r="AB67" s="95"/>
      <c r="AC67" s="338"/>
      <c r="AD67" s="338"/>
      <c r="AE67" s="338"/>
      <c r="AF67" s="338"/>
      <c r="AG67" s="638">
        <f t="shared" si="21"/>
        <v>0</v>
      </c>
    </row>
    <row r="68">
      <c r="A68" s="163" t="s">
        <v>974</v>
      </c>
      <c r="B68" s="405"/>
      <c r="C68" s="95"/>
      <c r="D68" s="95"/>
      <c r="E68" s="95"/>
      <c r="F68" s="95"/>
      <c r="G68" s="95"/>
      <c r="H68" s="95"/>
      <c r="I68" s="88"/>
      <c r="J68" s="88"/>
      <c r="K68" s="88"/>
      <c r="L68" s="88"/>
      <c r="M68" s="88"/>
      <c r="N68" s="88"/>
      <c r="O68" s="617"/>
      <c r="P68" s="88"/>
      <c r="Q68" s="88"/>
      <c r="R68" s="88"/>
      <c r="S68" s="91"/>
      <c r="T68" s="91"/>
      <c r="U68" s="95"/>
      <c r="V68" s="95"/>
      <c r="W68" s="95"/>
      <c r="X68" s="95"/>
      <c r="Y68" s="95"/>
      <c r="Z68" s="95"/>
      <c r="AA68" s="91"/>
      <c r="AB68" s="95"/>
      <c r="AC68" s="338"/>
      <c r="AD68" s="338"/>
      <c r="AE68" s="338"/>
      <c r="AF68" s="338"/>
      <c r="AG68" s="638">
        <f t="shared" si="21"/>
        <v>0</v>
      </c>
    </row>
    <row r="69">
      <c r="A69" s="163" t="s">
        <v>975</v>
      </c>
      <c r="B69" s="95"/>
      <c r="C69" s="95"/>
      <c r="D69" s="95"/>
      <c r="E69" s="95"/>
      <c r="F69" s="95"/>
      <c r="G69" s="95"/>
      <c r="H69" s="95"/>
      <c r="I69" s="95"/>
      <c r="J69" s="95"/>
      <c r="K69" s="95"/>
      <c r="L69" s="95"/>
      <c r="M69" s="95"/>
      <c r="N69" s="95"/>
      <c r="O69" s="95"/>
      <c r="P69" s="95"/>
      <c r="Q69" s="95"/>
      <c r="R69" s="95"/>
      <c r="S69" s="95"/>
      <c r="T69" s="95"/>
      <c r="U69" s="95"/>
      <c r="V69" s="95"/>
      <c r="W69" s="95"/>
      <c r="X69" s="95"/>
      <c r="Y69" s="95"/>
      <c r="Z69" s="95"/>
      <c r="AA69" s="91"/>
      <c r="AB69" s="95"/>
      <c r="AC69" s="338"/>
      <c r="AD69" s="338"/>
      <c r="AE69" s="338"/>
      <c r="AF69" s="338"/>
      <c r="AG69" s="638">
        <f t="shared" si="21"/>
        <v>0</v>
      </c>
    </row>
    <row r="70">
      <c r="A70" s="163" t="s">
        <v>976</v>
      </c>
      <c r="B70" s="95"/>
      <c r="C70" s="95"/>
      <c r="D70" s="95"/>
      <c r="E70" s="95"/>
      <c r="F70" s="95"/>
      <c r="G70" s="95"/>
      <c r="H70" s="95"/>
      <c r="I70" s="95"/>
      <c r="J70" s="95"/>
      <c r="K70" s="95"/>
      <c r="L70" s="95"/>
      <c r="M70" s="95"/>
      <c r="N70" s="95"/>
      <c r="O70" s="95"/>
      <c r="P70" s="95"/>
      <c r="Q70" s="95"/>
      <c r="R70" s="95"/>
      <c r="S70" s="91"/>
      <c r="T70" s="91"/>
      <c r="U70" s="95"/>
      <c r="V70" s="95"/>
      <c r="W70" s="95"/>
      <c r="X70" s="95"/>
      <c r="Y70" s="95"/>
      <c r="Z70" s="95"/>
      <c r="AA70" s="91"/>
      <c r="AB70" s="95"/>
      <c r="AC70" s="338"/>
      <c r="AD70" s="338"/>
      <c r="AE70" s="338"/>
      <c r="AF70" s="338"/>
      <c r="AG70" s="638">
        <f t="shared" si="21"/>
        <v>0</v>
      </c>
    </row>
    <row r="71">
      <c r="A71" s="636" t="s">
        <v>109</v>
      </c>
      <c r="B71" s="336">
        <f t="shared" ref="B71:AF71" si="22">SUM(B63:B70)</f>
        <v>0</v>
      </c>
      <c r="C71" s="336">
        <f t="shared" si="22"/>
        <v>0</v>
      </c>
      <c r="D71" s="336">
        <f t="shared" si="22"/>
        <v>0</v>
      </c>
      <c r="E71" s="336">
        <f t="shared" si="22"/>
        <v>0</v>
      </c>
      <c r="F71" s="336">
        <f t="shared" si="22"/>
        <v>0</v>
      </c>
      <c r="G71" s="336">
        <f t="shared" si="22"/>
        <v>0</v>
      </c>
      <c r="H71" s="336">
        <f t="shared" si="22"/>
        <v>0</v>
      </c>
      <c r="I71" s="336">
        <f t="shared" si="22"/>
        <v>0</v>
      </c>
      <c r="J71" s="336">
        <f t="shared" si="22"/>
        <v>0</v>
      </c>
      <c r="K71" s="336">
        <f t="shared" si="22"/>
        <v>0</v>
      </c>
      <c r="L71" s="336">
        <f t="shared" si="22"/>
        <v>0</v>
      </c>
      <c r="M71" s="336">
        <f t="shared" si="22"/>
        <v>0</v>
      </c>
      <c r="N71" s="336">
        <f t="shared" si="22"/>
        <v>0</v>
      </c>
      <c r="O71" s="336">
        <f t="shared" si="22"/>
        <v>0</v>
      </c>
      <c r="P71" s="336">
        <f t="shared" si="22"/>
        <v>0</v>
      </c>
      <c r="Q71" s="336">
        <f t="shared" si="22"/>
        <v>0</v>
      </c>
      <c r="R71" s="336">
        <f t="shared" si="22"/>
        <v>0</v>
      </c>
      <c r="S71" s="336">
        <f t="shared" si="22"/>
        <v>0</v>
      </c>
      <c r="T71" s="336">
        <f t="shared" si="22"/>
        <v>0</v>
      </c>
      <c r="U71" s="336">
        <f t="shared" si="22"/>
        <v>0</v>
      </c>
      <c r="V71" s="336">
        <f t="shared" si="22"/>
        <v>0</v>
      </c>
      <c r="W71" s="336">
        <f t="shared" si="22"/>
        <v>0</v>
      </c>
      <c r="X71" s="336">
        <f t="shared" si="22"/>
        <v>0</v>
      </c>
      <c r="Y71" s="336">
        <f t="shared" si="22"/>
        <v>0</v>
      </c>
      <c r="Z71" s="336">
        <f t="shared" si="22"/>
        <v>0</v>
      </c>
      <c r="AA71" s="336">
        <f t="shared" si="22"/>
        <v>0</v>
      </c>
      <c r="AB71" s="336">
        <f t="shared" si="22"/>
        <v>0</v>
      </c>
      <c r="AC71" s="336">
        <f t="shared" si="22"/>
        <v>0</v>
      </c>
      <c r="AD71" s="336">
        <f t="shared" si="22"/>
        <v>0</v>
      </c>
      <c r="AE71" s="336">
        <f t="shared" si="22"/>
        <v>0</v>
      </c>
      <c r="AF71" s="336">
        <f t="shared" si="22"/>
        <v>0</v>
      </c>
      <c r="AG71" s="629">
        <f t="shared" si="21"/>
        <v>0</v>
      </c>
    </row>
    <row r="72">
      <c r="A72" s="224"/>
      <c r="B72" s="165"/>
      <c r="C72" s="82"/>
      <c r="D72" s="82"/>
      <c r="E72" s="82"/>
      <c r="F72" s="82"/>
      <c r="G72" s="82"/>
      <c r="H72" s="82"/>
      <c r="I72" s="82"/>
      <c r="J72" s="82"/>
      <c r="K72" s="82"/>
      <c r="L72" s="82"/>
      <c r="M72" s="82"/>
      <c r="N72" s="82"/>
      <c r="O72" s="82"/>
      <c r="P72" s="82"/>
      <c r="Q72" s="82"/>
      <c r="R72" s="82"/>
      <c r="S72" s="82"/>
      <c r="T72" s="82"/>
      <c r="U72" s="82"/>
      <c r="V72" s="82"/>
      <c r="W72" s="82"/>
      <c r="X72" s="82"/>
      <c r="Y72" s="82"/>
      <c r="Z72" s="82"/>
      <c r="AA72" s="82"/>
      <c r="AB72" s="82"/>
      <c r="AC72" s="82"/>
      <c r="AD72" s="82"/>
      <c r="AE72" s="82"/>
      <c r="AF72" s="82"/>
      <c r="AG72" s="629"/>
    </row>
    <row r="73">
      <c r="A73" s="224"/>
      <c r="B73" s="165"/>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629"/>
    </row>
    <row r="74">
      <c r="A74" s="147" t="s">
        <v>977</v>
      </c>
      <c r="B74" s="165"/>
      <c r="C74" s="82"/>
      <c r="D74" s="82"/>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629"/>
    </row>
    <row r="75" outlineLevel="1">
      <c r="A75" s="311" t="s">
        <v>978</v>
      </c>
      <c r="B75" s="164">
        <v>0.0</v>
      </c>
      <c r="C75" s="165">
        <v>0.0</v>
      </c>
      <c r="D75" s="165">
        <v>0.0</v>
      </c>
      <c r="E75" s="165">
        <v>0.0</v>
      </c>
      <c r="F75" s="164">
        <v>0.0</v>
      </c>
      <c r="G75" s="165">
        <v>0.0</v>
      </c>
      <c r="H75" s="165">
        <v>1.0</v>
      </c>
      <c r="I75" s="166">
        <v>1.0</v>
      </c>
      <c r="J75" s="166">
        <v>0.0</v>
      </c>
      <c r="K75" s="166">
        <v>2.0</v>
      </c>
      <c r="L75" s="166">
        <v>0.0</v>
      </c>
      <c r="M75" s="166">
        <v>3.0</v>
      </c>
      <c r="N75" s="166">
        <v>3.0</v>
      </c>
      <c r="O75" s="149">
        <v>0.0</v>
      </c>
      <c r="P75" s="166">
        <v>0.0</v>
      </c>
      <c r="Q75" s="166">
        <v>0.0</v>
      </c>
      <c r="R75" s="166">
        <v>0.0</v>
      </c>
      <c r="S75" s="83">
        <v>0.0</v>
      </c>
      <c r="T75" s="83">
        <v>0.0</v>
      </c>
      <c r="U75" s="83">
        <v>0.0</v>
      </c>
      <c r="V75" s="83">
        <v>0.0</v>
      </c>
      <c r="W75" s="83">
        <v>0.0</v>
      </c>
      <c r="X75" s="83">
        <v>0.0</v>
      </c>
      <c r="Y75" s="83">
        <v>0.0</v>
      </c>
      <c r="Z75" s="151">
        <v>0.0</v>
      </c>
      <c r="AA75" s="639">
        <v>0.0</v>
      </c>
      <c r="AB75" s="639">
        <v>0.0</v>
      </c>
      <c r="AC75" s="167"/>
      <c r="AD75" s="167"/>
      <c r="AE75" s="167"/>
      <c r="AF75" s="167"/>
      <c r="AG75" s="629">
        <f t="shared" ref="AG75:AG79" si="23">sum(B75:AF75)</f>
        <v>10</v>
      </c>
    </row>
    <row r="76" outlineLevel="1">
      <c r="A76" s="311" t="s">
        <v>979</v>
      </c>
      <c r="B76" s="164">
        <v>0.0</v>
      </c>
      <c r="C76" s="165">
        <v>0.0</v>
      </c>
      <c r="D76" s="165">
        <v>0.0</v>
      </c>
      <c r="E76" s="165">
        <v>0.0</v>
      </c>
      <c r="F76" s="164">
        <v>0.0</v>
      </c>
      <c r="G76" s="165">
        <v>0.0</v>
      </c>
      <c r="H76" s="165">
        <v>1.0</v>
      </c>
      <c r="I76" s="166">
        <v>1.0</v>
      </c>
      <c r="J76" s="166">
        <v>1.0</v>
      </c>
      <c r="K76" s="166">
        <v>0.0</v>
      </c>
      <c r="L76" s="166">
        <v>1.0</v>
      </c>
      <c r="M76" s="166">
        <v>2.0</v>
      </c>
      <c r="N76" s="166">
        <v>2.0</v>
      </c>
      <c r="O76" s="149">
        <v>0.0</v>
      </c>
      <c r="P76" s="166">
        <v>0.0</v>
      </c>
      <c r="Q76" s="166">
        <v>0.0</v>
      </c>
      <c r="R76" s="166">
        <v>0.0</v>
      </c>
      <c r="S76" s="83">
        <v>0.0</v>
      </c>
      <c r="T76" s="83">
        <v>0.0</v>
      </c>
      <c r="U76" s="83">
        <v>0.0</v>
      </c>
      <c r="V76" s="83">
        <v>0.0</v>
      </c>
      <c r="W76" s="83">
        <v>0.0</v>
      </c>
      <c r="X76" s="83">
        <v>0.0</v>
      </c>
      <c r="Y76" s="83">
        <v>0.0</v>
      </c>
      <c r="Z76" s="151">
        <v>0.0</v>
      </c>
      <c r="AA76" s="639">
        <v>0.0</v>
      </c>
      <c r="AB76" s="639">
        <v>0.0</v>
      </c>
      <c r="AC76" s="167"/>
      <c r="AD76" s="167"/>
      <c r="AE76" s="167"/>
      <c r="AF76" s="167"/>
      <c r="AG76" s="629">
        <f t="shared" si="23"/>
        <v>8</v>
      </c>
    </row>
    <row r="77" outlineLevel="1">
      <c r="A77" s="311" t="s">
        <v>980</v>
      </c>
      <c r="B77" s="165">
        <v>3.0</v>
      </c>
      <c r="C77" s="165">
        <v>0.0</v>
      </c>
      <c r="D77" s="165">
        <v>2.0</v>
      </c>
      <c r="E77" s="165">
        <v>1.0</v>
      </c>
      <c r="F77" s="165">
        <v>1.0</v>
      </c>
      <c r="G77" s="165">
        <v>0.0</v>
      </c>
      <c r="H77" s="165">
        <v>3.0</v>
      </c>
      <c r="I77" s="166">
        <v>10.0</v>
      </c>
      <c r="J77" s="166">
        <v>2.0</v>
      </c>
      <c r="K77" s="166">
        <v>2.0</v>
      </c>
      <c r="L77" s="166">
        <v>4.0</v>
      </c>
      <c r="M77" s="166">
        <v>66.0</v>
      </c>
      <c r="N77" s="166">
        <v>15.0</v>
      </c>
      <c r="O77" s="149">
        <v>0.0</v>
      </c>
      <c r="P77" s="166">
        <v>0.0</v>
      </c>
      <c r="Q77" s="166">
        <v>0.0</v>
      </c>
      <c r="R77" s="166">
        <v>2.0</v>
      </c>
      <c r="S77" s="83">
        <v>2.0</v>
      </c>
      <c r="T77" s="83">
        <v>0.0</v>
      </c>
      <c r="U77" s="83">
        <v>0.0</v>
      </c>
      <c r="V77" s="83">
        <v>0.0</v>
      </c>
      <c r="W77" s="83">
        <v>0.0</v>
      </c>
      <c r="X77" s="83">
        <v>0.0</v>
      </c>
      <c r="Y77" s="83">
        <v>0.0</v>
      </c>
      <c r="Z77" s="639">
        <v>0.0</v>
      </c>
      <c r="AA77" s="639">
        <v>0.0</v>
      </c>
      <c r="AB77" s="639">
        <v>0.0</v>
      </c>
      <c r="AC77" s="83"/>
      <c r="AD77" s="83"/>
      <c r="AE77" s="83"/>
      <c r="AF77" s="83"/>
      <c r="AG77" s="629">
        <f t="shared" si="23"/>
        <v>113</v>
      </c>
    </row>
    <row r="78" outlineLevel="1">
      <c r="A78" s="311" t="s">
        <v>981</v>
      </c>
      <c r="B78" s="164">
        <v>3.0</v>
      </c>
      <c r="C78" s="165">
        <v>1.0</v>
      </c>
      <c r="D78" s="165">
        <v>0.0</v>
      </c>
      <c r="E78" s="165">
        <v>0.0</v>
      </c>
      <c r="F78" s="165">
        <v>0.0</v>
      </c>
      <c r="G78" s="165">
        <v>0.0</v>
      </c>
      <c r="H78" s="165">
        <v>0.0</v>
      </c>
      <c r="I78" s="166">
        <v>7.0</v>
      </c>
      <c r="J78" s="166">
        <v>0.0</v>
      </c>
      <c r="K78" s="166">
        <v>0.0</v>
      </c>
      <c r="L78" s="166">
        <v>0.0</v>
      </c>
      <c r="M78" s="166">
        <v>21.0</v>
      </c>
      <c r="N78" s="166">
        <v>9.0</v>
      </c>
      <c r="O78" s="149">
        <v>0.0</v>
      </c>
      <c r="P78" s="166">
        <v>0.0</v>
      </c>
      <c r="Q78" s="166">
        <v>0.0</v>
      </c>
      <c r="R78" s="166">
        <v>1.0</v>
      </c>
      <c r="S78" s="83">
        <v>0.0</v>
      </c>
      <c r="T78" s="83">
        <v>0.0</v>
      </c>
      <c r="U78" s="83">
        <v>0.0</v>
      </c>
      <c r="V78" s="83">
        <v>0.0</v>
      </c>
      <c r="W78" s="83">
        <v>0.0</v>
      </c>
      <c r="X78" s="83">
        <v>0.0</v>
      </c>
      <c r="Y78" s="83">
        <v>0.0</v>
      </c>
      <c r="Z78" s="639">
        <v>0.0</v>
      </c>
      <c r="AA78" s="639">
        <v>0.0</v>
      </c>
      <c r="AB78" s="639">
        <v>0.0</v>
      </c>
      <c r="AC78" s="83"/>
      <c r="AD78" s="83"/>
      <c r="AE78" s="83"/>
      <c r="AF78" s="83"/>
      <c r="AG78" s="629">
        <f t="shared" si="23"/>
        <v>42</v>
      </c>
    </row>
    <row r="79" outlineLevel="1">
      <c r="A79" s="442" t="s">
        <v>459</v>
      </c>
      <c r="B79" s="443">
        <f t="shared" ref="B79:AF79" si="24">SUM(B75:B78)</f>
        <v>6</v>
      </c>
      <c r="C79" s="443">
        <f t="shared" si="24"/>
        <v>1</v>
      </c>
      <c r="D79" s="443">
        <f t="shared" si="24"/>
        <v>2</v>
      </c>
      <c r="E79" s="443">
        <f t="shared" si="24"/>
        <v>1</v>
      </c>
      <c r="F79" s="443">
        <f t="shared" si="24"/>
        <v>1</v>
      </c>
      <c r="G79" s="443">
        <f t="shared" si="24"/>
        <v>0</v>
      </c>
      <c r="H79" s="443">
        <f t="shared" si="24"/>
        <v>5</v>
      </c>
      <c r="I79" s="443">
        <f t="shared" si="24"/>
        <v>19</v>
      </c>
      <c r="J79" s="443">
        <f t="shared" si="24"/>
        <v>3</v>
      </c>
      <c r="K79" s="443">
        <f t="shared" si="24"/>
        <v>4</v>
      </c>
      <c r="L79" s="443">
        <f t="shared" si="24"/>
        <v>5</v>
      </c>
      <c r="M79" s="443">
        <f t="shared" si="24"/>
        <v>92</v>
      </c>
      <c r="N79" s="443">
        <f t="shared" si="24"/>
        <v>29</v>
      </c>
      <c r="O79" s="443">
        <f t="shared" si="24"/>
        <v>0</v>
      </c>
      <c r="P79" s="443">
        <f t="shared" si="24"/>
        <v>0</v>
      </c>
      <c r="Q79" s="443">
        <f t="shared" si="24"/>
        <v>0</v>
      </c>
      <c r="R79" s="443">
        <f t="shared" si="24"/>
        <v>3</v>
      </c>
      <c r="S79" s="443">
        <f t="shared" si="24"/>
        <v>2</v>
      </c>
      <c r="T79" s="443">
        <f t="shared" si="24"/>
        <v>0</v>
      </c>
      <c r="U79" s="443">
        <f t="shared" si="24"/>
        <v>0</v>
      </c>
      <c r="V79" s="443">
        <f t="shared" si="24"/>
        <v>0</v>
      </c>
      <c r="W79" s="443">
        <f t="shared" si="24"/>
        <v>0</v>
      </c>
      <c r="X79" s="443">
        <f t="shared" si="24"/>
        <v>0</v>
      </c>
      <c r="Y79" s="443">
        <f t="shared" si="24"/>
        <v>0</v>
      </c>
      <c r="Z79" s="443">
        <f t="shared" si="24"/>
        <v>0</v>
      </c>
      <c r="AA79" s="443">
        <f t="shared" si="24"/>
        <v>0</v>
      </c>
      <c r="AB79" s="443">
        <f t="shared" si="24"/>
        <v>0</v>
      </c>
      <c r="AC79" s="443">
        <f t="shared" si="24"/>
        <v>0</v>
      </c>
      <c r="AD79" s="443">
        <f t="shared" si="24"/>
        <v>0</v>
      </c>
      <c r="AE79" s="443">
        <f t="shared" si="24"/>
        <v>0</v>
      </c>
      <c r="AF79" s="443">
        <f t="shared" si="24"/>
        <v>0</v>
      </c>
      <c r="AG79" s="640">
        <f t="shared" si="23"/>
        <v>173</v>
      </c>
    </row>
    <row r="80" outlineLevel="1">
      <c r="A80" s="98"/>
      <c r="B80" s="171"/>
      <c r="C80" s="171"/>
      <c r="D80" s="171"/>
      <c r="E80" s="171"/>
      <c r="F80" s="171"/>
      <c r="G80" s="171"/>
      <c r="H80" s="171"/>
      <c r="I80" s="171"/>
      <c r="J80" s="82"/>
      <c r="K80" s="82"/>
      <c r="L80" s="82"/>
      <c r="M80" s="82"/>
      <c r="N80" s="82"/>
      <c r="O80" s="82"/>
      <c r="P80" s="82"/>
      <c r="Q80" s="82"/>
      <c r="R80" s="82"/>
      <c r="S80" s="82"/>
      <c r="T80" s="82"/>
      <c r="U80" s="82"/>
      <c r="V80" s="82"/>
      <c r="W80" s="82"/>
      <c r="X80" s="82"/>
      <c r="Y80" s="82"/>
      <c r="Z80" s="82"/>
      <c r="AA80" s="82"/>
      <c r="AB80" s="82"/>
      <c r="AC80" s="82"/>
      <c r="AD80" s="82"/>
      <c r="AE80" s="82"/>
      <c r="AF80" s="82"/>
      <c r="AG80" s="637"/>
    </row>
    <row r="81" outlineLevel="1">
      <c r="A81" s="311" t="s">
        <v>122</v>
      </c>
      <c r="B81" s="165">
        <v>0.0</v>
      </c>
      <c r="C81" s="165">
        <v>0.0</v>
      </c>
      <c r="D81" s="165">
        <v>0.0</v>
      </c>
      <c r="E81" s="165">
        <v>0.0</v>
      </c>
      <c r="F81" s="165">
        <v>0.0</v>
      </c>
      <c r="G81" s="165">
        <v>0.0</v>
      </c>
      <c r="H81" s="165">
        <v>0.0</v>
      </c>
      <c r="I81" s="165">
        <v>0.0</v>
      </c>
      <c r="J81" s="165">
        <v>0.0</v>
      </c>
      <c r="K81" s="165">
        <v>0.0</v>
      </c>
      <c r="L81" s="165">
        <v>0.0</v>
      </c>
      <c r="M81" s="165">
        <v>0.0</v>
      </c>
      <c r="N81" s="165">
        <v>0.0</v>
      </c>
      <c r="O81" s="166">
        <v>0.0</v>
      </c>
      <c r="P81" s="166">
        <v>0.0</v>
      </c>
      <c r="Q81" s="166">
        <v>0.0</v>
      </c>
      <c r="R81" s="166">
        <v>0.0</v>
      </c>
      <c r="S81" s="166">
        <v>0.0</v>
      </c>
      <c r="T81" s="166">
        <v>0.0</v>
      </c>
      <c r="U81" s="166">
        <v>0.0</v>
      </c>
      <c r="V81" s="83">
        <v>0.0</v>
      </c>
      <c r="W81" s="83">
        <v>0.0</v>
      </c>
      <c r="X81" s="83">
        <v>0.0</v>
      </c>
      <c r="Y81" s="83">
        <v>0.0</v>
      </c>
      <c r="Z81" s="83">
        <v>0.0</v>
      </c>
      <c r="AA81" s="83">
        <v>0.0</v>
      </c>
      <c r="AB81" s="83">
        <v>0.0</v>
      </c>
      <c r="AC81" s="173"/>
      <c r="AD81" s="173"/>
      <c r="AE81" s="173"/>
      <c r="AF81" s="173"/>
      <c r="AG81" s="629">
        <f t="shared" ref="AG81:AG89" si="25">sum(B81:AF81)</f>
        <v>0</v>
      </c>
    </row>
    <row r="82" outlineLevel="1">
      <c r="A82" s="311" t="s">
        <v>123</v>
      </c>
      <c r="B82" s="165">
        <v>0.0</v>
      </c>
      <c r="C82" s="165">
        <v>0.0</v>
      </c>
      <c r="D82" s="165">
        <v>0.0</v>
      </c>
      <c r="E82" s="165">
        <v>0.0</v>
      </c>
      <c r="F82" s="165">
        <v>0.0</v>
      </c>
      <c r="G82" s="165">
        <v>0.0</v>
      </c>
      <c r="H82" s="165">
        <v>0.0</v>
      </c>
      <c r="I82" s="165">
        <v>0.0</v>
      </c>
      <c r="J82" s="165">
        <v>0.0</v>
      </c>
      <c r="K82" s="165">
        <v>0.0</v>
      </c>
      <c r="L82" s="165">
        <v>0.0</v>
      </c>
      <c r="M82" s="165">
        <v>0.0</v>
      </c>
      <c r="N82" s="165">
        <v>0.0</v>
      </c>
      <c r="O82" s="166">
        <v>0.0</v>
      </c>
      <c r="P82" s="166">
        <v>0.0</v>
      </c>
      <c r="Q82" s="166">
        <v>0.0</v>
      </c>
      <c r="R82" s="166">
        <v>0.0</v>
      </c>
      <c r="S82" s="166">
        <v>0.0</v>
      </c>
      <c r="T82" s="166">
        <v>0.0</v>
      </c>
      <c r="U82" s="166">
        <v>0.0</v>
      </c>
      <c r="V82" s="83">
        <v>0.0</v>
      </c>
      <c r="W82" s="83">
        <v>0.0</v>
      </c>
      <c r="X82" s="83">
        <v>0.0</v>
      </c>
      <c r="Y82" s="83">
        <v>0.0</v>
      </c>
      <c r="Z82" s="83">
        <v>0.0</v>
      </c>
      <c r="AA82" s="83">
        <v>0.0</v>
      </c>
      <c r="AB82" s="83">
        <v>0.0</v>
      </c>
      <c r="AC82" s="174"/>
      <c r="AD82" s="174"/>
      <c r="AE82" s="174"/>
      <c r="AF82" s="174"/>
      <c r="AG82" s="629">
        <f t="shared" si="25"/>
        <v>0</v>
      </c>
    </row>
    <row r="83" outlineLevel="1">
      <c r="A83" s="311" t="s">
        <v>982</v>
      </c>
      <c r="B83" s="165">
        <v>0.0</v>
      </c>
      <c r="C83" s="165">
        <v>0.0</v>
      </c>
      <c r="D83" s="165">
        <v>0.0</v>
      </c>
      <c r="E83" s="165">
        <v>0.0</v>
      </c>
      <c r="F83" s="165">
        <v>0.0</v>
      </c>
      <c r="G83" s="165">
        <v>0.0</v>
      </c>
      <c r="H83" s="165">
        <v>0.0</v>
      </c>
      <c r="I83" s="165">
        <v>0.0</v>
      </c>
      <c r="J83" s="165">
        <v>0.0</v>
      </c>
      <c r="K83" s="165">
        <v>0.0</v>
      </c>
      <c r="L83" s="165">
        <v>0.0</v>
      </c>
      <c r="M83" s="165">
        <v>0.0</v>
      </c>
      <c r="N83" s="165">
        <v>0.0</v>
      </c>
      <c r="O83" s="165">
        <v>0.0</v>
      </c>
      <c r="P83" s="165">
        <v>0.0</v>
      </c>
      <c r="Q83" s="165">
        <v>0.0</v>
      </c>
      <c r="R83" s="165">
        <v>0.0</v>
      </c>
      <c r="S83" s="165">
        <v>0.0</v>
      </c>
      <c r="T83" s="165">
        <v>0.0</v>
      </c>
      <c r="U83" s="165">
        <v>0.0</v>
      </c>
      <c r="V83" s="165">
        <v>0.0</v>
      </c>
      <c r="W83" s="165">
        <v>0.0</v>
      </c>
      <c r="X83" s="165">
        <v>0.0</v>
      </c>
      <c r="Y83" s="165">
        <v>0.0</v>
      </c>
      <c r="Z83" s="165">
        <v>0.0</v>
      </c>
      <c r="AA83" s="165">
        <v>0.0</v>
      </c>
      <c r="AB83" s="165">
        <v>0.0</v>
      </c>
      <c r="AC83" s="175"/>
      <c r="AD83" s="175"/>
      <c r="AE83" s="175"/>
      <c r="AF83" s="175"/>
      <c r="AG83" s="629">
        <f t="shared" si="25"/>
        <v>0</v>
      </c>
    </row>
    <row r="84" outlineLevel="1">
      <c r="A84" s="311" t="s">
        <v>983</v>
      </c>
      <c r="B84" s="164">
        <v>0.0</v>
      </c>
      <c r="C84" s="164">
        <v>0.0</v>
      </c>
      <c r="D84" s="164">
        <v>0.0</v>
      </c>
      <c r="E84" s="164">
        <v>0.0</v>
      </c>
      <c r="F84" s="164">
        <v>0.0</v>
      </c>
      <c r="G84" s="165">
        <v>0.0</v>
      </c>
      <c r="H84" s="165">
        <v>0.0</v>
      </c>
      <c r="I84" s="165">
        <v>0.0</v>
      </c>
      <c r="J84" s="165">
        <v>0.0</v>
      </c>
      <c r="K84" s="165">
        <v>0.0</v>
      </c>
      <c r="L84" s="165">
        <v>0.0</v>
      </c>
      <c r="M84" s="165">
        <v>0.0</v>
      </c>
      <c r="N84" s="165">
        <v>0.0</v>
      </c>
      <c r="O84" s="149">
        <v>0.0</v>
      </c>
      <c r="P84" s="149">
        <v>0.0</v>
      </c>
      <c r="Q84" s="149">
        <v>0.0</v>
      </c>
      <c r="R84" s="149">
        <v>0.0</v>
      </c>
      <c r="S84" s="149">
        <v>0.0</v>
      </c>
      <c r="T84" s="149">
        <v>0.0</v>
      </c>
      <c r="U84" s="149">
        <v>0.0</v>
      </c>
      <c r="V84" s="165">
        <v>0.0</v>
      </c>
      <c r="W84" s="165">
        <v>0.0</v>
      </c>
      <c r="X84" s="165">
        <v>0.0</v>
      </c>
      <c r="Y84" s="165">
        <v>0.0</v>
      </c>
      <c r="Z84" s="165">
        <v>0.0</v>
      </c>
      <c r="AA84" s="165">
        <v>0.0</v>
      </c>
      <c r="AB84" s="165">
        <v>0.0</v>
      </c>
      <c r="AC84" s="175"/>
      <c r="AD84" s="175"/>
      <c r="AE84" s="175"/>
      <c r="AF84" s="175"/>
      <c r="AG84" s="629">
        <f t="shared" si="25"/>
        <v>0</v>
      </c>
    </row>
    <row r="85" outlineLevel="1">
      <c r="A85" s="311" t="s">
        <v>984</v>
      </c>
      <c r="B85" s="165">
        <v>0.0</v>
      </c>
      <c r="C85" s="165">
        <v>0.0</v>
      </c>
      <c r="D85" s="165">
        <v>0.0</v>
      </c>
      <c r="E85" s="165">
        <v>0.0</v>
      </c>
      <c r="F85" s="165">
        <v>0.0</v>
      </c>
      <c r="G85" s="165">
        <v>0.0</v>
      </c>
      <c r="H85" s="165">
        <v>0.0</v>
      </c>
      <c r="I85" s="165">
        <v>0.0</v>
      </c>
      <c r="J85" s="165">
        <v>0.0</v>
      </c>
      <c r="K85" s="165">
        <v>0.0</v>
      </c>
      <c r="L85" s="165">
        <v>0.0</v>
      </c>
      <c r="M85" s="165">
        <v>0.0</v>
      </c>
      <c r="N85" s="165">
        <v>0.0</v>
      </c>
      <c r="O85" s="165">
        <v>0.0</v>
      </c>
      <c r="P85" s="165">
        <v>0.0</v>
      </c>
      <c r="Q85" s="165">
        <v>0.0</v>
      </c>
      <c r="R85" s="165">
        <v>0.0</v>
      </c>
      <c r="S85" s="165">
        <v>0.0</v>
      </c>
      <c r="T85" s="165">
        <v>0.0</v>
      </c>
      <c r="U85" s="165">
        <v>0.0</v>
      </c>
      <c r="V85" s="165">
        <v>0.0</v>
      </c>
      <c r="W85" s="165">
        <v>0.0</v>
      </c>
      <c r="X85" s="165">
        <v>0.0</v>
      </c>
      <c r="Y85" s="165">
        <v>0.0</v>
      </c>
      <c r="Z85" s="165">
        <v>0.0</v>
      </c>
      <c r="AA85" s="165">
        <v>0.0</v>
      </c>
      <c r="AB85" s="165">
        <v>0.0</v>
      </c>
      <c r="AC85" s="175"/>
      <c r="AD85" s="175"/>
      <c r="AE85" s="175"/>
      <c r="AF85" s="175"/>
      <c r="AG85" s="629">
        <f t="shared" si="25"/>
        <v>0</v>
      </c>
    </row>
    <row r="86" outlineLevel="1">
      <c r="A86" s="311" t="s">
        <v>985</v>
      </c>
      <c r="B86" s="164">
        <v>0.0</v>
      </c>
      <c r="C86" s="164">
        <v>0.0</v>
      </c>
      <c r="D86" s="164">
        <v>0.0</v>
      </c>
      <c r="E86" s="164">
        <v>0.0</v>
      </c>
      <c r="F86" s="164">
        <v>0.0</v>
      </c>
      <c r="G86" s="165">
        <v>0.0</v>
      </c>
      <c r="H86" s="165">
        <v>0.0</v>
      </c>
      <c r="I86" s="165">
        <v>0.0</v>
      </c>
      <c r="J86" s="165">
        <v>0.0</v>
      </c>
      <c r="K86" s="165">
        <v>0.0</v>
      </c>
      <c r="L86" s="165">
        <v>0.0</v>
      </c>
      <c r="M86" s="165">
        <v>0.0</v>
      </c>
      <c r="N86" s="165">
        <v>0.0</v>
      </c>
      <c r="O86" s="149">
        <v>0.0</v>
      </c>
      <c r="P86" s="149">
        <v>0.0</v>
      </c>
      <c r="Q86" s="149">
        <v>0.0</v>
      </c>
      <c r="R86" s="149">
        <v>0.0</v>
      </c>
      <c r="S86" s="149">
        <v>0.0</v>
      </c>
      <c r="T86" s="149">
        <v>0.0</v>
      </c>
      <c r="U86" s="149">
        <v>0.0</v>
      </c>
      <c r="V86" s="165">
        <v>0.0</v>
      </c>
      <c r="W86" s="165">
        <v>0.0</v>
      </c>
      <c r="X86" s="165">
        <v>0.0</v>
      </c>
      <c r="Y86" s="165">
        <v>0.0</v>
      </c>
      <c r="Z86" s="165">
        <v>0.0</v>
      </c>
      <c r="AA86" s="165">
        <v>0.0</v>
      </c>
      <c r="AB86" s="165">
        <v>0.0</v>
      </c>
      <c r="AC86" s="175"/>
      <c r="AD86" s="175"/>
      <c r="AE86" s="175"/>
      <c r="AF86" s="175"/>
      <c r="AG86" s="629">
        <f t="shared" si="25"/>
        <v>0</v>
      </c>
    </row>
    <row r="87" outlineLevel="1">
      <c r="A87" s="311" t="s">
        <v>986</v>
      </c>
      <c r="B87" s="165">
        <v>0.0</v>
      </c>
      <c r="C87" s="165">
        <v>0.0</v>
      </c>
      <c r="D87" s="165">
        <v>0.0</v>
      </c>
      <c r="E87" s="165">
        <v>0.0</v>
      </c>
      <c r="F87" s="165">
        <v>0.0</v>
      </c>
      <c r="G87" s="165">
        <v>0.0</v>
      </c>
      <c r="H87" s="165">
        <v>0.0</v>
      </c>
      <c r="I87" s="165">
        <v>0.0</v>
      </c>
      <c r="J87" s="165">
        <v>0.0</v>
      </c>
      <c r="K87" s="165">
        <v>0.0</v>
      </c>
      <c r="L87" s="165">
        <v>0.0</v>
      </c>
      <c r="M87" s="165">
        <v>0.0</v>
      </c>
      <c r="N87" s="165">
        <v>0.0</v>
      </c>
      <c r="O87" s="165">
        <v>0.0</v>
      </c>
      <c r="P87" s="165">
        <v>0.0</v>
      </c>
      <c r="Q87" s="165">
        <v>0.0</v>
      </c>
      <c r="R87" s="165">
        <v>0.0</v>
      </c>
      <c r="S87" s="165">
        <v>0.0</v>
      </c>
      <c r="T87" s="165">
        <v>0.0</v>
      </c>
      <c r="U87" s="165">
        <v>0.0</v>
      </c>
      <c r="V87" s="165">
        <v>0.0</v>
      </c>
      <c r="W87" s="165">
        <v>0.0</v>
      </c>
      <c r="X87" s="165">
        <v>0.0</v>
      </c>
      <c r="Y87" s="165">
        <v>0.0</v>
      </c>
      <c r="Z87" s="165">
        <v>0.0</v>
      </c>
      <c r="AA87" s="165">
        <v>0.0</v>
      </c>
      <c r="AB87" s="165">
        <v>0.0</v>
      </c>
      <c r="AC87" s="175"/>
      <c r="AD87" s="175"/>
      <c r="AE87" s="175"/>
      <c r="AF87" s="175"/>
      <c r="AG87" s="629">
        <f t="shared" si="25"/>
        <v>0</v>
      </c>
    </row>
    <row r="88" outlineLevel="1">
      <c r="A88" s="311" t="s">
        <v>987</v>
      </c>
      <c r="B88" s="165">
        <v>0.0</v>
      </c>
      <c r="C88" s="165">
        <v>0.0</v>
      </c>
      <c r="D88" s="165">
        <v>0.0</v>
      </c>
      <c r="E88" s="165">
        <v>0.0</v>
      </c>
      <c r="F88" s="165">
        <v>0.0</v>
      </c>
      <c r="G88" s="165">
        <v>0.0</v>
      </c>
      <c r="H88" s="165">
        <v>0.0</v>
      </c>
      <c r="I88" s="165">
        <v>0.0</v>
      </c>
      <c r="J88" s="165">
        <v>0.0</v>
      </c>
      <c r="K88" s="165">
        <v>0.0</v>
      </c>
      <c r="L88" s="165">
        <v>0.0</v>
      </c>
      <c r="M88" s="165">
        <v>0.0</v>
      </c>
      <c r="N88" s="165">
        <v>0.0</v>
      </c>
      <c r="O88" s="165">
        <v>0.0</v>
      </c>
      <c r="P88" s="165">
        <v>0.0</v>
      </c>
      <c r="Q88" s="165">
        <v>0.0</v>
      </c>
      <c r="R88" s="165">
        <v>0.0</v>
      </c>
      <c r="S88" s="165">
        <v>0.0</v>
      </c>
      <c r="T88" s="165">
        <v>0.0</v>
      </c>
      <c r="U88" s="165">
        <v>0.0</v>
      </c>
      <c r="V88" s="165">
        <v>0.0</v>
      </c>
      <c r="W88" s="165">
        <v>0.0</v>
      </c>
      <c r="X88" s="165">
        <v>0.0</v>
      </c>
      <c r="Y88" s="165">
        <v>0.0</v>
      </c>
      <c r="Z88" s="165">
        <v>0.0</v>
      </c>
      <c r="AA88" s="165">
        <v>0.0</v>
      </c>
      <c r="AB88" s="165">
        <v>0.0</v>
      </c>
      <c r="AC88" s="175"/>
      <c r="AD88" s="175"/>
      <c r="AE88" s="175"/>
      <c r="AF88" s="175"/>
      <c r="AG88" s="629">
        <f t="shared" si="25"/>
        <v>0</v>
      </c>
    </row>
    <row r="89" outlineLevel="1">
      <c r="A89" s="442" t="s">
        <v>109</v>
      </c>
      <c r="B89" s="443">
        <f t="shared" ref="B89:AF89" si="26">SUM(B81:B88)</f>
        <v>0</v>
      </c>
      <c r="C89" s="443">
        <f t="shared" si="26"/>
        <v>0</v>
      </c>
      <c r="D89" s="443">
        <f t="shared" si="26"/>
        <v>0</v>
      </c>
      <c r="E89" s="443">
        <f t="shared" si="26"/>
        <v>0</v>
      </c>
      <c r="F89" s="443">
        <f t="shared" si="26"/>
        <v>0</v>
      </c>
      <c r="G89" s="443">
        <f t="shared" si="26"/>
        <v>0</v>
      </c>
      <c r="H89" s="443">
        <f t="shared" si="26"/>
        <v>0</v>
      </c>
      <c r="I89" s="443">
        <f t="shared" si="26"/>
        <v>0</v>
      </c>
      <c r="J89" s="443">
        <f t="shared" si="26"/>
        <v>0</v>
      </c>
      <c r="K89" s="443">
        <f t="shared" si="26"/>
        <v>0</v>
      </c>
      <c r="L89" s="443">
        <f t="shared" si="26"/>
        <v>0</v>
      </c>
      <c r="M89" s="443">
        <f t="shared" si="26"/>
        <v>0</v>
      </c>
      <c r="N89" s="443">
        <f t="shared" si="26"/>
        <v>0</v>
      </c>
      <c r="O89" s="443">
        <f t="shared" si="26"/>
        <v>0</v>
      </c>
      <c r="P89" s="443">
        <f t="shared" si="26"/>
        <v>0</v>
      </c>
      <c r="Q89" s="443">
        <f t="shared" si="26"/>
        <v>0</v>
      </c>
      <c r="R89" s="443">
        <f t="shared" si="26"/>
        <v>0</v>
      </c>
      <c r="S89" s="443">
        <f t="shared" si="26"/>
        <v>0</v>
      </c>
      <c r="T89" s="443">
        <f t="shared" si="26"/>
        <v>0</v>
      </c>
      <c r="U89" s="443">
        <f t="shared" si="26"/>
        <v>0</v>
      </c>
      <c r="V89" s="443">
        <f t="shared" si="26"/>
        <v>0</v>
      </c>
      <c r="W89" s="443">
        <f t="shared" si="26"/>
        <v>0</v>
      </c>
      <c r="X89" s="443">
        <f t="shared" si="26"/>
        <v>0</v>
      </c>
      <c r="Y89" s="443">
        <f t="shared" si="26"/>
        <v>0</v>
      </c>
      <c r="Z89" s="443">
        <f t="shared" si="26"/>
        <v>0</v>
      </c>
      <c r="AA89" s="443">
        <f t="shared" si="26"/>
        <v>0</v>
      </c>
      <c r="AB89" s="443">
        <f t="shared" si="26"/>
        <v>0</v>
      </c>
      <c r="AC89" s="443">
        <f t="shared" si="26"/>
        <v>0</v>
      </c>
      <c r="AD89" s="443">
        <f t="shared" si="26"/>
        <v>0</v>
      </c>
      <c r="AE89" s="443">
        <f t="shared" si="26"/>
        <v>0</v>
      </c>
      <c r="AF89" s="443">
        <f t="shared" si="26"/>
        <v>0</v>
      </c>
      <c r="AG89" s="640">
        <f t="shared" si="25"/>
        <v>0</v>
      </c>
    </row>
    <row r="90">
      <c r="A90" s="224"/>
      <c r="B90" s="165"/>
      <c r="C90" s="82"/>
      <c r="D90" s="82"/>
      <c r="E90" s="82"/>
      <c r="F90" s="82"/>
      <c r="G90" s="82"/>
      <c r="H90" s="82"/>
      <c r="I90" s="82"/>
      <c r="J90" s="82"/>
      <c r="K90" s="82"/>
      <c r="L90" s="82"/>
      <c r="M90" s="82"/>
      <c r="N90" s="82"/>
      <c r="O90" s="82"/>
      <c r="P90" s="82"/>
      <c r="Q90" s="82"/>
      <c r="R90" s="82"/>
      <c r="S90" s="82"/>
      <c r="T90" s="82"/>
      <c r="U90" s="82"/>
      <c r="V90" s="82"/>
      <c r="W90" s="82"/>
      <c r="X90" s="82"/>
      <c r="Y90" s="82"/>
      <c r="Z90" s="82"/>
      <c r="AA90" s="82"/>
      <c r="AB90" s="82"/>
      <c r="AC90" s="82"/>
      <c r="AD90" s="82"/>
      <c r="AE90" s="82"/>
      <c r="AF90" s="82"/>
      <c r="AG90" s="629"/>
    </row>
    <row r="91">
      <c r="A91" s="224"/>
      <c r="B91" s="165"/>
      <c r="C91" s="82"/>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629"/>
    </row>
    <row r="92">
      <c r="A92" s="147" t="s">
        <v>988</v>
      </c>
      <c r="B92" s="165"/>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629"/>
    </row>
    <row r="93">
      <c r="A93" s="163" t="s">
        <v>989</v>
      </c>
      <c r="B93" s="188">
        <f t="shared" ref="B93:AF93" si="27">(B23+B40)-B110-B138</f>
        <v>0</v>
      </c>
      <c r="C93" s="188">
        <f t="shared" si="27"/>
        <v>0</v>
      </c>
      <c r="D93" s="188">
        <f t="shared" si="27"/>
        <v>0</v>
      </c>
      <c r="E93" s="188">
        <f t="shared" si="27"/>
        <v>0</v>
      </c>
      <c r="F93" s="188">
        <f t="shared" si="27"/>
        <v>0</v>
      </c>
      <c r="G93" s="188">
        <f t="shared" si="27"/>
        <v>-1</v>
      </c>
      <c r="H93" s="188">
        <f t="shared" si="27"/>
        <v>1</v>
      </c>
      <c r="I93" s="188">
        <f t="shared" si="27"/>
        <v>1</v>
      </c>
      <c r="J93" s="188">
        <f t="shared" si="27"/>
        <v>0</v>
      </c>
      <c r="K93" s="188">
        <f t="shared" si="27"/>
        <v>2</v>
      </c>
      <c r="L93" s="188">
        <f t="shared" si="27"/>
        <v>0</v>
      </c>
      <c r="M93" s="188">
        <f t="shared" si="27"/>
        <v>3</v>
      </c>
      <c r="N93" s="188">
        <f t="shared" si="27"/>
        <v>3</v>
      </c>
      <c r="O93" s="189">
        <f t="shared" si="27"/>
        <v>0</v>
      </c>
      <c r="P93" s="189">
        <f t="shared" si="27"/>
        <v>0</v>
      </c>
      <c r="Q93" s="189">
        <f t="shared" si="27"/>
        <v>0</v>
      </c>
      <c r="R93" s="188">
        <f t="shared" si="27"/>
        <v>0</v>
      </c>
      <c r="S93" s="188">
        <f t="shared" si="27"/>
        <v>0</v>
      </c>
      <c r="T93" s="188">
        <f t="shared" si="27"/>
        <v>-1</v>
      </c>
      <c r="U93" s="188">
        <f t="shared" si="27"/>
        <v>0</v>
      </c>
      <c r="V93" s="188">
        <f t="shared" si="27"/>
        <v>0</v>
      </c>
      <c r="W93" s="188">
        <f t="shared" si="27"/>
        <v>0</v>
      </c>
      <c r="X93" s="188">
        <f t="shared" si="27"/>
        <v>0</v>
      </c>
      <c r="Y93" s="188">
        <f t="shared" si="27"/>
        <v>0</v>
      </c>
      <c r="Z93" s="189">
        <f t="shared" si="27"/>
        <v>0</v>
      </c>
      <c r="AA93" s="188">
        <f t="shared" si="27"/>
        <v>0</v>
      </c>
      <c r="AB93" s="188">
        <f t="shared" si="27"/>
        <v>0</v>
      </c>
      <c r="AC93" s="189">
        <f t="shared" si="27"/>
        <v>0</v>
      </c>
      <c r="AD93" s="189">
        <f t="shared" si="27"/>
        <v>0</v>
      </c>
      <c r="AE93" s="189">
        <f t="shared" si="27"/>
        <v>0</v>
      </c>
      <c r="AF93" s="189">
        <f t="shared" si="27"/>
        <v>0</v>
      </c>
      <c r="AG93" s="629">
        <f t="shared" ref="AG93:AG97" si="29">sum(B93:AF93)</f>
        <v>8</v>
      </c>
    </row>
    <row r="94">
      <c r="A94" s="163" t="s">
        <v>990</v>
      </c>
      <c r="B94" s="188">
        <f t="shared" ref="B94:AF94" si="28">(B24+B41)-B111-B139</f>
        <v>0</v>
      </c>
      <c r="C94" s="188">
        <f t="shared" si="28"/>
        <v>0</v>
      </c>
      <c r="D94" s="188">
        <f t="shared" si="28"/>
        <v>0</v>
      </c>
      <c r="E94" s="188">
        <f t="shared" si="28"/>
        <v>0</v>
      </c>
      <c r="F94" s="188">
        <f t="shared" si="28"/>
        <v>0</v>
      </c>
      <c r="G94" s="188">
        <f t="shared" si="28"/>
        <v>-1</v>
      </c>
      <c r="H94" s="188">
        <f t="shared" si="28"/>
        <v>1</v>
      </c>
      <c r="I94" s="188">
        <f t="shared" si="28"/>
        <v>1</v>
      </c>
      <c r="J94" s="188">
        <f t="shared" si="28"/>
        <v>1</v>
      </c>
      <c r="K94" s="188">
        <f t="shared" si="28"/>
        <v>0</v>
      </c>
      <c r="L94" s="188">
        <f t="shared" si="28"/>
        <v>1</v>
      </c>
      <c r="M94" s="188">
        <f t="shared" si="28"/>
        <v>2</v>
      </c>
      <c r="N94" s="188">
        <f t="shared" si="28"/>
        <v>2</v>
      </c>
      <c r="O94" s="189">
        <f t="shared" si="28"/>
        <v>0</v>
      </c>
      <c r="P94" s="189">
        <f t="shared" si="28"/>
        <v>0</v>
      </c>
      <c r="Q94" s="189">
        <f t="shared" si="28"/>
        <v>0</v>
      </c>
      <c r="R94" s="188">
        <f t="shared" si="28"/>
        <v>0</v>
      </c>
      <c r="S94" s="188">
        <f t="shared" si="28"/>
        <v>0</v>
      </c>
      <c r="T94" s="188">
        <f t="shared" si="28"/>
        <v>0</v>
      </c>
      <c r="U94" s="188">
        <f t="shared" si="28"/>
        <v>0</v>
      </c>
      <c r="V94" s="188">
        <f t="shared" si="28"/>
        <v>0</v>
      </c>
      <c r="W94" s="188">
        <f t="shared" si="28"/>
        <v>0</v>
      </c>
      <c r="X94" s="188">
        <f t="shared" si="28"/>
        <v>0</v>
      </c>
      <c r="Y94" s="188">
        <f t="shared" si="28"/>
        <v>0</v>
      </c>
      <c r="Z94" s="189">
        <f t="shared" si="28"/>
        <v>0</v>
      </c>
      <c r="AA94" s="188">
        <f t="shared" si="28"/>
        <v>0</v>
      </c>
      <c r="AB94" s="188">
        <f t="shared" si="28"/>
        <v>0</v>
      </c>
      <c r="AC94" s="189">
        <f t="shared" si="28"/>
        <v>0</v>
      </c>
      <c r="AD94" s="189">
        <f t="shared" si="28"/>
        <v>0</v>
      </c>
      <c r="AE94" s="189">
        <f t="shared" si="28"/>
        <v>0</v>
      </c>
      <c r="AF94" s="189">
        <f t="shared" si="28"/>
        <v>0</v>
      </c>
      <c r="AG94" s="629">
        <f t="shared" si="29"/>
        <v>7</v>
      </c>
    </row>
    <row r="95">
      <c r="A95" s="163" t="s">
        <v>991</v>
      </c>
      <c r="B95" s="188">
        <f t="shared" ref="B95:AF95" si="30">(B25+B42)-B112-B140</f>
        <v>3</v>
      </c>
      <c r="C95" s="188">
        <f t="shared" si="30"/>
        <v>0</v>
      </c>
      <c r="D95" s="188">
        <f t="shared" si="30"/>
        <v>2</v>
      </c>
      <c r="E95" s="188">
        <f t="shared" si="30"/>
        <v>1</v>
      </c>
      <c r="F95" s="188">
        <f t="shared" si="30"/>
        <v>1</v>
      </c>
      <c r="G95" s="188">
        <f t="shared" si="30"/>
        <v>-1</v>
      </c>
      <c r="H95" s="188">
        <f t="shared" si="30"/>
        <v>3</v>
      </c>
      <c r="I95" s="188">
        <f t="shared" si="30"/>
        <v>10</v>
      </c>
      <c r="J95" s="188">
        <f t="shared" si="30"/>
        <v>2</v>
      </c>
      <c r="K95" s="188">
        <f t="shared" si="30"/>
        <v>2</v>
      </c>
      <c r="L95" s="188">
        <f t="shared" si="30"/>
        <v>4</v>
      </c>
      <c r="M95" s="188">
        <f t="shared" si="30"/>
        <v>66</v>
      </c>
      <c r="N95" s="188">
        <f t="shared" si="30"/>
        <v>15</v>
      </c>
      <c r="O95" s="189">
        <f t="shared" si="30"/>
        <v>0</v>
      </c>
      <c r="P95" s="189">
        <f t="shared" si="30"/>
        <v>0</v>
      </c>
      <c r="Q95" s="189">
        <f t="shared" si="30"/>
        <v>0</v>
      </c>
      <c r="R95" s="188">
        <f t="shared" si="30"/>
        <v>2</v>
      </c>
      <c r="S95" s="188">
        <f t="shared" si="30"/>
        <v>2</v>
      </c>
      <c r="T95" s="188">
        <f t="shared" si="30"/>
        <v>0</v>
      </c>
      <c r="U95" s="188">
        <f t="shared" si="30"/>
        <v>0</v>
      </c>
      <c r="V95" s="188">
        <f t="shared" si="30"/>
        <v>-1</v>
      </c>
      <c r="W95" s="188">
        <f t="shared" si="30"/>
        <v>0</v>
      </c>
      <c r="X95" s="188">
        <f t="shared" si="30"/>
        <v>0</v>
      </c>
      <c r="Y95" s="188">
        <f t="shared" si="30"/>
        <v>-1</v>
      </c>
      <c r="Z95" s="188">
        <f t="shared" si="30"/>
        <v>0</v>
      </c>
      <c r="AA95" s="188">
        <f t="shared" si="30"/>
        <v>0</v>
      </c>
      <c r="AB95" s="188">
        <f t="shared" si="30"/>
        <v>0</v>
      </c>
      <c r="AC95" s="188">
        <f t="shared" si="30"/>
        <v>0</v>
      </c>
      <c r="AD95" s="188">
        <f t="shared" si="30"/>
        <v>0</v>
      </c>
      <c r="AE95" s="188">
        <f t="shared" si="30"/>
        <v>0</v>
      </c>
      <c r="AF95" s="188">
        <f t="shared" si="30"/>
        <v>0</v>
      </c>
      <c r="AG95" s="629">
        <f t="shared" si="29"/>
        <v>110</v>
      </c>
    </row>
    <row r="96">
      <c r="A96" s="163" t="s">
        <v>992</v>
      </c>
      <c r="B96" s="188">
        <f t="shared" ref="B96:AF96" si="31">(B26+B43)-B113-B141</f>
        <v>3</v>
      </c>
      <c r="C96" s="188">
        <f t="shared" si="31"/>
        <v>1</v>
      </c>
      <c r="D96" s="188">
        <f t="shared" si="31"/>
        <v>0</v>
      </c>
      <c r="E96" s="188">
        <f t="shared" si="31"/>
        <v>0</v>
      </c>
      <c r="F96" s="188">
        <f t="shared" si="31"/>
        <v>0</v>
      </c>
      <c r="G96" s="188">
        <f t="shared" si="31"/>
        <v>0</v>
      </c>
      <c r="H96" s="188">
        <f t="shared" si="31"/>
        <v>0</v>
      </c>
      <c r="I96" s="188">
        <f t="shared" si="31"/>
        <v>7</v>
      </c>
      <c r="J96" s="188">
        <f t="shared" si="31"/>
        <v>0</v>
      </c>
      <c r="K96" s="188">
        <f t="shared" si="31"/>
        <v>0</v>
      </c>
      <c r="L96" s="188">
        <f t="shared" si="31"/>
        <v>0</v>
      </c>
      <c r="M96" s="188">
        <f t="shared" si="31"/>
        <v>21</v>
      </c>
      <c r="N96" s="188">
        <f t="shared" si="31"/>
        <v>9</v>
      </c>
      <c r="O96" s="189">
        <f t="shared" si="31"/>
        <v>0</v>
      </c>
      <c r="P96" s="189">
        <f t="shared" si="31"/>
        <v>0</v>
      </c>
      <c r="Q96" s="189">
        <f t="shared" si="31"/>
        <v>0</v>
      </c>
      <c r="R96" s="188">
        <f t="shared" si="31"/>
        <v>1</v>
      </c>
      <c r="S96" s="188">
        <f t="shared" si="31"/>
        <v>0</v>
      </c>
      <c r="T96" s="188">
        <f t="shared" si="31"/>
        <v>0</v>
      </c>
      <c r="U96" s="188">
        <f t="shared" si="31"/>
        <v>0</v>
      </c>
      <c r="V96" s="188">
        <f t="shared" si="31"/>
        <v>0</v>
      </c>
      <c r="W96" s="188">
        <f t="shared" si="31"/>
        <v>0</v>
      </c>
      <c r="X96" s="188">
        <f t="shared" si="31"/>
        <v>0</v>
      </c>
      <c r="Y96" s="188">
        <f t="shared" si="31"/>
        <v>0</v>
      </c>
      <c r="Z96" s="188">
        <f t="shared" si="31"/>
        <v>0</v>
      </c>
      <c r="AA96" s="188">
        <f t="shared" si="31"/>
        <v>0</v>
      </c>
      <c r="AB96" s="188">
        <f t="shared" si="31"/>
        <v>0</v>
      </c>
      <c r="AC96" s="188">
        <f t="shared" si="31"/>
        <v>0</v>
      </c>
      <c r="AD96" s="188">
        <f t="shared" si="31"/>
        <v>0</v>
      </c>
      <c r="AE96" s="188">
        <f t="shared" si="31"/>
        <v>0</v>
      </c>
      <c r="AF96" s="188">
        <f t="shared" si="31"/>
        <v>0</v>
      </c>
      <c r="AG96" s="629">
        <f t="shared" si="29"/>
        <v>42</v>
      </c>
    </row>
    <row r="97">
      <c r="A97" s="636" t="s">
        <v>459</v>
      </c>
      <c r="B97" s="336">
        <f t="shared" ref="B97:AF97" si="32">SUM(B93:B96)</f>
        <v>6</v>
      </c>
      <c r="C97" s="336">
        <f t="shared" si="32"/>
        <v>1</v>
      </c>
      <c r="D97" s="336">
        <f t="shared" si="32"/>
        <v>2</v>
      </c>
      <c r="E97" s="336">
        <f t="shared" si="32"/>
        <v>1</v>
      </c>
      <c r="F97" s="336">
        <f t="shared" si="32"/>
        <v>1</v>
      </c>
      <c r="G97" s="336">
        <f t="shared" si="32"/>
        <v>-3</v>
      </c>
      <c r="H97" s="336">
        <f t="shared" si="32"/>
        <v>5</v>
      </c>
      <c r="I97" s="336">
        <f t="shared" si="32"/>
        <v>19</v>
      </c>
      <c r="J97" s="336">
        <f t="shared" si="32"/>
        <v>3</v>
      </c>
      <c r="K97" s="336">
        <f t="shared" si="32"/>
        <v>4</v>
      </c>
      <c r="L97" s="336">
        <f t="shared" si="32"/>
        <v>5</v>
      </c>
      <c r="M97" s="336">
        <f t="shared" si="32"/>
        <v>92</v>
      </c>
      <c r="N97" s="336">
        <f t="shared" si="32"/>
        <v>29</v>
      </c>
      <c r="O97" s="336">
        <f t="shared" si="32"/>
        <v>0</v>
      </c>
      <c r="P97" s="336">
        <f t="shared" si="32"/>
        <v>0</v>
      </c>
      <c r="Q97" s="336">
        <f t="shared" si="32"/>
        <v>0</v>
      </c>
      <c r="R97" s="336">
        <f t="shared" si="32"/>
        <v>3</v>
      </c>
      <c r="S97" s="336">
        <f t="shared" si="32"/>
        <v>2</v>
      </c>
      <c r="T97" s="336">
        <f t="shared" si="32"/>
        <v>-1</v>
      </c>
      <c r="U97" s="336">
        <f t="shared" si="32"/>
        <v>0</v>
      </c>
      <c r="V97" s="336">
        <f t="shared" si="32"/>
        <v>-1</v>
      </c>
      <c r="W97" s="336">
        <f t="shared" si="32"/>
        <v>0</v>
      </c>
      <c r="X97" s="336">
        <f t="shared" si="32"/>
        <v>0</v>
      </c>
      <c r="Y97" s="336">
        <f t="shared" si="32"/>
        <v>-1</v>
      </c>
      <c r="Z97" s="336">
        <f t="shared" si="32"/>
        <v>0</v>
      </c>
      <c r="AA97" s="336">
        <f t="shared" si="32"/>
        <v>0</v>
      </c>
      <c r="AB97" s="336">
        <f t="shared" si="32"/>
        <v>0</v>
      </c>
      <c r="AC97" s="336">
        <f t="shared" si="32"/>
        <v>0</v>
      </c>
      <c r="AD97" s="336">
        <f t="shared" si="32"/>
        <v>0</v>
      </c>
      <c r="AE97" s="336">
        <f t="shared" si="32"/>
        <v>0</v>
      </c>
      <c r="AF97" s="336">
        <f t="shared" si="32"/>
        <v>0</v>
      </c>
      <c r="AG97" s="629">
        <f t="shared" si="29"/>
        <v>167</v>
      </c>
    </row>
    <row r="98">
      <c r="A98" s="98"/>
      <c r="B98" s="171"/>
      <c r="C98" s="171"/>
      <c r="D98" s="171"/>
      <c r="E98" s="171"/>
      <c r="F98" s="171"/>
      <c r="G98" s="171"/>
      <c r="H98" s="171"/>
      <c r="I98" s="171"/>
      <c r="J98" s="82"/>
      <c r="K98" s="82"/>
      <c r="L98" s="82"/>
      <c r="M98" s="82"/>
      <c r="N98" s="82"/>
      <c r="O98" s="82"/>
      <c r="P98" s="82"/>
      <c r="Q98" s="82"/>
      <c r="R98" s="82"/>
      <c r="S98" s="82"/>
      <c r="T98" s="82"/>
      <c r="U98" s="82"/>
      <c r="V98" s="82"/>
      <c r="W98" s="82"/>
      <c r="X98" s="82"/>
      <c r="Y98" s="82"/>
      <c r="Z98" s="82"/>
      <c r="AA98" s="82"/>
      <c r="AB98" s="82"/>
      <c r="AC98" s="82"/>
      <c r="AD98" s="82"/>
      <c r="AE98" s="82"/>
      <c r="AF98" s="82"/>
      <c r="AG98" s="629"/>
    </row>
    <row r="99">
      <c r="A99" s="163" t="s">
        <v>122</v>
      </c>
      <c r="B99" s="190">
        <f t="shared" ref="B99:AF99" si="33">(B29+B46)-B117-B145</f>
        <v>0</v>
      </c>
      <c r="C99" s="190">
        <f t="shared" si="33"/>
        <v>0</v>
      </c>
      <c r="D99" s="190">
        <f t="shared" si="33"/>
        <v>0</v>
      </c>
      <c r="E99" s="190">
        <f t="shared" si="33"/>
        <v>0</v>
      </c>
      <c r="F99" s="190">
        <f t="shared" si="33"/>
        <v>0</v>
      </c>
      <c r="G99" s="190">
        <f t="shared" si="33"/>
        <v>0</v>
      </c>
      <c r="H99" s="190">
        <f t="shared" si="33"/>
        <v>0</v>
      </c>
      <c r="I99" s="190">
        <f t="shared" si="33"/>
        <v>0</v>
      </c>
      <c r="J99" s="190">
        <f t="shared" si="33"/>
        <v>0</v>
      </c>
      <c r="K99" s="190">
        <f t="shared" si="33"/>
        <v>0</v>
      </c>
      <c r="L99" s="190">
        <f t="shared" si="33"/>
        <v>0</v>
      </c>
      <c r="M99" s="190">
        <f t="shared" si="33"/>
        <v>0</v>
      </c>
      <c r="N99" s="190">
        <f t="shared" si="33"/>
        <v>0</v>
      </c>
      <c r="O99" s="190">
        <f t="shared" si="33"/>
        <v>0</v>
      </c>
      <c r="P99" s="190">
        <f t="shared" si="33"/>
        <v>0</v>
      </c>
      <c r="Q99" s="190">
        <f t="shared" si="33"/>
        <v>0</v>
      </c>
      <c r="R99" s="190">
        <f t="shared" si="33"/>
        <v>0</v>
      </c>
      <c r="S99" s="190">
        <f t="shared" si="33"/>
        <v>0</v>
      </c>
      <c r="T99" s="190">
        <f t="shared" si="33"/>
        <v>-1</v>
      </c>
      <c r="U99" s="190">
        <f t="shared" si="33"/>
        <v>0</v>
      </c>
      <c r="V99" s="190">
        <f t="shared" si="33"/>
        <v>0</v>
      </c>
      <c r="W99" s="190">
        <f t="shared" si="33"/>
        <v>0</v>
      </c>
      <c r="X99" s="190">
        <f t="shared" si="33"/>
        <v>0</v>
      </c>
      <c r="Y99" s="190">
        <f t="shared" si="33"/>
        <v>0</v>
      </c>
      <c r="Z99" s="190">
        <f t="shared" si="33"/>
        <v>0</v>
      </c>
      <c r="AA99" s="190">
        <f t="shared" si="33"/>
        <v>0</v>
      </c>
      <c r="AB99" s="190">
        <f t="shared" si="33"/>
        <v>0</v>
      </c>
      <c r="AC99" s="190">
        <f t="shared" si="33"/>
        <v>0</v>
      </c>
      <c r="AD99" s="190">
        <f t="shared" si="33"/>
        <v>0</v>
      </c>
      <c r="AE99" s="190">
        <f t="shared" si="33"/>
        <v>0</v>
      </c>
      <c r="AF99" s="190">
        <f t="shared" si="33"/>
        <v>0</v>
      </c>
      <c r="AG99" s="629">
        <f t="shared" ref="AG99:AG107" si="35">sum(B99:AF99)</f>
        <v>-1</v>
      </c>
    </row>
    <row r="100">
      <c r="A100" s="163" t="s">
        <v>123</v>
      </c>
      <c r="B100" s="190">
        <f t="shared" ref="B100:AF100" si="34">(B30+B47)-B118-B146</f>
        <v>0</v>
      </c>
      <c r="C100" s="190">
        <f t="shared" si="34"/>
        <v>0</v>
      </c>
      <c r="D100" s="190">
        <f t="shared" si="34"/>
        <v>0</v>
      </c>
      <c r="E100" s="190">
        <f t="shared" si="34"/>
        <v>0</v>
      </c>
      <c r="F100" s="190">
        <f t="shared" si="34"/>
        <v>0</v>
      </c>
      <c r="G100" s="190">
        <f t="shared" si="34"/>
        <v>0</v>
      </c>
      <c r="H100" s="190">
        <f t="shared" si="34"/>
        <v>0</v>
      </c>
      <c r="I100" s="190">
        <f t="shared" si="34"/>
        <v>0</v>
      </c>
      <c r="J100" s="190">
        <f t="shared" si="34"/>
        <v>0</v>
      </c>
      <c r="K100" s="190">
        <f t="shared" si="34"/>
        <v>0</v>
      </c>
      <c r="L100" s="190">
        <f t="shared" si="34"/>
        <v>0</v>
      </c>
      <c r="M100" s="190">
        <f t="shared" si="34"/>
        <v>0</v>
      </c>
      <c r="N100" s="190">
        <f t="shared" si="34"/>
        <v>0</v>
      </c>
      <c r="O100" s="190">
        <f t="shared" si="34"/>
        <v>0</v>
      </c>
      <c r="P100" s="190">
        <f t="shared" si="34"/>
        <v>0</v>
      </c>
      <c r="Q100" s="190">
        <f t="shared" si="34"/>
        <v>0</v>
      </c>
      <c r="R100" s="190">
        <f t="shared" si="34"/>
        <v>0</v>
      </c>
      <c r="S100" s="190">
        <f t="shared" si="34"/>
        <v>0</v>
      </c>
      <c r="T100" s="190">
        <f t="shared" si="34"/>
        <v>-1</v>
      </c>
      <c r="U100" s="190">
        <f t="shared" si="34"/>
        <v>0</v>
      </c>
      <c r="V100" s="190">
        <f t="shared" si="34"/>
        <v>-1</v>
      </c>
      <c r="W100" s="190">
        <f t="shared" si="34"/>
        <v>0</v>
      </c>
      <c r="X100" s="190">
        <f t="shared" si="34"/>
        <v>0</v>
      </c>
      <c r="Y100" s="190">
        <f t="shared" si="34"/>
        <v>0</v>
      </c>
      <c r="Z100" s="190">
        <f t="shared" si="34"/>
        <v>0</v>
      </c>
      <c r="AA100" s="190">
        <f t="shared" si="34"/>
        <v>0</v>
      </c>
      <c r="AB100" s="190">
        <f t="shared" si="34"/>
        <v>0</v>
      </c>
      <c r="AC100" s="190">
        <f t="shared" si="34"/>
        <v>0</v>
      </c>
      <c r="AD100" s="190">
        <f t="shared" si="34"/>
        <v>0</v>
      </c>
      <c r="AE100" s="190">
        <f t="shared" si="34"/>
        <v>0</v>
      </c>
      <c r="AF100" s="190">
        <f t="shared" si="34"/>
        <v>0</v>
      </c>
      <c r="AG100" s="629">
        <f t="shared" si="35"/>
        <v>-2</v>
      </c>
    </row>
    <row r="101">
      <c r="A101" s="163" t="s">
        <v>993</v>
      </c>
      <c r="B101" s="190">
        <f t="shared" ref="B101:AF101" si="36">(B31+B48)-B119-B147</f>
        <v>0</v>
      </c>
      <c r="C101" s="190">
        <f t="shared" si="36"/>
        <v>0</v>
      </c>
      <c r="D101" s="190">
        <f t="shared" si="36"/>
        <v>0</v>
      </c>
      <c r="E101" s="190">
        <f t="shared" si="36"/>
        <v>0</v>
      </c>
      <c r="F101" s="190">
        <f t="shared" si="36"/>
        <v>0</v>
      </c>
      <c r="G101" s="190">
        <f t="shared" si="36"/>
        <v>0</v>
      </c>
      <c r="H101" s="190">
        <f t="shared" si="36"/>
        <v>0</v>
      </c>
      <c r="I101" s="190">
        <f t="shared" si="36"/>
        <v>0</v>
      </c>
      <c r="J101" s="190">
        <f t="shared" si="36"/>
        <v>0</v>
      </c>
      <c r="K101" s="190">
        <f t="shared" si="36"/>
        <v>0</v>
      </c>
      <c r="L101" s="190">
        <f t="shared" si="36"/>
        <v>0</v>
      </c>
      <c r="M101" s="190">
        <f t="shared" si="36"/>
        <v>0</v>
      </c>
      <c r="N101" s="190">
        <f t="shared" si="36"/>
        <v>0</v>
      </c>
      <c r="O101" s="190">
        <f t="shared" si="36"/>
        <v>0</v>
      </c>
      <c r="P101" s="190">
        <f t="shared" si="36"/>
        <v>0</v>
      </c>
      <c r="Q101" s="190">
        <f t="shared" si="36"/>
        <v>0</v>
      </c>
      <c r="R101" s="190">
        <f t="shared" si="36"/>
        <v>0</v>
      </c>
      <c r="S101" s="190">
        <f t="shared" si="36"/>
        <v>0</v>
      </c>
      <c r="T101" s="190">
        <f t="shared" si="36"/>
        <v>0</v>
      </c>
      <c r="U101" s="190">
        <f t="shared" si="36"/>
        <v>0</v>
      </c>
      <c r="V101" s="190">
        <f t="shared" si="36"/>
        <v>0</v>
      </c>
      <c r="W101" s="190">
        <f t="shared" si="36"/>
        <v>0</v>
      </c>
      <c r="X101" s="190">
        <f t="shared" si="36"/>
        <v>0</v>
      </c>
      <c r="Y101" s="190">
        <f t="shared" si="36"/>
        <v>-1</v>
      </c>
      <c r="Z101" s="190">
        <f t="shared" si="36"/>
        <v>0</v>
      </c>
      <c r="AA101" s="190">
        <f t="shared" si="36"/>
        <v>0</v>
      </c>
      <c r="AB101" s="190">
        <f t="shared" si="36"/>
        <v>0</v>
      </c>
      <c r="AC101" s="190">
        <f t="shared" si="36"/>
        <v>0</v>
      </c>
      <c r="AD101" s="190">
        <f t="shared" si="36"/>
        <v>0</v>
      </c>
      <c r="AE101" s="190">
        <f t="shared" si="36"/>
        <v>0</v>
      </c>
      <c r="AF101" s="190">
        <f t="shared" si="36"/>
        <v>0</v>
      </c>
      <c r="AG101" s="629">
        <f t="shared" si="35"/>
        <v>-1</v>
      </c>
    </row>
    <row r="102">
      <c r="A102" s="163" t="s">
        <v>994</v>
      </c>
      <c r="B102" s="190">
        <f t="shared" ref="B102:AF102" si="37">(B32-B49)-B120-B148</f>
        <v>0</v>
      </c>
      <c r="C102" s="190">
        <f t="shared" si="37"/>
        <v>0</v>
      </c>
      <c r="D102" s="190">
        <f t="shared" si="37"/>
        <v>0</v>
      </c>
      <c r="E102" s="190">
        <f t="shared" si="37"/>
        <v>0</v>
      </c>
      <c r="F102" s="190">
        <f t="shared" si="37"/>
        <v>0</v>
      </c>
      <c r="G102" s="190">
        <f t="shared" si="37"/>
        <v>0</v>
      </c>
      <c r="H102" s="190">
        <f t="shared" si="37"/>
        <v>0</v>
      </c>
      <c r="I102" s="190">
        <f t="shared" si="37"/>
        <v>0</v>
      </c>
      <c r="J102" s="190">
        <f t="shared" si="37"/>
        <v>0</v>
      </c>
      <c r="K102" s="190">
        <f t="shared" si="37"/>
        <v>0</v>
      </c>
      <c r="L102" s="190">
        <f t="shared" si="37"/>
        <v>0</v>
      </c>
      <c r="M102" s="190">
        <f t="shared" si="37"/>
        <v>0</v>
      </c>
      <c r="N102" s="190">
        <f t="shared" si="37"/>
        <v>0</v>
      </c>
      <c r="O102" s="190">
        <f t="shared" si="37"/>
        <v>0</v>
      </c>
      <c r="P102" s="190">
        <f t="shared" si="37"/>
        <v>0</v>
      </c>
      <c r="Q102" s="190">
        <f t="shared" si="37"/>
        <v>0</v>
      </c>
      <c r="R102" s="190">
        <f t="shared" si="37"/>
        <v>0</v>
      </c>
      <c r="S102" s="190">
        <f t="shared" si="37"/>
        <v>0</v>
      </c>
      <c r="T102" s="190">
        <f t="shared" si="37"/>
        <v>0</v>
      </c>
      <c r="U102" s="190">
        <f t="shared" si="37"/>
        <v>0</v>
      </c>
      <c r="V102" s="190">
        <f t="shared" si="37"/>
        <v>0</v>
      </c>
      <c r="W102" s="190">
        <f t="shared" si="37"/>
        <v>0</v>
      </c>
      <c r="X102" s="190">
        <f t="shared" si="37"/>
        <v>0</v>
      </c>
      <c r="Y102" s="190">
        <f t="shared" si="37"/>
        <v>0</v>
      </c>
      <c r="Z102" s="190">
        <f t="shared" si="37"/>
        <v>0</v>
      </c>
      <c r="AA102" s="190">
        <f t="shared" si="37"/>
        <v>0</v>
      </c>
      <c r="AB102" s="190">
        <f t="shared" si="37"/>
        <v>0</v>
      </c>
      <c r="AC102" s="190">
        <f t="shared" si="37"/>
        <v>0</v>
      </c>
      <c r="AD102" s="190">
        <f t="shared" si="37"/>
        <v>0</v>
      </c>
      <c r="AE102" s="190">
        <f t="shared" si="37"/>
        <v>0</v>
      </c>
      <c r="AF102" s="190">
        <f t="shared" si="37"/>
        <v>0</v>
      </c>
      <c r="AG102" s="629">
        <f t="shared" si="35"/>
        <v>0</v>
      </c>
    </row>
    <row r="103">
      <c r="A103" s="163" t="s">
        <v>995</v>
      </c>
      <c r="B103" s="190">
        <f t="shared" ref="B103:AF103" si="38">(B33-B50)-B121-B149</f>
        <v>0</v>
      </c>
      <c r="C103" s="190">
        <f t="shared" si="38"/>
        <v>0</v>
      </c>
      <c r="D103" s="190">
        <f t="shared" si="38"/>
        <v>0</v>
      </c>
      <c r="E103" s="190">
        <f t="shared" si="38"/>
        <v>0</v>
      </c>
      <c r="F103" s="190">
        <f t="shared" si="38"/>
        <v>0</v>
      </c>
      <c r="G103" s="190">
        <f t="shared" si="38"/>
        <v>-1</v>
      </c>
      <c r="H103" s="190">
        <f t="shared" si="38"/>
        <v>0</v>
      </c>
      <c r="I103" s="190">
        <f t="shared" si="38"/>
        <v>0</v>
      </c>
      <c r="J103" s="190">
        <f t="shared" si="38"/>
        <v>0</v>
      </c>
      <c r="K103" s="190">
        <f t="shared" si="38"/>
        <v>0</v>
      </c>
      <c r="L103" s="190">
        <f t="shared" si="38"/>
        <v>0</v>
      </c>
      <c r="M103" s="190">
        <f t="shared" si="38"/>
        <v>0</v>
      </c>
      <c r="N103" s="190">
        <f t="shared" si="38"/>
        <v>-1</v>
      </c>
      <c r="O103" s="190">
        <f t="shared" si="38"/>
        <v>0</v>
      </c>
      <c r="P103" s="190">
        <f t="shared" si="38"/>
        <v>0</v>
      </c>
      <c r="Q103" s="190">
        <f t="shared" si="38"/>
        <v>0</v>
      </c>
      <c r="R103" s="190">
        <f t="shared" si="38"/>
        <v>0</v>
      </c>
      <c r="S103" s="190">
        <f t="shared" si="38"/>
        <v>0</v>
      </c>
      <c r="T103" s="190">
        <f t="shared" si="38"/>
        <v>-1</v>
      </c>
      <c r="U103" s="190">
        <f t="shared" si="38"/>
        <v>0</v>
      </c>
      <c r="V103" s="190">
        <f t="shared" si="38"/>
        <v>0</v>
      </c>
      <c r="W103" s="190">
        <f t="shared" si="38"/>
        <v>0</v>
      </c>
      <c r="X103" s="190">
        <f t="shared" si="38"/>
        <v>0</v>
      </c>
      <c r="Y103" s="190">
        <f t="shared" si="38"/>
        <v>0</v>
      </c>
      <c r="Z103" s="190">
        <f t="shared" si="38"/>
        <v>0</v>
      </c>
      <c r="AA103" s="190">
        <f t="shared" si="38"/>
        <v>0</v>
      </c>
      <c r="AB103" s="190">
        <f t="shared" si="38"/>
        <v>0</v>
      </c>
      <c r="AC103" s="190">
        <f t="shared" si="38"/>
        <v>0</v>
      </c>
      <c r="AD103" s="190">
        <f t="shared" si="38"/>
        <v>0</v>
      </c>
      <c r="AE103" s="190">
        <f t="shared" si="38"/>
        <v>0</v>
      </c>
      <c r="AF103" s="190">
        <f t="shared" si="38"/>
        <v>0</v>
      </c>
      <c r="AG103" s="629">
        <f t="shared" si="35"/>
        <v>-3</v>
      </c>
    </row>
    <row r="104">
      <c r="A104" s="163" t="s">
        <v>996</v>
      </c>
      <c r="B104" s="190">
        <f t="shared" ref="B104:AF104" si="39">(B34-B51)-B122-B150</f>
        <v>0</v>
      </c>
      <c r="C104" s="190">
        <f t="shared" si="39"/>
        <v>0</v>
      </c>
      <c r="D104" s="190">
        <f t="shared" si="39"/>
        <v>0</v>
      </c>
      <c r="E104" s="190">
        <f t="shared" si="39"/>
        <v>0</v>
      </c>
      <c r="F104" s="190">
        <f t="shared" si="39"/>
        <v>0</v>
      </c>
      <c r="G104" s="190">
        <f t="shared" si="39"/>
        <v>0</v>
      </c>
      <c r="H104" s="190">
        <f t="shared" si="39"/>
        <v>0</v>
      </c>
      <c r="I104" s="190">
        <f t="shared" si="39"/>
        <v>0</v>
      </c>
      <c r="J104" s="190">
        <f t="shared" si="39"/>
        <v>0</v>
      </c>
      <c r="K104" s="190">
        <f t="shared" si="39"/>
        <v>0</v>
      </c>
      <c r="L104" s="190">
        <f t="shared" si="39"/>
        <v>0</v>
      </c>
      <c r="M104" s="190">
        <f t="shared" si="39"/>
        <v>0</v>
      </c>
      <c r="N104" s="190">
        <f t="shared" si="39"/>
        <v>0</v>
      </c>
      <c r="O104" s="190">
        <f t="shared" si="39"/>
        <v>0</v>
      </c>
      <c r="P104" s="190">
        <f t="shared" si="39"/>
        <v>0</v>
      </c>
      <c r="Q104" s="190">
        <f t="shared" si="39"/>
        <v>0</v>
      </c>
      <c r="R104" s="190">
        <f t="shared" si="39"/>
        <v>0</v>
      </c>
      <c r="S104" s="190">
        <f t="shared" si="39"/>
        <v>0</v>
      </c>
      <c r="T104" s="190">
        <f t="shared" si="39"/>
        <v>0</v>
      </c>
      <c r="U104" s="190">
        <f t="shared" si="39"/>
        <v>0</v>
      </c>
      <c r="V104" s="190">
        <f t="shared" si="39"/>
        <v>0</v>
      </c>
      <c r="W104" s="190">
        <f t="shared" si="39"/>
        <v>0</v>
      </c>
      <c r="X104" s="190">
        <f t="shared" si="39"/>
        <v>0</v>
      </c>
      <c r="Y104" s="190">
        <f t="shared" si="39"/>
        <v>0</v>
      </c>
      <c r="Z104" s="190">
        <f t="shared" si="39"/>
        <v>0</v>
      </c>
      <c r="AA104" s="190">
        <f t="shared" si="39"/>
        <v>0</v>
      </c>
      <c r="AB104" s="190">
        <f t="shared" si="39"/>
        <v>0</v>
      </c>
      <c r="AC104" s="190">
        <f t="shared" si="39"/>
        <v>0</v>
      </c>
      <c r="AD104" s="190">
        <f t="shared" si="39"/>
        <v>0</v>
      </c>
      <c r="AE104" s="190">
        <f t="shared" si="39"/>
        <v>0</v>
      </c>
      <c r="AF104" s="190">
        <f t="shared" si="39"/>
        <v>0</v>
      </c>
      <c r="AG104" s="629">
        <f t="shared" si="35"/>
        <v>0</v>
      </c>
    </row>
    <row r="105">
      <c r="A105" s="163" t="s">
        <v>997</v>
      </c>
      <c r="B105" s="190">
        <f t="shared" ref="B105:AF105" si="40">(B35-B52)-B123-B151</f>
        <v>0</v>
      </c>
      <c r="C105" s="190">
        <f t="shared" si="40"/>
        <v>0</v>
      </c>
      <c r="D105" s="190">
        <f t="shared" si="40"/>
        <v>0</v>
      </c>
      <c r="E105" s="190">
        <f t="shared" si="40"/>
        <v>0</v>
      </c>
      <c r="F105" s="190">
        <f t="shared" si="40"/>
        <v>0</v>
      </c>
      <c r="G105" s="190">
        <f t="shared" si="40"/>
        <v>0</v>
      </c>
      <c r="H105" s="190">
        <f t="shared" si="40"/>
        <v>0</v>
      </c>
      <c r="I105" s="190">
        <f t="shared" si="40"/>
        <v>0</v>
      </c>
      <c r="J105" s="190">
        <f t="shared" si="40"/>
        <v>0</v>
      </c>
      <c r="K105" s="190">
        <f t="shared" si="40"/>
        <v>0</v>
      </c>
      <c r="L105" s="190">
        <f t="shared" si="40"/>
        <v>0</v>
      </c>
      <c r="M105" s="190">
        <f t="shared" si="40"/>
        <v>0</v>
      </c>
      <c r="N105" s="190">
        <f t="shared" si="40"/>
        <v>0</v>
      </c>
      <c r="O105" s="190">
        <f t="shared" si="40"/>
        <v>0</v>
      </c>
      <c r="P105" s="190">
        <f t="shared" si="40"/>
        <v>0</v>
      </c>
      <c r="Q105" s="190">
        <f t="shared" si="40"/>
        <v>0</v>
      </c>
      <c r="R105" s="190">
        <f t="shared" si="40"/>
        <v>0</v>
      </c>
      <c r="S105" s="190">
        <f t="shared" si="40"/>
        <v>0</v>
      </c>
      <c r="T105" s="190">
        <f t="shared" si="40"/>
        <v>0</v>
      </c>
      <c r="U105" s="190">
        <f t="shared" si="40"/>
        <v>0</v>
      </c>
      <c r="V105" s="190">
        <f t="shared" si="40"/>
        <v>0</v>
      </c>
      <c r="W105" s="190">
        <f t="shared" si="40"/>
        <v>0</v>
      </c>
      <c r="X105" s="190">
        <f t="shared" si="40"/>
        <v>0</v>
      </c>
      <c r="Y105" s="190">
        <f t="shared" si="40"/>
        <v>0</v>
      </c>
      <c r="Z105" s="190">
        <f t="shared" si="40"/>
        <v>0</v>
      </c>
      <c r="AA105" s="190">
        <f t="shared" si="40"/>
        <v>0</v>
      </c>
      <c r="AB105" s="190">
        <f t="shared" si="40"/>
        <v>0</v>
      </c>
      <c r="AC105" s="190">
        <f t="shared" si="40"/>
        <v>0</v>
      </c>
      <c r="AD105" s="190">
        <f t="shared" si="40"/>
        <v>0</v>
      </c>
      <c r="AE105" s="190">
        <f t="shared" si="40"/>
        <v>0</v>
      </c>
      <c r="AF105" s="190">
        <f t="shared" si="40"/>
        <v>0</v>
      </c>
      <c r="AG105" s="629">
        <f t="shared" si="35"/>
        <v>0</v>
      </c>
    </row>
    <row r="106">
      <c r="A106" s="163" t="s">
        <v>998</v>
      </c>
      <c r="B106" s="190">
        <f t="shared" ref="B106:AF106" si="41">(B36-B53)-B124-B152</f>
        <v>0</v>
      </c>
      <c r="C106" s="190">
        <f t="shared" si="41"/>
        <v>0</v>
      </c>
      <c r="D106" s="190">
        <f t="shared" si="41"/>
        <v>0</v>
      </c>
      <c r="E106" s="190">
        <f t="shared" si="41"/>
        <v>0</v>
      </c>
      <c r="F106" s="190">
        <f t="shared" si="41"/>
        <v>0</v>
      </c>
      <c r="G106" s="190">
        <f t="shared" si="41"/>
        <v>0</v>
      </c>
      <c r="H106" s="190">
        <f t="shared" si="41"/>
        <v>0</v>
      </c>
      <c r="I106" s="190">
        <f t="shared" si="41"/>
        <v>0</v>
      </c>
      <c r="J106" s="190">
        <f t="shared" si="41"/>
        <v>0</v>
      </c>
      <c r="K106" s="190">
        <f t="shared" si="41"/>
        <v>0</v>
      </c>
      <c r="L106" s="190">
        <f t="shared" si="41"/>
        <v>0</v>
      </c>
      <c r="M106" s="190">
        <f t="shared" si="41"/>
        <v>0</v>
      </c>
      <c r="N106" s="190">
        <f t="shared" si="41"/>
        <v>0</v>
      </c>
      <c r="O106" s="190">
        <f t="shared" si="41"/>
        <v>0</v>
      </c>
      <c r="P106" s="190">
        <f t="shared" si="41"/>
        <v>0</v>
      </c>
      <c r="Q106" s="190">
        <f t="shared" si="41"/>
        <v>0</v>
      </c>
      <c r="R106" s="190">
        <f t="shared" si="41"/>
        <v>0</v>
      </c>
      <c r="S106" s="190">
        <f t="shared" si="41"/>
        <v>0</v>
      </c>
      <c r="T106" s="190">
        <f t="shared" si="41"/>
        <v>0</v>
      </c>
      <c r="U106" s="190">
        <f t="shared" si="41"/>
        <v>0</v>
      </c>
      <c r="V106" s="190">
        <f t="shared" si="41"/>
        <v>0</v>
      </c>
      <c r="W106" s="190">
        <f t="shared" si="41"/>
        <v>0</v>
      </c>
      <c r="X106" s="190">
        <f t="shared" si="41"/>
        <v>0</v>
      </c>
      <c r="Y106" s="190">
        <f t="shared" si="41"/>
        <v>0</v>
      </c>
      <c r="Z106" s="190">
        <f t="shared" si="41"/>
        <v>0</v>
      </c>
      <c r="AA106" s="190">
        <f t="shared" si="41"/>
        <v>0</v>
      </c>
      <c r="AB106" s="190">
        <f t="shared" si="41"/>
        <v>0</v>
      </c>
      <c r="AC106" s="190">
        <f t="shared" si="41"/>
        <v>0</v>
      </c>
      <c r="AD106" s="190">
        <f t="shared" si="41"/>
        <v>0</v>
      </c>
      <c r="AE106" s="190">
        <f t="shared" si="41"/>
        <v>0</v>
      </c>
      <c r="AF106" s="190">
        <f t="shared" si="41"/>
        <v>0</v>
      </c>
      <c r="AG106" s="629">
        <f t="shared" si="35"/>
        <v>0</v>
      </c>
    </row>
    <row r="107">
      <c r="A107" s="636" t="s">
        <v>109</v>
      </c>
      <c r="B107" s="336">
        <f t="shared" ref="B107:AF107" si="42">SUM(B99:B106)</f>
        <v>0</v>
      </c>
      <c r="C107" s="336">
        <f t="shared" si="42"/>
        <v>0</v>
      </c>
      <c r="D107" s="336">
        <f t="shared" si="42"/>
        <v>0</v>
      </c>
      <c r="E107" s="336">
        <f t="shared" si="42"/>
        <v>0</v>
      </c>
      <c r="F107" s="336">
        <f t="shared" si="42"/>
        <v>0</v>
      </c>
      <c r="G107" s="336">
        <f t="shared" si="42"/>
        <v>-1</v>
      </c>
      <c r="H107" s="336">
        <f t="shared" si="42"/>
        <v>0</v>
      </c>
      <c r="I107" s="336">
        <f t="shared" si="42"/>
        <v>0</v>
      </c>
      <c r="J107" s="336">
        <f t="shared" si="42"/>
        <v>0</v>
      </c>
      <c r="K107" s="336">
        <f t="shared" si="42"/>
        <v>0</v>
      </c>
      <c r="L107" s="336">
        <f t="shared" si="42"/>
        <v>0</v>
      </c>
      <c r="M107" s="336">
        <f t="shared" si="42"/>
        <v>0</v>
      </c>
      <c r="N107" s="336">
        <f t="shared" si="42"/>
        <v>-1</v>
      </c>
      <c r="O107" s="336">
        <f t="shared" si="42"/>
        <v>0</v>
      </c>
      <c r="P107" s="336">
        <f t="shared" si="42"/>
        <v>0</v>
      </c>
      <c r="Q107" s="336">
        <f t="shared" si="42"/>
        <v>0</v>
      </c>
      <c r="R107" s="336">
        <f t="shared" si="42"/>
        <v>0</v>
      </c>
      <c r="S107" s="336">
        <f t="shared" si="42"/>
        <v>0</v>
      </c>
      <c r="T107" s="336">
        <f t="shared" si="42"/>
        <v>-3</v>
      </c>
      <c r="U107" s="336">
        <f t="shared" si="42"/>
        <v>0</v>
      </c>
      <c r="V107" s="336">
        <f t="shared" si="42"/>
        <v>-1</v>
      </c>
      <c r="W107" s="336">
        <f t="shared" si="42"/>
        <v>0</v>
      </c>
      <c r="X107" s="336">
        <f t="shared" si="42"/>
        <v>0</v>
      </c>
      <c r="Y107" s="336">
        <f t="shared" si="42"/>
        <v>-1</v>
      </c>
      <c r="Z107" s="336">
        <f t="shared" si="42"/>
        <v>0</v>
      </c>
      <c r="AA107" s="336">
        <f t="shared" si="42"/>
        <v>0</v>
      </c>
      <c r="AB107" s="336">
        <f t="shared" si="42"/>
        <v>0</v>
      </c>
      <c r="AC107" s="336">
        <f t="shared" si="42"/>
        <v>0</v>
      </c>
      <c r="AD107" s="336">
        <f t="shared" si="42"/>
        <v>0</v>
      </c>
      <c r="AE107" s="336">
        <f t="shared" si="42"/>
        <v>0</v>
      </c>
      <c r="AF107" s="336">
        <f t="shared" si="42"/>
        <v>0</v>
      </c>
      <c r="AG107" s="629">
        <f t="shared" si="35"/>
        <v>-7</v>
      </c>
    </row>
    <row r="109">
      <c r="A109" s="147" t="s">
        <v>999</v>
      </c>
      <c r="B109" s="135"/>
      <c r="C109" s="135"/>
      <c r="D109" s="135"/>
      <c r="E109" s="135"/>
      <c r="F109" s="135"/>
      <c r="G109" s="135"/>
      <c r="H109" s="135"/>
      <c r="I109" s="82"/>
      <c r="J109" s="82"/>
      <c r="K109" s="82"/>
      <c r="L109" s="82"/>
      <c r="M109" s="82"/>
      <c r="N109" s="82"/>
      <c r="O109" s="82"/>
      <c r="P109" s="82"/>
      <c r="Q109" s="82"/>
      <c r="R109" s="82"/>
      <c r="S109" s="82"/>
      <c r="T109" s="82"/>
      <c r="U109" s="82"/>
      <c r="V109" s="82"/>
      <c r="W109" s="82"/>
      <c r="X109" s="82"/>
      <c r="Y109" s="82"/>
      <c r="Z109" s="82"/>
      <c r="AA109" s="82"/>
      <c r="AB109" s="82"/>
      <c r="AC109" s="82"/>
      <c r="AD109" s="82"/>
      <c r="AE109" s="82"/>
      <c r="AF109" s="82"/>
      <c r="AG109" s="641"/>
    </row>
    <row r="110">
      <c r="A110" s="216" t="s">
        <v>1000</v>
      </c>
      <c r="B110" s="176">
        <v>0.0</v>
      </c>
      <c r="C110" s="176">
        <v>0.0</v>
      </c>
      <c r="D110" s="176">
        <v>0.0</v>
      </c>
      <c r="E110" s="176">
        <v>0.0</v>
      </c>
      <c r="F110" s="176">
        <v>0.0</v>
      </c>
      <c r="G110" s="176">
        <v>0.0</v>
      </c>
      <c r="H110" s="176">
        <v>0.0</v>
      </c>
      <c r="I110" s="176">
        <v>0.0</v>
      </c>
      <c r="J110" s="176">
        <v>0.0</v>
      </c>
      <c r="K110" s="176">
        <v>0.0</v>
      </c>
      <c r="L110" s="176">
        <v>0.0</v>
      </c>
      <c r="M110" s="176">
        <v>0.0</v>
      </c>
      <c r="N110" s="176">
        <v>0.0</v>
      </c>
      <c r="O110" s="176">
        <v>0.0</v>
      </c>
      <c r="P110" s="176">
        <v>0.0</v>
      </c>
      <c r="Q110" s="176">
        <v>0.0</v>
      </c>
      <c r="R110" s="176">
        <v>0.0</v>
      </c>
      <c r="S110" s="176">
        <v>0.0</v>
      </c>
      <c r="T110" s="176">
        <v>0.0</v>
      </c>
      <c r="U110" s="176">
        <v>0.0</v>
      </c>
      <c r="V110" s="176">
        <v>0.0</v>
      </c>
      <c r="W110" s="176">
        <v>0.0</v>
      </c>
      <c r="X110" s="176">
        <v>0.0</v>
      </c>
      <c r="Y110" s="176">
        <v>0.0</v>
      </c>
      <c r="Z110" s="176">
        <v>0.0</v>
      </c>
      <c r="AA110" s="176">
        <v>0.0</v>
      </c>
      <c r="AB110" s="176">
        <v>0.0</v>
      </c>
      <c r="AC110" s="176"/>
      <c r="AD110" s="176"/>
      <c r="AE110" s="176"/>
      <c r="AF110" s="176"/>
      <c r="AG110" s="629">
        <f t="shared" ref="AG110:AG115" si="43">SUM(B110:AF110)</f>
        <v>0</v>
      </c>
    </row>
    <row r="111">
      <c r="A111" s="216" t="s">
        <v>1001</v>
      </c>
      <c r="B111" s="176">
        <v>0.0</v>
      </c>
      <c r="C111" s="176">
        <v>0.0</v>
      </c>
      <c r="D111" s="176">
        <v>0.0</v>
      </c>
      <c r="E111" s="176">
        <v>0.0</v>
      </c>
      <c r="F111" s="176">
        <v>0.0</v>
      </c>
      <c r="G111" s="176">
        <v>0.0</v>
      </c>
      <c r="H111" s="176">
        <v>0.0</v>
      </c>
      <c r="I111" s="176">
        <v>0.0</v>
      </c>
      <c r="J111" s="176">
        <v>0.0</v>
      </c>
      <c r="K111" s="176">
        <v>0.0</v>
      </c>
      <c r="L111" s="176">
        <v>0.0</v>
      </c>
      <c r="M111" s="176">
        <v>0.0</v>
      </c>
      <c r="N111" s="176">
        <v>0.0</v>
      </c>
      <c r="O111" s="176">
        <v>0.0</v>
      </c>
      <c r="P111" s="176">
        <v>0.0</v>
      </c>
      <c r="Q111" s="176">
        <v>0.0</v>
      </c>
      <c r="R111" s="176">
        <v>0.0</v>
      </c>
      <c r="S111" s="176">
        <v>0.0</v>
      </c>
      <c r="T111" s="176">
        <v>0.0</v>
      </c>
      <c r="U111" s="176">
        <v>0.0</v>
      </c>
      <c r="V111" s="176">
        <v>0.0</v>
      </c>
      <c r="W111" s="176">
        <v>0.0</v>
      </c>
      <c r="X111" s="176">
        <v>0.0</v>
      </c>
      <c r="Y111" s="176">
        <v>0.0</v>
      </c>
      <c r="Z111" s="176">
        <v>0.0</v>
      </c>
      <c r="AA111" s="176">
        <v>0.0</v>
      </c>
      <c r="AB111" s="176">
        <v>0.0</v>
      </c>
      <c r="AC111" s="176"/>
      <c r="AD111" s="176"/>
      <c r="AE111" s="176"/>
      <c r="AF111" s="176"/>
      <c r="AG111" s="629">
        <f t="shared" si="43"/>
        <v>0</v>
      </c>
    </row>
    <row r="112">
      <c r="A112" s="216" t="s">
        <v>1002</v>
      </c>
      <c r="B112" s="164">
        <v>0.0</v>
      </c>
      <c r="C112" s="164">
        <v>0.0</v>
      </c>
      <c r="D112" s="164">
        <v>0.0</v>
      </c>
      <c r="E112" s="164">
        <v>0.0</v>
      </c>
      <c r="F112" s="164">
        <v>0.0</v>
      </c>
      <c r="G112" s="176">
        <v>1.0</v>
      </c>
      <c r="H112" s="176">
        <v>0.0</v>
      </c>
      <c r="I112" s="176">
        <v>0.0</v>
      </c>
      <c r="J112" s="176">
        <v>0.0</v>
      </c>
      <c r="K112" s="176">
        <v>0.0</v>
      </c>
      <c r="L112" s="176">
        <v>0.0</v>
      </c>
      <c r="M112" s="176">
        <v>0.0</v>
      </c>
      <c r="N112" s="176">
        <v>0.0</v>
      </c>
      <c r="O112" s="176">
        <v>0.0</v>
      </c>
      <c r="P112" s="176">
        <v>0.0</v>
      </c>
      <c r="Q112" s="176">
        <v>0.0</v>
      </c>
      <c r="R112" s="176">
        <v>0.0</v>
      </c>
      <c r="S112" s="176">
        <v>0.0</v>
      </c>
      <c r="T112" s="176">
        <v>0.0</v>
      </c>
      <c r="U112" s="176">
        <v>0.0</v>
      </c>
      <c r="V112" s="176">
        <v>0.0</v>
      </c>
      <c r="W112" s="176">
        <v>0.0</v>
      </c>
      <c r="X112" s="176">
        <v>0.0</v>
      </c>
      <c r="Y112" s="176">
        <v>0.0</v>
      </c>
      <c r="Z112" s="176">
        <v>0.0</v>
      </c>
      <c r="AA112" s="176">
        <v>0.0</v>
      </c>
      <c r="AB112" s="176">
        <v>0.0</v>
      </c>
      <c r="AC112" s="176"/>
      <c r="AD112" s="176"/>
      <c r="AE112" s="176"/>
      <c r="AF112" s="176"/>
      <c r="AG112" s="629">
        <f t="shared" si="43"/>
        <v>1</v>
      </c>
    </row>
    <row r="113">
      <c r="A113" s="216" t="s">
        <v>1003</v>
      </c>
      <c r="B113" s="164">
        <v>0.0</v>
      </c>
      <c r="C113" s="164">
        <v>0.0</v>
      </c>
      <c r="D113" s="164">
        <v>0.0</v>
      </c>
      <c r="E113" s="164">
        <v>0.0</v>
      </c>
      <c r="F113" s="164">
        <v>0.0</v>
      </c>
      <c r="G113" s="176">
        <v>0.0</v>
      </c>
      <c r="H113" s="176">
        <v>0.0</v>
      </c>
      <c r="I113" s="176">
        <v>0.0</v>
      </c>
      <c r="J113" s="176">
        <v>0.0</v>
      </c>
      <c r="K113" s="176">
        <v>0.0</v>
      </c>
      <c r="L113" s="176">
        <v>0.0</v>
      </c>
      <c r="M113" s="176">
        <v>0.0</v>
      </c>
      <c r="N113" s="176">
        <v>0.0</v>
      </c>
      <c r="O113" s="176">
        <v>0.0</v>
      </c>
      <c r="P113" s="176">
        <v>0.0</v>
      </c>
      <c r="Q113" s="176">
        <v>0.0</v>
      </c>
      <c r="R113" s="176">
        <v>0.0</v>
      </c>
      <c r="S113" s="176">
        <v>0.0</v>
      </c>
      <c r="T113" s="176">
        <v>0.0</v>
      </c>
      <c r="U113" s="176">
        <v>0.0</v>
      </c>
      <c r="V113" s="176">
        <v>0.0</v>
      </c>
      <c r="W113" s="176">
        <v>0.0</v>
      </c>
      <c r="X113" s="176">
        <v>0.0</v>
      </c>
      <c r="Y113" s="176">
        <v>0.0</v>
      </c>
      <c r="Z113" s="176">
        <v>0.0</v>
      </c>
      <c r="AA113" s="176">
        <v>0.0</v>
      </c>
      <c r="AB113" s="176">
        <v>0.0</v>
      </c>
      <c r="AC113" s="176"/>
      <c r="AD113" s="176"/>
      <c r="AE113" s="176"/>
      <c r="AF113" s="176"/>
      <c r="AG113" s="629">
        <f t="shared" si="43"/>
        <v>0</v>
      </c>
    </row>
    <row r="114">
      <c r="A114" s="642" t="s">
        <v>459</v>
      </c>
      <c r="B114" s="370">
        <f t="shared" ref="B114:AF114" si="44">SUM(B110:B111)</f>
        <v>0</v>
      </c>
      <c r="C114" s="370">
        <f t="shared" si="44"/>
        <v>0</v>
      </c>
      <c r="D114" s="370">
        <f t="shared" si="44"/>
        <v>0</v>
      </c>
      <c r="E114" s="370">
        <f t="shared" si="44"/>
        <v>0</v>
      </c>
      <c r="F114" s="370">
        <f t="shared" si="44"/>
        <v>0</v>
      </c>
      <c r="G114" s="370">
        <f t="shared" si="44"/>
        <v>0</v>
      </c>
      <c r="H114" s="370">
        <f t="shared" si="44"/>
        <v>0</v>
      </c>
      <c r="I114" s="370">
        <f t="shared" si="44"/>
        <v>0</v>
      </c>
      <c r="J114" s="370">
        <f t="shared" si="44"/>
        <v>0</v>
      </c>
      <c r="K114" s="370">
        <f t="shared" si="44"/>
        <v>0</v>
      </c>
      <c r="L114" s="370">
        <f t="shared" si="44"/>
        <v>0</v>
      </c>
      <c r="M114" s="370">
        <f t="shared" si="44"/>
        <v>0</v>
      </c>
      <c r="N114" s="370">
        <f t="shared" si="44"/>
        <v>0</v>
      </c>
      <c r="O114" s="370">
        <f t="shared" si="44"/>
        <v>0</v>
      </c>
      <c r="P114" s="370">
        <f t="shared" si="44"/>
        <v>0</v>
      </c>
      <c r="Q114" s="370">
        <f t="shared" si="44"/>
        <v>0</v>
      </c>
      <c r="R114" s="370">
        <f t="shared" si="44"/>
        <v>0</v>
      </c>
      <c r="S114" s="370">
        <f t="shared" si="44"/>
        <v>0</v>
      </c>
      <c r="T114" s="370">
        <f t="shared" si="44"/>
        <v>0</v>
      </c>
      <c r="U114" s="370">
        <f t="shared" si="44"/>
        <v>0</v>
      </c>
      <c r="V114" s="370">
        <f t="shared" si="44"/>
        <v>0</v>
      </c>
      <c r="W114" s="370">
        <f t="shared" si="44"/>
        <v>0</v>
      </c>
      <c r="X114" s="370">
        <f t="shared" si="44"/>
        <v>0</v>
      </c>
      <c r="Y114" s="370">
        <f t="shared" si="44"/>
        <v>0</v>
      </c>
      <c r="Z114" s="370">
        <f t="shared" si="44"/>
        <v>0</v>
      </c>
      <c r="AA114" s="370">
        <f t="shared" si="44"/>
        <v>0</v>
      </c>
      <c r="AB114" s="370">
        <f t="shared" si="44"/>
        <v>0</v>
      </c>
      <c r="AC114" s="370">
        <f t="shared" si="44"/>
        <v>0</v>
      </c>
      <c r="AD114" s="370">
        <f t="shared" si="44"/>
        <v>0</v>
      </c>
      <c r="AE114" s="370">
        <f t="shared" si="44"/>
        <v>0</v>
      </c>
      <c r="AF114" s="370">
        <f t="shared" si="44"/>
        <v>0</v>
      </c>
      <c r="AG114" s="629">
        <f t="shared" si="43"/>
        <v>0</v>
      </c>
    </row>
    <row r="115">
      <c r="A115" s="642" t="s">
        <v>460</v>
      </c>
      <c r="B115" s="370">
        <f t="shared" ref="B115:AF115" si="45">SUM(B112:B113)</f>
        <v>0</v>
      </c>
      <c r="C115" s="370">
        <f t="shared" si="45"/>
        <v>0</v>
      </c>
      <c r="D115" s="370">
        <f t="shared" si="45"/>
        <v>0</v>
      </c>
      <c r="E115" s="370">
        <f t="shared" si="45"/>
        <v>0</v>
      </c>
      <c r="F115" s="370">
        <f t="shared" si="45"/>
        <v>0</v>
      </c>
      <c r="G115" s="370">
        <f t="shared" si="45"/>
        <v>1</v>
      </c>
      <c r="H115" s="370">
        <f t="shared" si="45"/>
        <v>0</v>
      </c>
      <c r="I115" s="370">
        <f t="shared" si="45"/>
        <v>0</v>
      </c>
      <c r="J115" s="370">
        <f t="shared" si="45"/>
        <v>0</v>
      </c>
      <c r="K115" s="370">
        <f t="shared" si="45"/>
        <v>0</v>
      </c>
      <c r="L115" s="370">
        <f t="shared" si="45"/>
        <v>0</v>
      </c>
      <c r="M115" s="370">
        <f t="shared" si="45"/>
        <v>0</v>
      </c>
      <c r="N115" s="370">
        <f t="shared" si="45"/>
        <v>0</v>
      </c>
      <c r="O115" s="370">
        <f t="shared" si="45"/>
        <v>0</v>
      </c>
      <c r="P115" s="370">
        <f t="shared" si="45"/>
        <v>0</v>
      </c>
      <c r="Q115" s="370">
        <f t="shared" si="45"/>
        <v>0</v>
      </c>
      <c r="R115" s="370">
        <f t="shared" si="45"/>
        <v>0</v>
      </c>
      <c r="S115" s="370">
        <f t="shared" si="45"/>
        <v>0</v>
      </c>
      <c r="T115" s="370">
        <f t="shared" si="45"/>
        <v>0</v>
      </c>
      <c r="U115" s="370">
        <f t="shared" si="45"/>
        <v>0</v>
      </c>
      <c r="V115" s="370">
        <f t="shared" si="45"/>
        <v>0</v>
      </c>
      <c r="W115" s="370">
        <f t="shared" si="45"/>
        <v>0</v>
      </c>
      <c r="X115" s="370">
        <f t="shared" si="45"/>
        <v>0</v>
      </c>
      <c r="Y115" s="370">
        <f t="shared" si="45"/>
        <v>0</v>
      </c>
      <c r="Z115" s="370">
        <f t="shared" si="45"/>
        <v>0</v>
      </c>
      <c r="AA115" s="370">
        <f t="shared" si="45"/>
        <v>0</v>
      </c>
      <c r="AB115" s="370">
        <f t="shared" si="45"/>
        <v>0</v>
      </c>
      <c r="AC115" s="370">
        <f t="shared" si="45"/>
        <v>0</v>
      </c>
      <c r="AD115" s="370">
        <f t="shared" si="45"/>
        <v>0</v>
      </c>
      <c r="AE115" s="370">
        <f t="shared" si="45"/>
        <v>0</v>
      </c>
      <c r="AF115" s="370">
        <f t="shared" si="45"/>
        <v>0</v>
      </c>
      <c r="AG115" s="629">
        <f t="shared" si="43"/>
        <v>1</v>
      </c>
    </row>
    <row r="116">
      <c r="A116" s="98"/>
      <c r="B116" s="135"/>
      <c r="C116" s="135"/>
      <c r="D116" s="135"/>
      <c r="E116" s="135"/>
      <c r="F116" s="135"/>
      <c r="G116" s="135"/>
      <c r="H116" s="135"/>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2"/>
      <c r="AF116" s="82"/>
      <c r="AG116" s="629"/>
    </row>
    <row r="117">
      <c r="A117" s="216" t="s">
        <v>1004</v>
      </c>
      <c r="B117" s="176">
        <v>0.0</v>
      </c>
      <c r="C117" s="176">
        <v>0.0</v>
      </c>
      <c r="D117" s="176">
        <v>0.0</v>
      </c>
      <c r="E117" s="176">
        <v>0.0</v>
      </c>
      <c r="F117" s="176">
        <v>0.0</v>
      </c>
      <c r="G117" s="176">
        <v>0.0</v>
      </c>
      <c r="H117" s="176">
        <v>0.0</v>
      </c>
      <c r="I117" s="176">
        <v>0.0</v>
      </c>
      <c r="J117" s="176">
        <v>0.0</v>
      </c>
      <c r="K117" s="176">
        <v>0.0</v>
      </c>
      <c r="L117" s="176">
        <v>0.0</v>
      </c>
      <c r="M117" s="176">
        <v>0.0</v>
      </c>
      <c r="N117" s="176">
        <v>0.0</v>
      </c>
      <c r="O117" s="176">
        <v>0.0</v>
      </c>
      <c r="P117" s="176">
        <v>0.0</v>
      </c>
      <c r="Q117" s="176">
        <v>0.0</v>
      </c>
      <c r="R117" s="176">
        <v>0.0</v>
      </c>
      <c r="S117" s="176">
        <v>0.0</v>
      </c>
      <c r="T117" s="176">
        <v>0.0</v>
      </c>
      <c r="U117" s="176">
        <v>0.0</v>
      </c>
      <c r="V117" s="176">
        <v>0.0</v>
      </c>
      <c r="W117" s="176">
        <v>0.0</v>
      </c>
      <c r="X117" s="176">
        <v>0.0</v>
      </c>
      <c r="Y117" s="176">
        <v>0.0</v>
      </c>
      <c r="Z117" s="176">
        <v>0.0</v>
      </c>
      <c r="AA117" s="176">
        <v>0.0</v>
      </c>
      <c r="AB117" s="176">
        <v>0.0</v>
      </c>
      <c r="AC117" s="176"/>
      <c r="AD117" s="176"/>
      <c r="AE117" s="176"/>
      <c r="AF117" s="176"/>
      <c r="AG117" s="629">
        <f t="shared" ref="AG117:AG125" si="46">SUM(B117:AF117)</f>
        <v>0</v>
      </c>
    </row>
    <row r="118">
      <c r="A118" s="216" t="s">
        <v>1005</v>
      </c>
      <c r="B118" s="176">
        <v>0.0</v>
      </c>
      <c r="C118" s="176">
        <v>0.0</v>
      </c>
      <c r="D118" s="176">
        <v>0.0</v>
      </c>
      <c r="E118" s="176">
        <v>0.0</v>
      </c>
      <c r="F118" s="176">
        <v>0.0</v>
      </c>
      <c r="G118" s="176">
        <v>0.0</v>
      </c>
      <c r="H118" s="176">
        <v>0.0</v>
      </c>
      <c r="I118" s="176">
        <v>0.0</v>
      </c>
      <c r="J118" s="176">
        <v>0.0</v>
      </c>
      <c r="K118" s="176">
        <v>0.0</v>
      </c>
      <c r="L118" s="176">
        <v>0.0</v>
      </c>
      <c r="M118" s="176">
        <v>0.0</v>
      </c>
      <c r="N118" s="176">
        <v>0.0</v>
      </c>
      <c r="O118" s="176">
        <v>0.0</v>
      </c>
      <c r="P118" s="176">
        <v>0.0</v>
      </c>
      <c r="Q118" s="176">
        <v>0.0</v>
      </c>
      <c r="R118" s="176">
        <v>0.0</v>
      </c>
      <c r="S118" s="176">
        <v>0.0</v>
      </c>
      <c r="T118" s="176">
        <v>0.0</v>
      </c>
      <c r="U118" s="176">
        <v>0.0</v>
      </c>
      <c r="V118" s="176">
        <v>0.0</v>
      </c>
      <c r="W118" s="176">
        <v>0.0</v>
      </c>
      <c r="X118" s="176">
        <v>0.0</v>
      </c>
      <c r="Y118" s="176">
        <v>0.0</v>
      </c>
      <c r="Z118" s="176">
        <v>0.0</v>
      </c>
      <c r="AA118" s="176">
        <v>0.0</v>
      </c>
      <c r="AB118" s="176">
        <v>0.0</v>
      </c>
      <c r="AC118" s="176"/>
      <c r="AD118" s="176"/>
      <c r="AE118" s="176"/>
      <c r="AF118" s="176"/>
      <c r="AG118" s="629">
        <f t="shared" si="46"/>
        <v>0</v>
      </c>
    </row>
    <row r="119">
      <c r="A119" s="216" t="s">
        <v>1006</v>
      </c>
      <c r="B119" s="176">
        <v>0.0</v>
      </c>
      <c r="C119" s="176">
        <v>0.0</v>
      </c>
      <c r="D119" s="176">
        <v>0.0</v>
      </c>
      <c r="E119" s="176">
        <v>0.0</v>
      </c>
      <c r="F119" s="176">
        <v>0.0</v>
      </c>
      <c r="G119" s="176">
        <v>0.0</v>
      </c>
      <c r="H119" s="176">
        <v>0.0</v>
      </c>
      <c r="I119" s="176">
        <v>0.0</v>
      </c>
      <c r="J119" s="176">
        <v>0.0</v>
      </c>
      <c r="K119" s="176">
        <v>0.0</v>
      </c>
      <c r="L119" s="176">
        <v>0.0</v>
      </c>
      <c r="M119" s="176">
        <v>0.0</v>
      </c>
      <c r="N119" s="176">
        <v>0.0</v>
      </c>
      <c r="O119" s="176">
        <v>0.0</v>
      </c>
      <c r="P119" s="176">
        <v>0.0</v>
      </c>
      <c r="Q119" s="176">
        <v>0.0</v>
      </c>
      <c r="R119" s="176">
        <v>0.0</v>
      </c>
      <c r="S119" s="176">
        <v>0.0</v>
      </c>
      <c r="T119" s="176">
        <v>0.0</v>
      </c>
      <c r="U119" s="176">
        <v>0.0</v>
      </c>
      <c r="V119" s="176">
        <v>0.0</v>
      </c>
      <c r="W119" s="176">
        <v>0.0</v>
      </c>
      <c r="X119" s="176">
        <v>0.0</v>
      </c>
      <c r="Y119" s="176">
        <v>0.0</v>
      </c>
      <c r="Z119" s="176">
        <v>0.0</v>
      </c>
      <c r="AA119" s="176">
        <v>0.0</v>
      </c>
      <c r="AB119" s="176">
        <v>0.0</v>
      </c>
      <c r="AC119" s="176"/>
      <c r="AD119" s="176"/>
      <c r="AE119" s="176"/>
      <c r="AF119" s="176"/>
      <c r="AG119" s="629">
        <f t="shared" si="46"/>
        <v>0</v>
      </c>
    </row>
    <row r="120">
      <c r="A120" s="216" t="s">
        <v>1007</v>
      </c>
      <c r="B120" s="176">
        <v>0.0</v>
      </c>
      <c r="C120" s="176">
        <v>0.0</v>
      </c>
      <c r="D120" s="176">
        <v>0.0</v>
      </c>
      <c r="E120" s="176">
        <v>0.0</v>
      </c>
      <c r="F120" s="176">
        <v>0.0</v>
      </c>
      <c r="G120" s="176">
        <v>0.0</v>
      </c>
      <c r="H120" s="176">
        <v>0.0</v>
      </c>
      <c r="I120" s="176">
        <v>0.0</v>
      </c>
      <c r="J120" s="176">
        <v>0.0</v>
      </c>
      <c r="K120" s="176">
        <v>0.0</v>
      </c>
      <c r="L120" s="176">
        <v>0.0</v>
      </c>
      <c r="M120" s="176">
        <v>0.0</v>
      </c>
      <c r="N120" s="176">
        <v>0.0</v>
      </c>
      <c r="O120" s="176">
        <v>0.0</v>
      </c>
      <c r="P120" s="176">
        <v>0.0</v>
      </c>
      <c r="Q120" s="176">
        <v>0.0</v>
      </c>
      <c r="R120" s="176">
        <v>0.0</v>
      </c>
      <c r="S120" s="176">
        <v>0.0</v>
      </c>
      <c r="T120" s="176">
        <v>0.0</v>
      </c>
      <c r="U120" s="176">
        <v>0.0</v>
      </c>
      <c r="V120" s="176">
        <v>0.0</v>
      </c>
      <c r="W120" s="176">
        <v>0.0</v>
      </c>
      <c r="X120" s="176">
        <v>0.0</v>
      </c>
      <c r="Y120" s="176">
        <v>0.0</v>
      </c>
      <c r="Z120" s="176">
        <v>0.0</v>
      </c>
      <c r="AA120" s="176">
        <v>0.0</v>
      </c>
      <c r="AB120" s="176">
        <v>0.0</v>
      </c>
      <c r="AC120" s="176"/>
      <c r="AD120" s="176"/>
      <c r="AE120" s="176"/>
      <c r="AF120" s="176"/>
      <c r="AG120" s="629">
        <f t="shared" si="46"/>
        <v>0</v>
      </c>
    </row>
    <row r="121">
      <c r="A121" s="216" t="s">
        <v>1008</v>
      </c>
      <c r="B121" s="176">
        <v>0.0</v>
      </c>
      <c r="C121" s="176">
        <v>0.0</v>
      </c>
      <c r="D121" s="176">
        <v>0.0</v>
      </c>
      <c r="E121" s="176">
        <v>0.0</v>
      </c>
      <c r="F121" s="176">
        <v>0.0</v>
      </c>
      <c r="G121" s="176">
        <v>0.0</v>
      </c>
      <c r="H121" s="176">
        <v>0.0</v>
      </c>
      <c r="I121" s="176">
        <v>0.0</v>
      </c>
      <c r="J121" s="176">
        <v>0.0</v>
      </c>
      <c r="K121" s="176">
        <v>0.0</v>
      </c>
      <c r="L121" s="176">
        <v>0.0</v>
      </c>
      <c r="M121" s="176">
        <v>0.0</v>
      </c>
      <c r="N121" s="176">
        <v>0.0</v>
      </c>
      <c r="O121" s="176">
        <v>0.0</v>
      </c>
      <c r="P121" s="176">
        <v>0.0</v>
      </c>
      <c r="Q121" s="176">
        <v>0.0</v>
      </c>
      <c r="R121" s="176">
        <v>0.0</v>
      </c>
      <c r="S121" s="176">
        <v>0.0</v>
      </c>
      <c r="T121" s="176">
        <v>0.0</v>
      </c>
      <c r="U121" s="176">
        <v>0.0</v>
      </c>
      <c r="V121" s="176">
        <v>0.0</v>
      </c>
      <c r="W121" s="176">
        <v>0.0</v>
      </c>
      <c r="X121" s="176">
        <v>0.0</v>
      </c>
      <c r="Y121" s="176">
        <v>0.0</v>
      </c>
      <c r="Z121" s="176">
        <v>0.0</v>
      </c>
      <c r="AA121" s="176">
        <v>0.0</v>
      </c>
      <c r="AB121" s="176">
        <v>0.0</v>
      </c>
      <c r="AC121" s="176"/>
      <c r="AD121" s="176"/>
      <c r="AE121" s="176"/>
      <c r="AF121" s="176"/>
      <c r="AG121" s="629">
        <f t="shared" si="46"/>
        <v>0</v>
      </c>
    </row>
    <row r="122">
      <c r="A122" s="216" t="s">
        <v>1009</v>
      </c>
      <c r="B122" s="176">
        <v>0.0</v>
      </c>
      <c r="C122" s="176">
        <v>0.0</v>
      </c>
      <c r="D122" s="176">
        <v>0.0</v>
      </c>
      <c r="E122" s="176">
        <v>0.0</v>
      </c>
      <c r="F122" s="176">
        <v>0.0</v>
      </c>
      <c r="G122" s="176">
        <v>0.0</v>
      </c>
      <c r="H122" s="176">
        <v>0.0</v>
      </c>
      <c r="I122" s="176">
        <v>0.0</v>
      </c>
      <c r="J122" s="176">
        <v>0.0</v>
      </c>
      <c r="K122" s="176">
        <v>0.0</v>
      </c>
      <c r="L122" s="176">
        <v>0.0</v>
      </c>
      <c r="M122" s="176">
        <v>0.0</v>
      </c>
      <c r="N122" s="176">
        <v>0.0</v>
      </c>
      <c r="O122" s="176">
        <v>0.0</v>
      </c>
      <c r="P122" s="176">
        <v>0.0</v>
      </c>
      <c r="Q122" s="176">
        <v>0.0</v>
      </c>
      <c r="R122" s="176">
        <v>0.0</v>
      </c>
      <c r="S122" s="176">
        <v>0.0</v>
      </c>
      <c r="T122" s="176">
        <v>0.0</v>
      </c>
      <c r="U122" s="176">
        <v>0.0</v>
      </c>
      <c r="V122" s="176">
        <v>0.0</v>
      </c>
      <c r="W122" s="176">
        <v>0.0</v>
      </c>
      <c r="X122" s="176">
        <v>0.0</v>
      </c>
      <c r="Y122" s="176">
        <v>0.0</v>
      </c>
      <c r="Z122" s="176">
        <v>0.0</v>
      </c>
      <c r="AA122" s="176">
        <v>0.0</v>
      </c>
      <c r="AB122" s="176">
        <v>0.0</v>
      </c>
      <c r="AC122" s="176"/>
      <c r="AD122" s="176"/>
      <c r="AE122" s="176"/>
      <c r="AF122" s="176"/>
      <c r="AG122" s="629">
        <f t="shared" si="46"/>
        <v>0</v>
      </c>
    </row>
    <row r="123">
      <c r="A123" s="216" t="s">
        <v>1010</v>
      </c>
      <c r="B123" s="176">
        <v>0.0</v>
      </c>
      <c r="C123" s="176">
        <v>0.0</v>
      </c>
      <c r="D123" s="176">
        <v>0.0</v>
      </c>
      <c r="E123" s="176">
        <v>0.0</v>
      </c>
      <c r="F123" s="176">
        <v>0.0</v>
      </c>
      <c r="G123" s="176">
        <v>0.0</v>
      </c>
      <c r="H123" s="176">
        <v>0.0</v>
      </c>
      <c r="I123" s="176">
        <v>0.0</v>
      </c>
      <c r="J123" s="176">
        <v>0.0</v>
      </c>
      <c r="K123" s="176">
        <v>0.0</v>
      </c>
      <c r="L123" s="176">
        <v>0.0</v>
      </c>
      <c r="M123" s="176">
        <v>0.0</v>
      </c>
      <c r="N123" s="176">
        <v>0.0</v>
      </c>
      <c r="O123" s="176">
        <v>0.0</v>
      </c>
      <c r="P123" s="176">
        <v>0.0</v>
      </c>
      <c r="Q123" s="176">
        <v>0.0</v>
      </c>
      <c r="R123" s="176">
        <v>0.0</v>
      </c>
      <c r="S123" s="176">
        <v>0.0</v>
      </c>
      <c r="T123" s="176">
        <v>0.0</v>
      </c>
      <c r="U123" s="176">
        <v>0.0</v>
      </c>
      <c r="V123" s="176">
        <v>0.0</v>
      </c>
      <c r="W123" s="176">
        <v>0.0</v>
      </c>
      <c r="X123" s="176">
        <v>0.0</v>
      </c>
      <c r="Y123" s="176">
        <v>0.0</v>
      </c>
      <c r="Z123" s="176">
        <v>0.0</v>
      </c>
      <c r="AA123" s="176">
        <v>0.0</v>
      </c>
      <c r="AB123" s="176">
        <v>0.0</v>
      </c>
      <c r="AC123" s="176"/>
      <c r="AD123" s="176"/>
      <c r="AE123" s="176"/>
      <c r="AF123" s="176"/>
      <c r="AG123" s="629">
        <f t="shared" si="46"/>
        <v>0</v>
      </c>
    </row>
    <row r="124">
      <c r="A124" s="216" t="s">
        <v>1011</v>
      </c>
      <c r="B124" s="176">
        <v>0.0</v>
      </c>
      <c r="C124" s="176">
        <v>0.0</v>
      </c>
      <c r="D124" s="176">
        <v>0.0</v>
      </c>
      <c r="E124" s="176">
        <v>0.0</v>
      </c>
      <c r="F124" s="176">
        <v>0.0</v>
      </c>
      <c r="G124" s="176">
        <v>0.0</v>
      </c>
      <c r="H124" s="176">
        <v>0.0</v>
      </c>
      <c r="I124" s="176">
        <v>0.0</v>
      </c>
      <c r="J124" s="176">
        <v>0.0</v>
      </c>
      <c r="K124" s="176">
        <v>0.0</v>
      </c>
      <c r="L124" s="176">
        <v>0.0</v>
      </c>
      <c r="M124" s="176">
        <v>0.0</v>
      </c>
      <c r="N124" s="176">
        <v>0.0</v>
      </c>
      <c r="O124" s="176">
        <v>0.0</v>
      </c>
      <c r="P124" s="176">
        <v>0.0</v>
      </c>
      <c r="Q124" s="176">
        <v>0.0</v>
      </c>
      <c r="R124" s="176">
        <v>0.0</v>
      </c>
      <c r="S124" s="176">
        <v>0.0</v>
      </c>
      <c r="T124" s="176">
        <v>0.0</v>
      </c>
      <c r="U124" s="176">
        <v>0.0</v>
      </c>
      <c r="V124" s="176">
        <v>0.0</v>
      </c>
      <c r="W124" s="176">
        <v>0.0</v>
      </c>
      <c r="X124" s="176">
        <v>0.0</v>
      </c>
      <c r="Y124" s="176">
        <v>0.0</v>
      </c>
      <c r="Z124" s="176">
        <v>0.0</v>
      </c>
      <c r="AA124" s="176">
        <v>0.0</v>
      </c>
      <c r="AB124" s="176">
        <v>0.0</v>
      </c>
      <c r="AC124" s="176"/>
      <c r="AD124" s="176"/>
      <c r="AE124" s="176"/>
      <c r="AF124" s="176"/>
      <c r="AG124" s="629">
        <f t="shared" si="46"/>
        <v>0</v>
      </c>
    </row>
    <row r="125">
      <c r="A125" s="643" t="s">
        <v>584</v>
      </c>
      <c r="B125" s="370">
        <f t="shared" ref="B125:AF125" si="47">SUM(B117:B124)</f>
        <v>0</v>
      </c>
      <c r="C125" s="370">
        <f t="shared" si="47"/>
        <v>0</v>
      </c>
      <c r="D125" s="370">
        <f t="shared" si="47"/>
        <v>0</v>
      </c>
      <c r="E125" s="370">
        <f t="shared" si="47"/>
        <v>0</v>
      </c>
      <c r="F125" s="370">
        <f t="shared" si="47"/>
        <v>0</v>
      </c>
      <c r="G125" s="370">
        <f t="shared" si="47"/>
        <v>0</v>
      </c>
      <c r="H125" s="370">
        <f t="shared" si="47"/>
        <v>0</v>
      </c>
      <c r="I125" s="370">
        <f t="shared" si="47"/>
        <v>0</v>
      </c>
      <c r="J125" s="370">
        <f t="shared" si="47"/>
        <v>0</v>
      </c>
      <c r="K125" s="370">
        <f t="shared" si="47"/>
        <v>0</v>
      </c>
      <c r="L125" s="370">
        <f t="shared" si="47"/>
        <v>0</v>
      </c>
      <c r="M125" s="370">
        <f t="shared" si="47"/>
        <v>0</v>
      </c>
      <c r="N125" s="370">
        <f t="shared" si="47"/>
        <v>0</v>
      </c>
      <c r="O125" s="370">
        <f t="shared" si="47"/>
        <v>0</v>
      </c>
      <c r="P125" s="370">
        <f t="shared" si="47"/>
        <v>0</v>
      </c>
      <c r="Q125" s="370">
        <f t="shared" si="47"/>
        <v>0</v>
      </c>
      <c r="R125" s="370">
        <f t="shared" si="47"/>
        <v>0</v>
      </c>
      <c r="S125" s="370">
        <f t="shared" si="47"/>
        <v>0</v>
      </c>
      <c r="T125" s="370">
        <f t="shared" si="47"/>
        <v>0</v>
      </c>
      <c r="U125" s="370">
        <f t="shared" si="47"/>
        <v>0</v>
      </c>
      <c r="V125" s="370">
        <f t="shared" si="47"/>
        <v>0</v>
      </c>
      <c r="W125" s="370">
        <f t="shared" si="47"/>
        <v>0</v>
      </c>
      <c r="X125" s="370">
        <f t="shared" si="47"/>
        <v>0</v>
      </c>
      <c r="Y125" s="370">
        <f t="shared" si="47"/>
        <v>0</v>
      </c>
      <c r="Z125" s="370">
        <f t="shared" si="47"/>
        <v>0</v>
      </c>
      <c r="AA125" s="370">
        <f t="shared" si="47"/>
        <v>0</v>
      </c>
      <c r="AB125" s="370">
        <f t="shared" si="47"/>
        <v>0</v>
      </c>
      <c r="AC125" s="370">
        <f t="shared" si="47"/>
        <v>0</v>
      </c>
      <c r="AD125" s="370">
        <f t="shared" si="47"/>
        <v>0</v>
      </c>
      <c r="AE125" s="370">
        <f t="shared" si="47"/>
        <v>0</v>
      </c>
      <c r="AF125" s="370">
        <f t="shared" si="47"/>
        <v>0</v>
      </c>
      <c r="AG125" s="629">
        <f t="shared" si="46"/>
        <v>0</v>
      </c>
    </row>
    <row r="126">
      <c r="A126" s="98"/>
      <c r="B126" s="135"/>
      <c r="C126" s="135"/>
      <c r="D126" s="135"/>
      <c r="E126" s="135"/>
      <c r="F126" s="135"/>
      <c r="G126" s="135"/>
      <c r="H126" s="135"/>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629"/>
    </row>
    <row r="127">
      <c r="A127" s="216" t="s">
        <v>1012</v>
      </c>
      <c r="B127" s="176">
        <v>0.0</v>
      </c>
      <c r="C127" s="176">
        <v>0.0</v>
      </c>
      <c r="D127" s="176">
        <v>0.0</v>
      </c>
      <c r="E127" s="176">
        <v>0.0</v>
      </c>
      <c r="F127" s="176">
        <v>0.0</v>
      </c>
      <c r="G127" s="176">
        <v>0.0</v>
      </c>
      <c r="H127" s="176">
        <v>0.0</v>
      </c>
      <c r="I127" s="176">
        <v>0.0</v>
      </c>
      <c r="J127" s="176">
        <v>0.0</v>
      </c>
      <c r="K127" s="176">
        <v>0.0</v>
      </c>
      <c r="L127" s="176">
        <v>0.0</v>
      </c>
      <c r="M127" s="176">
        <v>0.0</v>
      </c>
      <c r="N127" s="176">
        <v>0.0</v>
      </c>
      <c r="O127" s="176">
        <v>0.0</v>
      </c>
      <c r="P127" s="176">
        <v>0.0</v>
      </c>
      <c r="Q127" s="176">
        <v>0.0</v>
      </c>
      <c r="R127" s="176">
        <v>0.0</v>
      </c>
      <c r="S127" s="176">
        <v>0.0</v>
      </c>
      <c r="T127" s="176">
        <v>0.0</v>
      </c>
      <c r="U127" s="176">
        <v>0.0</v>
      </c>
      <c r="V127" s="176">
        <v>0.0</v>
      </c>
      <c r="W127" s="176">
        <v>0.0</v>
      </c>
      <c r="X127" s="176">
        <v>0.0</v>
      </c>
      <c r="Y127" s="176">
        <v>0.0</v>
      </c>
      <c r="Z127" s="176">
        <v>0.0</v>
      </c>
      <c r="AA127" s="176">
        <v>0.0</v>
      </c>
      <c r="AB127" s="176">
        <v>0.0</v>
      </c>
      <c r="AC127" s="176"/>
      <c r="AD127" s="176"/>
      <c r="AE127" s="176"/>
      <c r="AF127" s="176"/>
      <c r="AG127" s="629">
        <f t="shared" ref="AG127:AG135" si="48">SUM(B127:AF127)</f>
        <v>0</v>
      </c>
    </row>
    <row r="128">
      <c r="A128" s="216" t="s">
        <v>1013</v>
      </c>
      <c r="B128" s="176">
        <v>0.0</v>
      </c>
      <c r="C128" s="176">
        <v>0.0</v>
      </c>
      <c r="D128" s="176">
        <v>0.0</v>
      </c>
      <c r="E128" s="176">
        <v>0.0</v>
      </c>
      <c r="F128" s="176">
        <v>0.0</v>
      </c>
      <c r="G128" s="176">
        <v>0.0</v>
      </c>
      <c r="H128" s="176">
        <v>0.0</v>
      </c>
      <c r="I128" s="176">
        <v>0.0</v>
      </c>
      <c r="J128" s="176">
        <v>0.0</v>
      </c>
      <c r="K128" s="176">
        <v>0.0</v>
      </c>
      <c r="L128" s="176">
        <v>0.0</v>
      </c>
      <c r="M128" s="176">
        <v>0.0</v>
      </c>
      <c r="N128" s="176">
        <v>0.0</v>
      </c>
      <c r="O128" s="176">
        <v>0.0</v>
      </c>
      <c r="P128" s="176">
        <v>0.0</v>
      </c>
      <c r="Q128" s="176">
        <v>0.0</v>
      </c>
      <c r="R128" s="176">
        <v>0.0</v>
      </c>
      <c r="S128" s="176">
        <v>0.0</v>
      </c>
      <c r="T128" s="176">
        <v>0.0</v>
      </c>
      <c r="U128" s="176">
        <v>0.0</v>
      </c>
      <c r="V128" s="176">
        <v>0.0</v>
      </c>
      <c r="W128" s="176">
        <v>0.0</v>
      </c>
      <c r="X128" s="176">
        <v>0.0</v>
      </c>
      <c r="Y128" s="176">
        <v>0.0</v>
      </c>
      <c r="Z128" s="176">
        <v>0.0</v>
      </c>
      <c r="AA128" s="176">
        <v>0.0</v>
      </c>
      <c r="AB128" s="176">
        <v>0.0</v>
      </c>
      <c r="AC128" s="176"/>
      <c r="AD128" s="176"/>
      <c r="AE128" s="176"/>
      <c r="AF128" s="176"/>
      <c r="AG128" s="629">
        <f t="shared" si="48"/>
        <v>0</v>
      </c>
    </row>
    <row r="129">
      <c r="A129" s="216" t="s">
        <v>1014</v>
      </c>
      <c r="B129" s="176">
        <v>0.0</v>
      </c>
      <c r="C129" s="176">
        <v>0.0</v>
      </c>
      <c r="D129" s="176">
        <v>0.0</v>
      </c>
      <c r="E129" s="176">
        <v>0.0</v>
      </c>
      <c r="F129" s="176">
        <v>0.0</v>
      </c>
      <c r="G129" s="176">
        <v>0.0</v>
      </c>
      <c r="H129" s="176">
        <v>0.0</v>
      </c>
      <c r="I129" s="176">
        <v>0.0</v>
      </c>
      <c r="J129" s="176">
        <v>0.0</v>
      </c>
      <c r="K129" s="176">
        <v>0.0</v>
      </c>
      <c r="L129" s="176">
        <v>0.0</v>
      </c>
      <c r="M129" s="176">
        <v>0.0</v>
      </c>
      <c r="N129" s="176">
        <v>0.0</v>
      </c>
      <c r="O129" s="176">
        <v>0.0</v>
      </c>
      <c r="P129" s="176">
        <v>0.0</v>
      </c>
      <c r="Q129" s="176">
        <v>0.0</v>
      </c>
      <c r="R129" s="176">
        <v>0.0</v>
      </c>
      <c r="S129" s="176">
        <v>0.0</v>
      </c>
      <c r="T129" s="176">
        <v>0.0</v>
      </c>
      <c r="U129" s="176">
        <v>0.0</v>
      </c>
      <c r="V129" s="176">
        <v>0.0</v>
      </c>
      <c r="W129" s="176">
        <v>0.0</v>
      </c>
      <c r="X129" s="176">
        <v>0.0</v>
      </c>
      <c r="Y129" s="176">
        <v>0.0</v>
      </c>
      <c r="Z129" s="176">
        <v>0.0</v>
      </c>
      <c r="AA129" s="176">
        <v>0.0</v>
      </c>
      <c r="AB129" s="176">
        <v>0.0</v>
      </c>
      <c r="AC129" s="176"/>
      <c r="AD129" s="176"/>
      <c r="AE129" s="176"/>
      <c r="AF129" s="176"/>
      <c r="AG129" s="629">
        <f t="shared" si="48"/>
        <v>0</v>
      </c>
    </row>
    <row r="130">
      <c r="A130" s="216" t="s">
        <v>1015</v>
      </c>
      <c r="B130" s="176">
        <v>0.0</v>
      </c>
      <c r="C130" s="176">
        <v>0.0</v>
      </c>
      <c r="D130" s="176">
        <v>0.0</v>
      </c>
      <c r="E130" s="176">
        <v>0.0</v>
      </c>
      <c r="F130" s="176">
        <v>0.0</v>
      </c>
      <c r="G130" s="176">
        <v>0.0</v>
      </c>
      <c r="H130" s="176">
        <v>0.0</v>
      </c>
      <c r="I130" s="176">
        <v>0.0</v>
      </c>
      <c r="J130" s="176">
        <v>0.0</v>
      </c>
      <c r="K130" s="176">
        <v>0.0</v>
      </c>
      <c r="L130" s="176">
        <v>0.0</v>
      </c>
      <c r="M130" s="176">
        <v>0.0</v>
      </c>
      <c r="N130" s="176">
        <v>0.0</v>
      </c>
      <c r="O130" s="176">
        <v>0.0</v>
      </c>
      <c r="P130" s="176">
        <v>0.0</v>
      </c>
      <c r="Q130" s="176">
        <v>0.0</v>
      </c>
      <c r="R130" s="176">
        <v>0.0</v>
      </c>
      <c r="S130" s="176">
        <v>0.0</v>
      </c>
      <c r="T130" s="176">
        <v>0.0</v>
      </c>
      <c r="U130" s="176">
        <v>0.0</v>
      </c>
      <c r="V130" s="176">
        <v>0.0</v>
      </c>
      <c r="W130" s="176">
        <v>0.0</v>
      </c>
      <c r="X130" s="176">
        <v>0.0</v>
      </c>
      <c r="Y130" s="176">
        <v>0.0</v>
      </c>
      <c r="Z130" s="176">
        <v>0.0</v>
      </c>
      <c r="AA130" s="176">
        <v>0.0</v>
      </c>
      <c r="AB130" s="176">
        <v>0.0</v>
      </c>
      <c r="AC130" s="176"/>
      <c r="AD130" s="176"/>
      <c r="AE130" s="176"/>
      <c r="AF130" s="176"/>
      <c r="AG130" s="629">
        <f t="shared" si="48"/>
        <v>0</v>
      </c>
    </row>
    <row r="131">
      <c r="A131" s="216" t="s">
        <v>1016</v>
      </c>
      <c r="B131" s="176">
        <v>0.0</v>
      </c>
      <c r="C131" s="176">
        <v>0.0</v>
      </c>
      <c r="D131" s="176">
        <v>0.0</v>
      </c>
      <c r="E131" s="176">
        <v>0.0</v>
      </c>
      <c r="F131" s="176">
        <v>0.0</v>
      </c>
      <c r="G131" s="176">
        <v>0.0</v>
      </c>
      <c r="H131" s="176">
        <v>0.0</v>
      </c>
      <c r="I131" s="176">
        <v>0.0</v>
      </c>
      <c r="J131" s="176">
        <v>0.0</v>
      </c>
      <c r="K131" s="176">
        <v>0.0</v>
      </c>
      <c r="L131" s="176">
        <v>0.0</v>
      </c>
      <c r="M131" s="176">
        <v>0.0</v>
      </c>
      <c r="N131" s="176">
        <v>0.0</v>
      </c>
      <c r="O131" s="176">
        <v>0.0</v>
      </c>
      <c r="P131" s="176">
        <v>0.0</v>
      </c>
      <c r="Q131" s="176">
        <v>0.0</v>
      </c>
      <c r="R131" s="176">
        <v>0.0</v>
      </c>
      <c r="S131" s="176">
        <v>0.0</v>
      </c>
      <c r="T131" s="176">
        <v>0.0</v>
      </c>
      <c r="U131" s="176">
        <v>0.0</v>
      </c>
      <c r="V131" s="176">
        <v>0.0</v>
      </c>
      <c r="W131" s="176">
        <v>0.0</v>
      </c>
      <c r="X131" s="176">
        <v>0.0</v>
      </c>
      <c r="Y131" s="176">
        <v>0.0</v>
      </c>
      <c r="Z131" s="176">
        <v>0.0</v>
      </c>
      <c r="AA131" s="176">
        <v>0.0</v>
      </c>
      <c r="AB131" s="176">
        <v>0.0</v>
      </c>
      <c r="AC131" s="176"/>
      <c r="AD131" s="176"/>
      <c r="AE131" s="176"/>
      <c r="AF131" s="176"/>
      <c r="AG131" s="629">
        <f t="shared" si="48"/>
        <v>0</v>
      </c>
    </row>
    <row r="132">
      <c r="A132" s="216" t="s">
        <v>1017</v>
      </c>
      <c r="B132" s="176">
        <v>0.0</v>
      </c>
      <c r="C132" s="176">
        <v>0.0</v>
      </c>
      <c r="D132" s="176">
        <v>0.0</v>
      </c>
      <c r="E132" s="176">
        <v>0.0</v>
      </c>
      <c r="F132" s="176">
        <v>0.0</v>
      </c>
      <c r="G132" s="176">
        <v>0.0</v>
      </c>
      <c r="H132" s="176">
        <v>0.0</v>
      </c>
      <c r="I132" s="176">
        <v>0.0</v>
      </c>
      <c r="J132" s="176">
        <v>0.0</v>
      </c>
      <c r="K132" s="176">
        <v>0.0</v>
      </c>
      <c r="L132" s="176">
        <v>0.0</v>
      </c>
      <c r="M132" s="176">
        <v>0.0</v>
      </c>
      <c r="N132" s="176">
        <v>0.0</v>
      </c>
      <c r="O132" s="176">
        <v>0.0</v>
      </c>
      <c r="P132" s="176">
        <v>0.0</v>
      </c>
      <c r="Q132" s="176">
        <v>0.0</v>
      </c>
      <c r="R132" s="176">
        <v>0.0</v>
      </c>
      <c r="S132" s="176">
        <v>0.0</v>
      </c>
      <c r="T132" s="176">
        <v>0.0</v>
      </c>
      <c r="U132" s="176">
        <v>0.0</v>
      </c>
      <c r="V132" s="176">
        <v>0.0</v>
      </c>
      <c r="W132" s="176">
        <v>0.0</v>
      </c>
      <c r="X132" s="176">
        <v>0.0</v>
      </c>
      <c r="Y132" s="176">
        <v>0.0</v>
      </c>
      <c r="Z132" s="176">
        <v>0.0</v>
      </c>
      <c r="AA132" s="176">
        <v>0.0</v>
      </c>
      <c r="AB132" s="176">
        <v>0.0</v>
      </c>
      <c r="AC132" s="176"/>
      <c r="AD132" s="176"/>
      <c r="AE132" s="176"/>
      <c r="AF132" s="176"/>
      <c r="AG132" s="629">
        <f t="shared" si="48"/>
        <v>0</v>
      </c>
    </row>
    <row r="133">
      <c r="A133" s="216" t="s">
        <v>1018</v>
      </c>
      <c r="B133" s="176">
        <v>0.0</v>
      </c>
      <c r="C133" s="176">
        <v>0.0</v>
      </c>
      <c r="D133" s="176">
        <v>0.0</v>
      </c>
      <c r="E133" s="176">
        <v>0.0</v>
      </c>
      <c r="F133" s="176">
        <v>0.0</v>
      </c>
      <c r="G133" s="176">
        <v>0.0</v>
      </c>
      <c r="H133" s="176">
        <v>0.0</v>
      </c>
      <c r="I133" s="176">
        <v>0.0</v>
      </c>
      <c r="J133" s="176">
        <v>0.0</v>
      </c>
      <c r="K133" s="176">
        <v>0.0</v>
      </c>
      <c r="L133" s="176">
        <v>0.0</v>
      </c>
      <c r="M133" s="176">
        <v>0.0</v>
      </c>
      <c r="N133" s="176">
        <v>0.0</v>
      </c>
      <c r="O133" s="176">
        <v>0.0</v>
      </c>
      <c r="P133" s="176">
        <v>0.0</v>
      </c>
      <c r="Q133" s="176">
        <v>0.0</v>
      </c>
      <c r="R133" s="176">
        <v>0.0</v>
      </c>
      <c r="S133" s="176">
        <v>0.0</v>
      </c>
      <c r="T133" s="176">
        <v>0.0</v>
      </c>
      <c r="U133" s="176">
        <v>0.0</v>
      </c>
      <c r="V133" s="176">
        <v>0.0</v>
      </c>
      <c r="W133" s="176">
        <v>0.0</v>
      </c>
      <c r="X133" s="176">
        <v>0.0</v>
      </c>
      <c r="Y133" s="176">
        <v>0.0</v>
      </c>
      <c r="Z133" s="176">
        <v>0.0</v>
      </c>
      <c r="AA133" s="176">
        <v>0.0</v>
      </c>
      <c r="AB133" s="176">
        <v>0.0</v>
      </c>
      <c r="AC133" s="176"/>
      <c r="AD133" s="176"/>
      <c r="AE133" s="176"/>
      <c r="AF133" s="176"/>
      <c r="AG133" s="629">
        <f t="shared" si="48"/>
        <v>0</v>
      </c>
    </row>
    <row r="134">
      <c r="A134" s="216" t="s">
        <v>1019</v>
      </c>
      <c r="B134" s="176">
        <v>0.0</v>
      </c>
      <c r="C134" s="176">
        <v>0.0</v>
      </c>
      <c r="D134" s="176">
        <v>0.0</v>
      </c>
      <c r="E134" s="176">
        <v>0.0</v>
      </c>
      <c r="F134" s="176">
        <v>0.0</v>
      </c>
      <c r="G134" s="176">
        <v>0.0</v>
      </c>
      <c r="H134" s="176">
        <v>0.0</v>
      </c>
      <c r="I134" s="176">
        <v>0.0</v>
      </c>
      <c r="J134" s="176">
        <v>0.0</v>
      </c>
      <c r="K134" s="176">
        <v>0.0</v>
      </c>
      <c r="L134" s="176">
        <v>0.0</v>
      </c>
      <c r="M134" s="176">
        <v>0.0</v>
      </c>
      <c r="N134" s="176">
        <v>0.0</v>
      </c>
      <c r="O134" s="176">
        <v>0.0</v>
      </c>
      <c r="P134" s="176">
        <v>0.0</v>
      </c>
      <c r="Q134" s="176">
        <v>0.0</v>
      </c>
      <c r="R134" s="176">
        <v>0.0</v>
      </c>
      <c r="S134" s="176">
        <v>0.0</v>
      </c>
      <c r="T134" s="176">
        <v>0.0</v>
      </c>
      <c r="U134" s="176">
        <v>0.0</v>
      </c>
      <c r="V134" s="176">
        <v>0.0</v>
      </c>
      <c r="W134" s="176">
        <v>0.0</v>
      </c>
      <c r="X134" s="176">
        <v>0.0</v>
      </c>
      <c r="Y134" s="176">
        <v>0.0</v>
      </c>
      <c r="Z134" s="176">
        <v>0.0</v>
      </c>
      <c r="AA134" s="176">
        <v>0.0</v>
      </c>
      <c r="AB134" s="176">
        <v>0.0</v>
      </c>
      <c r="AC134" s="176"/>
      <c r="AD134" s="176"/>
      <c r="AE134" s="176"/>
      <c r="AF134" s="176"/>
      <c r="AG134" s="629">
        <f t="shared" si="48"/>
        <v>0</v>
      </c>
    </row>
    <row r="135">
      <c r="A135" s="643" t="s">
        <v>1020</v>
      </c>
      <c r="B135" s="370">
        <f t="shared" ref="B135:AF135" si="49">SUM(B127:B134)</f>
        <v>0</v>
      </c>
      <c r="C135" s="370">
        <f t="shared" si="49"/>
        <v>0</v>
      </c>
      <c r="D135" s="370">
        <f t="shared" si="49"/>
        <v>0</v>
      </c>
      <c r="E135" s="370">
        <f t="shared" si="49"/>
        <v>0</v>
      </c>
      <c r="F135" s="370">
        <f t="shared" si="49"/>
        <v>0</v>
      </c>
      <c r="G135" s="370">
        <f t="shared" si="49"/>
        <v>0</v>
      </c>
      <c r="H135" s="370">
        <f t="shared" si="49"/>
        <v>0</v>
      </c>
      <c r="I135" s="370">
        <f t="shared" si="49"/>
        <v>0</v>
      </c>
      <c r="J135" s="370">
        <f t="shared" si="49"/>
        <v>0</v>
      </c>
      <c r="K135" s="370">
        <f t="shared" si="49"/>
        <v>0</v>
      </c>
      <c r="L135" s="370">
        <f t="shared" si="49"/>
        <v>0</v>
      </c>
      <c r="M135" s="370">
        <f t="shared" si="49"/>
        <v>0</v>
      </c>
      <c r="N135" s="370">
        <f t="shared" si="49"/>
        <v>0</v>
      </c>
      <c r="O135" s="370">
        <f t="shared" si="49"/>
        <v>0</v>
      </c>
      <c r="P135" s="370">
        <f t="shared" si="49"/>
        <v>0</v>
      </c>
      <c r="Q135" s="370">
        <f t="shared" si="49"/>
        <v>0</v>
      </c>
      <c r="R135" s="370">
        <f t="shared" si="49"/>
        <v>0</v>
      </c>
      <c r="S135" s="370">
        <f t="shared" si="49"/>
        <v>0</v>
      </c>
      <c r="T135" s="370">
        <f t="shared" si="49"/>
        <v>0</v>
      </c>
      <c r="U135" s="370">
        <f t="shared" si="49"/>
        <v>0</v>
      </c>
      <c r="V135" s="370">
        <f t="shared" si="49"/>
        <v>0</v>
      </c>
      <c r="W135" s="370">
        <f t="shared" si="49"/>
        <v>0</v>
      </c>
      <c r="X135" s="370">
        <f t="shared" si="49"/>
        <v>0</v>
      </c>
      <c r="Y135" s="370">
        <f t="shared" si="49"/>
        <v>0</v>
      </c>
      <c r="Z135" s="370">
        <f t="shared" si="49"/>
        <v>0</v>
      </c>
      <c r="AA135" s="370">
        <f t="shared" si="49"/>
        <v>0</v>
      </c>
      <c r="AB135" s="370">
        <f t="shared" si="49"/>
        <v>0</v>
      </c>
      <c r="AC135" s="370">
        <f t="shared" si="49"/>
        <v>0</v>
      </c>
      <c r="AD135" s="370">
        <f t="shared" si="49"/>
        <v>0</v>
      </c>
      <c r="AE135" s="370">
        <f t="shared" si="49"/>
        <v>0</v>
      </c>
      <c r="AF135" s="370">
        <f t="shared" si="49"/>
        <v>0</v>
      </c>
      <c r="AG135" s="629">
        <f t="shared" si="48"/>
        <v>0</v>
      </c>
    </row>
    <row r="136">
      <c r="A136" s="98"/>
      <c r="B136" s="135"/>
      <c r="C136" s="135"/>
      <c r="D136" s="135"/>
      <c r="E136" s="135"/>
      <c r="F136" s="135"/>
      <c r="G136" s="135"/>
      <c r="H136" s="135"/>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c r="AF136" s="82"/>
      <c r="AG136" s="629"/>
    </row>
    <row r="137">
      <c r="A137" s="147" t="s">
        <v>1021</v>
      </c>
      <c r="T137" s="187"/>
      <c r="U137" s="187"/>
      <c r="V137" s="187"/>
      <c r="W137" s="187"/>
      <c r="X137" s="187"/>
      <c r="Y137" s="187"/>
      <c r="Z137" s="187"/>
      <c r="AA137" s="187"/>
      <c r="AB137" s="187"/>
      <c r="AC137" s="187"/>
      <c r="AD137" s="187"/>
      <c r="AE137" s="187"/>
      <c r="AF137" s="187"/>
      <c r="AG137" s="641"/>
    </row>
    <row r="138">
      <c r="A138" s="216" t="s">
        <v>1022</v>
      </c>
      <c r="B138" s="176">
        <v>0.0</v>
      </c>
      <c r="C138" s="176">
        <v>0.0</v>
      </c>
      <c r="D138" s="176">
        <v>0.0</v>
      </c>
      <c r="E138" s="176">
        <v>0.0</v>
      </c>
      <c r="F138" s="176">
        <v>0.0</v>
      </c>
      <c r="G138" s="176">
        <v>1.0</v>
      </c>
      <c r="H138" s="176">
        <v>0.0</v>
      </c>
      <c r="I138" s="176">
        <v>0.0</v>
      </c>
      <c r="J138" s="176">
        <v>0.0</v>
      </c>
      <c r="K138" s="176">
        <v>0.0</v>
      </c>
      <c r="L138" s="176">
        <v>0.0</v>
      </c>
      <c r="M138" s="176">
        <v>0.0</v>
      </c>
      <c r="N138" s="176">
        <v>0.0</v>
      </c>
      <c r="O138" s="176">
        <v>0.0</v>
      </c>
      <c r="P138" s="176">
        <v>0.0</v>
      </c>
      <c r="Q138" s="176">
        <v>0.0</v>
      </c>
      <c r="R138" s="176">
        <v>0.0</v>
      </c>
      <c r="S138" s="176">
        <v>0.0</v>
      </c>
      <c r="T138" s="176">
        <v>1.0</v>
      </c>
      <c r="U138" s="176">
        <v>0.0</v>
      </c>
      <c r="V138" s="176">
        <v>0.0</v>
      </c>
      <c r="W138" s="176">
        <v>0.0</v>
      </c>
      <c r="X138" s="176">
        <v>0.0</v>
      </c>
      <c r="Y138" s="176">
        <v>0.0</v>
      </c>
      <c r="Z138" s="176">
        <v>0.0</v>
      </c>
      <c r="AA138" s="176">
        <v>0.0</v>
      </c>
      <c r="AB138" s="176">
        <v>0.0</v>
      </c>
      <c r="AC138" s="176"/>
      <c r="AD138" s="176"/>
      <c r="AE138" s="176"/>
      <c r="AF138" s="176"/>
      <c r="AG138" s="629">
        <f t="shared" ref="AG138:AG143" si="50">SUM(B138:AF138)</f>
        <v>2</v>
      </c>
    </row>
    <row r="139">
      <c r="A139" s="216" t="s">
        <v>1023</v>
      </c>
      <c r="B139" s="176">
        <v>0.0</v>
      </c>
      <c r="C139" s="176">
        <v>0.0</v>
      </c>
      <c r="D139" s="176">
        <v>0.0</v>
      </c>
      <c r="E139" s="176">
        <v>0.0</v>
      </c>
      <c r="F139" s="176">
        <v>0.0</v>
      </c>
      <c r="G139" s="176">
        <v>1.0</v>
      </c>
      <c r="H139" s="176">
        <v>0.0</v>
      </c>
      <c r="I139" s="176">
        <v>0.0</v>
      </c>
      <c r="J139" s="176">
        <v>0.0</v>
      </c>
      <c r="K139" s="176">
        <v>0.0</v>
      </c>
      <c r="L139" s="176">
        <v>0.0</v>
      </c>
      <c r="M139" s="176">
        <v>0.0</v>
      </c>
      <c r="N139" s="176">
        <v>0.0</v>
      </c>
      <c r="O139" s="176">
        <v>0.0</v>
      </c>
      <c r="P139" s="176">
        <v>0.0</v>
      </c>
      <c r="Q139" s="176">
        <v>0.0</v>
      </c>
      <c r="R139" s="176">
        <v>0.0</v>
      </c>
      <c r="S139" s="176">
        <v>0.0</v>
      </c>
      <c r="T139" s="176">
        <v>0.0</v>
      </c>
      <c r="U139" s="176">
        <v>0.0</v>
      </c>
      <c r="V139" s="176">
        <v>0.0</v>
      </c>
      <c r="W139" s="176">
        <v>0.0</v>
      </c>
      <c r="X139" s="176">
        <v>0.0</v>
      </c>
      <c r="Y139" s="176">
        <v>0.0</v>
      </c>
      <c r="Z139" s="176">
        <v>0.0</v>
      </c>
      <c r="AA139" s="176">
        <v>0.0</v>
      </c>
      <c r="AB139" s="176">
        <v>0.0</v>
      </c>
      <c r="AC139" s="176"/>
      <c r="AD139" s="176"/>
      <c r="AE139" s="176"/>
      <c r="AF139" s="176"/>
      <c r="AG139" s="629">
        <f t="shared" si="50"/>
        <v>1</v>
      </c>
    </row>
    <row r="140">
      <c r="A140" s="216" t="s">
        <v>1024</v>
      </c>
      <c r="B140" s="176">
        <v>0.0</v>
      </c>
      <c r="C140" s="176">
        <v>0.0</v>
      </c>
      <c r="D140" s="176">
        <v>0.0</v>
      </c>
      <c r="E140" s="176">
        <v>0.0</v>
      </c>
      <c r="F140" s="176">
        <v>0.0</v>
      </c>
      <c r="G140" s="176">
        <v>0.0</v>
      </c>
      <c r="H140" s="176">
        <v>0.0</v>
      </c>
      <c r="I140" s="176">
        <v>0.0</v>
      </c>
      <c r="J140" s="176">
        <v>0.0</v>
      </c>
      <c r="K140" s="176">
        <v>0.0</v>
      </c>
      <c r="L140" s="176">
        <v>0.0</v>
      </c>
      <c r="M140" s="176">
        <v>0.0</v>
      </c>
      <c r="N140" s="176">
        <v>0.0</v>
      </c>
      <c r="O140" s="176">
        <v>0.0</v>
      </c>
      <c r="P140" s="176">
        <v>0.0</v>
      </c>
      <c r="Q140" s="176">
        <v>0.0</v>
      </c>
      <c r="R140" s="176">
        <v>0.0</v>
      </c>
      <c r="S140" s="176">
        <v>0.0</v>
      </c>
      <c r="T140" s="176">
        <v>0.0</v>
      </c>
      <c r="U140" s="176">
        <v>0.0</v>
      </c>
      <c r="V140" s="176">
        <v>1.0</v>
      </c>
      <c r="W140" s="176">
        <v>0.0</v>
      </c>
      <c r="X140" s="176">
        <v>0.0</v>
      </c>
      <c r="Y140" s="176">
        <v>1.0</v>
      </c>
      <c r="Z140" s="176">
        <v>0.0</v>
      </c>
      <c r="AA140" s="176">
        <v>0.0</v>
      </c>
      <c r="AB140" s="176">
        <v>0.0</v>
      </c>
      <c r="AC140" s="176"/>
      <c r="AD140" s="176"/>
      <c r="AE140" s="176"/>
      <c r="AF140" s="176"/>
      <c r="AG140" s="629">
        <f t="shared" si="50"/>
        <v>2</v>
      </c>
    </row>
    <row r="141">
      <c r="A141" s="216" t="s">
        <v>1025</v>
      </c>
      <c r="B141" s="176">
        <v>0.0</v>
      </c>
      <c r="C141" s="176">
        <v>0.0</v>
      </c>
      <c r="D141" s="176">
        <v>0.0</v>
      </c>
      <c r="E141" s="176">
        <v>0.0</v>
      </c>
      <c r="F141" s="176">
        <v>0.0</v>
      </c>
      <c r="G141" s="176">
        <v>0.0</v>
      </c>
      <c r="H141" s="176">
        <v>0.0</v>
      </c>
      <c r="I141" s="176">
        <v>0.0</v>
      </c>
      <c r="J141" s="176">
        <v>0.0</v>
      </c>
      <c r="K141" s="176">
        <v>0.0</v>
      </c>
      <c r="L141" s="176">
        <v>0.0</v>
      </c>
      <c r="M141" s="176">
        <v>0.0</v>
      </c>
      <c r="N141" s="176">
        <v>0.0</v>
      </c>
      <c r="O141" s="176">
        <v>0.0</v>
      </c>
      <c r="P141" s="176">
        <v>0.0</v>
      </c>
      <c r="Q141" s="176">
        <v>0.0</v>
      </c>
      <c r="R141" s="176">
        <v>0.0</v>
      </c>
      <c r="S141" s="176">
        <v>0.0</v>
      </c>
      <c r="T141" s="176">
        <v>0.0</v>
      </c>
      <c r="U141" s="176">
        <v>0.0</v>
      </c>
      <c r="V141" s="176">
        <v>0.0</v>
      </c>
      <c r="W141" s="176">
        <v>0.0</v>
      </c>
      <c r="X141" s="176">
        <v>0.0</v>
      </c>
      <c r="Y141" s="176">
        <v>0.0</v>
      </c>
      <c r="Z141" s="176">
        <v>0.0</v>
      </c>
      <c r="AA141" s="176">
        <v>0.0</v>
      </c>
      <c r="AB141" s="176">
        <v>0.0</v>
      </c>
      <c r="AC141" s="176"/>
      <c r="AD141" s="176"/>
      <c r="AE141" s="176"/>
      <c r="AF141" s="176"/>
      <c r="AG141" s="629">
        <f t="shared" si="50"/>
        <v>0</v>
      </c>
    </row>
    <row r="142">
      <c r="A142" s="642" t="s">
        <v>459</v>
      </c>
      <c r="B142" s="370">
        <f t="shared" ref="B142:AF142" si="51">SUM(B138:B139)</f>
        <v>0</v>
      </c>
      <c r="C142" s="370">
        <f t="shared" si="51"/>
        <v>0</v>
      </c>
      <c r="D142" s="370">
        <f t="shared" si="51"/>
        <v>0</v>
      </c>
      <c r="E142" s="370">
        <f t="shared" si="51"/>
        <v>0</v>
      </c>
      <c r="F142" s="370">
        <f t="shared" si="51"/>
        <v>0</v>
      </c>
      <c r="G142" s="370">
        <f t="shared" si="51"/>
        <v>2</v>
      </c>
      <c r="H142" s="370">
        <f t="shared" si="51"/>
        <v>0</v>
      </c>
      <c r="I142" s="370">
        <f t="shared" si="51"/>
        <v>0</v>
      </c>
      <c r="J142" s="370">
        <f t="shared" si="51"/>
        <v>0</v>
      </c>
      <c r="K142" s="370">
        <f t="shared" si="51"/>
        <v>0</v>
      </c>
      <c r="L142" s="370">
        <f t="shared" si="51"/>
        <v>0</v>
      </c>
      <c r="M142" s="370">
        <f t="shared" si="51"/>
        <v>0</v>
      </c>
      <c r="N142" s="370">
        <f t="shared" si="51"/>
        <v>0</v>
      </c>
      <c r="O142" s="370">
        <f t="shared" si="51"/>
        <v>0</v>
      </c>
      <c r="P142" s="370">
        <f t="shared" si="51"/>
        <v>0</v>
      </c>
      <c r="Q142" s="370">
        <f t="shared" si="51"/>
        <v>0</v>
      </c>
      <c r="R142" s="370">
        <f t="shared" si="51"/>
        <v>0</v>
      </c>
      <c r="S142" s="370">
        <f t="shared" si="51"/>
        <v>0</v>
      </c>
      <c r="T142" s="370">
        <f t="shared" si="51"/>
        <v>1</v>
      </c>
      <c r="U142" s="370">
        <f t="shared" si="51"/>
        <v>0</v>
      </c>
      <c r="V142" s="370">
        <f t="shared" si="51"/>
        <v>0</v>
      </c>
      <c r="W142" s="370">
        <f t="shared" si="51"/>
        <v>0</v>
      </c>
      <c r="X142" s="370">
        <f t="shared" si="51"/>
        <v>0</v>
      </c>
      <c r="Y142" s="370">
        <f t="shared" si="51"/>
        <v>0</v>
      </c>
      <c r="Z142" s="370">
        <f t="shared" si="51"/>
        <v>0</v>
      </c>
      <c r="AA142" s="370">
        <f t="shared" si="51"/>
        <v>0</v>
      </c>
      <c r="AB142" s="370">
        <f t="shared" si="51"/>
        <v>0</v>
      </c>
      <c r="AC142" s="370">
        <f t="shared" si="51"/>
        <v>0</v>
      </c>
      <c r="AD142" s="370">
        <f t="shared" si="51"/>
        <v>0</v>
      </c>
      <c r="AE142" s="370">
        <f t="shared" si="51"/>
        <v>0</v>
      </c>
      <c r="AF142" s="370">
        <f t="shared" si="51"/>
        <v>0</v>
      </c>
      <c r="AG142" s="629">
        <f t="shared" si="50"/>
        <v>3</v>
      </c>
    </row>
    <row r="143">
      <c r="A143" s="642" t="s">
        <v>460</v>
      </c>
      <c r="B143" s="370">
        <f t="shared" ref="B143:AF143" si="52">SUM(B140:B141)</f>
        <v>0</v>
      </c>
      <c r="C143" s="370">
        <f t="shared" si="52"/>
        <v>0</v>
      </c>
      <c r="D143" s="370">
        <f t="shared" si="52"/>
        <v>0</v>
      </c>
      <c r="E143" s="370">
        <f t="shared" si="52"/>
        <v>0</v>
      </c>
      <c r="F143" s="370">
        <f t="shared" si="52"/>
        <v>0</v>
      </c>
      <c r="G143" s="370">
        <f t="shared" si="52"/>
        <v>0</v>
      </c>
      <c r="H143" s="370">
        <f t="shared" si="52"/>
        <v>0</v>
      </c>
      <c r="I143" s="370">
        <f t="shared" si="52"/>
        <v>0</v>
      </c>
      <c r="J143" s="370">
        <f t="shared" si="52"/>
        <v>0</v>
      </c>
      <c r="K143" s="370">
        <f t="shared" si="52"/>
        <v>0</v>
      </c>
      <c r="L143" s="370">
        <f t="shared" si="52"/>
        <v>0</v>
      </c>
      <c r="M143" s="370">
        <f t="shared" si="52"/>
        <v>0</v>
      </c>
      <c r="N143" s="370">
        <f t="shared" si="52"/>
        <v>0</v>
      </c>
      <c r="O143" s="370">
        <f t="shared" si="52"/>
        <v>0</v>
      </c>
      <c r="P143" s="370">
        <f t="shared" si="52"/>
        <v>0</v>
      </c>
      <c r="Q143" s="370">
        <f t="shared" si="52"/>
        <v>0</v>
      </c>
      <c r="R143" s="370">
        <f t="shared" si="52"/>
        <v>0</v>
      </c>
      <c r="S143" s="370">
        <f t="shared" si="52"/>
        <v>0</v>
      </c>
      <c r="T143" s="370">
        <f t="shared" si="52"/>
        <v>0</v>
      </c>
      <c r="U143" s="370">
        <f t="shared" si="52"/>
        <v>0</v>
      </c>
      <c r="V143" s="370">
        <f t="shared" si="52"/>
        <v>1</v>
      </c>
      <c r="W143" s="370">
        <f t="shared" si="52"/>
        <v>0</v>
      </c>
      <c r="X143" s="370">
        <f t="shared" si="52"/>
        <v>0</v>
      </c>
      <c r="Y143" s="370">
        <f t="shared" si="52"/>
        <v>1</v>
      </c>
      <c r="Z143" s="370">
        <f t="shared" si="52"/>
        <v>0</v>
      </c>
      <c r="AA143" s="370">
        <f t="shared" si="52"/>
        <v>0</v>
      </c>
      <c r="AB143" s="370">
        <f t="shared" si="52"/>
        <v>0</v>
      </c>
      <c r="AC143" s="370">
        <f t="shared" si="52"/>
        <v>0</v>
      </c>
      <c r="AD143" s="370">
        <f t="shared" si="52"/>
        <v>0</v>
      </c>
      <c r="AE143" s="370">
        <f t="shared" si="52"/>
        <v>0</v>
      </c>
      <c r="AF143" s="370">
        <f t="shared" si="52"/>
        <v>0</v>
      </c>
      <c r="AG143" s="629">
        <f t="shared" si="50"/>
        <v>2</v>
      </c>
    </row>
    <row r="144">
      <c r="A144" s="98"/>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7"/>
      <c r="AG144" s="641"/>
    </row>
    <row r="145">
      <c r="A145" s="216" t="s">
        <v>1004</v>
      </c>
      <c r="B145" s="176">
        <v>0.0</v>
      </c>
      <c r="C145" s="176">
        <v>0.0</v>
      </c>
      <c r="D145" s="176">
        <v>0.0</v>
      </c>
      <c r="E145" s="176">
        <v>0.0</v>
      </c>
      <c r="F145" s="176">
        <v>0.0</v>
      </c>
      <c r="G145" s="176">
        <v>0.0</v>
      </c>
      <c r="H145" s="176">
        <v>0.0</v>
      </c>
      <c r="I145" s="176">
        <v>0.0</v>
      </c>
      <c r="J145" s="176">
        <v>0.0</v>
      </c>
      <c r="K145" s="176">
        <v>0.0</v>
      </c>
      <c r="L145" s="176">
        <v>0.0</v>
      </c>
      <c r="M145" s="176">
        <v>0.0</v>
      </c>
      <c r="N145" s="176">
        <v>0.0</v>
      </c>
      <c r="O145" s="176">
        <v>0.0</v>
      </c>
      <c r="P145" s="176">
        <v>0.0</v>
      </c>
      <c r="Q145" s="176">
        <v>0.0</v>
      </c>
      <c r="R145" s="176">
        <v>0.0</v>
      </c>
      <c r="S145" s="176">
        <v>0.0</v>
      </c>
      <c r="T145" s="176">
        <v>1.0</v>
      </c>
      <c r="U145" s="176">
        <v>0.0</v>
      </c>
      <c r="V145" s="176">
        <v>0.0</v>
      </c>
      <c r="W145" s="176">
        <v>0.0</v>
      </c>
      <c r="X145" s="176">
        <v>0.0</v>
      </c>
      <c r="Y145" s="176">
        <v>0.0</v>
      </c>
      <c r="Z145" s="176">
        <v>0.0</v>
      </c>
      <c r="AA145" s="176">
        <v>0.0</v>
      </c>
      <c r="AB145" s="176">
        <v>0.0</v>
      </c>
      <c r="AC145" s="176"/>
      <c r="AD145" s="176"/>
      <c r="AE145" s="176"/>
      <c r="AF145" s="176"/>
      <c r="AG145" s="629">
        <f t="shared" ref="AG145:AG153" si="53">SUM(B145:AF145)</f>
        <v>1</v>
      </c>
    </row>
    <row r="146">
      <c r="A146" s="216" t="s">
        <v>1005</v>
      </c>
      <c r="B146" s="176">
        <v>0.0</v>
      </c>
      <c r="C146" s="176">
        <v>0.0</v>
      </c>
      <c r="D146" s="176">
        <v>0.0</v>
      </c>
      <c r="E146" s="176">
        <v>0.0</v>
      </c>
      <c r="F146" s="176">
        <v>0.0</v>
      </c>
      <c r="G146" s="176">
        <v>0.0</v>
      </c>
      <c r="H146" s="176">
        <v>0.0</v>
      </c>
      <c r="I146" s="176">
        <v>0.0</v>
      </c>
      <c r="J146" s="176">
        <v>0.0</v>
      </c>
      <c r="K146" s="176">
        <v>0.0</v>
      </c>
      <c r="L146" s="176">
        <v>0.0</v>
      </c>
      <c r="M146" s="176">
        <v>0.0</v>
      </c>
      <c r="N146" s="176">
        <v>0.0</v>
      </c>
      <c r="O146" s="176">
        <v>0.0</v>
      </c>
      <c r="P146" s="176">
        <v>0.0</v>
      </c>
      <c r="Q146" s="176">
        <v>0.0</v>
      </c>
      <c r="R146" s="176">
        <v>0.0</v>
      </c>
      <c r="S146" s="176">
        <v>0.0</v>
      </c>
      <c r="T146" s="176">
        <v>1.0</v>
      </c>
      <c r="U146" s="176">
        <v>0.0</v>
      </c>
      <c r="V146" s="176">
        <v>1.0</v>
      </c>
      <c r="W146" s="176">
        <v>0.0</v>
      </c>
      <c r="X146" s="176">
        <v>0.0</v>
      </c>
      <c r="Y146" s="176">
        <v>0.0</v>
      </c>
      <c r="Z146" s="176">
        <v>0.0</v>
      </c>
      <c r="AA146" s="176">
        <v>0.0</v>
      </c>
      <c r="AB146" s="176">
        <v>0.0</v>
      </c>
      <c r="AC146" s="176"/>
      <c r="AD146" s="176"/>
      <c r="AE146" s="176"/>
      <c r="AF146" s="176"/>
      <c r="AG146" s="629">
        <f t="shared" si="53"/>
        <v>2</v>
      </c>
    </row>
    <row r="147">
      <c r="A147" s="216" t="s">
        <v>1026</v>
      </c>
      <c r="B147" s="176">
        <v>0.0</v>
      </c>
      <c r="C147" s="176">
        <v>0.0</v>
      </c>
      <c r="D147" s="176">
        <v>0.0</v>
      </c>
      <c r="E147" s="176">
        <v>0.0</v>
      </c>
      <c r="F147" s="176">
        <v>0.0</v>
      </c>
      <c r="G147" s="176">
        <v>0.0</v>
      </c>
      <c r="H147" s="176">
        <v>0.0</v>
      </c>
      <c r="I147" s="176">
        <v>0.0</v>
      </c>
      <c r="J147" s="176">
        <v>0.0</v>
      </c>
      <c r="K147" s="176">
        <v>0.0</v>
      </c>
      <c r="L147" s="176">
        <v>0.0</v>
      </c>
      <c r="M147" s="176">
        <v>0.0</v>
      </c>
      <c r="N147" s="176">
        <v>0.0</v>
      </c>
      <c r="O147" s="176">
        <v>0.0</v>
      </c>
      <c r="P147" s="176">
        <v>0.0</v>
      </c>
      <c r="Q147" s="176">
        <v>0.0</v>
      </c>
      <c r="R147" s="176">
        <v>0.0</v>
      </c>
      <c r="S147" s="176">
        <v>0.0</v>
      </c>
      <c r="T147" s="176">
        <v>0.0</v>
      </c>
      <c r="U147" s="176">
        <v>0.0</v>
      </c>
      <c r="V147" s="176">
        <v>0.0</v>
      </c>
      <c r="W147" s="176">
        <v>0.0</v>
      </c>
      <c r="X147" s="176">
        <v>0.0</v>
      </c>
      <c r="Y147" s="176">
        <v>1.0</v>
      </c>
      <c r="Z147" s="176">
        <v>0.0</v>
      </c>
      <c r="AA147" s="176">
        <v>0.0</v>
      </c>
      <c r="AB147" s="176">
        <v>0.0</v>
      </c>
      <c r="AC147" s="176"/>
      <c r="AD147" s="176"/>
      <c r="AE147" s="176"/>
      <c r="AF147" s="176"/>
      <c r="AG147" s="629">
        <f t="shared" si="53"/>
        <v>1</v>
      </c>
    </row>
    <row r="148">
      <c r="A148" s="216" t="s">
        <v>1027</v>
      </c>
      <c r="B148" s="176">
        <v>0.0</v>
      </c>
      <c r="C148" s="176">
        <v>0.0</v>
      </c>
      <c r="D148" s="176">
        <v>0.0</v>
      </c>
      <c r="E148" s="176">
        <v>0.0</v>
      </c>
      <c r="F148" s="176">
        <v>0.0</v>
      </c>
      <c r="G148" s="176">
        <v>0.0</v>
      </c>
      <c r="H148" s="176">
        <v>0.0</v>
      </c>
      <c r="I148" s="176">
        <v>0.0</v>
      </c>
      <c r="J148" s="176">
        <v>0.0</v>
      </c>
      <c r="K148" s="176">
        <v>0.0</v>
      </c>
      <c r="L148" s="176">
        <v>0.0</v>
      </c>
      <c r="M148" s="176">
        <v>0.0</v>
      </c>
      <c r="N148" s="176">
        <v>0.0</v>
      </c>
      <c r="O148" s="176">
        <v>0.0</v>
      </c>
      <c r="P148" s="176">
        <v>0.0</v>
      </c>
      <c r="Q148" s="176">
        <v>0.0</v>
      </c>
      <c r="R148" s="176">
        <v>0.0</v>
      </c>
      <c r="S148" s="176">
        <v>0.0</v>
      </c>
      <c r="T148" s="176">
        <v>0.0</v>
      </c>
      <c r="U148" s="176">
        <v>0.0</v>
      </c>
      <c r="V148" s="176">
        <v>0.0</v>
      </c>
      <c r="W148" s="176">
        <v>0.0</v>
      </c>
      <c r="X148" s="176">
        <v>0.0</v>
      </c>
      <c r="Y148" s="176">
        <v>0.0</v>
      </c>
      <c r="Z148" s="176">
        <v>0.0</v>
      </c>
      <c r="AA148" s="176">
        <v>0.0</v>
      </c>
      <c r="AB148" s="176">
        <v>0.0</v>
      </c>
      <c r="AC148" s="176"/>
      <c r="AD148" s="176"/>
      <c r="AE148" s="176"/>
      <c r="AF148" s="176"/>
      <c r="AG148" s="629">
        <f t="shared" si="53"/>
        <v>0</v>
      </c>
    </row>
    <row r="149">
      <c r="A149" s="216" t="s">
        <v>1028</v>
      </c>
      <c r="B149" s="176">
        <v>0.0</v>
      </c>
      <c r="C149" s="176">
        <v>0.0</v>
      </c>
      <c r="D149" s="176">
        <v>0.0</v>
      </c>
      <c r="E149" s="176">
        <v>0.0</v>
      </c>
      <c r="F149" s="176">
        <v>0.0</v>
      </c>
      <c r="G149" s="176">
        <v>1.0</v>
      </c>
      <c r="H149" s="176">
        <v>0.0</v>
      </c>
      <c r="I149" s="176">
        <v>0.0</v>
      </c>
      <c r="J149" s="176">
        <v>0.0</v>
      </c>
      <c r="K149" s="176">
        <v>0.0</v>
      </c>
      <c r="L149" s="176">
        <v>0.0</v>
      </c>
      <c r="M149" s="176">
        <v>0.0</v>
      </c>
      <c r="N149" s="176">
        <v>1.0</v>
      </c>
      <c r="O149" s="176">
        <v>0.0</v>
      </c>
      <c r="P149" s="176">
        <v>0.0</v>
      </c>
      <c r="Q149" s="176">
        <v>0.0</v>
      </c>
      <c r="R149" s="176">
        <v>0.0</v>
      </c>
      <c r="S149" s="176">
        <v>0.0</v>
      </c>
      <c r="T149" s="176">
        <v>1.0</v>
      </c>
      <c r="U149" s="176">
        <v>0.0</v>
      </c>
      <c r="V149" s="176">
        <v>0.0</v>
      </c>
      <c r="W149" s="176">
        <v>0.0</v>
      </c>
      <c r="X149" s="176">
        <v>0.0</v>
      </c>
      <c r="Y149" s="176">
        <v>0.0</v>
      </c>
      <c r="Z149" s="176">
        <v>0.0</v>
      </c>
      <c r="AA149" s="176">
        <v>0.0</v>
      </c>
      <c r="AB149" s="176">
        <v>0.0</v>
      </c>
      <c r="AC149" s="176"/>
      <c r="AD149" s="176"/>
      <c r="AE149" s="176"/>
      <c r="AF149" s="176"/>
      <c r="AG149" s="629">
        <f t="shared" si="53"/>
        <v>3</v>
      </c>
    </row>
    <row r="150">
      <c r="A150" s="216" t="s">
        <v>1029</v>
      </c>
      <c r="B150" s="176">
        <v>0.0</v>
      </c>
      <c r="C150" s="176">
        <v>0.0</v>
      </c>
      <c r="D150" s="176">
        <v>0.0</v>
      </c>
      <c r="E150" s="176">
        <v>0.0</v>
      </c>
      <c r="F150" s="176">
        <v>0.0</v>
      </c>
      <c r="G150" s="176">
        <v>0.0</v>
      </c>
      <c r="H150" s="176">
        <v>0.0</v>
      </c>
      <c r="I150" s="176">
        <v>0.0</v>
      </c>
      <c r="J150" s="176">
        <v>0.0</v>
      </c>
      <c r="K150" s="176">
        <v>0.0</v>
      </c>
      <c r="L150" s="176">
        <v>0.0</v>
      </c>
      <c r="M150" s="176">
        <v>0.0</v>
      </c>
      <c r="N150" s="176">
        <v>0.0</v>
      </c>
      <c r="O150" s="176">
        <v>0.0</v>
      </c>
      <c r="P150" s="176">
        <v>0.0</v>
      </c>
      <c r="Q150" s="176">
        <v>0.0</v>
      </c>
      <c r="R150" s="176">
        <v>0.0</v>
      </c>
      <c r="S150" s="176">
        <v>0.0</v>
      </c>
      <c r="T150" s="176">
        <v>0.0</v>
      </c>
      <c r="U150" s="176">
        <v>0.0</v>
      </c>
      <c r="V150" s="176">
        <v>0.0</v>
      </c>
      <c r="W150" s="176">
        <v>0.0</v>
      </c>
      <c r="X150" s="176">
        <v>0.0</v>
      </c>
      <c r="Y150" s="176">
        <v>0.0</v>
      </c>
      <c r="Z150" s="176">
        <v>0.0</v>
      </c>
      <c r="AA150" s="176">
        <v>0.0</v>
      </c>
      <c r="AB150" s="176">
        <v>0.0</v>
      </c>
      <c r="AC150" s="176"/>
      <c r="AD150" s="176"/>
      <c r="AE150" s="176"/>
      <c r="AF150" s="176"/>
      <c r="AG150" s="629">
        <f t="shared" si="53"/>
        <v>0</v>
      </c>
    </row>
    <row r="151">
      <c r="A151" s="216" t="s">
        <v>1030</v>
      </c>
      <c r="B151" s="176">
        <v>0.0</v>
      </c>
      <c r="C151" s="176">
        <v>0.0</v>
      </c>
      <c r="D151" s="176">
        <v>0.0</v>
      </c>
      <c r="E151" s="176">
        <v>0.0</v>
      </c>
      <c r="F151" s="176">
        <v>0.0</v>
      </c>
      <c r="G151" s="176">
        <v>0.0</v>
      </c>
      <c r="H151" s="176">
        <v>0.0</v>
      </c>
      <c r="I151" s="176">
        <v>0.0</v>
      </c>
      <c r="J151" s="176">
        <v>0.0</v>
      </c>
      <c r="K151" s="176">
        <v>0.0</v>
      </c>
      <c r="L151" s="176">
        <v>0.0</v>
      </c>
      <c r="M151" s="176">
        <v>0.0</v>
      </c>
      <c r="N151" s="176">
        <v>0.0</v>
      </c>
      <c r="O151" s="176">
        <v>0.0</v>
      </c>
      <c r="P151" s="176">
        <v>0.0</v>
      </c>
      <c r="Q151" s="176">
        <v>0.0</v>
      </c>
      <c r="R151" s="176">
        <v>0.0</v>
      </c>
      <c r="S151" s="176">
        <v>0.0</v>
      </c>
      <c r="T151" s="176">
        <v>0.0</v>
      </c>
      <c r="U151" s="176">
        <v>0.0</v>
      </c>
      <c r="V151" s="176">
        <v>0.0</v>
      </c>
      <c r="W151" s="176">
        <v>0.0</v>
      </c>
      <c r="X151" s="176">
        <v>0.0</v>
      </c>
      <c r="Y151" s="176">
        <v>0.0</v>
      </c>
      <c r="Z151" s="176">
        <v>0.0</v>
      </c>
      <c r="AA151" s="176">
        <v>0.0</v>
      </c>
      <c r="AB151" s="176">
        <v>0.0</v>
      </c>
      <c r="AC151" s="176"/>
      <c r="AD151" s="176"/>
      <c r="AE151" s="176"/>
      <c r="AF151" s="176"/>
      <c r="AG151" s="629">
        <f t="shared" si="53"/>
        <v>0</v>
      </c>
    </row>
    <row r="152">
      <c r="A152" s="216" t="s">
        <v>1031</v>
      </c>
      <c r="B152" s="176">
        <v>0.0</v>
      </c>
      <c r="C152" s="176">
        <v>0.0</v>
      </c>
      <c r="D152" s="176">
        <v>0.0</v>
      </c>
      <c r="E152" s="176">
        <v>0.0</v>
      </c>
      <c r="F152" s="176">
        <v>0.0</v>
      </c>
      <c r="G152" s="176">
        <v>0.0</v>
      </c>
      <c r="H152" s="176">
        <v>0.0</v>
      </c>
      <c r="I152" s="176">
        <v>0.0</v>
      </c>
      <c r="J152" s="176">
        <v>0.0</v>
      </c>
      <c r="K152" s="176">
        <v>0.0</v>
      </c>
      <c r="L152" s="176">
        <v>0.0</v>
      </c>
      <c r="M152" s="176">
        <v>0.0</v>
      </c>
      <c r="N152" s="176">
        <v>0.0</v>
      </c>
      <c r="O152" s="176">
        <v>0.0</v>
      </c>
      <c r="P152" s="176">
        <v>0.0</v>
      </c>
      <c r="Q152" s="176">
        <v>0.0</v>
      </c>
      <c r="R152" s="176">
        <v>0.0</v>
      </c>
      <c r="S152" s="176">
        <v>0.0</v>
      </c>
      <c r="T152" s="176">
        <v>0.0</v>
      </c>
      <c r="U152" s="176">
        <v>0.0</v>
      </c>
      <c r="V152" s="176">
        <v>0.0</v>
      </c>
      <c r="W152" s="176">
        <v>0.0</v>
      </c>
      <c r="X152" s="176">
        <v>0.0</v>
      </c>
      <c r="Y152" s="176">
        <v>0.0</v>
      </c>
      <c r="Z152" s="176">
        <v>0.0</v>
      </c>
      <c r="AA152" s="176">
        <v>0.0</v>
      </c>
      <c r="AB152" s="176">
        <v>0.0</v>
      </c>
      <c r="AC152" s="176"/>
      <c r="AD152" s="176"/>
      <c r="AE152" s="176"/>
      <c r="AF152" s="176"/>
      <c r="AG152" s="629">
        <f t="shared" si="53"/>
        <v>0</v>
      </c>
    </row>
    <row r="153">
      <c r="A153" s="643" t="s">
        <v>584</v>
      </c>
      <c r="B153" s="370">
        <f t="shared" ref="B153:AF153" si="54">SUM(B145:B152)</f>
        <v>0</v>
      </c>
      <c r="C153" s="370">
        <f t="shared" si="54"/>
        <v>0</v>
      </c>
      <c r="D153" s="370">
        <f t="shared" si="54"/>
        <v>0</v>
      </c>
      <c r="E153" s="370">
        <f t="shared" si="54"/>
        <v>0</v>
      </c>
      <c r="F153" s="370">
        <f t="shared" si="54"/>
        <v>0</v>
      </c>
      <c r="G153" s="370">
        <f t="shared" si="54"/>
        <v>1</v>
      </c>
      <c r="H153" s="370">
        <f t="shared" si="54"/>
        <v>0</v>
      </c>
      <c r="I153" s="370">
        <f t="shared" si="54"/>
        <v>0</v>
      </c>
      <c r="J153" s="370">
        <f t="shared" si="54"/>
        <v>0</v>
      </c>
      <c r="K153" s="370">
        <f t="shared" si="54"/>
        <v>0</v>
      </c>
      <c r="L153" s="370">
        <f t="shared" si="54"/>
        <v>0</v>
      </c>
      <c r="M153" s="370">
        <f t="shared" si="54"/>
        <v>0</v>
      </c>
      <c r="N153" s="370">
        <f t="shared" si="54"/>
        <v>1</v>
      </c>
      <c r="O153" s="370">
        <f t="shared" si="54"/>
        <v>0</v>
      </c>
      <c r="P153" s="370">
        <f t="shared" si="54"/>
        <v>0</v>
      </c>
      <c r="Q153" s="370">
        <f t="shared" si="54"/>
        <v>0</v>
      </c>
      <c r="R153" s="370">
        <f t="shared" si="54"/>
        <v>0</v>
      </c>
      <c r="S153" s="370">
        <f t="shared" si="54"/>
        <v>0</v>
      </c>
      <c r="T153" s="370">
        <f t="shared" si="54"/>
        <v>3</v>
      </c>
      <c r="U153" s="370">
        <f t="shared" si="54"/>
        <v>0</v>
      </c>
      <c r="V153" s="370">
        <f t="shared" si="54"/>
        <v>1</v>
      </c>
      <c r="W153" s="370">
        <f t="shared" si="54"/>
        <v>0</v>
      </c>
      <c r="X153" s="370">
        <f t="shared" si="54"/>
        <v>0</v>
      </c>
      <c r="Y153" s="370">
        <f t="shared" si="54"/>
        <v>1</v>
      </c>
      <c r="Z153" s="370">
        <f t="shared" si="54"/>
        <v>0</v>
      </c>
      <c r="AA153" s="370">
        <f t="shared" si="54"/>
        <v>0</v>
      </c>
      <c r="AB153" s="370">
        <f t="shared" si="54"/>
        <v>0</v>
      </c>
      <c r="AC153" s="370">
        <f t="shared" si="54"/>
        <v>0</v>
      </c>
      <c r="AD153" s="370">
        <f t="shared" si="54"/>
        <v>0</v>
      </c>
      <c r="AE153" s="370">
        <f t="shared" si="54"/>
        <v>0</v>
      </c>
      <c r="AF153" s="370">
        <f t="shared" si="54"/>
        <v>0</v>
      </c>
      <c r="AG153" s="629">
        <f t="shared" si="53"/>
        <v>7</v>
      </c>
    </row>
    <row r="154">
      <c r="A154" s="177"/>
      <c r="B154" s="187"/>
      <c r="C154" s="187"/>
      <c r="D154" s="187"/>
      <c r="E154" s="187"/>
      <c r="F154" s="187"/>
      <c r="G154" s="187"/>
      <c r="H154" s="187"/>
      <c r="I154" s="187"/>
      <c r="J154" s="187"/>
      <c r="K154" s="187"/>
      <c r="L154" s="187"/>
      <c r="M154" s="164"/>
      <c r="N154" s="187"/>
      <c r="O154" s="187"/>
      <c r="P154" s="187"/>
      <c r="Q154" s="187"/>
      <c r="R154" s="187"/>
      <c r="S154" s="187"/>
      <c r="T154" s="187"/>
      <c r="U154" s="187"/>
      <c r="V154" s="187"/>
      <c r="W154" s="187"/>
      <c r="X154" s="187"/>
      <c r="Y154" s="187"/>
      <c r="Z154" s="187"/>
      <c r="AA154" s="187"/>
      <c r="AB154" s="187"/>
      <c r="AC154" s="187"/>
      <c r="AD154" s="187"/>
      <c r="AE154" s="187"/>
      <c r="AF154" s="187"/>
      <c r="AG154" s="629"/>
    </row>
    <row r="155">
      <c r="A155" s="216" t="s">
        <v>1012</v>
      </c>
      <c r="B155" s="176">
        <v>0.0</v>
      </c>
      <c r="C155" s="176">
        <v>0.0</v>
      </c>
      <c r="D155" s="176">
        <v>0.0</v>
      </c>
      <c r="E155" s="176">
        <v>0.0</v>
      </c>
      <c r="F155" s="176">
        <v>0.0</v>
      </c>
      <c r="G155" s="176">
        <v>0.0</v>
      </c>
      <c r="H155" s="176">
        <v>0.0</v>
      </c>
      <c r="I155" s="176">
        <v>0.0</v>
      </c>
      <c r="J155" s="176">
        <v>0.0</v>
      </c>
      <c r="K155" s="176">
        <v>0.0</v>
      </c>
      <c r="L155" s="176">
        <v>0.0</v>
      </c>
      <c r="M155" s="176">
        <v>0.0</v>
      </c>
      <c r="N155" s="176">
        <v>0.0</v>
      </c>
      <c r="O155" s="176">
        <v>0.0</v>
      </c>
      <c r="P155" s="176">
        <v>0.0</v>
      </c>
      <c r="Q155" s="176">
        <v>0.0</v>
      </c>
      <c r="R155" s="176">
        <v>0.0</v>
      </c>
      <c r="S155" s="176">
        <v>0.0</v>
      </c>
      <c r="T155" s="176">
        <v>0.0</v>
      </c>
      <c r="U155" s="176">
        <v>0.0</v>
      </c>
      <c r="V155" s="176">
        <v>0.0</v>
      </c>
      <c r="W155" s="176">
        <v>0.0</v>
      </c>
      <c r="X155" s="176">
        <v>0.0</v>
      </c>
      <c r="Y155" s="176">
        <v>0.0</v>
      </c>
      <c r="Z155" s="176">
        <v>0.0</v>
      </c>
      <c r="AA155" s="176">
        <v>0.0</v>
      </c>
      <c r="AB155" s="176">
        <v>0.0</v>
      </c>
      <c r="AC155" s="176"/>
      <c r="AD155" s="176"/>
      <c r="AE155" s="176"/>
      <c r="AF155" s="176"/>
      <c r="AG155" s="629">
        <f t="shared" ref="AG155:AG163" si="55">SUM(B155:AF155)</f>
        <v>0</v>
      </c>
    </row>
    <row r="156">
      <c r="A156" s="216" t="s">
        <v>1013</v>
      </c>
      <c r="B156" s="176">
        <v>0.0</v>
      </c>
      <c r="C156" s="176">
        <v>0.0</v>
      </c>
      <c r="D156" s="176">
        <v>0.0</v>
      </c>
      <c r="E156" s="176">
        <v>0.0</v>
      </c>
      <c r="F156" s="176">
        <v>0.0</v>
      </c>
      <c r="G156" s="176">
        <v>0.0</v>
      </c>
      <c r="H156" s="176">
        <v>0.0</v>
      </c>
      <c r="I156" s="176">
        <v>0.0</v>
      </c>
      <c r="J156" s="176">
        <v>0.0</v>
      </c>
      <c r="K156" s="176">
        <v>0.0</v>
      </c>
      <c r="L156" s="176">
        <v>0.0</v>
      </c>
      <c r="M156" s="176">
        <v>0.0</v>
      </c>
      <c r="N156" s="176">
        <v>0.0</v>
      </c>
      <c r="O156" s="176">
        <v>0.0</v>
      </c>
      <c r="P156" s="176">
        <v>0.0</v>
      </c>
      <c r="Q156" s="176">
        <v>0.0</v>
      </c>
      <c r="R156" s="176">
        <v>0.0</v>
      </c>
      <c r="S156" s="176">
        <v>0.0</v>
      </c>
      <c r="T156" s="176">
        <v>0.0</v>
      </c>
      <c r="U156" s="176">
        <v>0.0</v>
      </c>
      <c r="V156" s="176">
        <v>0.0</v>
      </c>
      <c r="W156" s="176">
        <v>0.0</v>
      </c>
      <c r="X156" s="176">
        <v>0.0</v>
      </c>
      <c r="Y156" s="176">
        <v>0.0</v>
      </c>
      <c r="Z156" s="176">
        <v>0.0</v>
      </c>
      <c r="AA156" s="176">
        <v>0.0</v>
      </c>
      <c r="AB156" s="176">
        <v>0.0</v>
      </c>
      <c r="AC156" s="176"/>
      <c r="AD156" s="176"/>
      <c r="AE156" s="176"/>
      <c r="AF156" s="176"/>
      <c r="AG156" s="629">
        <f t="shared" si="55"/>
        <v>0</v>
      </c>
    </row>
    <row r="157">
      <c r="A157" s="216" t="s">
        <v>1032</v>
      </c>
      <c r="B157" s="176">
        <v>0.0</v>
      </c>
      <c r="C157" s="176">
        <v>0.0</v>
      </c>
      <c r="D157" s="176">
        <v>0.0</v>
      </c>
      <c r="E157" s="176">
        <v>0.0</v>
      </c>
      <c r="F157" s="176">
        <v>0.0</v>
      </c>
      <c r="G157" s="176">
        <v>0.0</v>
      </c>
      <c r="H157" s="176">
        <v>0.0</v>
      </c>
      <c r="I157" s="176">
        <v>0.0</v>
      </c>
      <c r="J157" s="176">
        <v>0.0</v>
      </c>
      <c r="K157" s="176">
        <v>0.0</v>
      </c>
      <c r="L157" s="176">
        <v>0.0</v>
      </c>
      <c r="M157" s="176">
        <v>0.0</v>
      </c>
      <c r="N157" s="176">
        <v>0.0</v>
      </c>
      <c r="O157" s="176">
        <v>0.0</v>
      </c>
      <c r="P157" s="176">
        <v>0.0</v>
      </c>
      <c r="Q157" s="176">
        <v>0.0</v>
      </c>
      <c r="R157" s="176">
        <v>0.0</v>
      </c>
      <c r="S157" s="176">
        <v>0.0</v>
      </c>
      <c r="T157" s="176">
        <v>0.0</v>
      </c>
      <c r="U157" s="176">
        <v>0.0</v>
      </c>
      <c r="V157" s="176">
        <v>0.0</v>
      </c>
      <c r="W157" s="176">
        <v>0.0</v>
      </c>
      <c r="X157" s="176">
        <v>0.0</v>
      </c>
      <c r="Y157" s="176">
        <v>0.0</v>
      </c>
      <c r="Z157" s="176">
        <v>0.0</v>
      </c>
      <c r="AA157" s="176">
        <v>0.0</v>
      </c>
      <c r="AB157" s="176">
        <v>0.0</v>
      </c>
      <c r="AC157" s="176"/>
      <c r="AD157" s="176"/>
      <c r="AE157" s="176"/>
      <c r="AF157" s="176"/>
      <c r="AG157" s="629">
        <f t="shared" si="55"/>
        <v>0</v>
      </c>
    </row>
    <row r="158">
      <c r="A158" s="216" t="s">
        <v>1033</v>
      </c>
      <c r="B158" s="176">
        <v>0.0</v>
      </c>
      <c r="C158" s="176">
        <v>0.0</v>
      </c>
      <c r="D158" s="176">
        <v>0.0</v>
      </c>
      <c r="E158" s="176">
        <v>0.0</v>
      </c>
      <c r="F158" s="176">
        <v>0.0</v>
      </c>
      <c r="G158" s="176">
        <v>0.0</v>
      </c>
      <c r="H158" s="176">
        <v>0.0</v>
      </c>
      <c r="I158" s="176">
        <v>0.0</v>
      </c>
      <c r="J158" s="176">
        <v>0.0</v>
      </c>
      <c r="K158" s="176">
        <v>0.0</v>
      </c>
      <c r="L158" s="176">
        <v>0.0</v>
      </c>
      <c r="M158" s="176">
        <v>0.0</v>
      </c>
      <c r="N158" s="176">
        <v>0.0</v>
      </c>
      <c r="O158" s="176">
        <v>0.0</v>
      </c>
      <c r="P158" s="176">
        <v>0.0</v>
      </c>
      <c r="Q158" s="176">
        <v>0.0</v>
      </c>
      <c r="R158" s="176">
        <v>0.0</v>
      </c>
      <c r="S158" s="176">
        <v>0.0</v>
      </c>
      <c r="T158" s="176">
        <v>0.0</v>
      </c>
      <c r="U158" s="176">
        <v>0.0</v>
      </c>
      <c r="V158" s="176">
        <v>0.0</v>
      </c>
      <c r="W158" s="176">
        <v>0.0</v>
      </c>
      <c r="X158" s="176">
        <v>0.0</v>
      </c>
      <c r="Y158" s="176">
        <v>0.0</v>
      </c>
      <c r="Z158" s="176">
        <v>0.0</v>
      </c>
      <c r="AA158" s="176">
        <v>0.0</v>
      </c>
      <c r="AB158" s="176">
        <v>0.0</v>
      </c>
      <c r="AC158" s="176"/>
      <c r="AD158" s="176"/>
      <c r="AE158" s="176"/>
      <c r="AF158" s="176"/>
      <c r="AG158" s="629">
        <f t="shared" si="55"/>
        <v>0</v>
      </c>
    </row>
    <row r="159">
      <c r="A159" s="216" t="s">
        <v>1034</v>
      </c>
      <c r="B159" s="176">
        <v>0.0</v>
      </c>
      <c r="C159" s="176">
        <v>0.0</v>
      </c>
      <c r="D159" s="176">
        <v>0.0</v>
      </c>
      <c r="E159" s="176">
        <v>0.0</v>
      </c>
      <c r="F159" s="176">
        <v>0.0</v>
      </c>
      <c r="G159" s="176">
        <v>0.0</v>
      </c>
      <c r="H159" s="176">
        <v>0.0</v>
      </c>
      <c r="I159" s="176">
        <v>0.0</v>
      </c>
      <c r="J159" s="176">
        <v>0.0</v>
      </c>
      <c r="K159" s="176">
        <v>0.0</v>
      </c>
      <c r="L159" s="176">
        <v>0.0</v>
      </c>
      <c r="M159" s="176">
        <v>0.0</v>
      </c>
      <c r="N159" s="176">
        <v>0.0</v>
      </c>
      <c r="O159" s="176">
        <v>1.0</v>
      </c>
      <c r="P159" s="176">
        <v>1.0</v>
      </c>
      <c r="Q159" s="176">
        <v>1.0</v>
      </c>
      <c r="R159" s="176">
        <v>0.0</v>
      </c>
      <c r="S159" s="176">
        <v>0.0</v>
      </c>
      <c r="T159" s="176">
        <v>0.0</v>
      </c>
      <c r="U159" s="176">
        <v>0.0</v>
      </c>
      <c r="V159" s="176">
        <v>0.0</v>
      </c>
      <c r="W159" s="176">
        <v>0.0</v>
      </c>
      <c r="X159" s="176">
        <v>0.0</v>
      </c>
      <c r="Y159" s="176">
        <v>0.0</v>
      </c>
      <c r="Z159" s="176">
        <v>0.0</v>
      </c>
      <c r="AA159" s="176">
        <v>0.0</v>
      </c>
      <c r="AB159" s="176">
        <v>0.0</v>
      </c>
      <c r="AC159" s="176"/>
      <c r="AD159" s="176"/>
      <c r="AE159" s="176"/>
      <c r="AF159" s="176"/>
      <c r="AG159" s="629">
        <f t="shared" si="55"/>
        <v>3</v>
      </c>
    </row>
    <row r="160">
      <c r="A160" s="216" t="s">
        <v>1035</v>
      </c>
      <c r="B160" s="176">
        <v>0.0</v>
      </c>
      <c r="C160" s="176">
        <v>0.0</v>
      </c>
      <c r="D160" s="176">
        <v>0.0</v>
      </c>
      <c r="E160" s="176">
        <v>0.0</v>
      </c>
      <c r="F160" s="176">
        <v>0.0</v>
      </c>
      <c r="G160" s="176">
        <v>0.0</v>
      </c>
      <c r="H160" s="176">
        <v>0.0</v>
      </c>
      <c r="I160" s="176">
        <v>0.0</v>
      </c>
      <c r="J160" s="176">
        <v>0.0</v>
      </c>
      <c r="K160" s="176">
        <v>0.0</v>
      </c>
      <c r="L160" s="176">
        <v>0.0</v>
      </c>
      <c r="M160" s="176">
        <v>0.0</v>
      </c>
      <c r="N160" s="176">
        <v>0.0</v>
      </c>
      <c r="O160" s="176">
        <v>0.0</v>
      </c>
      <c r="P160" s="176">
        <v>0.0</v>
      </c>
      <c r="Q160" s="176">
        <v>0.0</v>
      </c>
      <c r="R160" s="176">
        <v>0.0</v>
      </c>
      <c r="S160" s="176">
        <v>0.0</v>
      </c>
      <c r="T160" s="176">
        <v>0.0</v>
      </c>
      <c r="U160" s="176">
        <v>0.0</v>
      </c>
      <c r="V160" s="176">
        <v>0.0</v>
      </c>
      <c r="W160" s="176">
        <v>0.0</v>
      </c>
      <c r="X160" s="176">
        <v>0.0</v>
      </c>
      <c r="Y160" s="176">
        <v>0.0</v>
      </c>
      <c r="Z160" s="176">
        <v>0.0</v>
      </c>
      <c r="AA160" s="176">
        <v>0.0</v>
      </c>
      <c r="AB160" s="176">
        <v>0.0</v>
      </c>
      <c r="AC160" s="176"/>
      <c r="AD160" s="176"/>
      <c r="AE160" s="176"/>
      <c r="AF160" s="176"/>
      <c r="AG160" s="629">
        <f t="shared" si="55"/>
        <v>0</v>
      </c>
    </row>
    <row r="161">
      <c r="A161" s="216" t="s">
        <v>1036</v>
      </c>
      <c r="B161" s="176">
        <v>0.0</v>
      </c>
      <c r="C161" s="176">
        <v>0.0</v>
      </c>
      <c r="D161" s="176">
        <v>0.0</v>
      </c>
      <c r="E161" s="176">
        <v>0.0</v>
      </c>
      <c r="F161" s="176">
        <v>0.0</v>
      </c>
      <c r="G161" s="176">
        <v>0.0</v>
      </c>
      <c r="H161" s="176">
        <v>0.0</v>
      </c>
      <c r="I161" s="176">
        <v>0.0</v>
      </c>
      <c r="J161" s="176">
        <v>0.0</v>
      </c>
      <c r="K161" s="176">
        <v>0.0</v>
      </c>
      <c r="L161" s="176">
        <v>0.0</v>
      </c>
      <c r="M161" s="176">
        <v>0.0</v>
      </c>
      <c r="N161" s="176">
        <v>0.0</v>
      </c>
      <c r="O161" s="176">
        <v>0.0</v>
      </c>
      <c r="P161" s="176">
        <v>0.0</v>
      </c>
      <c r="Q161" s="176">
        <v>0.0</v>
      </c>
      <c r="R161" s="176">
        <v>0.0</v>
      </c>
      <c r="S161" s="176">
        <v>0.0</v>
      </c>
      <c r="T161" s="176">
        <v>0.0</v>
      </c>
      <c r="U161" s="176">
        <v>0.0</v>
      </c>
      <c r="V161" s="176">
        <v>0.0</v>
      </c>
      <c r="W161" s="176">
        <v>0.0</v>
      </c>
      <c r="X161" s="176">
        <v>0.0</v>
      </c>
      <c r="Y161" s="176">
        <v>0.0</v>
      </c>
      <c r="Z161" s="176">
        <v>0.0</v>
      </c>
      <c r="AA161" s="176">
        <v>0.0</v>
      </c>
      <c r="AB161" s="176">
        <v>0.0</v>
      </c>
      <c r="AC161" s="176"/>
      <c r="AD161" s="176"/>
      <c r="AE161" s="176"/>
      <c r="AF161" s="176"/>
      <c r="AG161" s="629">
        <f t="shared" si="55"/>
        <v>0</v>
      </c>
    </row>
    <row r="162">
      <c r="A162" s="216" t="s">
        <v>1037</v>
      </c>
      <c r="B162" s="176">
        <v>0.0</v>
      </c>
      <c r="C162" s="176">
        <v>0.0</v>
      </c>
      <c r="D162" s="176">
        <v>0.0</v>
      </c>
      <c r="E162" s="176">
        <v>0.0</v>
      </c>
      <c r="F162" s="176">
        <v>0.0</v>
      </c>
      <c r="G162" s="176">
        <v>0.0</v>
      </c>
      <c r="H162" s="176">
        <v>0.0</v>
      </c>
      <c r="I162" s="176">
        <v>0.0</v>
      </c>
      <c r="J162" s="176">
        <v>0.0</v>
      </c>
      <c r="K162" s="176">
        <v>0.0</v>
      </c>
      <c r="L162" s="176">
        <v>0.0</v>
      </c>
      <c r="M162" s="176">
        <v>0.0</v>
      </c>
      <c r="N162" s="176">
        <v>0.0</v>
      </c>
      <c r="O162" s="176">
        <v>0.0</v>
      </c>
      <c r="P162" s="176">
        <v>0.0</v>
      </c>
      <c r="Q162" s="176">
        <v>0.0</v>
      </c>
      <c r="R162" s="176">
        <v>0.0</v>
      </c>
      <c r="S162" s="176">
        <v>0.0</v>
      </c>
      <c r="T162" s="176">
        <v>0.0</v>
      </c>
      <c r="U162" s="176">
        <v>0.0</v>
      </c>
      <c r="V162" s="176">
        <v>0.0</v>
      </c>
      <c r="W162" s="176">
        <v>0.0</v>
      </c>
      <c r="X162" s="176">
        <v>0.0</v>
      </c>
      <c r="Y162" s="176">
        <v>0.0</v>
      </c>
      <c r="Z162" s="176">
        <v>0.0</v>
      </c>
      <c r="AA162" s="176">
        <v>0.0</v>
      </c>
      <c r="AB162" s="176">
        <v>0.0</v>
      </c>
      <c r="AC162" s="176"/>
      <c r="AD162" s="176"/>
      <c r="AE162" s="176"/>
      <c r="AF162" s="176"/>
      <c r="AG162" s="629">
        <f t="shared" si="55"/>
        <v>0</v>
      </c>
    </row>
    <row r="163">
      <c r="A163" s="643" t="s">
        <v>1020</v>
      </c>
      <c r="B163" s="370">
        <f t="shared" ref="B163:AF163" si="56">SUM(B155:B162)</f>
        <v>0</v>
      </c>
      <c r="C163" s="370">
        <f t="shared" si="56"/>
        <v>0</v>
      </c>
      <c r="D163" s="370">
        <f t="shared" si="56"/>
        <v>0</v>
      </c>
      <c r="E163" s="370">
        <f t="shared" si="56"/>
        <v>0</v>
      </c>
      <c r="F163" s="370">
        <f t="shared" si="56"/>
        <v>0</v>
      </c>
      <c r="G163" s="370">
        <f t="shared" si="56"/>
        <v>0</v>
      </c>
      <c r="H163" s="370">
        <f t="shared" si="56"/>
        <v>0</v>
      </c>
      <c r="I163" s="370">
        <f t="shared" si="56"/>
        <v>0</v>
      </c>
      <c r="J163" s="370">
        <f t="shared" si="56"/>
        <v>0</v>
      </c>
      <c r="K163" s="370">
        <f t="shared" si="56"/>
        <v>0</v>
      </c>
      <c r="L163" s="370">
        <f t="shared" si="56"/>
        <v>0</v>
      </c>
      <c r="M163" s="370">
        <f t="shared" si="56"/>
        <v>0</v>
      </c>
      <c r="N163" s="370">
        <f t="shared" si="56"/>
        <v>0</v>
      </c>
      <c r="O163" s="370">
        <f t="shared" si="56"/>
        <v>1</v>
      </c>
      <c r="P163" s="370">
        <f t="shared" si="56"/>
        <v>1</v>
      </c>
      <c r="Q163" s="370">
        <f t="shared" si="56"/>
        <v>1</v>
      </c>
      <c r="R163" s="370">
        <f t="shared" si="56"/>
        <v>0</v>
      </c>
      <c r="S163" s="370">
        <f t="shared" si="56"/>
        <v>0</v>
      </c>
      <c r="T163" s="370">
        <f t="shared" si="56"/>
        <v>0</v>
      </c>
      <c r="U163" s="370">
        <f t="shared" si="56"/>
        <v>0</v>
      </c>
      <c r="V163" s="370">
        <f t="shared" si="56"/>
        <v>0</v>
      </c>
      <c r="W163" s="370">
        <f t="shared" si="56"/>
        <v>0</v>
      </c>
      <c r="X163" s="370">
        <f t="shared" si="56"/>
        <v>0</v>
      </c>
      <c r="Y163" s="370">
        <f t="shared" si="56"/>
        <v>0</v>
      </c>
      <c r="Z163" s="370">
        <f t="shared" si="56"/>
        <v>0</v>
      </c>
      <c r="AA163" s="370">
        <f t="shared" si="56"/>
        <v>0</v>
      </c>
      <c r="AB163" s="370">
        <f t="shared" si="56"/>
        <v>0</v>
      </c>
      <c r="AC163" s="370">
        <f t="shared" si="56"/>
        <v>0</v>
      </c>
      <c r="AD163" s="370">
        <f t="shared" si="56"/>
        <v>0</v>
      </c>
      <c r="AE163" s="370">
        <f t="shared" si="56"/>
        <v>0</v>
      </c>
      <c r="AF163" s="370">
        <f t="shared" si="56"/>
        <v>0</v>
      </c>
      <c r="AG163" s="629">
        <f t="shared" si="55"/>
        <v>3</v>
      </c>
    </row>
    <row r="164">
      <c r="A164" s="177"/>
      <c r="B164" s="187"/>
      <c r="C164" s="187"/>
      <c r="D164" s="187"/>
      <c r="E164" s="187"/>
      <c r="F164" s="187"/>
      <c r="G164" s="187"/>
      <c r="H164" s="187"/>
      <c r="I164" s="187"/>
      <c r="J164" s="187"/>
      <c r="K164" s="187"/>
      <c r="L164" s="187"/>
      <c r="M164" s="164"/>
      <c r="N164" s="187"/>
      <c r="O164" s="187"/>
      <c r="P164" s="187"/>
      <c r="Q164" s="187"/>
      <c r="R164" s="187"/>
      <c r="S164" s="187"/>
      <c r="T164" s="187"/>
      <c r="U164" s="187"/>
      <c r="V164" s="187"/>
      <c r="W164" s="187"/>
      <c r="X164" s="187"/>
      <c r="Y164" s="187"/>
      <c r="Z164" s="187"/>
      <c r="AA164" s="187"/>
      <c r="AB164" s="187"/>
      <c r="AC164" s="187"/>
      <c r="AD164" s="187"/>
      <c r="AE164" s="187"/>
      <c r="AF164" s="187"/>
      <c r="AG164" s="629"/>
    </row>
    <row r="165">
      <c r="A165" s="177"/>
      <c r="B165" s="187"/>
      <c r="C165" s="187"/>
      <c r="D165" s="187"/>
      <c r="E165" s="187"/>
      <c r="F165" s="187"/>
      <c r="G165" s="187"/>
      <c r="H165" s="187"/>
      <c r="I165" s="187"/>
      <c r="J165" s="187"/>
      <c r="K165" s="187"/>
      <c r="L165" s="187"/>
      <c r="M165" s="164"/>
      <c r="N165" s="187"/>
      <c r="O165" s="187"/>
      <c r="P165" s="187"/>
      <c r="Q165" s="187"/>
      <c r="R165" s="187"/>
      <c r="S165" s="187"/>
      <c r="T165" s="187"/>
      <c r="U165" s="187"/>
      <c r="V165" s="187"/>
      <c r="W165" s="187"/>
      <c r="X165" s="187"/>
      <c r="Y165" s="187"/>
      <c r="Z165" s="187"/>
      <c r="AA165" s="187"/>
      <c r="AB165" s="187"/>
      <c r="AC165" s="187"/>
      <c r="AD165" s="187"/>
      <c r="AE165" s="187"/>
      <c r="AF165" s="187"/>
      <c r="AG165" s="629"/>
    </row>
    <row r="166">
      <c r="A166" s="216" t="s">
        <v>1038</v>
      </c>
      <c r="B166" s="176">
        <v>0.0</v>
      </c>
      <c r="C166" s="176">
        <v>0.0</v>
      </c>
      <c r="D166" s="176">
        <v>0.0</v>
      </c>
      <c r="E166" s="176">
        <v>0.0</v>
      </c>
      <c r="F166" s="176">
        <v>0.0</v>
      </c>
      <c r="G166" s="176">
        <v>2.0</v>
      </c>
      <c r="H166" s="176">
        <v>0.0</v>
      </c>
      <c r="I166" s="176">
        <v>0.0</v>
      </c>
      <c r="J166" s="176">
        <v>0.0</v>
      </c>
      <c r="K166" s="176">
        <v>0.0</v>
      </c>
      <c r="L166" s="176">
        <v>0.0</v>
      </c>
      <c r="M166" s="176">
        <v>0.0</v>
      </c>
      <c r="N166" s="176">
        <v>1.0</v>
      </c>
      <c r="O166" s="176">
        <v>0.0</v>
      </c>
      <c r="P166" s="176">
        <v>0.0</v>
      </c>
      <c r="Q166" s="176">
        <v>0.0</v>
      </c>
      <c r="R166" s="176">
        <v>0.0</v>
      </c>
      <c r="S166" s="176">
        <v>0.0</v>
      </c>
      <c r="T166" s="176">
        <v>2.0</v>
      </c>
      <c r="U166" s="176">
        <v>0.0</v>
      </c>
      <c r="V166" s="176">
        <v>1.0</v>
      </c>
      <c r="W166" s="176">
        <v>0.0</v>
      </c>
      <c r="X166" s="176">
        <v>0.0</v>
      </c>
      <c r="Y166" s="176">
        <v>1.0</v>
      </c>
      <c r="Z166" s="176">
        <v>0.0</v>
      </c>
      <c r="AA166" s="176">
        <v>0.0</v>
      </c>
      <c r="AB166" s="176">
        <v>0.0</v>
      </c>
      <c r="AC166" s="176"/>
      <c r="AD166" s="176"/>
      <c r="AE166" s="176"/>
      <c r="AF166" s="176"/>
      <c r="AG166" s="629">
        <f t="shared" ref="AG166:AG167" si="58">SUM(B166:AF166)</f>
        <v>7</v>
      </c>
    </row>
    <row r="167">
      <c r="A167" s="643" t="s">
        <v>547</v>
      </c>
      <c r="B167" s="370">
        <f t="shared" ref="B167:AF167" si="57">SUM(B166)</f>
        <v>0</v>
      </c>
      <c r="C167" s="370">
        <f t="shared" si="57"/>
        <v>0</v>
      </c>
      <c r="D167" s="370">
        <f t="shared" si="57"/>
        <v>0</v>
      </c>
      <c r="E167" s="370">
        <f t="shared" si="57"/>
        <v>0</v>
      </c>
      <c r="F167" s="370">
        <f t="shared" si="57"/>
        <v>0</v>
      </c>
      <c r="G167" s="370">
        <f t="shared" si="57"/>
        <v>2</v>
      </c>
      <c r="H167" s="370">
        <f t="shared" si="57"/>
        <v>0</v>
      </c>
      <c r="I167" s="370">
        <f t="shared" si="57"/>
        <v>0</v>
      </c>
      <c r="J167" s="370">
        <f t="shared" si="57"/>
        <v>0</v>
      </c>
      <c r="K167" s="370">
        <f t="shared" si="57"/>
        <v>0</v>
      </c>
      <c r="L167" s="370">
        <f t="shared" si="57"/>
        <v>0</v>
      </c>
      <c r="M167" s="370">
        <f t="shared" si="57"/>
        <v>0</v>
      </c>
      <c r="N167" s="370">
        <f t="shared" si="57"/>
        <v>1</v>
      </c>
      <c r="O167" s="370">
        <f t="shared" si="57"/>
        <v>0</v>
      </c>
      <c r="P167" s="370">
        <f t="shared" si="57"/>
        <v>0</v>
      </c>
      <c r="Q167" s="370">
        <f t="shared" si="57"/>
        <v>0</v>
      </c>
      <c r="R167" s="370">
        <f t="shared" si="57"/>
        <v>0</v>
      </c>
      <c r="S167" s="370">
        <f t="shared" si="57"/>
        <v>0</v>
      </c>
      <c r="T167" s="370">
        <f t="shared" si="57"/>
        <v>2</v>
      </c>
      <c r="U167" s="370">
        <f t="shared" si="57"/>
        <v>0</v>
      </c>
      <c r="V167" s="370">
        <f t="shared" si="57"/>
        <v>1</v>
      </c>
      <c r="W167" s="370">
        <f t="shared" si="57"/>
        <v>0</v>
      </c>
      <c r="X167" s="370">
        <f t="shared" si="57"/>
        <v>0</v>
      </c>
      <c r="Y167" s="370">
        <f t="shared" si="57"/>
        <v>1</v>
      </c>
      <c r="Z167" s="370">
        <f t="shared" si="57"/>
        <v>0</v>
      </c>
      <c r="AA167" s="370">
        <f t="shared" si="57"/>
        <v>0</v>
      </c>
      <c r="AB167" s="370">
        <f t="shared" si="57"/>
        <v>0</v>
      </c>
      <c r="AC167" s="370">
        <f t="shared" si="57"/>
        <v>0</v>
      </c>
      <c r="AD167" s="370">
        <f t="shared" si="57"/>
        <v>0</v>
      </c>
      <c r="AE167" s="370">
        <f t="shared" si="57"/>
        <v>0</v>
      </c>
      <c r="AF167" s="370">
        <f t="shared" si="57"/>
        <v>0</v>
      </c>
      <c r="AG167" s="629">
        <f t="shared" si="58"/>
        <v>7</v>
      </c>
    </row>
    <row r="168">
      <c r="A168" s="177"/>
      <c r="B168" s="22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c r="AE168" s="187"/>
      <c r="AF168" s="187"/>
      <c r="AG168" s="641"/>
    </row>
    <row r="169">
      <c r="A169" s="147" t="s">
        <v>1039</v>
      </c>
      <c r="B169" s="135"/>
      <c r="C169" s="135"/>
      <c r="D169" s="135"/>
      <c r="E169" s="135"/>
      <c r="F169" s="135"/>
      <c r="G169" s="200"/>
      <c r="H169" s="135"/>
      <c r="I169" s="82"/>
      <c r="J169" s="82"/>
      <c r="K169" s="82"/>
      <c r="L169" s="82"/>
      <c r="M169" s="82"/>
      <c r="N169" s="82"/>
      <c r="O169" s="82"/>
      <c r="P169" s="82"/>
      <c r="Q169" s="82"/>
      <c r="R169" s="82"/>
      <c r="S169" s="82"/>
      <c r="T169" s="82"/>
      <c r="U169" s="82"/>
      <c r="V169" s="82"/>
      <c r="W169" s="82"/>
      <c r="X169" s="82"/>
      <c r="Y169" s="82"/>
      <c r="Z169" s="82"/>
      <c r="AA169" s="82"/>
      <c r="AB169" s="82"/>
      <c r="AC169" s="82"/>
      <c r="AD169" s="82"/>
      <c r="AE169" s="82"/>
      <c r="AF169" s="82"/>
      <c r="AG169" s="641"/>
    </row>
    <row r="170">
      <c r="A170" s="216" t="s">
        <v>1040</v>
      </c>
      <c r="B170" s="200">
        <v>0.0</v>
      </c>
      <c r="C170" s="200">
        <v>0.0</v>
      </c>
      <c r="D170" s="200">
        <v>0.0</v>
      </c>
      <c r="E170" s="200">
        <v>0.0</v>
      </c>
      <c r="F170" s="200">
        <v>0.0</v>
      </c>
      <c r="G170" s="200">
        <v>299.99</v>
      </c>
      <c r="H170" s="200">
        <v>0.0</v>
      </c>
      <c r="I170" s="200">
        <v>0.0</v>
      </c>
      <c r="J170" s="200">
        <v>0.0</v>
      </c>
      <c r="K170" s="200">
        <v>0.0</v>
      </c>
      <c r="L170" s="200">
        <v>0.0</v>
      </c>
      <c r="M170" s="200">
        <v>0.0</v>
      </c>
      <c r="N170" s="200">
        <v>0.0</v>
      </c>
      <c r="O170" s="200">
        <v>0.0</v>
      </c>
      <c r="P170" s="200">
        <v>0.0</v>
      </c>
      <c r="Q170" s="200">
        <v>0.0</v>
      </c>
      <c r="R170" s="200">
        <v>0.0</v>
      </c>
      <c r="S170" s="200">
        <v>0.0</v>
      </c>
      <c r="T170" s="200">
        <v>0.0</v>
      </c>
      <c r="U170" s="200">
        <v>0.0</v>
      </c>
      <c r="V170" s="200">
        <v>306.34</v>
      </c>
      <c r="W170" s="200">
        <v>0.0</v>
      </c>
      <c r="X170" s="200">
        <v>0.0</v>
      </c>
      <c r="Y170" s="200">
        <v>0.0</v>
      </c>
      <c r="Z170" s="200">
        <v>0.0</v>
      </c>
      <c r="AA170" s="200">
        <v>0.0</v>
      </c>
      <c r="AB170" s="200">
        <v>0.0</v>
      </c>
      <c r="AC170" s="200"/>
      <c r="AD170" s="200"/>
      <c r="AE170" s="200"/>
      <c r="AF170" s="200"/>
      <c r="AG170" s="644">
        <f t="shared" ref="AG170:AG173" si="59">SUM(B170:AF170)</f>
        <v>606.33</v>
      </c>
    </row>
    <row r="171">
      <c r="A171" s="216" t="s">
        <v>1041</v>
      </c>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644">
        <f t="shared" si="59"/>
        <v>0</v>
      </c>
    </row>
    <row r="172">
      <c r="A172" s="216" t="s">
        <v>1042</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644">
        <f t="shared" si="59"/>
        <v>0</v>
      </c>
    </row>
    <row r="173">
      <c r="A173" s="387" t="s">
        <v>584</v>
      </c>
      <c r="B173" s="379">
        <f t="shared" ref="B173:AF173" si="60">SUM(B170:B172)</f>
        <v>0</v>
      </c>
      <c r="C173" s="379">
        <f t="shared" si="60"/>
        <v>0</v>
      </c>
      <c r="D173" s="379">
        <f t="shared" si="60"/>
        <v>0</v>
      </c>
      <c r="E173" s="379">
        <f t="shared" si="60"/>
        <v>0</v>
      </c>
      <c r="F173" s="379">
        <f t="shared" si="60"/>
        <v>0</v>
      </c>
      <c r="G173" s="379">
        <f t="shared" si="60"/>
        <v>299.99</v>
      </c>
      <c r="H173" s="379">
        <f t="shared" si="60"/>
        <v>0</v>
      </c>
      <c r="I173" s="379">
        <f t="shared" si="60"/>
        <v>0</v>
      </c>
      <c r="J173" s="379">
        <f t="shared" si="60"/>
        <v>0</v>
      </c>
      <c r="K173" s="379">
        <f t="shared" si="60"/>
        <v>0</v>
      </c>
      <c r="L173" s="379">
        <f t="shared" si="60"/>
        <v>0</v>
      </c>
      <c r="M173" s="379">
        <f t="shared" si="60"/>
        <v>0</v>
      </c>
      <c r="N173" s="379">
        <f t="shared" si="60"/>
        <v>0</v>
      </c>
      <c r="O173" s="379">
        <f t="shared" si="60"/>
        <v>0</v>
      </c>
      <c r="P173" s="379">
        <f t="shared" si="60"/>
        <v>0</v>
      </c>
      <c r="Q173" s="379">
        <f t="shared" si="60"/>
        <v>0</v>
      </c>
      <c r="R173" s="379">
        <f t="shared" si="60"/>
        <v>0</v>
      </c>
      <c r="S173" s="379">
        <f t="shared" si="60"/>
        <v>0</v>
      </c>
      <c r="T173" s="379">
        <f t="shared" si="60"/>
        <v>0</v>
      </c>
      <c r="U173" s="379">
        <f t="shared" si="60"/>
        <v>0</v>
      </c>
      <c r="V173" s="379">
        <f t="shared" si="60"/>
        <v>306.34</v>
      </c>
      <c r="W173" s="379">
        <f t="shared" si="60"/>
        <v>0</v>
      </c>
      <c r="X173" s="379">
        <f t="shared" si="60"/>
        <v>0</v>
      </c>
      <c r="Y173" s="379">
        <f t="shared" si="60"/>
        <v>0</v>
      </c>
      <c r="Z173" s="379">
        <f t="shared" si="60"/>
        <v>0</v>
      </c>
      <c r="AA173" s="379">
        <f t="shared" si="60"/>
        <v>0</v>
      </c>
      <c r="AB173" s="379">
        <f t="shared" si="60"/>
        <v>0</v>
      </c>
      <c r="AC173" s="379">
        <f t="shared" si="60"/>
        <v>0</v>
      </c>
      <c r="AD173" s="379">
        <f t="shared" si="60"/>
        <v>0</v>
      </c>
      <c r="AE173" s="379">
        <f t="shared" si="60"/>
        <v>0</v>
      </c>
      <c r="AF173" s="379">
        <f t="shared" si="60"/>
        <v>0</v>
      </c>
      <c r="AG173" s="644">
        <f t="shared" si="59"/>
        <v>606.33</v>
      </c>
    </row>
    <row r="174">
      <c r="A174" s="177"/>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c r="AE174" s="187"/>
      <c r="AF174" s="187"/>
      <c r="AG174" s="644"/>
    </row>
    <row r="175">
      <c r="A175" s="147" t="s">
        <v>1043</v>
      </c>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c r="AE175" s="187"/>
      <c r="AF175" s="187"/>
      <c r="AG175" s="641"/>
    </row>
    <row r="176">
      <c r="A176" s="216" t="s">
        <v>1040</v>
      </c>
      <c r="B176" s="200">
        <v>0.0</v>
      </c>
      <c r="C176" s="200">
        <v>0.0</v>
      </c>
      <c r="D176" s="200">
        <v>0.0</v>
      </c>
      <c r="E176" s="228">
        <v>0.0</v>
      </c>
      <c r="F176" s="228">
        <v>0.0</v>
      </c>
      <c r="G176" s="228">
        <v>441.1</v>
      </c>
      <c r="H176" s="228">
        <v>0.0</v>
      </c>
      <c r="I176" s="228">
        <v>0.0</v>
      </c>
      <c r="J176" s="228">
        <v>0.0</v>
      </c>
      <c r="K176" s="228">
        <v>0.0</v>
      </c>
      <c r="L176" s="200">
        <v>0.0</v>
      </c>
      <c r="M176" s="228">
        <v>0.0</v>
      </c>
      <c r="N176" s="228">
        <v>56.0</v>
      </c>
      <c r="O176" s="228">
        <v>0.0</v>
      </c>
      <c r="P176" s="228">
        <v>0.0</v>
      </c>
      <c r="Q176" s="228">
        <v>0.0</v>
      </c>
      <c r="R176" s="228">
        <v>0.0</v>
      </c>
      <c r="S176" s="228">
        <v>0.0</v>
      </c>
      <c r="T176" s="228">
        <v>326.0</v>
      </c>
      <c r="U176" s="228">
        <v>0.0</v>
      </c>
      <c r="V176" s="228">
        <v>0.0</v>
      </c>
      <c r="W176" s="228">
        <v>0.0</v>
      </c>
      <c r="X176" s="200">
        <v>0.0</v>
      </c>
      <c r="Y176" s="228">
        <v>338.54</v>
      </c>
      <c r="Z176" s="228">
        <v>0.0</v>
      </c>
      <c r="AA176" s="228">
        <v>0.0</v>
      </c>
      <c r="AB176" s="228">
        <v>0.0</v>
      </c>
      <c r="AC176" s="228"/>
      <c r="AD176" s="200"/>
      <c r="AE176" s="228"/>
      <c r="AF176" s="228"/>
      <c r="AG176" s="644">
        <f t="shared" ref="AG176:AG179" si="61">SUM(B176:AF176)</f>
        <v>1161.64</v>
      </c>
    </row>
    <row r="177">
      <c r="A177" s="216" t="s">
        <v>1041</v>
      </c>
      <c r="B177" s="96"/>
      <c r="C177" s="96"/>
      <c r="D177" s="96"/>
      <c r="E177" s="96"/>
      <c r="F177" s="96"/>
      <c r="G177" s="353"/>
      <c r="H177" s="353"/>
      <c r="I177" s="353"/>
      <c r="J177" s="353"/>
      <c r="K177" s="96"/>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644">
        <f t="shared" si="61"/>
        <v>0</v>
      </c>
    </row>
    <row r="178">
      <c r="A178" s="216" t="s">
        <v>1042</v>
      </c>
      <c r="B178" s="96"/>
      <c r="C178" s="96"/>
      <c r="D178" s="96"/>
      <c r="E178" s="96"/>
      <c r="F178" s="96"/>
      <c r="G178" s="353"/>
      <c r="H178" s="353"/>
      <c r="I178" s="353"/>
      <c r="J178" s="353"/>
      <c r="K178" s="96"/>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644">
        <f t="shared" si="61"/>
        <v>0</v>
      </c>
    </row>
    <row r="179">
      <c r="A179" s="387" t="s">
        <v>584</v>
      </c>
      <c r="B179" s="380">
        <f t="shared" ref="B179:AF179" si="62">sum(B176:B178)</f>
        <v>0</v>
      </c>
      <c r="C179" s="380">
        <f t="shared" si="62"/>
        <v>0</v>
      </c>
      <c r="D179" s="380">
        <f t="shared" si="62"/>
        <v>0</v>
      </c>
      <c r="E179" s="380">
        <f t="shared" si="62"/>
        <v>0</v>
      </c>
      <c r="F179" s="380">
        <f t="shared" si="62"/>
        <v>0</v>
      </c>
      <c r="G179" s="380">
        <f t="shared" si="62"/>
        <v>441.1</v>
      </c>
      <c r="H179" s="380">
        <f t="shared" si="62"/>
        <v>0</v>
      </c>
      <c r="I179" s="380">
        <f t="shared" si="62"/>
        <v>0</v>
      </c>
      <c r="J179" s="380">
        <f t="shared" si="62"/>
        <v>0</v>
      </c>
      <c r="K179" s="380">
        <f t="shared" si="62"/>
        <v>0</v>
      </c>
      <c r="L179" s="380">
        <f t="shared" si="62"/>
        <v>0</v>
      </c>
      <c r="M179" s="380">
        <f t="shared" si="62"/>
        <v>0</v>
      </c>
      <c r="N179" s="380">
        <f t="shared" si="62"/>
        <v>56</v>
      </c>
      <c r="O179" s="380">
        <f t="shared" si="62"/>
        <v>0</v>
      </c>
      <c r="P179" s="380">
        <f t="shared" si="62"/>
        <v>0</v>
      </c>
      <c r="Q179" s="380">
        <f t="shared" si="62"/>
        <v>0</v>
      </c>
      <c r="R179" s="380">
        <f t="shared" si="62"/>
        <v>0</v>
      </c>
      <c r="S179" s="380">
        <f t="shared" si="62"/>
        <v>0</v>
      </c>
      <c r="T179" s="380">
        <f t="shared" si="62"/>
        <v>326</v>
      </c>
      <c r="U179" s="380">
        <f t="shared" si="62"/>
        <v>0</v>
      </c>
      <c r="V179" s="380">
        <f t="shared" si="62"/>
        <v>0</v>
      </c>
      <c r="W179" s="380">
        <f t="shared" si="62"/>
        <v>0</v>
      </c>
      <c r="X179" s="380">
        <f t="shared" si="62"/>
        <v>0</v>
      </c>
      <c r="Y179" s="380">
        <f t="shared" si="62"/>
        <v>338.54</v>
      </c>
      <c r="Z179" s="380">
        <f t="shared" si="62"/>
        <v>0</v>
      </c>
      <c r="AA179" s="380">
        <f t="shared" si="62"/>
        <v>0</v>
      </c>
      <c r="AB179" s="380">
        <f t="shared" si="62"/>
        <v>0</v>
      </c>
      <c r="AC179" s="380">
        <f t="shared" si="62"/>
        <v>0</v>
      </c>
      <c r="AD179" s="380">
        <f t="shared" si="62"/>
        <v>0</v>
      </c>
      <c r="AE179" s="380">
        <f t="shared" si="62"/>
        <v>0</v>
      </c>
      <c r="AF179" s="380">
        <f t="shared" si="62"/>
        <v>0</v>
      </c>
      <c r="AG179" s="644">
        <f t="shared" si="61"/>
        <v>1161.64</v>
      </c>
    </row>
    <row r="180">
      <c r="A180" s="177"/>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c r="AA180" s="230"/>
      <c r="AB180" s="230"/>
      <c r="AC180" s="230"/>
      <c r="AD180" s="230"/>
      <c r="AE180" s="230"/>
      <c r="AF180" s="230"/>
      <c r="AG180" s="641"/>
    </row>
    <row r="181">
      <c r="A181" s="177"/>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c r="AA181" s="230"/>
      <c r="AB181" s="230"/>
      <c r="AC181" s="230"/>
      <c r="AD181" s="230"/>
      <c r="AE181" s="230"/>
      <c r="AF181" s="230"/>
      <c r="AG181" s="641"/>
    </row>
    <row r="182">
      <c r="A182" s="127" t="s">
        <v>1044</v>
      </c>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c r="AD182" s="82"/>
      <c r="AE182" s="82"/>
      <c r="AF182" s="82"/>
      <c r="AG182" s="641"/>
    </row>
    <row r="183">
      <c r="A183" s="85" t="s">
        <v>325</v>
      </c>
      <c r="B183" s="142">
        <f>Summary!B81</f>
        <v>0</v>
      </c>
      <c r="C183" s="142">
        <f>Summary!C81</f>
        <v>0</v>
      </c>
      <c r="D183" s="142">
        <f>Summary!D81</f>
        <v>0</v>
      </c>
      <c r="E183" s="142">
        <f>Summary!E81</f>
        <v>0</v>
      </c>
      <c r="F183" s="142">
        <f>Summary!F81</f>
        <v>0</v>
      </c>
      <c r="G183" s="142">
        <f>Summary!G81</f>
        <v>0</v>
      </c>
      <c r="H183" s="142">
        <f>Summary!H81</f>
        <v>0</v>
      </c>
      <c r="I183" s="142">
        <f>Summary!I81</f>
        <v>0</v>
      </c>
      <c r="J183" s="142">
        <f>Summary!J81</f>
        <v>0</v>
      </c>
      <c r="K183" s="142">
        <f>Summary!K81</f>
        <v>0</v>
      </c>
      <c r="L183" s="142">
        <f>Summary!L81</f>
        <v>0</v>
      </c>
      <c r="M183" s="142">
        <f>Summary!M81</f>
        <v>0</v>
      </c>
      <c r="N183" s="142">
        <f>Summary!N81</f>
        <v>0</v>
      </c>
      <c r="O183" s="142">
        <f>Summary!O81</f>
        <v>0</v>
      </c>
      <c r="P183" s="142">
        <f>Summary!P81</f>
        <v>0</v>
      </c>
      <c r="Q183" s="142">
        <f>Summary!Q81</f>
        <v>0</v>
      </c>
      <c r="R183" s="142">
        <f>Summary!R81</f>
        <v>63.6818772</v>
      </c>
      <c r="S183" s="142">
        <f>Summary!S81</f>
        <v>0</v>
      </c>
      <c r="T183" s="142">
        <f>Summary!T81</f>
        <v>63.6818772</v>
      </c>
      <c r="U183" s="142">
        <f>Summary!U81</f>
        <v>0</v>
      </c>
      <c r="V183" s="142">
        <f>Summary!V81</f>
        <v>0</v>
      </c>
      <c r="W183" s="142">
        <f>Summary!W81</f>
        <v>0</v>
      </c>
      <c r="X183" s="142">
        <f>Summary!X81</f>
        <v>0</v>
      </c>
      <c r="Y183" s="142">
        <f>Summary!Y81</f>
        <v>0</v>
      </c>
      <c r="Z183" s="142">
        <f>Summary!Z81</f>
        <v>0</v>
      </c>
      <c r="AA183" s="142">
        <f>Summary!AA81</f>
        <v>0</v>
      </c>
      <c r="AB183" s="142">
        <f>Summary!AB81</f>
        <v>0</v>
      </c>
      <c r="AC183" s="142">
        <f>Summary!AC81</f>
        <v>0</v>
      </c>
      <c r="AD183" s="142">
        <f>Summary!AD81</f>
        <v>0</v>
      </c>
      <c r="AE183" s="142">
        <f>Summary!AE81</f>
        <v>63.6818772</v>
      </c>
      <c r="AF183" s="142">
        <f>Summary!AF81</f>
        <v>0</v>
      </c>
      <c r="AG183" s="635">
        <f t="shared" ref="AG183:AG201" si="63">SUM(B183:AF183)</f>
        <v>191.0456316</v>
      </c>
    </row>
    <row r="184">
      <c r="A184" s="389" t="s">
        <v>1045</v>
      </c>
      <c r="B184" s="142">
        <f>(B93+B94)*'Data - P&amp;L'!$C$3</f>
        <v>0</v>
      </c>
      <c r="C184" s="142">
        <f>(C93+C94)*'Data - P&amp;L'!$C$3</f>
        <v>0</v>
      </c>
      <c r="D184" s="142">
        <f>(D93+D94)*'Data - P&amp;L'!$C$3</f>
        <v>0</v>
      </c>
      <c r="E184" s="142">
        <f>(E93+E94)*'Data - P&amp;L'!$C$3</f>
        <v>0</v>
      </c>
      <c r="F184" s="142">
        <f>(F93+F94)*'Data - P&amp;L'!$C$3</f>
        <v>0</v>
      </c>
      <c r="G184" s="142">
        <f>(G93+G94)*'Data - P&amp;L'!$C$3</f>
        <v>-173.8</v>
      </c>
      <c r="H184" s="142">
        <f>(H93+H94)*'Data - P&amp;L'!$C$3</f>
        <v>173.8</v>
      </c>
      <c r="I184" s="142">
        <f>(I93+I94)*'Data - P&amp;L'!$C$3</f>
        <v>173.8</v>
      </c>
      <c r="J184" s="142">
        <f>(J93+J94)*'Data - P&amp;L'!$C$3</f>
        <v>86.9</v>
      </c>
      <c r="K184" s="142">
        <f>(K93+K94)*'Data - P&amp;L'!$C$3</f>
        <v>173.8</v>
      </c>
      <c r="L184" s="142">
        <f>(L93+L94)*'Data - P&amp;L'!$C$3</f>
        <v>86.9</v>
      </c>
      <c r="M184" s="142">
        <f>(M93+M94)*'Data - P&amp;L'!$C$3</f>
        <v>434.5</v>
      </c>
      <c r="N184" s="142">
        <f>(N93+N94)*'Data - P&amp;L'!$C$3</f>
        <v>434.5</v>
      </c>
      <c r="O184" s="142">
        <f>(O93+O94)*'Data - P&amp;L'!$C$3</f>
        <v>0</v>
      </c>
      <c r="P184" s="142">
        <f>(P93+P94)*'Data - P&amp;L'!$C$3</f>
        <v>0</v>
      </c>
      <c r="Q184" s="142">
        <f>(Q93+Q94)*'Data - P&amp;L'!$C$3</f>
        <v>0</v>
      </c>
      <c r="R184" s="142">
        <f>(R93+R94)*'Data - P&amp;L'!$C$3</f>
        <v>0</v>
      </c>
      <c r="S184" s="142">
        <f>(S93+S94)*'Data - P&amp;L'!$C$3</f>
        <v>0</v>
      </c>
      <c r="T184" s="142">
        <f>(T93+T94)*'Data - P&amp;L'!$C$3</f>
        <v>-86.9</v>
      </c>
      <c r="U184" s="142">
        <f>(U93+U94)*'Data - P&amp;L'!$C$3</f>
        <v>0</v>
      </c>
      <c r="V184" s="142">
        <f>(V93+V94)*'Data - P&amp;L'!$C$3</f>
        <v>0</v>
      </c>
      <c r="W184" s="142">
        <f>(W93+W94)*'Data - P&amp;L'!$C$3</f>
        <v>0</v>
      </c>
      <c r="X184" s="142">
        <f>(X93+X94)*'Data - P&amp;L'!$C$3</f>
        <v>0</v>
      </c>
      <c r="Y184" s="142">
        <f>(Y93+Y94)*'Data - P&amp;L'!$C$3</f>
        <v>0</v>
      </c>
      <c r="Z184" s="142">
        <f>(Z93+Z94)*'Data - P&amp;L'!$C$3</f>
        <v>0</v>
      </c>
      <c r="AA184" s="142">
        <f>(AA93+AA94)*'Data - P&amp;L'!$C$3</f>
        <v>0</v>
      </c>
      <c r="AB184" s="142">
        <f>(AB93+AB94)*'Data - P&amp;L'!$C$3</f>
        <v>0</v>
      </c>
      <c r="AC184" s="142">
        <f>(AC93+AC94)*'Data - P&amp;L'!$C$3</f>
        <v>0</v>
      </c>
      <c r="AD184" s="142">
        <f>(AD93+AD94)*'Data - P&amp;L'!$C$3</f>
        <v>0</v>
      </c>
      <c r="AE184" s="142">
        <f>(AE93+AE94)*'Data - P&amp;L'!$C$3</f>
        <v>0</v>
      </c>
      <c r="AF184" s="142">
        <f>(AF93+AF94)*'Data - P&amp;L'!$C$3</f>
        <v>0</v>
      </c>
      <c r="AG184" s="635">
        <f t="shared" si="63"/>
        <v>1303.5</v>
      </c>
    </row>
    <row r="185">
      <c r="A185" s="645" t="s">
        <v>1046</v>
      </c>
      <c r="B185" s="142">
        <f>(B184)*'Data - P&amp;L'!$L$5</f>
        <v>0</v>
      </c>
      <c r="C185" s="142">
        <f>(C184)*'Data - P&amp;L'!$L$5</f>
        <v>0</v>
      </c>
      <c r="D185" s="142">
        <f>(D184)*'Data - P&amp;L'!$L$5</f>
        <v>0</v>
      </c>
      <c r="E185" s="142">
        <f>(E184)*'Data - P&amp;L'!$L$5</f>
        <v>0</v>
      </c>
      <c r="F185" s="142">
        <f>(F184)*'Data - P&amp;L'!$L$5</f>
        <v>0</v>
      </c>
      <c r="G185" s="142">
        <f>(G184)*'Data - P&amp;L'!$L$5</f>
        <v>-13.035</v>
      </c>
      <c r="H185" s="142">
        <f>(H184)*'Data - P&amp;L'!$L$5</f>
        <v>13.035</v>
      </c>
      <c r="I185" s="142">
        <f>(I184)*'Data - P&amp;L'!$L$5</f>
        <v>13.035</v>
      </c>
      <c r="J185" s="142">
        <f>(J184)*'Data - P&amp;L'!$L$5</f>
        <v>6.5175</v>
      </c>
      <c r="K185" s="142">
        <f>(K184)*'Data - P&amp;L'!$L$5</f>
        <v>13.035</v>
      </c>
      <c r="L185" s="142">
        <f>(L184)*'Data - P&amp;L'!$L$5</f>
        <v>6.5175</v>
      </c>
      <c r="M185" s="142">
        <f>(M184)*'Data - P&amp;L'!$L$5</f>
        <v>32.5875</v>
      </c>
      <c r="N185" s="142">
        <f>(N184)*'Data - P&amp;L'!$L$5</f>
        <v>32.5875</v>
      </c>
      <c r="O185" s="142">
        <f>(O184)*'Data - P&amp;L'!$L$5</f>
        <v>0</v>
      </c>
      <c r="P185" s="142">
        <f>(P184)*'Data - P&amp;L'!$L$5</f>
        <v>0</v>
      </c>
      <c r="Q185" s="142">
        <f>(Q184)*'Data - P&amp;L'!$L$5</f>
        <v>0</v>
      </c>
      <c r="R185" s="142">
        <f>(R184)*'Data - P&amp;L'!$L$5</f>
        <v>0</v>
      </c>
      <c r="S185" s="142">
        <f>(S184)*'Data - P&amp;L'!$L$5</f>
        <v>0</v>
      </c>
      <c r="T185" s="142">
        <f>(T184)*'Data - P&amp;L'!$L$5</f>
        <v>-6.5175</v>
      </c>
      <c r="U185" s="142">
        <f>(U184)*'Data - P&amp;L'!$L$5</f>
        <v>0</v>
      </c>
      <c r="V185" s="142">
        <f>(V184)*'Data - P&amp;L'!$L$5</f>
        <v>0</v>
      </c>
      <c r="W185" s="142">
        <f>(W184)*'Data - P&amp;L'!$L$5</f>
        <v>0</v>
      </c>
      <c r="X185" s="142">
        <f>(X184)*'Data - P&amp;L'!$L$5</f>
        <v>0</v>
      </c>
      <c r="Y185" s="142">
        <f>(Y184)*'Data - P&amp;L'!$L$5</f>
        <v>0</v>
      </c>
      <c r="Z185" s="142">
        <f>(Z184)*'Data - P&amp;L'!$L$5</f>
        <v>0</v>
      </c>
      <c r="AA185" s="142">
        <f>(AA184)*'Data - P&amp;L'!$L$5</f>
        <v>0</v>
      </c>
      <c r="AB185" s="142">
        <f>(AB184)*'Data - P&amp;L'!$L$5</f>
        <v>0</v>
      </c>
      <c r="AC185" s="142">
        <f>(AC184)*'Data - P&amp;L'!$L$5</f>
        <v>0</v>
      </c>
      <c r="AD185" s="142">
        <f>(AD184)*'Data - P&amp;L'!$L$5</f>
        <v>0</v>
      </c>
      <c r="AE185" s="142">
        <f>(AE184)*'Data - P&amp;L'!$L$5</f>
        <v>0</v>
      </c>
      <c r="AF185" s="142">
        <f>(AF184)*'Data - P&amp;L'!$L$5</f>
        <v>0</v>
      </c>
      <c r="AG185" s="635">
        <f t="shared" si="63"/>
        <v>97.7625</v>
      </c>
    </row>
    <row r="186">
      <c r="A186" s="389" t="s">
        <v>1047</v>
      </c>
      <c r="B186" s="142">
        <f>(B95+B96)*'Data - P&amp;L'!$C$4</f>
        <v>585.66</v>
      </c>
      <c r="C186" s="142">
        <f>(C95+C96)*'Data - P&amp;L'!$C$4</f>
        <v>97.61</v>
      </c>
      <c r="D186" s="142">
        <f>(D95+D96)*'Data - P&amp;L'!$C$4</f>
        <v>195.22</v>
      </c>
      <c r="E186" s="142">
        <f>(E95+E96)*'Data - P&amp;L'!$C$4</f>
        <v>97.61</v>
      </c>
      <c r="F186" s="142">
        <f>(F95+F96)*'Data - P&amp;L'!$C$4</f>
        <v>97.61</v>
      </c>
      <c r="G186" s="142">
        <f>(G95+G96)*'Data - P&amp;L'!$C$4</f>
        <v>-97.61</v>
      </c>
      <c r="H186" s="142">
        <f>(H95+H96)*'Data - P&amp;L'!$C$4</f>
        <v>292.83</v>
      </c>
      <c r="I186" s="142">
        <f>(I95+I96)*'Data - P&amp;L'!$C$4</f>
        <v>1659.37</v>
      </c>
      <c r="J186" s="142">
        <f>(J95+J96)*'Data - P&amp;L'!$C$4</f>
        <v>195.22</v>
      </c>
      <c r="K186" s="142">
        <f>(K95+K96)*'Data - P&amp;L'!$C$4</f>
        <v>195.22</v>
      </c>
      <c r="L186" s="142">
        <f>(L95+L96)*'Data - P&amp;L'!$C$4</f>
        <v>390.44</v>
      </c>
      <c r="M186" s="142">
        <f>(M95+M96)*'Data - P&amp;L'!$C$4</f>
        <v>8492.07</v>
      </c>
      <c r="N186" s="142">
        <f>(N95+N96)*'Data - P&amp;L'!$C$4</f>
        <v>2342.64</v>
      </c>
      <c r="O186" s="142">
        <f>(O95+O96)*'Data - P&amp;L'!$C$4</f>
        <v>0</v>
      </c>
      <c r="P186" s="142">
        <f>(P95+P96)*'Data - P&amp;L'!$C$4</f>
        <v>0</v>
      </c>
      <c r="Q186" s="142">
        <f>(Q95+Q96)*'Data - P&amp;L'!$C$4</f>
        <v>0</v>
      </c>
      <c r="R186" s="142">
        <f>(R95+R96)*'Data - P&amp;L'!$C$4</f>
        <v>292.83</v>
      </c>
      <c r="S186" s="142">
        <f>(S95+S96)*'Data - P&amp;L'!$C$4</f>
        <v>195.22</v>
      </c>
      <c r="T186" s="142">
        <f>(T95+T96)*'Data - P&amp;L'!$C$4</f>
        <v>0</v>
      </c>
      <c r="U186" s="142">
        <f>(U95+U96)*'Data - P&amp;L'!$C$4</f>
        <v>0</v>
      </c>
      <c r="V186" s="142">
        <f>(V95+V96)*'Data - P&amp;L'!$C$4</f>
        <v>-97.61</v>
      </c>
      <c r="W186" s="142">
        <f>(W95+W96)*'Data - P&amp;L'!$C$4</f>
        <v>0</v>
      </c>
      <c r="X186" s="142">
        <f>(X95+X96)*'Data - P&amp;L'!$C$4</f>
        <v>0</v>
      </c>
      <c r="Y186" s="142">
        <f>(Y95+Y96)*'Data - P&amp;L'!$C$4</f>
        <v>-97.61</v>
      </c>
      <c r="Z186" s="142">
        <f>(Z95+Z96)*'Data - P&amp;L'!$C$4</f>
        <v>0</v>
      </c>
      <c r="AA186" s="142">
        <f>(AA95+AA96)*'Data - P&amp;L'!$C$4</f>
        <v>0</v>
      </c>
      <c r="AB186" s="142">
        <f>(AB95+AB96)*'Data - P&amp;L'!$C$4</f>
        <v>0</v>
      </c>
      <c r="AC186" s="142">
        <f>(AC95+AC96)*'Data - P&amp;L'!$C$4</f>
        <v>0</v>
      </c>
      <c r="AD186" s="142">
        <f>(AD95+AD96)*'Data - P&amp;L'!$C$4</f>
        <v>0</v>
      </c>
      <c r="AE186" s="142">
        <f>(AE95+AE96)*'Data - P&amp;L'!$C$4</f>
        <v>0</v>
      </c>
      <c r="AF186" s="142">
        <f>(AF95+AF96)*'Data - P&amp;L'!$C$4</f>
        <v>0</v>
      </c>
      <c r="AG186" s="635">
        <f t="shared" si="63"/>
        <v>14836.72</v>
      </c>
    </row>
    <row r="187">
      <c r="A187" s="645" t="s">
        <v>1048</v>
      </c>
      <c r="B187" s="142">
        <f>(B186)*'Data - P&amp;L'!$L$5</f>
        <v>43.9245</v>
      </c>
      <c r="C187" s="142">
        <f>(C186)*'Data - P&amp;L'!$L$5</f>
        <v>7.32075</v>
      </c>
      <c r="D187" s="142">
        <f>(D186)*'Data - P&amp;L'!$L$5</f>
        <v>14.6415</v>
      </c>
      <c r="E187" s="142">
        <f>(E186)*'Data - P&amp;L'!$L$5</f>
        <v>7.32075</v>
      </c>
      <c r="F187" s="142">
        <f>(F186)*'Data - P&amp;L'!$L$5</f>
        <v>7.32075</v>
      </c>
      <c r="G187" s="142">
        <f>(G186)*'Data - P&amp;L'!$L$5</f>
        <v>-7.32075</v>
      </c>
      <c r="H187" s="142">
        <f>(H186)*'Data - P&amp;L'!$L$5</f>
        <v>21.96225</v>
      </c>
      <c r="I187" s="142">
        <f>(I186)*'Data - P&amp;L'!$L$5</f>
        <v>124.45275</v>
      </c>
      <c r="J187" s="142">
        <f>(J186)*'Data - P&amp;L'!$L$5</f>
        <v>14.6415</v>
      </c>
      <c r="K187" s="142">
        <f>(K186)*'Data - P&amp;L'!$L$5</f>
        <v>14.6415</v>
      </c>
      <c r="L187" s="142">
        <f>(L186)*'Data - P&amp;L'!$L$5</f>
        <v>29.283</v>
      </c>
      <c r="M187" s="142">
        <f>(M186)*'Data - P&amp;L'!$L$5</f>
        <v>636.90525</v>
      </c>
      <c r="N187" s="142">
        <f>(N186)*'Data - P&amp;L'!$L$5</f>
        <v>175.698</v>
      </c>
      <c r="O187" s="142">
        <f>(O186)*'Data - P&amp;L'!$L$5</f>
        <v>0</v>
      </c>
      <c r="P187" s="142">
        <f>(P186)*'Data - P&amp;L'!$L$5</f>
        <v>0</v>
      </c>
      <c r="Q187" s="142">
        <f>(Q186)*'Data - P&amp;L'!$L$5</f>
        <v>0</v>
      </c>
      <c r="R187" s="142">
        <f>(R186)*'Data - P&amp;L'!$L$5</f>
        <v>21.96225</v>
      </c>
      <c r="S187" s="142">
        <f>(S186)*'Data - P&amp;L'!$L$5</f>
        <v>14.6415</v>
      </c>
      <c r="T187" s="142">
        <f>(T186)*'Data - P&amp;L'!$L$5</f>
        <v>0</v>
      </c>
      <c r="U187" s="142">
        <f>(U186)*'Data - P&amp;L'!$L$5</f>
        <v>0</v>
      </c>
      <c r="V187" s="142">
        <f>(V186)*'Data - P&amp;L'!$L$5</f>
        <v>-7.32075</v>
      </c>
      <c r="W187" s="142">
        <f>(W186)*'Data - P&amp;L'!$L$5</f>
        <v>0</v>
      </c>
      <c r="X187" s="142">
        <f>(X186)*'Data - P&amp;L'!$L$5</f>
        <v>0</v>
      </c>
      <c r="Y187" s="142">
        <f>(Y186)*'Data - P&amp;L'!$L$5</f>
        <v>-7.32075</v>
      </c>
      <c r="Z187" s="142">
        <f>(Z186)*'Data - P&amp;L'!$L$5</f>
        <v>0</v>
      </c>
      <c r="AA187" s="142">
        <f>(AA186)*'Data - P&amp;L'!$L$5</f>
        <v>0</v>
      </c>
      <c r="AB187" s="142">
        <f>(AB186)*'Data - P&amp;L'!$L$5</f>
        <v>0</v>
      </c>
      <c r="AC187" s="142">
        <f>(AC186)*'Data - P&amp;L'!$L$5</f>
        <v>0</v>
      </c>
      <c r="AD187" s="142">
        <f>(AD186)*'Data - P&amp;L'!$L$5</f>
        <v>0</v>
      </c>
      <c r="AE187" s="142">
        <f>(AE186)*'Data - P&amp;L'!$L$5</f>
        <v>0</v>
      </c>
      <c r="AF187" s="142">
        <f>(AF186)*'Data - P&amp;L'!$L$5</f>
        <v>0</v>
      </c>
      <c r="AG187" s="635">
        <f t="shared" si="63"/>
        <v>1112.754</v>
      </c>
    </row>
    <row r="188">
      <c r="A188" s="389" t="s">
        <v>1049</v>
      </c>
      <c r="B188" s="142">
        <f>B99*'Data - P&amp;L'!$C$6</f>
        <v>0</v>
      </c>
      <c r="C188" s="142">
        <f>C99*'Data - P&amp;L'!$C$6</f>
        <v>0</v>
      </c>
      <c r="D188" s="142">
        <f>D99*'Data - P&amp;L'!$C$6</f>
        <v>0</v>
      </c>
      <c r="E188" s="142">
        <f>E99*'Data - P&amp;L'!$C$6</f>
        <v>0</v>
      </c>
      <c r="F188" s="142">
        <f>F99*'Data - P&amp;L'!$C$6</f>
        <v>0</v>
      </c>
      <c r="G188" s="142">
        <f>G99*'Data - P&amp;L'!$C$6</f>
        <v>0</v>
      </c>
      <c r="H188" s="142">
        <f>H99*'Data - P&amp;L'!$C$6</f>
        <v>0</v>
      </c>
      <c r="I188" s="142">
        <f>I99*'Data - P&amp;L'!$C$6</f>
        <v>0</v>
      </c>
      <c r="J188" s="142">
        <f>J99*'Data - P&amp;L'!$C$6</f>
        <v>0</v>
      </c>
      <c r="K188" s="142">
        <f>K99*'Data - P&amp;L'!$C$6</f>
        <v>0</v>
      </c>
      <c r="L188" s="142">
        <f>L99*'Data - P&amp;L'!$C$6</f>
        <v>0</v>
      </c>
      <c r="M188" s="142">
        <f>M99*'Data - P&amp;L'!$C$6</f>
        <v>0</v>
      </c>
      <c r="N188" s="142">
        <f>N99*'Data - P&amp;L'!$C$6</f>
        <v>0</v>
      </c>
      <c r="O188" s="142">
        <f>O99*'Data - P&amp;L'!$C$6</f>
        <v>0</v>
      </c>
      <c r="P188" s="142">
        <f>P99*'Data - P&amp;L'!$C$6</f>
        <v>0</v>
      </c>
      <c r="Q188" s="142">
        <f>Q99*'Data - P&amp;L'!$C$6</f>
        <v>0</v>
      </c>
      <c r="R188" s="142">
        <f>R99*'Data - P&amp;L'!$C$6</f>
        <v>0</v>
      </c>
      <c r="S188" s="142">
        <f>S99*'Data - P&amp;L'!$C$6</f>
        <v>0</v>
      </c>
      <c r="T188" s="142">
        <f>T99*'Data - P&amp;L'!$C$6</f>
        <v>-5.49</v>
      </c>
      <c r="U188" s="142">
        <f>U99*'Data - P&amp;L'!$C$6</f>
        <v>0</v>
      </c>
      <c r="V188" s="142">
        <f>V99*'Data - P&amp;L'!$C$6</f>
        <v>0</v>
      </c>
      <c r="W188" s="142">
        <f>W99*'Data - P&amp;L'!$C$6</f>
        <v>0</v>
      </c>
      <c r="X188" s="142">
        <f>X99*'Data - P&amp;L'!$C$6</f>
        <v>0</v>
      </c>
      <c r="Y188" s="142">
        <f>Y99*'Data - P&amp;L'!$C$6</f>
        <v>0</v>
      </c>
      <c r="Z188" s="142">
        <f>Z99*'Data - P&amp;L'!$C$6</f>
        <v>0</v>
      </c>
      <c r="AA188" s="142">
        <f>AA99*'Data - P&amp;L'!$C$6</f>
        <v>0</v>
      </c>
      <c r="AB188" s="142">
        <f>AB99*'Data - P&amp;L'!$C$6</f>
        <v>0</v>
      </c>
      <c r="AC188" s="142">
        <f>AC99*'Data - P&amp;L'!$C$6</f>
        <v>0</v>
      </c>
      <c r="AD188" s="142">
        <f>AD99*'Data - P&amp;L'!$C$6</f>
        <v>0</v>
      </c>
      <c r="AE188" s="142">
        <f>AE99*'Data - P&amp;L'!$C$6</f>
        <v>0</v>
      </c>
      <c r="AF188" s="142">
        <f>AF99*'Data - P&amp;L'!$C$6</f>
        <v>0</v>
      </c>
      <c r="AG188" s="635">
        <f t="shared" si="63"/>
        <v>-5.49</v>
      </c>
    </row>
    <row r="189">
      <c r="A189" s="645" t="s">
        <v>1050</v>
      </c>
      <c r="B189" s="142">
        <f>B188*'Data - P&amp;L'!$L$5</f>
        <v>0</v>
      </c>
      <c r="C189" s="142">
        <f>C188*'Data - P&amp;L'!$L$5</f>
        <v>0</v>
      </c>
      <c r="D189" s="142">
        <f>D188*'Data - P&amp;L'!$L$5</f>
        <v>0</v>
      </c>
      <c r="E189" s="142">
        <f>E188*'Data - P&amp;L'!$L$5</f>
        <v>0</v>
      </c>
      <c r="F189" s="142">
        <f>F188*'Data - P&amp;L'!$L$5</f>
        <v>0</v>
      </c>
      <c r="G189" s="142">
        <f>G188*'Data - P&amp;L'!$L$5</f>
        <v>0</v>
      </c>
      <c r="H189" s="142">
        <f>H188*'Data - P&amp;L'!$L$5</f>
        <v>0</v>
      </c>
      <c r="I189" s="142">
        <f>I188*'Data - P&amp;L'!$L$5</f>
        <v>0</v>
      </c>
      <c r="J189" s="142">
        <f>J188*'Data - P&amp;L'!$L$5</f>
        <v>0</v>
      </c>
      <c r="K189" s="142">
        <f>K188*'Data - P&amp;L'!$L$5</f>
        <v>0</v>
      </c>
      <c r="L189" s="142">
        <f>L188*'Data - P&amp;L'!$L$5</f>
        <v>0</v>
      </c>
      <c r="M189" s="142">
        <f>M188*'Data - P&amp;L'!$L$5</f>
        <v>0</v>
      </c>
      <c r="N189" s="142">
        <f>N188*'Data - P&amp;L'!$L$5</f>
        <v>0</v>
      </c>
      <c r="O189" s="142">
        <f>O188*'Data - P&amp;L'!$L$5</f>
        <v>0</v>
      </c>
      <c r="P189" s="142">
        <f>P188*'Data - P&amp;L'!$L$5</f>
        <v>0</v>
      </c>
      <c r="Q189" s="142">
        <f>Q188*'Data - P&amp;L'!$L$5</f>
        <v>0</v>
      </c>
      <c r="R189" s="142">
        <f>R188*'Data - P&amp;L'!$L$5</f>
        <v>0</v>
      </c>
      <c r="S189" s="142">
        <f>S188*'Data - P&amp;L'!$L$5</f>
        <v>0</v>
      </c>
      <c r="T189" s="142">
        <f>T188*'Data - P&amp;L'!$L$5</f>
        <v>-0.41175</v>
      </c>
      <c r="U189" s="142">
        <f>U188*'Data - P&amp;L'!$L$5</f>
        <v>0</v>
      </c>
      <c r="V189" s="142">
        <f>V188*'Data - P&amp;L'!$L$5</f>
        <v>0</v>
      </c>
      <c r="W189" s="142">
        <f>W188*'Data - P&amp;L'!$L$5</f>
        <v>0</v>
      </c>
      <c r="X189" s="142">
        <f>X188*'Data - P&amp;L'!$L$5</f>
        <v>0</v>
      </c>
      <c r="Y189" s="142">
        <f>Y188*'Data - P&amp;L'!$L$5</f>
        <v>0</v>
      </c>
      <c r="Z189" s="142">
        <f>Z188*'Data - P&amp;L'!$L$5</f>
        <v>0</v>
      </c>
      <c r="AA189" s="142">
        <f>AA188*'Data - P&amp;L'!$L$5</f>
        <v>0</v>
      </c>
      <c r="AB189" s="142">
        <f>AB188*'Data - P&amp;L'!$L$5</f>
        <v>0</v>
      </c>
      <c r="AC189" s="142">
        <f>AC188*'Data - P&amp;L'!$L$5</f>
        <v>0</v>
      </c>
      <c r="AD189" s="142">
        <f>AD188*'Data - P&amp;L'!$L$5</f>
        <v>0</v>
      </c>
      <c r="AE189" s="142">
        <f>AE188*'Data - P&amp;L'!$L$5</f>
        <v>0</v>
      </c>
      <c r="AF189" s="142">
        <f>AF188*'Data - P&amp;L'!$L$5</f>
        <v>0</v>
      </c>
      <c r="AG189" s="635">
        <f t="shared" si="63"/>
        <v>-0.41175</v>
      </c>
    </row>
    <row r="190">
      <c r="A190" s="645" t="s">
        <v>1051</v>
      </c>
      <c r="B190" s="142">
        <f>B188*'Data - P&amp;L'!$L$4</f>
        <v>0</v>
      </c>
      <c r="C190" s="142">
        <f>C188*'Data - P&amp;L'!$L$4</f>
        <v>0</v>
      </c>
      <c r="D190" s="142">
        <f>D188*'Data - P&amp;L'!$L$4</f>
        <v>0</v>
      </c>
      <c r="E190" s="142">
        <f>E188*'Data - P&amp;L'!$L$4</f>
        <v>0</v>
      </c>
      <c r="F190" s="142">
        <f>F188*'Data - P&amp;L'!$L$4</f>
        <v>0</v>
      </c>
      <c r="G190" s="142">
        <f>G188*'Data - P&amp;L'!$L$4</f>
        <v>0</v>
      </c>
      <c r="H190" s="142">
        <f>H188*'Data - P&amp;L'!$L$4</f>
        <v>0</v>
      </c>
      <c r="I190" s="142">
        <f>I188*'Data - P&amp;L'!$L$4</f>
        <v>0</v>
      </c>
      <c r="J190" s="142">
        <f>J188*'Data - P&amp;L'!$L$4</f>
        <v>0</v>
      </c>
      <c r="K190" s="142">
        <f>K188*'Data - P&amp;L'!$L$4</f>
        <v>0</v>
      </c>
      <c r="L190" s="142">
        <f>L188*'Data - P&amp;L'!$L$4</f>
        <v>0</v>
      </c>
      <c r="M190" s="142">
        <f>M188*'Data - P&amp;L'!$L$4</f>
        <v>0</v>
      </c>
      <c r="N190" s="142">
        <f>N188*'Data - P&amp;L'!$L$4</f>
        <v>0</v>
      </c>
      <c r="O190" s="142">
        <f>O188*'Data - P&amp;L'!$L$4</f>
        <v>0</v>
      </c>
      <c r="P190" s="142">
        <f>P188*'Data - P&amp;L'!$L$4</f>
        <v>0</v>
      </c>
      <c r="Q190" s="142">
        <f>Q188*'Data - P&amp;L'!$L$4</f>
        <v>0</v>
      </c>
      <c r="R190" s="142">
        <f>R188*'Data - P&amp;L'!$L$4</f>
        <v>0</v>
      </c>
      <c r="S190" s="142">
        <f>S188*'Data - P&amp;L'!$L$4</f>
        <v>0</v>
      </c>
      <c r="T190" s="142">
        <f>T188*'Data - P&amp;L'!$L$4</f>
        <v>-0.18666</v>
      </c>
      <c r="U190" s="142">
        <f>U188*'Data - P&amp;L'!$L$4</f>
        <v>0</v>
      </c>
      <c r="V190" s="142">
        <f>V188*'Data - P&amp;L'!$L$4</f>
        <v>0</v>
      </c>
      <c r="W190" s="142">
        <f>W188*'Data - P&amp;L'!$L$4</f>
        <v>0</v>
      </c>
      <c r="X190" s="142">
        <f>X188*'Data - P&amp;L'!$L$4</f>
        <v>0</v>
      </c>
      <c r="Y190" s="142">
        <f>Y188*'Data - P&amp;L'!$L$4</f>
        <v>0</v>
      </c>
      <c r="Z190" s="142">
        <f>Z188*'Data - P&amp;L'!$L$4</f>
        <v>0</v>
      </c>
      <c r="AA190" s="142">
        <f>AA188*'Data - P&amp;L'!$L$4</f>
        <v>0</v>
      </c>
      <c r="AB190" s="142">
        <f>AB188*'Data - P&amp;L'!$L$4</f>
        <v>0</v>
      </c>
      <c r="AC190" s="142">
        <f>AC188*'Data - P&amp;L'!$L$4</f>
        <v>0</v>
      </c>
      <c r="AD190" s="142">
        <f>AD188*'Data - P&amp;L'!$L$4</f>
        <v>0</v>
      </c>
      <c r="AE190" s="142">
        <f>AE188*'Data - P&amp;L'!$L$4</f>
        <v>0</v>
      </c>
      <c r="AF190" s="142">
        <f>AF188*'Data - P&amp;L'!$L$4</f>
        <v>0</v>
      </c>
      <c r="AG190" s="635">
        <f t="shared" si="63"/>
        <v>-0.18666</v>
      </c>
    </row>
    <row r="191">
      <c r="A191" s="389" t="s">
        <v>1052</v>
      </c>
      <c r="B191" s="142">
        <f>B100*'Data - P&amp;L'!$C$8</f>
        <v>0</v>
      </c>
      <c r="C191" s="142">
        <f>C100*'Data - P&amp;L'!$C$8</f>
        <v>0</v>
      </c>
      <c r="D191" s="142">
        <f>D100*'Data - P&amp;L'!$C$8</f>
        <v>0</v>
      </c>
      <c r="E191" s="142">
        <f>E100*'Data - P&amp;L'!$C$8</f>
        <v>0</v>
      </c>
      <c r="F191" s="142">
        <f>F100*'Data - P&amp;L'!$C$8</f>
        <v>0</v>
      </c>
      <c r="G191" s="142">
        <f>G100*'Data - P&amp;L'!$C$8</f>
        <v>0</v>
      </c>
      <c r="H191" s="142">
        <f>H100*'Data - P&amp;L'!$C$8</f>
        <v>0</v>
      </c>
      <c r="I191" s="142">
        <f>I100*'Data - P&amp;L'!$C$8</f>
        <v>0</v>
      </c>
      <c r="J191" s="142">
        <f>J100*'Data - P&amp;L'!$C$8</f>
        <v>0</v>
      </c>
      <c r="K191" s="142">
        <f>K100*'Data - P&amp;L'!$C$8</f>
        <v>0</v>
      </c>
      <c r="L191" s="142">
        <f>L100*'Data - P&amp;L'!$C$8</f>
        <v>0</v>
      </c>
      <c r="M191" s="142">
        <f>M100*'Data - P&amp;L'!$C$8</f>
        <v>0</v>
      </c>
      <c r="N191" s="142">
        <f>N100*'Data - P&amp;L'!$C$8</f>
        <v>0</v>
      </c>
      <c r="O191" s="142">
        <f>O100*'Data - P&amp;L'!$C$8</f>
        <v>0</v>
      </c>
      <c r="P191" s="142">
        <f>P100*'Data - P&amp;L'!$C$8</f>
        <v>0</v>
      </c>
      <c r="Q191" s="142">
        <f>Q100*'Data - P&amp;L'!$C$8</f>
        <v>0</v>
      </c>
      <c r="R191" s="142">
        <f>R100*'Data - P&amp;L'!$C$8</f>
        <v>0</v>
      </c>
      <c r="S191" s="142">
        <f>S100*'Data - P&amp;L'!$C$8</f>
        <v>0</v>
      </c>
      <c r="T191" s="142">
        <f>T100*'Data - P&amp;L'!$C$8</f>
        <v>-1.19</v>
      </c>
      <c r="U191" s="142">
        <f>U100*'Data - P&amp;L'!$C$8</f>
        <v>0</v>
      </c>
      <c r="V191" s="142">
        <f>V100*'Data - P&amp;L'!$C$8</f>
        <v>-1.19</v>
      </c>
      <c r="W191" s="142">
        <f>W100*'Data - P&amp;L'!$C$8</f>
        <v>0</v>
      </c>
      <c r="X191" s="142">
        <f>X100*'Data - P&amp;L'!$C$8</f>
        <v>0</v>
      </c>
      <c r="Y191" s="142">
        <f>Y100*'Data - P&amp;L'!$C$8</f>
        <v>0</v>
      </c>
      <c r="Z191" s="142">
        <f>Z100*'Data - P&amp;L'!$C$8</f>
        <v>0</v>
      </c>
      <c r="AA191" s="142">
        <f>AA100*'Data - P&amp;L'!$C$8</f>
        <v>0</v>
      </c>
      <c r="AB191" s="142">
        <f>AB100*'Data - P&amp;L'!$C$8</f>
        <v>0</v>
      </c>
      <c r="AC191" s="142">
        <f>AC100*'Data - P&amp;L'!$C$8</f>
        <v>0</v>
      </c>
      <c r="AD191" s="142">
        <f>AD100*'Data - P&amp;L'!$C$8</f>
        <v>0</v>
      </c>
      <c r="AE191" s="142">
        <f>AE100*'Data - P&amp;L'!$C$8</f>
        <v>0</v>
      </c>
      <c r="AF191" s="142">
        <f>AF100*'Data - P&amp;L'!$C$8</f>
        <v>0</v>
      </c>
      <c r="AG191" s="635">
        <f t="shared" si="63"/>
        <v>-2.38</v>
      </c>
    </row>
    <row r="192">
      <c r="A192" s="645" t="s">
        <v>1053</v>
      </c>
      <c r="B192" s="142">
        <f>B191*'Data - P&amp;L'!$L$5</f>
        <v>0</v>
      </c>
      <c r="C192" s="142">
        <f>C191*'Data - P&amp;L'!$L$5</f>
        <v>0</v>
      </c>
      <c r="D192" s="142">
        <f>D191*'Data - P&amp;L'!$L$5</f>
        <v>0</v>
      </c>
      <c r="E192" s="142">
        <f>E191*'Data - P&amp;L'!$L$5</f>
        <v>0</v>
      </c>
      <c r="F192" s="142">
        <f>F191*'Data - P&amp;L'!$L$5</f>
        <v>0</v>
      </c>
      <c r="G192" s="142">
        <f>G191*'Data - P&amp;L'!$L$5</f>
        <v>0</v>
      </c>
      <c r="H192" s="142">
        <f>H191*'Data - P&amp;L'!$L$5</f>
        <v>0</v>
      </c>
      <c r="I192" s="142">
        <f>I191*'Data - P&amp;L'!$L$5</f>
        <v>0</v>
      </c>
      <c r="J192" s="142">
        <f>J191*'Data - P&amp;L'!$L$5</f>
        <v>0</v>
      </c>
      <c r="K192" s="142">
        <f>K191*'Data - P&amp;L'!$L$5</f>
        <v>0</v>
      </c>
      <c r="L192" s="142">
        <f>L191*'Data - P&amp;L'!$L$5</f>
        <v>0</v>
      </c>
      <c r="M192" s="142">
        <f>M191*'Data - P&amp;L'!$L$5</f>
        <v>0</v>
      </c>
      <c r="N192" s="142">
        <f>N191*'Data - P&amp;L'!$L$5</f>
        <v>0</v>
      </c>
      <c r="O192" s="142">
        <f>O191*'Data - P&amp;L'!$L$5</f>
        <v>0</v>
      </c>
      <c r="P192" s="142">
        <f>P191*'Data - P&amp;L'!$L$5</f>
        <v>0</v>
      </c>
      <c r="Q192" s="142">
        <f>Q191*'Data - P&amp;L'!$L$5</f>
        <v>0</v>
      </c>
      <c r="R192" s="142">
        <f>R191*'Data - P&amp;L'!$L$5</f>
        <v>0</v>
      </c>
      <c r="S192" s="142">
        <f>S191*'Data - P&amp;L'!$L$5</f>
        <v>0</v>
      </c>
      <c r="T192" s="142">
        <f>T191*'Data - P&amp;L'!$L$5</f>
        <v>-0.08925</v>
      </c>
      <c r="U192" s="142">
        <f>U191*'Data - P&amp;L'!$L$5</f>
        <v>0</v>
      </c>
      <c r="V192" s="142">
        <f>V191*'Data - P&amp;L'!$L$5</f>
        <v>-0.08925</v>
      </c>
      <c r="W192" s="142">
        <f>W191*'Data - P&amp;L'!$L$5</f>
        <v>0</v>
      </c>
      <c r="X192" s="142">
        <f>X191*'Data - P&amp;L'!$L$5</f>
        <v>0</v>
      </c>
      <c r="Y192" s="142">
        <f>Y191*'Data - P&amp;L'!$L$5</f>
        <v>0</v>
      </c>
      <c r="Z192" s="142">
        <f>Z191*'Data - P&amp;L'!$L$5</f>
        <v>0</v>
      </c>
      <c r="AA192" s="142">
        <f>AA191*'Data - P&amp;L'!$L$5</f>
        <v>0</v>
      </c>
      <c r="AB192" s="142">
        <f>AB191*'Data - P&amp;L'!$L$5</f>
        <v>0</v>
      </c>
      <c r="AC192" s="142">
        <f>AC191*'Data - P&amp;L'!$L$5</f>
        <v>0</v>
      </c>
      <c r="AD192" s="142">
        <f>AD191*'Data - P&amp;L'!$L$5</f>
        <v>0</v>
      </c>
      <c r="AE192" s="142">
        <f>AE191*'Data - P&amp;L'!$L$5</f>
        <v>0</v>
      </c>
      <c r="AF192" s="142">
        <f>AF191*'Data - P&amp;L'!$L$5</f>
        <v>0</v>
      </c>
      <c r="AG192" s="635">
        <f t="shared" si="63"/>
        <v>-0.1785</v>
      </c>
    </row>
    <row r="193">
      <c r="A193" s="645" t="s">
        <v>1054</v>
      </c>
      <c r="B193" s="142">
        <f>B191*'Data - P&amp;L'!$L$4</f>
        <v>0</v>
      </c>
      <c r="C193" s="142">
        <f>C191*'Data - P&amp;L'!$L$4</f>
        <v>0</v>
      </c>
      <c r="D193" s="142">
        <f>D191*'Data - P&amp;L'!$L$4</f>
        <v>0</v>
      </c>
      <c r="E193" s="142">
        <f>E191*'Data - P&amp;L'!$L$4</f>
        <v>0</v>
      </c>
      <c r="F193" s="142">
        <f>F191*'Data - P&amp;L'!$L$4</f>
        <v>0</v>
      </c>
      <c r="G193" s="142">
        <f>G191*'Data - P&amp;L'!$L$4</f>
        <v>0</v>
      </c>
      <c r="H193" s="142">
        <f>H191*'Data - P&amp;L'!$L$4</f>
        <v>0</v>
      </c>
      <c r="I193" s="142">
        <f>I191*'Data - P&amp;L'!$L$4</f>
        <v>0</v>
      </c>
      <c r="J193" s="142">
        <f>J191*'Data - P&amp;L'!$L$4</f>
        <v>0</v>
      </c>
      <c r="K193" s="142">
        <f>K191*'Data - P&amp;L'!$L$4</f>
        <v>0</v>
      </c>
      <c r="L193" s="142">
        <f>L191*'Data - P&amp;L'!$L$4</f>
        <v>0</v>
      </c>
      <c r="M193" s="142">
        <f>M191*'Data - P&amp;L'!$L$4</f>
        <v>0</v>
      </c>
      <c r="N193" s="142">
        <f>N191*'Data - P&amp;L'!$L$4</f>
        <v>0</v>
      </c>
      <c r="O193" s="142">
        <f>O191*'Data - P&amp;L'!$L$4</f>
        <v>0</v>
      </c>
      <c r="P193" s="142">
        <f>P191*'Data - P&amp;L'!$L$4</f>
        <v>0</v>
      </c>
      <c r="Q193" s="142">
        <f>Q191*'Data - P&amp;L'!$L$4</f>
        <v>0</v>
      </c>
      <c r="R193" s="142">
        <f>R191*'Data - P&amp;L'!$L$4</f>
        <v>0</v>
      </c>
      <c r="S193" s="142">
        <f>S191*'Data - P&amp;L'!$L$4</f>
        <v>0</v>
      </c>
      <c r="T193" s="142">
        <f>T191*'Data - P&amp;L'!$L$4</f>
        <v>-0.04046</v>
      </c>
      <c r="U193" s="142">
        <f>U191*'Data - P&amp;L'!$L$4</f>
        <v>0</v>
      </c>
      <c r="V193" s="142">
        <f>V191*'Data - P&amp;L'!$L$4</f>
        <v>-0.04046</v>
      </c>
      <c r="W193" s="142">
        <f>W191*'Data - P&amp;L'!$L$4</f>
        <v>0</v>
      </c>
      <c r="X193" s="142">
        <f>X191*'Data - P&amp;L'!$L$4</f>
        <v>0</v>
      </c>
      <c r="Y193" s="142">
        <f>Y191*'Data - P&amp;L'!$L$4</f>
        <v>0</v>
      </c>
      <c r="Z193" s="142">
        <f>Z191*'Data - P&amp;L'!$L$4</f>
        <v>0</v>
      </c>
      <c r="AA193" s="142">
        <f>AA191*'Data - P&amp;L'!$L$4</f>
        <v>0</v>
      </c>
      <c r="AB193" s="142">
        <f>AB191*'Data - P&amp;L'!$L$4</f>
        <v>0</v>
      </c>
      <c r="AC193" s="142">
        <f>AC191*'Data - P&amp;L'!$L$4</f>
        <v>0</v>
      </c>
      <c r="AD193" s="142">
        <f>AD191*'Data - P&amp;L'!$L$4</f>
        <v>0</v>
      </c>
      <c r="AE193" s="142">
        <f>AE191*'Data - P&amp;L'!$L$4</f>
        <v>0</v>
      </c>
      <c r="AF193" s="142">
        <f>AF191*'Data - P&amp;L'!$L$4</f>
        <v>0</v>
      </c>
      <c r="AG193" s="635">
        <f t="shared" si="63"/>
        <v>-0.08092</v>
      </c>
    </row>
    <row r="194">
      <c r="A194" s="389" t="s">
        <v>1055</v>
      </c>
      <c r="B194" s="142">
        <f>(B101+B102)*'Data - P&amp;L'!$C$9</f>
        <v>0</v>
      </c>
      <c r="C194" s="142">
        <f>(C101+C102)*'Data - P&amp;L'!$C$9</f>
        <v>0</v>
      </c>
      <c r="D194" s="142">
        <f>(D101+D102)*'Data - P&amp;L'!$C$9</f>
        <v>0</v>
      </c>
      <c r="E194" s="142">
        <f>(E101+E102)*'Data - P&amp;L'!$C$9</f>
        <v>0</v>
      </c>
      <c r="F194" s="142">
        <f>(F101+F102)*'Data - P&amp;L'!$C$9</f>
        <v>0</v>
      </c>
      <c r="G194" s="142">
        <f>(G101+G102)*'Data - P&amp;L'!$C$9</f>
        <v>0</v>
      </c>
      <c r="H194" s="142">
        <f>(H101+H102)*'Data - P&amp;L'!$C$9</f>
        <v>0</v>
      </c>
      <c r="I194" s="142">
        <f>(I101+I102)*'Data - P&amp;L'!$C$9</f>
        <v>0</v>
      </c>
      <c r="J194" s="142">
        <f>(J101+J102)*'Data - P&amp;L'!$C$9</f>
        <v>0</v>
      </c>
      <c r="K194" s="142">
        <f>(K101+K102)*'Data - P&amp;L'!$C$9</f>
        <v>0</v>
      </c>
      <c r="L194" s="142">
        <f>(L101+L102)*'Data - P&amp;L'!$C$9</f>
        <v>0</v>
      </c>
      <c r="M194" s="142">
        <f>(M101+M102)*'Data - P&amp;L'!$C$9</f>
        <v>0</v>
      </c>
      <c r="N194" s="142">
        <f>(N101+N102)*'Data - P&amp;L'!$C$9</f>
        <v>0</v>
      </c>
      <c r="O194" s="142">
        <f>(O101+O102)*'Data - P&amp;L'!$C$9</f>
        <v>0</v>
      </c>
      <c r="P194" s="142">
        <f>(P101+P102)*'Data - P&amp;L'!$C$9</f>
        <v>0</v>
      </c>
      <c r="Q194" s="142">
        <f>(Q101+Q102)*'Data - P&amp;L'!$C$9</f>
        <v>0</v>
      </c>
      <c r="R194" s="142">
        <f>(R101+R102)*'Data - P&amp;L'!$C$9</f>
        <v>0</v>
      </c>
      <c r="S194" s="142">
        <f>(S101+S102)*'Data - P&amp;L'!$C$9</f>
        <v>0</v>
      </c>
      <c r="T194" s="142">
        <f>(T101+T102)*'Data - P&amp;L'!$C$9</f>
        <v>0</v>
      </c>
      <c r="U194" s="142">
        <f>(U101+U102)*'Data - P&amp;L'!$C$9</f>
        <v>0</v>
      </c>
      <c r="V194" s="142">
        <f>(V101+V102)*'Data - P&amp;L'!$C$9</f>
        <v>0</v>
      </c>
      <c r="W194" s="142">
        <f>(W101+W102)*'Data - P&amp;L'!$C$9</f>
        <v>0</v>
      </c>
      <c r="X194" s="142">
        <f>(X101+X102)*'Data - P&amp;L'!$C$9</f>
        <v>0</v>
      </c>
      <c r="Y194" s="142">
        <f>(Y101+Y102)*'Data - P&amp;L'!$C$9</f>
        <v>-6.66</v>
      </c>
      <c r="Z194" s="142">
        <f>(Z101+Z102)*'Data - P&amp;L'!$C$9</f>
        <v>0</v>
      </c>
      <c r="AA194" s="142">
        <f>(AA101+AA102)*'Data - P&amp;L'!$C$9</f>
        <v>0</v>
      </c>
      <c r="AB194" s="142">
        <f>(AB101+AB102)*'Data - P&amp;L'!$C$9</f>
        <v>0</v>
      </c>
      <c r="AC194" s="142">
        <f>(AC101+AC102)*'Data - P&amp;L'!$C$9</f>
        <v>0</v>
      </c>
      <c r="AD194" s="142">
        <f>(AD101+AD102)*'Data - P&amp;L'!$C$9</f>
        <v>0</v>
      </c>
      <c r="AE194" s="142">
        <f>(AE101+AE102)*'Data - P&amp;L'!$C$9</f>
        <v>0</v>
      </c>
      <c r="AF194" s="142">
        <f>(AF101+AF102)*'Data - P&amp;L'!$C$9</f>
        <v>0</v>
      </c>
      <c r="AG194" s="635">
        <f t="shared" si="63"/>
        <v>-6.66</v>
      </c>
    </row>
    <row r="195">
      <c r="A195" s="645" t="s">
        <v>1056</v>
      </c>
      <c r="B195" s="142">
        <f>B194*'Data - P&amp;L'!$L$5</f>
        <v>0</v>
      </c>
      <c r="C195" s="142">
        <f>C194*'Data - P&amp;L'!$L$5</f>
        <v>0</v>
      </c>
      <c r="D195" s="142">
        <f>D194*'Data - P&amp;L'!$L$5</f>
        <v>0</v>
      </c>
      <c r="E195" s="142">
        <f>E194*'Data - P&amp;L'!$L$5</f>
        <v>0</v>
      </c>
      <c r="F195" s="142">
        <f>F194*'Data - P&amp;L'!$L$5</f>
        <v>0</v>
      </c>
      <c r="G195" s="142">
        <f>G194*'Data - P&amp;L'!$L$5</f>
        <v>0</v>
      </c>
      <c r="H195" s="142">
        <f>H194*'Data - P&amp;L'!$L$5</f>
        <v>0</v>
      </c>
      <c r="I195" s="142">
        <f>I194*'Data - P&amp;L'!$L$5</f>
        <v>0</v>
      </c>
      <c r="J195" s="142">
        <f>J194*'Data - P&amp;L'!$L$5</f>
        <v>0</v>
      </c>
      <c r="K195" s="142">
        <f>K194*'Data - P&amp;L'!$L$5</f>
        <v>0</v>
      </c>
      <c r="L195" s="142">
        <f>L194*'Data - P&amp;L'!$L$5</f>
        <v>0</v>
      </c>
      <c r="M195" s="142">
        <f>M194*'Data - P&amp;L'!$L$5</f>
        <v>0</v>
      </c>
      <c r="N195" s="142">
        <f>N194*'Data - P&amp;L'!$L$5</f>
        <v>0</v>
      </c>
      <c r="O195" s="142">
        <f>O194*'Data - P&amp;L'!$L$5</f>
        <v>0</v>
      </c>
      <c r="P195" s="142">
        <f>P194*'Data - P&amp;L'!$L$5</f>
        <v>0</v>
      </c>
      <c r="Q195" s="142">
        <f>Q194*'Data - P&amp;L'!$L$5</f>
        <v>0</v>
      </c>
      <c r="R195" s="142">
        <f>R194*'Data - P&amp;L'!$L$5</f>
        <v>0</v>
      </c>
      <c r="S195" s="142">
        <f>S194*'Data - P&amp;L'!$L$5</f>
        <v>0</v>
      </c>
      <c r="T195" s="142">
        <f>T194*'Data - P&amp;L'!$L$5</f>
        <v>0</v>
      </c>
      <c r="U195" s="142">
        <f>U194*'Data - P&amp;L'!$L$5</f>
        <v>0</v>
      </c>
      <c r="V195" s="142">
        <f>V194*'Data - P&amp;L'!$L$5</f>
        <v>0</v>
      </c>
      <c r="W195" s="142">
        <f>W194*'Data - P&amp;L'!$L$5</f>
        <v>0</v>
      </c>
      <c r="X195" s="142">
        <f>X194*'Data - P&amp;L'!$L$5</f>
        <v>0</v>
      </c>
      <c r="Y195" s="142">
        <f>Y194*'Data - P&amp;L'!$L$5</f>
        <v>-0.4995</v>
      </c>
      <c r="Z195" s="142">
        <f>Z194*'Data - P&amp;L'!$L$5</f>
        <v>0</v>
      </c>
      <c r="AA195" s="142">
        <f>AA194*'Data - P&amp;L'!$L$5</f>
        <v>0</v>
      </c>
      <c r="AB195" s="142">
        <f>AB194*'Data - P&amp;L'!$L$5</f>
        <v>0</v>
      </c>
      <c r="AC195" s="142">
        <f>AC194*'Data - P&amp;L'!$L$5</f>
        <v>0</v>
      </c>
      <c r="AD195" s="142">
        <f>AD194*'Data - P&amp;L'!$L$5</f>
        <v>0</v>
      </c>
      <c r="AE195" s="142">
        <f>AE194*'Data - P&amp;L'!$L$5</f>
        <v>0</v>
      </c>
      <c r="AF195" s="142">
        <f>AF194*'Data - P&amp;L'!$L$5</f>
        <v>0</v>
      </c>
      <c r="AG195" s="635">
        <f t="shared" si="63"/>
        <v>-0.4995</v>
      </c>
    </row>
    <row r="196">
      <c r="A196" s="645" t="s">
        <v>1057</v>
      </c>
      <c r="B196" s="142">
        <f>B194*'Data - P&amp;L'!$L$4</f>
        <v>0</v>
      </c>
      <c r="C196" s="142">
        <f>C194*'Data - P&amp;L'!$L$4</f>
        <v>0</v>
      </c>
      <c r="D196" s="142">
        <f>D194*'Data - P&amp;L'!$L$4</f>
        <v>0</v>
      </c>
      <c r="E196" s="142">
        <f>E194*'Data - P&amp;L'!$L$4</f>
        <v>0</v>
      </c>
      <c r="F196" s="142">
        <f>F194*'Data - P&amp;L'!$L$4</f>
        <v>0</v>
      </c>
      <c r="G196" s="142">
        <f>G194*'Data - P&amp;L'!$L$4</f>
        <v>0</v>
      </c>
      <c r="H196" s="142">
        <f>H194*'Data - P&amp;L'!$L$4</f>
        <v>0</v>
      </c>
      <c r="I196" s="142">
        <f>I194*'Data - P&amp;L'!$L$4</f>
        <v>0</v>
      </c>
      <c r="J196" s="142">
        <f>J194*'Data - P&amp;L'!$L$4</f>
        <v>0</v>
      </c>
      <c r="K196" s="142">
        <f>K194*'Data - P&amp;L'!$L$4</f>
        <v>0</v>
      </c>
      <c r="L196" s="142">
        <f>L194*'Data - P&amp;L'!$L$4</f>
        <v>0</v>
      </c>
      <c r="M196" s="142">
        <f>M194*'Data - P&amp;L'!$L$4</f>
        <v>0</v>
      </c>
      <c r="N196" s="142">
        <f>N194*'Data - P&amp;L'!$L$4</f>
        <v>0</v>
      </c>
      <c r="O196" s="142">
        <f>O194*'Data - P&amp;L'!$L$4</f>
        <v>0</v>
      </c>
      <c r="P196" s="142">
        <f>P194*'Data - P&amp;L'!$L$4</f>
        <v>0</v>
      </c>
      <c r="Q196" s="142">
        <f>Q194*'Data - P&amp;L'!$L$4</f>
        <v>0</v>
      </c>
      <c r="R196" s="142">
        <f>R194*'Data - P&amp;L'!$L$4</f>
        <v>0</v>
      </c>
      <c r="S196" s="142">
        <f>S194*'Data - P&amp;L'!$L$4</f>
        <v>0</v>
      </c>
      <c r="T196" s="142">
        <f>T194*'Data - P&amp;L'!$L$4</f>
        <v>0</v>
      </c>
      <c r="U196" s="142">
        <f>U194*'Data - P&amp;L'!$L$4</f>
        <v>0</v>
      </c>
      <c r="V196" s="142">
        <f>V194*'Data - P&amp;L'!$L$4</f>
        <v>0</v>
      </c>
      <c r="W196" s="142">
        <f>W194*'Data - P&amp;L'!$L$4</f>
        <v>0</v>
      </c>
      <c r="X196" s="142">
        <f>X194*'Data - P&amp;L'!$L$4</f>
        <v>0</v>
      </c>
      <c r="Y196" s="142">
        <f>Y194*'Data - P&amp;L'!$L$4</f>
        <v>-0.22644</v>
      </c>
      <c r="Z196" s="142">
        <f>Z194*'Data - P&amp;L'!$L$4</f>
        <v>0</v>
      </c>
      <c r="AA196" s="142">
        <f>AA194*'Data - P&amp;L'!$L$4</f>
        <v>0</v>
      </c>
      <c r="AB196" s="142">
        <f>AB194*'Data - P&amp;L'!$L$4</f>
        <v>0</v>
      </c>
      <c r="AC196" s="142">
        <f>AC194*'Data - P&amp;L'!$L$4</f>
        <v>0</v>
      </c>
      <c r="AD196" s="142">
        <f>AD194*'Data - P&amp;L'!$L$4</f>
        <v>0</v>
      </c>
      <c r="AE196" s="142">
        <f>AE194*'Data - P&amp;L'!$L$4</f>
        <v>0</v>
      </c>
      <c r="AF196" s="142">
        <f>AF194*'Data - P&amp;L'!$L$4</f>
        <v>0</v>
      </c>
      <c r="AG196" s="635">
        <f t="shared" si="63"/>
        <v>-0.22644</v>
      </c>
    </row>
    <row r="197">
      <c r="A197" s="389" t="s">
        <v>1058</v>
      </c>
      <c r="B197" s="142">
        <f>(B103+B104)*'Data - P&amp;L'!$C$5</f>
        <v>0</v>
      </c>
      <c r="C197" s="142">
        <f>(C103+C104)*'Data - P&amp;L'!$C$5</f>
        <v>0</v>
      </c>
      <c r="D197" s="142">
        <f>(D103+D104)*'Data - P&amp;L'!$C$5</f>
        <v>0</v>
      </c>
      <c r="E197" s="142">
        <f>(E103+E104)*'Data - P&amp;L'!$C$5</f>
        <v>0</v>
      </c>
      <c r="F197" s="142">
        <f>(F103+F104)*'Data - P&amp;L'!$C$5</f>
        <v>0</v>
      </c>
      <c r="G197" s="142">
        <f>(G103+G104)*'Data - P&amp;L'!$C$5</f>
        <v>-13.44</v>
      </c>
      <c r="H197" s="142">
        <f>(H103+H104)*'Data - P&amp;L'!$C$5</f>
        <v>0</v>
      </c>
      <c r="I197" s="142">
        <f>(I103+I104)*'Data - P&amp;L'!$C$5</f>
        <v>0</v>
      </c>
      <c r="J197" s="142">
        <f>(J103+J104)*'Data - P&amp;L'!$C$5</f>
        <v>0</v>
      </c>
      <c r="K197" s="142">
        <f>(K103+K104)*'Data - P&amp;L'!$C$5</f>
        <v>0</v>
      </c>
      <c r="L197" s="142">
        <f>(L103+L104)*'Data - P&amp;L'!$C$5</f>
        <v>0</v>
      </c>
      <c r="M197" s="142">
        <f>(M103+M104)*'Data - P&amp;L'!$C$5</f>
        <v>0</v>
      </c>
      <c r="N197" s="142">
        <f>(N103+N104)*'Data - P&amp;L'!$C$5</f>
        <v>-13.44</v>
      </c>
      <c r="O197" s="142">
        <f>(O103+O104)*'Data - P&amp;L'!$C$5</f>
        <v>0</v>
      </c>
      <c r="P197" s="142">
        <f>(P103+P104)*'Data - P&amp;L'!$C$5</f>
        <v>0</v>
      </c>
      <c r="Q197" s="142">
        <f>(Q103+Q104)*'Data - P&amp;L'!$C$5</f>
        <v>0</v>
      </c>
      <c r="R197" s="142">
        <f>(R103+R104)*'Data - P&amp;L'!$C$5</f>
        <v>0</v>
      </c>
      <c r="S197" s="142">
        <f>(S103+S104)*'Data - P&amp;L'!$C$5</f>
        <v>0</v>
      </c>
      <c r="T197" s="142">
        <f>(T103+T104)*'Data - P&amp;L'!$C$5</f>
        <v>-13.44</v>
      </c>
      <c r="U197" s="142">
        <f>(U103+U104)*'Data - P&amp;L'!$C$5</f>
        <v>0</v>
      </c>
      <c r="V197" s="142">
        <f>(V103+V104)*'Data - P&amp;L'!$C$5</f>
        <v>0</v>
      </c>
      <c r="W197" s="142">
        <f>(W103+W104)*'Data - P&amp;L'!$C$5</f>
        <v>0</v>
      </c>
      <c r="X197" s="142">
        <f>(X103+X104)*'Data - P&amp;L'!$C$5</f>
        <v>0</v>
      </c>
      <c r="Y197" s="142">
        <f>(Y103+Y104)*'Data - P&amp;L'!$C$5</f>
        <v>0</v>
      </c>
      <c r="Z197" s="142">
        <f>(Z103+Z104)*'Data - P&amp;L'!$C$5</f>
        <v>0</v>
      </c>
      <c r="AA197" s="142">
        <f>(AA103+AA104)*'Data - P&amp;L'!$C$5</f>
        <v>0</v>
      </c>
      <c r="AB197" s="142">
        <f>(AB103+AB104)*'Data - P&amp;L'!$C$5</f>
        <v>0</v>
      </c>
      <c r="AC197" s="142">
        <f>(AC103+AC104)*'Data - P&amp;L'!$C$5</f>
        <v>0</v>
      </c>
      <c r="AD197" s="142">
        <f>(AD103+AD104)*'Data - P&amp;L'!$C$5</f>
        <v>0</v>
      </c>
      <c r="AE197" s="142">
        <f>(AE103+AE104)*'Data - P&amp;L'!$C$5</f>
        <v>0</v>
      </c>
      <c r="AF197" s="142">
        <f>(AF103+AF104)*'Data - P&amp;L'!$C$5</f>
        <v>0</v>
      </c>
      <c r="AG197" s="635">
        <f t="shared" si="63"/>
        <v>-40.32</v>
      </c>
    </row>
    <row r="198">
      <c r="A198" s="645" t="s">
        <v>1059</v>
      </c>
      <c r="B198" s="142">
        <f>B197*'Data - P&amp;L'!$L$8</f>
        <v>0</v>
      </c>
      <c r="C198" s="142">
        <f>C197*'Data - P&amp;L'!$L$8</f>
        <v>0</v>
      </c>
      <c r="D198" s="142">
        <f>D197*'Data - P&amp;L'!$L$8</f>
        <v>0</v>
      </c>
      <c r="E198" s="142">
        <f>E197*'Data - P&amp;L'!$L$8</f>
        <v>0</v>
      </c>
      <c r="F198" s="142">
        <f>F197*'Data - P&amp;L'!$L$8</f>
        <v>0</v>
      </c>
      <c r="G198" s="142">
        <f>G197*'Data - P&amp;L'!$L$8</f>
        <v>-1.008</v>
      </c>
      <c r="H198" s="142">
        <f>H197*'Data - P&amp;L'!$L$8</f>
        <v>0</v>
      </c>
      <c r="I198" s="142">
        <f>I197*'Data - P&amp;L'!$L$8</f>
        <v>0</v>
      </c>
      <c r="J198" s="142">
        <f>J197*'Data - P&amp;L'!$L$8</f>
        <v>0</v>
      </c>
      <c r="K198" s="142">
        <f>K197*'Data - P&amp;L'!$L$8</f>
        <v>0</v>
      </c>
      <c r="L198" s="142">
        <f>L197*'Data - P&amp;L'!$L$8</f>
        <v>0</v>
      </c>
      <c r="M198" s="142">
        <f>M197*'Data - P&amp;L'!$L$8</f>
        <v>0</v>
      </c>
      <c r="N198" s="142">
        <f>N197*'Data - P&amp;L'!$L$8</f>
        <v>-1.008</v>
      </c>
      <c r="O198" s="142">
        <f>O197*'Data - P&amp;L'!$L$8</f>
        <v>0</v>
      </c>
      <c r="P198" s="142">
        <f>P197*'Data - P&amp;L'!$L$8</f>
        <v>0</v>
      </c>
      <c r="Q198" s="142">
        <f>Q197*'Data - P&amp;L'!$L$8</f>
        <v>0</v>
      </c>
      <c r="R198" s="142">
        <f>R197*'Data - P&amp;L'!$L$8</f>
        <v>0</v>
      </c>
      <c r="S198" s="142">
        <f>S197*'Data - P&amp;L'!$L$8</f>
        <v>0</v>
      </c>
      <c r="T198" s="142">
        <f>T197*'Data - P&amp;L'!$L$8</f>
        <v>-1.008</v>
      </c>
      <c r="U198" s="142">
        <f>U197*'Data - P&amp;L'!$L$8</f>
        <v>0</v>
      </c>
      <c r="V198" s="142">
        <f>V197*'Data - P&amp;L'!$L$8</f>
        <v>0</v>
      </c>
      <c r="W198" s="142">
        <f>W197*'Data - P&amp;L'!$L$8</f>
        <v>0</v>
      </c>
      <c r="X198" s="142">
        <f>X197*'Data - P&amp;L'!$L$8</f>
        <v>0</v>
      </c>
      <c r="Y198" s="142">
        <f>Y197*'Data - P&amp;L'!$L$8</f>
        <v>0</v>
      </c>
      <c r="Z198" s="142">
        <f>Z197*'Data - P&amp;L'!$L$8</f>
        <v>0</v>
      </c>
      <c r="AA198" s="142">
        <f>AA197*'Data - P&amp;L'!$L$8</f>
        <v>0</v>
      </c>
      <c r="AB198" s="142">
        <f>AB197*'Data - P&amp;L'!$L$8</f>
        <v>0</v>
      </c>
      <c r="AC198" s="142">
        <f>AC197*'Data - P&amp;L'!$L$8</f>
        <v>0</v>
      </c>
      <c r="AD198" s="142">
        <f>AD197*'Data - P&amp;L'!$L$8</f>
        <v>0</v>
      </c>
      <c r="AE198" s="142">
        <f>AE197*'Data - P&amp;L'!$L$8</f>
        <v>0</v>
      </c>
      <c r="AF198" s="142">
        <f>AF197*'Data - P&amp;L'!$L$8</f>
        <v>0</v>
      </c>
      <c r="AG198" s="635">
        <f t="shared" si="63"/>
        <v>-3.024</v>
      </c>
    </row>
    <row r="199">
      <c r="A199" s="645" t="s">
        <v>1060</v>
      </c>
      <c r="B199" s="142">
        <f>B197*'Data - P&amp;L'!$L$9</f>
        <v>0</v>
      </c>
      <c r="C199" s="142">
        <f>C197*'Data - P&amp;L'!$L$9</f>
        <v>0</v>
      </c>
      <c r="D199" s="142">
        <f>D197*'Data - P&amp;L'!$L$9</f>
        <v>0</v>
      </c>
      <c r="E199" s="142">
        <f>E197*'Data - P&amp;L'!$L$9</f>
        <v>0</v>
      </c>
      <c r="F199" s="142">
        <f>F197*'Data - P&amp;L'!$L$9</f>
        <v>0</v>
      </c>
      <c r="G199" s="142">
        <f>G197*'Data - P&amp;L'!$L$9</f>
        <v>-0.336</v>
      </c>
      <c r="H199" s="142">
        <f>H197*'Data - P&amp;L'!$L$9</f>
        <v>0</v>
      </c>
      <c r="I199" s="142">
        <f>I197*'Data - P&amp;L'!$L$9</f>
        <v>0</v>
      </c>
      <c r="J199" s="142">
        <f>J197*'Data - P&amp;L'!$L$9</f>
        <v>0</v>
      </c>
      <c r="K199" s="142">
        <f>K197*'Data - P&amp;L'!$L$9</f>
        <v>0</v>
      </c>
      <c r="L199" s="142">
        <f>L197*'Data - P&amp;L'!$L$9</f>
        <v>0</v>
      </c>
      <c r="M199" s="142">
        <f>M197*'Data - P&amp;L'!$L$9</f>
        <v>0</v>
      </c>
      <c r="N199" s="142">
        <f>N197*'Data - P&amp;L'!$L$9</f>
        <v>-0.336</v>
      </c>
      <c r="O199" s="142">
        <f>O197*'Data - P&amp;L'!$L$9</f>
        <v>0</v>
      </c>
      <c r="P199" s="142">
        <f>P197*'Data - P&amp;L'!$L$9</f>
        <v>0</v>
      </c>
      <c r="Q199" s="142">
        <f>Q197*'Data - P&amp;L'!$L$9</f>
        <v>0</v>
      </c>
      <c r="R199" s="142">
        <f>R197*'Data - P&amp;L'!$L$9</f>
        <v>0</v>
      </c>
      <c r="S199" s="142">
        <f>S197*'Data - P&amp;L'!$L$9</f>
        <v>0</v>
      </c>
      <c r="T199" s="142">
        <f>T197*'Data - P&amp;L'!$L$9</f>
        <v>-0.336</v>
      </c>
      <c r="U199" s="142">
        <f>U197*'Data - P&amp;L'!$L$9</f>
        <v>0</v>
      </c>
      <c r="V199" s="142">
        <f>V197*'Data - P&amp;L'!$L$9</f>
        <v>0</v>
      </c>
      <c r="W199" s="142">
        <f>W197*'Data - P&amp;L'!$L$9</f>
        <v>0</v>
      </c>
      <c r="X199" s="142">
        <f>X197*'Data - P&amp;L'!$L$9</f>
        <v>0</v>
      </c>
      <c r="Y199" s="142">
        <f>Y197*'Data - P&amp;L'!$L$9</f>
        <v>0</v>
      </c>
      <c r="Z199" s="142">
        <f>Z197*'Data - P&amp;L'!$L$9</f>
        <v>0</v>
      </c>
      <c r="AA199" s="142">
        <f>AA197*'Data - P&amp;L'!$L$9</f>
        <v>0</v>
      </c>
      <c r="AB199" s="142">
        <f>AB197*'Data - P&amp;L'!$L$9</f>
        <v>0</v>
      </c>
      <c r="AC199" s="142">
        <f>AC197*'Data - P&amp;L'!$L$9</f>
        <v>0</v>
      </c>
      <c r="AD199" s="142">
        <f>AD197*'Data - P&amp;L'!$L$9</f>
        <v>0</v>
      </c>
      <c r="AE199" s="142">
        <f>AE197*'Data - P&amp;L'!$L$9</f>
        <v>0</v>
      </c>
      <c r="AF199" s="142">
        <f>AF197*'Data - P&amp;L'!$L$9</f>
        <v>0</v>
      </c>
      <c r="AG199" s="635">
        <f t="shared" si="63"/>
        <v>-1.008</v>
      </c>
    </row>
    <row r="200">
      <c r="A200" s="389" t="s">
        <v>1061</v>
      </c>
      <c r="B200" s="245">
        <f>(B105+B106)*'Data - P&amp;L'!$C$10</f>
        <v>0</v>
      </c>
      <c r="C200" s="245">
        <f>(C105+C106)*'Data - P&amp;L'!$C$10</f>
        <v>0</v>
      </c>
      <c r="D200" s="245">
        <f>(D105+D106)*'Data - P&amp;L'!$C$10</f>
        <v>0</v>
      </c>
      <c r="E200" s="245">
        <f>(E105+E106)*'Data - P&amp;L'!$C$10</f>
        <v>0</v>
      </c>
      <c r="F200" s="245">
        <f>(F105+F106)*'Data - P&amp;L'!$C$10</f>
        <v>0</v>
      </c>
      <c r="G200" s="245">
        <f>(G105+G106)*'Data - P&amp;L'!$C$10</f>
        <v>0</v>
      </c>
      <c r="H200" s="245">
        <f>(H105+H106)*'Data - P&amp;L'!$C$10</f>
        <v>0</v>
      </c>
      <c r="I200" s="245">
        <f>(I105+I106)*'Data - P&amp;L'!$C$10</f>
        <v>0</v>
      </c>
      <c r="J200" s="245">
        <f>(J105+J106)*'Data - P&amp;L'!$C$10</f>
        <v>0</v>
      </c>
      <c r="K200" s="245">
        <f>(K105+K106)*'Data - P&amp;L'!$C$10</f>
        <v>0</v>
      </c>
      <c r="L200" s="245">
        <f>(L105+L106)*'Data - P&amp;L'!$C$10</f>
        <v>0</v>
      </c>
      <c r="M200" s="245">
        <f>(M105+M106)*'Data - P&amp;L'!$C$10</f>
        <v>0</v>
      </c>
      <c r="N200" s="245">
        <f>(N105+N106)*'Data - P&amp;L'!$C$10</f>
        <v>0</v>
      </c>
      <c r="O200" s="245">
        <f>(O105+O106)*'Data - P&amp;L'!$C$10</f>
        <v>0</v>
      </c>
      <c r="P200" s="245">
        <f>(P105+P106)*'Data - P&amp;L'!$C$10</f>
        <v>0</v>
      </c>
      <c r="Q200" s="245">
        <f>(Q105+Q106)*'Data - P&amp;L'!$C$10</f>
        <v>0</v>
      </c>
      <c r="R200" s="245">
        <f>(R105+R106)*'Data - P&amp;L'!$C$10</f>
        <v>0</v>
      </c>
      <c r="S200" s="245">
        <f>(S105+S106)*'Data - P&amp;L'!$C$10</f>
        <v>0</v>
      </c>
      <c r="T200" s="245">
        <f>(T105+T106)*'Data - P&amp;L'!$C$10</f>
        <v>0</v>
      </c>
      <c r="U200" s="245">
        <f>(U105+U106)*'Data - P&amp;L'!$C$10</f>
        <v>0</v>
      </c>
      <c r="V200" s="245">
        <f>(V105+V106)*'Data - P&amp;L'!$C$10</f>
        <v>0</v>
      </c>
      <c r="W200" s="245">
        <f>(W105+W106)*'Data - P&amp;L'!$C$10</f>
        <v>0</v>
      </c>
      <c r="X200" s="245">
        <f>(X105+X106)*'Data - P&amp;L'!$C$10</f>
        <v>0</v>
      </c>
      <c r="Y200" s="245">
        <f>(Y105+Y106)*'Data - P&amp;L'!$C$10</f>
        <v>0</v>
      </c>
      <c r="Z200" s="245">
        <f>(Z105+Z106)*'Data - P&amp;L'!$C$10</f>
        <v>0</v>
      </c>
      <c r="AA200" s="245">
        <f>(AA105+AA106)*'Data - P&amp;L'!$C$10</f>
        <v>0</v>
      </c>
      <c r="AB200" s="245">
        <f>(AB105+AB106)*'Data - P&amp;L'!$C$10</f>
        <v>0</v>
      </c>
      <c r="AC200" s="245">
        <f>(AC105+AC106)*'Data - P&amp;L'!$C$10</f>
        <v>0</v>
      </c>
      <c r="AD200" s="245">
        <f>(AD105+AD106)*'Data - P&amp;L'!$C$10</f>
        <v>0</v>
      </c>
      <c r="AE200" s="245">
        <f>(AE105+AE106)*'Data - P&amp;L'!$C$10</f>
        <v>0</v>
      </c>
      <c r="AF200" s="245">
        <f>(AF105+AF106)*'Data - P&amp;L'!$C$10</f>
        <v>0</v>
      </c>
      <c r="AG200" s="635">
        <f t="shared" si="63"/>
        <v>0</v>
      </c>
    </row>
    <row r="201">
      <c r="A201" s="645" t="s">
        <v>1062</v>
      </c>
      <c r="B201" s="245">
        <f>(B184+B186+B188+B191+B194+B197+B200)*'Data - P&amp;L'!$L$6</f>
        <v>0.732075</v>
      </c>
      <c r="C201" s="245">
        <f>(C184+C186+C188+C191+C194+C197+C200)*'Data - P&amp;L'!$L$6</f>
        <v>0.1220125</v>
      </c>
      <c r="D201" s="245">
        <f>(D184+D186+D188+D191+D194+D197+D200)*'Data - P&amp;L'!$L$6</f>
        <v>0.244025</v>
      </c>
      <c r="E201" s="245">
        <f>(E184+E186+E188+E191+E194+E197+E200)*'Data - P&amp;L'!$L$6</f>
        <v>0.1220125</v>
      </c>
      <c r="F201" s="245">
        <f>(F184+F186+F188+F191+F194+F197+F200)*'Data - P&amp;L'!$L$6</f>
        <v>0.1220125</v>
      </c>
      <c r="G201" s="245">
        <f>(G184+G186+G188+G191+G194+G197+G200)*'Data - P&amp;L'!$L$6</f>
        <v>-0.3560625</v>
      </c>
      <c r="H201" s="245">
        <f>(H184+H186+H188+H191+H194+H197+H200)*'Data - P&amp;L'!$L$6</f>
        <v>0.5832875</v>
      </c>
      <c r="I201" s="245">
        <f>(I184+I186+I188+I191+I194+I197+I200)*'Data - P&amp;L'!$L$6</f>
        <v>2.2914625</v>
      </c>
      <c r="J201" s="245">
        <f>(J184+J186+J188+J191+J194+J197+J200)*'Data - P&amp;L'!$L$6</f>
        <v>0.35265</v>
      </c>
      <c r="K201" s="245">
        <f>(K184+K186+K188+K191+K194+K197+K200)*'Data - P&amp;L'!$L$6</f>
        <v>0.461275</v>
      </c>
      <c r="L201" s="245">
        <f>(L184+L186+L188+L191+L194+L197+L200)*'Data - P&amp;L'!$L$6</f>
        <v>0.596675</v>
      </c>
      <c r="M201" s="245">
        <f>(M184+M186+M188+M191+M194+M197+M200)*'Data - P&amp;L'!$L$6</f>
        <v>11.1582125</v>
      </c>
      <c r="N201" s="245">
        <f>(N184+N186+N188+N191+N194+N197+N200)*'Data - P&amp;L'!$L$6</f>
        <v>3.454625</v>
      </c>
      <c r="O201" s="245">
        <f>(O184+O186+O188+O191+O194+O197+O200)*'Data - P&amp;L'!$L$6</f>
        <v>0</v>
      </c>
      <c r="P201" s="245">
        <f>(P184+P186+P188+P191+P194+P197+P200)*'Data - P&amp;L'!$L$6</f>
        <v>0</v>
      </c>
      <c r="Q201" s="245">
        <f>(Q184+Q186+Q188+Q191+Q194+Q197+Q200)*'Data - P&amp;L'!$L$6</f>
        <v>0</v>
      </c>
      <c r="R201" s="245">
        <f>(R184+R186+R188+R191+R194+R197+R200)*'Data - P&amp;L'!$L$6</f>
        <v>0.3660375</v>
      </c>
      <c r="S201" s="245">
        <f>(S184+S186+S188+S191+S194+S197+S200)*'Data - P&amp;L'!$L$6</f>
        <v>0.244025</v>
      </c>
      <c r="T201" s="245">
        <f>(T184+T186+T188+T191+T194+T197+T200)*'Data - P&amp;L'!$L$6</f>
        <v>-0.133775</v>
      </c>
      <c r="U201" s="245">
        <f>(U184+U186+U188+U191+U194+U197+U200)*'Data - P&amp;L'!$L$6</f>
        <v>0</v>
      </c>
      <c r="V201" s="245">
        <f>(V184+V186+V188+V191+V194+V197+V200)*'Data - P&amp;L'!$L$6</f>
        <v>-0.1235</v>
      </c>
      <c r="W201" s="245">
        <f>(W184+W186+W188+W191+W194+W197+W200)*'Data - P&amp;L'!$L$6</f>
        <v>0</v>
      </c>
      <c r="X201" s="245">
        <f>(X184+X186+X188+X191+X194+X197+X200)*'Data - P&amp;L'!$L$6</f>
        <v>0</v>
      </c>
      <c r="Y201" s="245">
        <f>(Y184+Y186+Y188+Y191+Y194+Y197+Y200)*'Data - P&amp;L'!$L$6</f>
        <v>-0.1303375</v>
      </c>
      <c r="Z201" s="245">
        <f>(Z184+Z186+Z188+Z191+Z194+Z197+Z200)*'Data - P&amp;L'!$L$6</f>
        <v>0</v>
      </c>
      <c r="AA201" s="245">
        <f>(AA184+AA186+AA188+AA191+AA194+AA197+AA200)*'Data - P&amp;L'!$L$6</f>
        <v>0</v>
      </c>
      <c r="AB201" s="245">
        <f>(AB184+AB186+AB188+AB191+AB194+AB197+AB200)*'Data - P&amp;L'!$L$6</f>
        <v>0</v>
      </c>
      <c r="AC201" s="245">
        <f>(AC184+AC186+AC188+AC191+AC194+AC197+AC200)*'Data - P&amp;L'!$L$6</f>
        <v>0</v>
      </c>
      <c r="AD201" s="245">
        <f>(AD184+AD186+AD188+AD191+AD194+AD197+AD200)*'Data - P&amp;L'!$L$6</f>
        <v>0</v>
      </c>
      <c r="AE201" s="245">
        <f>(AE184+AE186+AE188+AE191+AE194+AE197+AE200)*'Data - P&amp;L'!$L$6</f>
        <v>0</v>
      </c>
      <c r="AF201" s="245">
        <f>(AF184+AF186+AF188+AF191+AF194+AF197+AF200)*'Data - P&amp;L'!$L$6</f>
        <v>0</v>
      </c>
      <c r="AG201" s="635">
        <f t="shared" si="63"/>
        <v>20.1067125</v>
      </c>
    </row>
    <row r="202">
      <c r="A202" s="645" t="s">
        <v>1063</v>
      </c>
      <c r="B202" s="245">
        <f t="shared" ref="B202:AF202" si="64">$AG202/31</f>
        <v>17.36774194</v>
      </c>
      <c r="C202" s="245">
        <f t="shared" si="64"/>
        <v>17.36774194</v>
      </c>
      <c r="D202" s="245">
        <f t="shared" si="64"/>
        <v>17.36774194</v>
      </c>
      <c r="E202" s="245">
        <f t="shared" si="64"/>
        <v>17.36774194</v>
      </c>
      <c r="F202" s="245">
        <f t="shared" si="64"/>
        <v>17.36774194</v>
      </c>
      <c r="G202" s="245">
        <f t="shared" si="64"/>
        <v>17.36774194</v>
      </c>
      <c r="H202" s="245">
        <f t="shared" si="64"/>
        <v>17.36774194</v>
      </c>
      <c r="I202" s="245">
        <f t="shared" si="64"/>
        <v>17.36774194</v>
      </c>
      <c r="J202" s="245">
        <f t="shared" si="64"/>
        <v>17.36774194</v>
      </c>
      <c r="K202" s="245">
        <f t="shared" si="64"/>
        <v>17.36774194</v>
      </c>
      <c r="L202" s="245">
        <f t="shared" si="64"/>
        <v>17.36774194</v>
      </c>
      <c r="M202" s="245">
        <f t="shared" si="64"/>
        <v>17.36774194</v>
      </c>
      <c r="N202" s="245">
        <f t="shared" si="64"/>
        <v>17.36774194</v>
      </c>
      <c r="O202" s="245">
        <f t="shared" si="64"/>
        <v>17.36774194</v>
      </c>
      <c r="P202" s="245">
        <f t="shared" si="64"/>
        <v>17.36774194</v>
      </c>
      <c r="Q202" s="245">
        <f t="shared" si="64"/>
        <v>17.36774194</v>
      </c>
      <c r="R202" s="245">
        <f t="shared" si="64"/>
        <v>17.36774194</v>
      </c>
      <c r="S202" s="245">
        <f t="shared" si="64"/>
        <v>17.36774194</v>
      </c>
      <c r="T202" s="245">
        <f t="shared" si="64"/>
        <v>17.36774194</v>
      </c>
      <c r="U202" s="245">
        <f t="shared" si="64"/>
        <v>17.36774194</v>
      </c>
      <c r="V202" s="245">
        <f t="shared" si="64"/>
        <v>17.36774194</v>
      </c>
      <c r="W202" s="245">
        <f t="shared" si="64"/>
        <v>17.36774194</v>
      </c>
      <c r="X202" s="245">
        <f t="shared" si="64"/>
        <v>17.36774194</v>
      </c>
      <c r="Y202" s="245">
        <f t="shared" si="64"/>
        <v>17.36774194</v>
      </c>
      <c r="Z202" s="245">
        <f t="shared" si="64"/>
        <v>17.36774194</v>
      </c>
      <c r="AA202" s="245">
        <f t="shared" si="64"/>
        <v>17.36774194</v>
      </c>
      <c r="AB202" s="245">
        <f t="shared" si="64"/>
        <v>17.36774194</v>
      </c>
      <c r="AC202" s="245">
        <f t="shared" si="64"/>
        <v>17.36774194</v>
      </c>
      <c r="AD202" s="245">
        <f t="shared" si="64"/>
        <v>17.36774194</v>
      </c>
      <c r="AE202" s="245">
        <f t="shared" si="64"/>
        <v>17.36774194</v>
      </c>
      <c r="AF202" s="245">
        <f t="shared" si="64"/>
        <v>17.36774194</v>
      </c>
      <c r="AG202" s="646">
        <v>538.4</v>
      </c>
    </row>
    <row r="203">
      <c r="A203" s="390" t="s">
        <v>1064</v>
      </c>
      <c r="B203" s="142">
        <f>((B97+B61)*'Data - P&amp;L'!$C$38)</f>
        <v>179.1</v>
      </c>
      <c r="C203" s="142">
        <f>((C97+C61)*'Data - P&amp;L'!$C$38)</f>
        <v>11.94</v>
      </c>
      <c r="D203" s="142">
        <f>((D97+D61)*'Data - P&amp;L'!$C$38)</f>
        <v>179.1</v>
      </c>
      <c r="E203" s="142">
        <f>((E97+E61)*'Data - P&amp;L'!$C$38)</f>
        <v>83.58</v>
      </c>
      <c r="F203" s="142">
        <f>((F97+F61)*'Data - P&amp;L'!$C$38)</f>
        <v>11.94</v>
      </c>
      <c r="G203" s="142">
        <f>((G97+G61)*'Data - P&amp;L'!$C$38)</f>
        <v>-35.82</v>
      </c>
      <c r="H203" s="142">
        <f>((H97+H61)*'Data - P&amp;L'!$C$38)</f>
        <v>202.98</v>
      </c>
      <c r="I203" s="142">
        <f>((I97+I61)*'Data - P&amp;L'!$C$38)</f>
        <v>238.8</v>
      </c>
      <c r="J203" s="142">
        <f>((J97+J61)*'Data - P&amp;L'!$C$38)</f>
        <v>71.64</v>
      </c>
      <c r="K203" s="142">
        <f>((K97+K61)*'Data - P&amp;L'!$C$38)</f>
        <v>83.58</v>
      </c>
      <c r="L203" s="142">
        <f>((L97+L61)*'Data - P&amp;L'!$C$38)</f>
        <v>143.28</v>
      </c>
      <c r="M203" s="142">
        <f>((M97+M61)*'Data - P&amp;L'!$C$38)</f>
        <v>1122.36</v>
      </c>
      <c r="N203" s="142">
        <f>((N97+N61)*'Data - P&amp;L'!$C$38)</f>
        <v>346.26</v>
      </c>
      <c r="O203" s="142">
        <f>((O97+O61)*'Data - P&amp;L'!$C$38)</f>
        <v>23.88</v>
      </c>
      <c r="P203" s="142">
        <f>((P97+P61)*'Data - P&amp;L'!$C$38)</f>
        <v>23.88</v>
      </c>
      <c r="Q203" s="142">
        <f>((Q97+Q61)*'Data - P&amp;L'!$C$38)</f>
        <v>47.76</v>
      </c>
      <c r="R203" s="142">
        <f>((R97+R61)*'Data - P&amp;L'!$C$38)</f>
        <v>107.46</v>
      </c>
      <c r="S203" s="142">
        <f>((S97+S61)*'Data - P&amp;L'!$C$38)</f>
        <v>23.88</v>
      </c>
      <c r="T203" s="142">
        <f>((T97+T61)*'Data - P&amp;L'!$C$38)</f>
        <v>107.46</v>
      </c>
      <c r="U203" s="142">
        <f>((U97+U61)*'Data - P&amp;L'!$C$38)</f>
        <v>83.58</v>
      </c>
      <c r="V203" s="142">
        <f>((V97+V61)*'Data - P&amp;L'!$C$38)</f>
        <v>131.34</v>
      </c>
      <c r="W203" s="142">
        <f>((W97+W61)*'Data - P&amp;L'!$C$38)</f>
        <v>107.46</v>
      </c>
      <c r="X203" s="142">
        <f>((X97+X61)*'Data - P&amp;L'!$C$38)</f>
        <v>0</v>
      </c>
      <c r="Y203" s="142">
        <f>((Y97+Y61)*'Data - P&amp;L'!$C$38)</f>
        <v>0</v>
      </c>
      <c r="Z203" s="142">
        <f>((Z97+Z61)*'Data - P&amp;L'!$C$38)</f>
        <v>0</v>
      </c>
      <c r="AA203" s="142">
        <f>((AA97+AA61)*'Data - P&amp;L'!$C$38)</f>
        <v>0</v>
      </c>
      <c r="AB203" s="142">
        <f>((AB97+AB61)*'Data - P&amp;L'!$C$38)</f>
        <v>11.94</v>
      </c>
      <c r="AC203" s="142">
        <f>((AC97+AC61)*'Data - P&amp;L'!$C$38)</f>
        <v>71.64</v>
      </c>
      <c r="AD203" s="142">
        <f>((AD97+AD61)*'Data - P&amp;L'!$C$38)</f>
        <v>71.64</v>
      </c>
      <c r="AE203" s="142">
        <f>((AE97+AE61)*'Data - P&amp;L'!$C$38)</f>
        <v>71.64</v>
      </c>
      <c r="AF203" s="142">
        <f>((AF97+AF61)*'Data - P&amp;L'!$C$38)</f>
        <v>71.64</v>
      </c>
      <c r="AG203" s="635">
        <f t="shared" ref="AG203:AG228" si="65">SUM(B203:AF203)</f>
        <v>3593.94</v>
      </c>
    </row>
    <row r="204">
      <c r="A204" s="210" t="s">
        <v>1065</v>
      </c>
      <c r="B204" s="245">
        <f>((B97)*'Data - P&amp;L'!$C$34)</f>
        <v>261.48</v>
      </c>
      <c r="C204" s="245">
        <f>((C97)*'Data - P&amp;L'!$C$34)</f>
        <v>43.58</v>
      </c>
      <c r="D204" s="245">
        <f>((D97)*'Data - P&amp;L'!$C$34)</f>
        <v>87.16</v>
      </c>
      <c r="E204" s="245">
        <f>((E97)*'Data - P&amp;L'!$C$34)</f>
        <v>43.58</v>
      </c>
      <c r="F204" s="245">
        <f>((F97)*'Data - P&amp;L'!$C$34)</f>
        <v>43.58</v>
      </c>
      <c r="G204" s="245">
        <f>((G97)*'Data - P&amp;L'!$C$34)</f>
        <v>-130.74</v>
      </c>
      <c r="H204" s="245">
        <f>((H97)*'Data - P&amp;L'!$C$34)</f>
        <v>217.9</v>
      </c>
      <c r="I204" s="245">
        <f>((I97)*'Data - P&amp;L'!$C$34)</f>
        <v>828.02</v>
      </c>
      <c r="J204" s="245">
        <f>((J97)*'Data - P&amp;L'!$C$34)</f>
        <v>130.74</v>
      </c>
      <c r="K204" s="245">
        <f>((K97)*'Data - P&amp;L'!$C$34)</f>
        <v>174.32</v>
      </c>
      <c r="L204" s="245">
        <f>((L97)*'Data - P&amp;L'!$C$34)</f>
        <v>217.9</v>
      </c>
      <c r="M204" s="245">
        <f>((M97)*'Data - P&amp;L'!$C$34)</f>
        <v>4009.36</v>
      </c>
      <c r="N204" s="245">
        <f>((N97)*'Data - P&amp;L'!$C$34)</f>
        <v>1263.82</v>
      </c>
      <c r="O204" s="245">
        <f>((O97)*'Data - P&amp;L'!$C$34)</f>
        <v>0</v>
      </c>
      <c r="P204" s="245">
        <f>((P97)*'Data - P&amp;L'!$C$34)</f>
        <v>0</v>
      </c>
      <c r="Q204" s="245">
        <f>((Q97)*'Data - P&amp;L'!$C$34)</f>
        <v>0</v>
      </c>
      <c r="R204" s="245">
        <f>((R97)*'Data - P&amp;L'!$C$34)</f>
        <v>130.74</v>
      </c>
      <c r="S204" s="245">
        <f>((S97)*'Data - P&amp;L'!$C$34)</f>
        <v>87.16</v>
      </c>
      <c r="T204" s="245">
        <f>((T97)*'Data - P&amp;L'!$C$34)</f>
        <v>-43.58</v>
      </c>
      <c r="U204" s="245">
        <f>((U97)*'Data - P&amp;L'!$C$34)</f>
        <v>0</v>
      </c>
      <c r="V204" s="245">
        <f>((V97)*'Data - P&amp;L'!$C$34)</f>
        <v>-43.58</v>
      </c>
      <c r="W204" s="245">
        <f>((W97)*'Data - P&amp;L'!$C$34)</f>
        <v>0</v>
      </c>
      <c r="X204" s="245">
        <f>((X97)*'Data - P&amp;L'!$C$34)</f>
        <v>0</v>
      </c>
      <c r="Y204" s="245">
        <f>((Y97)*'Data - P&amp;L'!$C$34)</f>
        <v>-43.58</v>
      </c>
      <c r="Z204" s="245">
        <f>((Z97)*'Data - P&amp;L'!$C$34)</f>
        <v>0</v>
      </c>
      <c r="AA204" s="245">
        <f>((AA97)*'Data - P&amp;L'!$C$34)</f>
        <v>0</v>
      </c>
      <c r="AB204" s="245">
        <f>((AB97)*'Data - P&amp;L'!$C$34)</f>
        <v>0</v>
      </c>
      <c r="AC204" s="245">
        <f>((AC97)*'Data - P&amp;L'!$C$34)</f>
        <v>0</v>
      </c>
      <c r="AD204" s="245">
        <f>((AD97)*'Data - P&amp;L'!$C$34)</f>
        <v>0</v>
      </c>
      <c r="AE204" s="245">
        <f>((AE97)*'Data - P&amp;L'!$C$34)</f>
        <v>0</v>
      </c>
      <c r="AF204" s="245">
        <f>((AF97)*'Data - P&amp;L'!$C$34)</f>
        <v>0</v>
      </c>
      <c r="AG204" s="635">
        <f t="shared" si="65"/>
        <v>7277.86</v>
      </c>
    </row>
    <row r="205">
      <c r="A205" s="210" t="s">
        <v>1066</v>
      </c>
      <c r="B205" s="252">
        <f>(B107*'Data - P&amp;L'!$D$38)</f>
        <v>0</v>
      </c>
      <c r="C205" s="252">
        <f>(C107*'Data - P&amp;L'!$D$38)</f>
        <v>0</v>
      </c>
      <c r="D205" s="252">
        <f>(D107*'Data - P&amp;L'!$D$38)</f>
        <v>0</v>
      </c>
      <c r="E205" s="252">
        <f>(E107*'Data - P&amp;L'!$D$38)</f>
        <v>0</v>
      </c>
      <c r="F205" s="252">
        <f>(F107*'Data - P&amp;L'!$D$38)</f>
        <v>0</v>
      </c>
      <c r="G205" s="252">
        <f>(G107*'Data - P&amp;L'!$D$38)</f>
        <v>-1.435</v>
      </c>
      <c r="H205" s="252">
        <f>(H107*'Data - P&amp;L'!$D$38)</f>
        <v>0</v>
      </c>
      <c r="I205" s="252">
        <f>(I107*'Data - P&amp;L'!$D$38)</f>
        <v>0</v>
      </c>
      <c r="J205" s="252">
        <f>(J107*'Data - P&amp;L'!$D$38)</f>
        <v>0</v>
      </c>
      <c r="K205" s="252">
        <f>(K107*'Data - P&amp;L'!$D$38)</f>
        <v>0</v>
      </c>
      <c r="L205" s="252">
        <f>(L107*'Data - P&amp;L'!$D$38)</f>
        <v>0</v>
      </c>
      <c r="M205" s="252">
        <f>(M107*'Data - P&amp;L'!$D$38)</f>
        <v>0</v>
      </c>
      <c r="N205" s="252">
        <f>(N107*'Data - P&amp;L'!$D$38)</f>
        <v>-1.435</v>
      </c>
      <c r="O205" s="252">
        <f>(O107*'Data - P&amp;L'!$D$38)</f>
        <v>0</v>
      </c>
      <c r="P205" s="252">
        <f>(P107*'Data - P&amp;L'!$D$38)</f>
        <v>0</v>
      </c>
      <c r="Q205" s="252">
        <f>(Q107*'Data - P&amp;L'!$D$38)</f>
        <v>0</v>
      </c>
      <c r="R205" s="252">
        <f>(R107*'Data - P&amp;L'!$D$38)</f>
        <v>0</v>
      </c>
      <c r="S205" s="252">
        <f>(S107*'Data - P&amp;L'!$D$38)</f>
        <v>0</v>
      </c>
      <c r="T205" s="252">
        <f>(T107*'Data - P&amp;L'!$D$38)</f>
        <v>-4.305</v>
      </c>
      <c r="U205" s="252">
        <f>(U107*'Data - P&amp;L'!$D$38)</f>
        <v>0</v>
      </c>
      <c r="V205" s="252">
        <f>(V107*'Data - P&amp;L'!$D$38)</f>
        <v>-1.435</v>
      </c>
      <c r="W205" s="252">
        <f>(W107*'Data - P&amp;L'!$D$38)</f>
        <v>0</v>
      </c>
      <c r="X205" s="252">
        <f>(X107*'Data - P&amp;L'!$D$38)</f>
        <v>0</v>
      </c>
      <c r="Y205" s="252">
        <f>(Y107*'Data - P&amp;L'!$D$38)</f>
        <v>-1.435</v>
      </c>
      <c r="Z205" s="252">
        <f>(Z107*'Data - P&amp;L'!$D$38)</f>
        <v>0</v>
      </c>
      <c r="AA205" s="252">
        <f>(AA107*'Data - P&amp;L'!$D$38)</f>
        <v>0</v>
      </c>
      <c r="AB205" s="252">
        <f>(AB107*'Data - P&amp;L'!$D$38)</f>
        <v>0</v>
      </c>
      <c r="AC205" s="252">
        <f>(AC107*'Data - P&amp;L'!$D$38)</f>
        <v>0</v>
      </c>
      <c r="AD205" s="252">
        <f>(AD107*'Data - P&amp;L'!$D$38)</f>
        <v>0</v>
      </c>
      <c r="AE205" s="252">
        <f>(AE107*'Data - P&amp;L'!$D$38)</f>
        <v>0</v>
      </c>
      <c r="AF205" s="252">
        <f>(AF107*'Data - P&amp;L'!$D$38)</f>
        <v>0</v>
      </c>
      <c r="AG205" s="635">
        <f t="shared" si="65"/>
        <v>-10.045</v>
      </c>
    </row>
    <row r="206">
      <c r="A206" s="210" t="s">
        <v>1067</v>
      </c>
      <c r="B206" s="252">
        <f>(B107*'Data - P&amp;L'!$D$34)</f>
        <v>0</v>
      </c>
      <c r="C206" s="252">
        <f>(C107*'Data - P&amp;L'!$D$34)</f>
        <v>0</v>
      </c>
      <c r="D206" s="252">
        <f>(D107*'Data - P&amp;L'!$D$34)</f>
        <v>0</v>
      </c>
      <c r="E206" s="252">
        <f>(E107*'Data - P&amp;L'!$D$34)</f>
        <v>0</v>
      </c>
      <c r="F206" s="252">
        <f>(F107*'Data - P&amp;L'!$D$34)</f>
        <v>0</v>
      </c>
      <c r="G206" s="252">
        <f>(G107*'Data - P&amp;L'!$D$34)</f>
        <v>-9.68</v>
      </c>
      <c r="H206" s="252">
        <f>(H107*'Data - P&amp;L'!$D$34)</f>
        <v>0</v>
      </c>
      <c r="I206" s="252">
        <f>(I107*'Data - P&amp;L'!$D$34)</f>
        <v>0</v>
      </c>
      <c r="J206" s="252">
        <f>(J107*'Data - P&amp;L'!$D$34)</f>
        <v>0</v>
      </c>
      <c r="K206" s="252">
        <f>(K107*'Data - P&amp;L'!$D$34)</f>
        <v>0</v>
      </c>
      <c r="L206" s="252">
        <f>(L107*'Data - P&amp;L'!$D$34)</f>
        <v>0</v>
      </c>
      <c r="M206" s="252">
        <f>(M107*'Data - P&amp;L'!$D$34)</f>
        <v>0</v>
      </c>
      <c r="N206" s="252">
        <f>(N107*'Data - P&amp;L'!$D$34)</f>
        <v>-9.68</v>
      </c>
      <c r="O206" s="252">
        <f>(O107*'Data - P&amp;L'!$D$34)</f>
        <v>0</v>
      </c>
      <c r="P206" s="252">
        <f>(P107*'Data - P&amp;L'!$D$34)</f>
        <v>0</v>
      </c>
      <c r="Q206" s="252">
        <f>(Q107*'Data - P&amp;L'!$D$34)</f>
        <v>0</v>
      </c>
      <c r="R206" s="252">
        <f>(R107*'Data - P&amp;L'!$D$34)</f>
        <v>0</v>
      </c>
      <c r="S206" s="252">
        <f>(S107*'Data - P&amp;L'!$D$34)</f>
        <v>0</v>
      </c>
      <c r="T206" s="252">
        <f>(T107*'Data - P&amp;L'!$D$34)</f>
        <v>-29.04</v>
      </c>
      <c r="U206" s="252">
        <f>(U107*'Data - P&amp;L'!$D$34)</f>
        <v>0</v>
      </c>
      <c r="V206" s="252">
        <f>(V107*'Data - P&amp;L'!$D$34)</f>
        <v>-9.68</v>
      </c>
      <c r="W206" s="252">
        <f>(W107*'Data - P&amp;L'!$D$34)</f>
        <v>0</v>
      </c>
      <c r="X206" s="252">
        <f>(X107*'Data - P&amp;L'!$D$34)</f>
        <v>0</v>
      </c>
      <c r="Y206" s="252">
        <f>(Y107*'Data - P&amp;L'!$D$34)</f>
        <v>-9.68</v>
      </c>
      <c r="Z206" s="252">
        <f>(Z107*'Data - P&amp;L'!$D$34)</f>
        <v>0</v>
      </c>
      <c r="AA206" s="252">
        <f>(AA107*'Data - P&amp;L'!$D$34)</f>
        <v>0</v>
      </c>
      <c r="AB206" s="252">
        <f>(AB107*'Data - P&amp;L'!$D$34)</f>
        <v>0</v>
      </c>
      <c r="AC206" s="252">
        <f>(AC107*'Data - P&amp;L'!$D$34)</f>
        <v>0</v>
      </c>
      <c r="AD206" s="252">
        <f>(AD107*'Data - P&amp;L'!$D$34)</f>
        <v>0</v>
      </c>
      <c r="AE206" s="252">
        <f>(AE107*'Data - P&amp;L'!$D$34)</f>
        <v>0</v>
      </c>
      <c r="AF206" s="252">
        <f>(AF107*'Data - P&amp;L'!$D$34)</f>
        <v>0</v>
      </c>
      <c r="AG206" s="635">
        <f t="shared" si="65"/>
        <v>-67.76</v>
      </c>
    </row>
    <row r="207">
      <c r="A207" s="391" t="s">
        <v>1068</v>
      </c>
      <c r="B207" s="252">
        <f t="shared" ref="B207:AF207" si="66">B20*0.06</f>
        <v>0</v>
      </c>
      <c r="C207" s="252">
        <f t="shared" si="66"/>
        <v>0</v>
      </c>
      <c r="D207" s="252">
        <f t="shared" si="66"/>
        <v>0</v>
      </c>
      <c r="E207" s="252">
        <f t="shared" si="66"/>
        <v>0</v>
      </c>
      <c r="F207" s="252">
        <f t="shared" si="66"/>
        <v>0</v>
      </c>
      <c r="G207" s="252">
        <f t="shared" si="66"/>
        <v>0</v>
      </c>
      <c r="H207" s="252">
        <f t="shared" si="66"/>
        <v>0</v>
      </c>
      <c r="I207" s="252">
        <f t="shared" si="66"/>
        <v>0</v>
      </c>
      <c r="J207" s="252">
        <f t="shared" si="66"/>
        <v>0</v>
      </c>
      <c r="K207" s="252">
        <f t="shared" si="66"/>
        <v>0</v>
      </c>
      <c r="L207" s="252">
        <f t="shared" si="66"/>
        <v>0</v>
      </c>
      <c r="M207" s="252">
        <f t="shared" si="66"/>
        <v>0</v>
      </c>
      <c r="N207" s="252">
        <f t="shared" si="66"/>
        <v>0</v>
      </c>
      <c r="O207" s="252">
        <f t="shared" si="66"/>
        <v>0</v>
      </c>
      <c r="P207" s="252">
        <f t="shared" si="66"/>
        <v>0</v>
      </c>
      <c r="Q207" s="252">
        <f t="shared" si="66"/>
        <v>0</v>
      </c>
      <c r="R207" s="252">
        <f t="shared" si="66"/>
        <v>19.10456316</v>
      </c>
      <c r="S207" s="252">
        <f t="shared" si="66"/>
        <v>0</v>
      </c>
      <c r="T207" s="252">
        <f t="shared" si="66"/>
        <v>19.10456316</v>
      </c>
      <c r="U207" s="252">
        <f t="shared" si="66"/>
        <v>0</v>
      </c>
      <c r="V207" s="252">
        <f t="shared" si="66"/>
        <v>0</v>
      </c>
      <c r="W207" s="252">
        <f t="shared" si="66"/>
        <v>0</v>
      </c>
      <c r="X207" s="252">
        <f t="shared" si="66"/>
        <v>0</v>
      </c>
      <c r="Y207" s="252">
        <f t="shared" si="66"/>
        <v>0</v>
      </c>
      <c r="Z207" s="252">
        <f t="shared" si="66"/>
        <v>0</v>
      </c>
      <c r="AA207" s="252">
        <f t="shared" si="66"/>
        <v>0</v>
      </c>
      <c r="AB207" s="252">
        <f t="shared" si="66"/>
        <v>0</v>
      </c>
      <c r="AC207" s="252">
        <f t="shared" si="66"/>
        <v>0</v>
      </c>
      <c r="AD207" s="252">
        <f t="shared" si="66"/>
        <v>0</v>
      </c>
      <c r="AE207" s="252">
        <f t="shared" si="66"/>
        <v>19.10456316</v>
      </c>
      <c r="AF207" s="252">
        <f t="shared" si="66"/>
        <v>0</v>
      </c>
      <c r="AG207" s="635">
        <f t="shared" si="65"/>
        <v>57.31368948</v>
      </c>
    </row>
    <row r="208" collapsed="1">
      <c r="A208" s="395" t="s">
        <v>548</v>
      </c>
      <c r="B208" s="254" t="str">
        <f t="shared" ref="B208:AF208" si="67">iferror(B209+B210+B211+B212+B213,"")</f>
        <v/>
      </c>
      <c r="C208" s="254" t="str">
        <f t="shared" si="67"/>
        <v/>
      </c>
      <c r="D208" s="254" t="str">
        <f t="shared" si="67"/>
        <v/>
      </c>
      <c r="E208" s="254" t="str">
        <f t="shared" si="67"/>
        <v/>
      </c>
      <c r="F208" s="254" t="str">
        <f t="shared" si="67"/>
        <v/>
      </c>
      <c r="G208" s="254" t="str">
        <f t="shared" si="67"/>
        <v/>
      </c>
      <c r="H208" s="254" t="str">
        <f t="shared" si="67"/>
        <v/>
      </c>
      <c r="I208" s="254" t="str">
        <f t="shared" si="67"/>
        <v/>
      </c>
      <c r="J208" s="254" t="str">
        <f t="shared" si="67"/>
        <v/>
      </c>
      <c r="K208" s="254" t="str">
        <f t="shared" si="67"/>
        <v/>
      </c>
      <c r="L208" s="254" t="str">
        <f t="shared" si="67"/>
        <v/>
      </c>
      <c r="M208" s="254" t="str">
        <f t="shared" si="67"/>
        <v/>
      </c>
      <c r="N208" s="254" t="str">
        <f t="shared" si="67"/>
        <v/>
      </c>
      <c r="O208" s="254" t="str">
        <f t="shared" si="67"/>
        <v/>
      </c>
      <c r="P208" s="254" t="str">
        <f t="shared" si="67"/>
        <v/>
      </c>
      <c r="Q208" s="254" t="str">
        <f t="shared" si="67"/>
        <v/>
      </c>
      <c r="R208" s="254" t="str">
        <f t="shared" si="67"/>
        <v/>
      </c>
      <c r="S208" s="254" t="str">
        <f t="shared" si="67"/>
        <v/>
      </c>
      <c r="T208" s="254" t="str">
        <f t="shared" si="67"/>
        <v/>
      </c>
      <c r="U208" s="254" t="str">
        <f t="shared" si="67"/>
        <v/>
      </c>
      <c r="V208" s="254" t="str">
        <f t="shared" si="67"/>
        <v/>
      </c>
      <c r="W208" s="254" t="str">
        <f t="shared" si="67"/>
        <v/>
      </c>
      <c r="X208" s="254" t="str">
        <f t="shared" si="67"/>
        <v/>
      </c>
      <c r="Y208" s="254" t="str">
        <f t="shared" si="67"/>
        <v/>
      </c>
      <c r="Z208" s="254" t="str">
        <f t="shared" si="67"/>
        <v/>
      </c>
      <c r="AA208" s="254" t="str">
        <f t="shared" si="67"/>
        <v/>
      </c>
      <c r="AB208" s="254" t="str">
        <f t="shared" si="67"/>
        <v/>
      </c>
      <c r="AC208" s="254" t="str">
        <f t="shared" si="67"/>
        <v/>
      </c>
      <c r="AD208" s="254" t="str">
        <f t="shared" si="67"/>
        <v/>
      </c>
      <c r="AE208" s="254" t="str">
        <f t="shared" si="67"/>
        <v/>
      </c>
      <c r="AF208" s="254" t="str">
        <f t="shared" si="67"/>
        <v/>
      </c>
      <c r="AG208" s="635">
        <f t="shared" si="65"/>
        <v>0</v>
      </c>
    </row>
    <row r="209" hidden="1" outlineLevel="1">
      <c r="A209" s="216" t="s">
        <v>1069</v>
      </c>
      <c r="B209" s="255">
        <f t="shared" ref="B209:AF209" si="68">B4+B16+B21</f>
        <v>0</v>
      </c>
      <c r="C209" s="255">
        <f t="shared" si="68"/>
        <v>0</v>
      </c>
      <c r="D209" s="255">
        <f t="shared" si="68"/>
        <v>0</v>
      </c>
      <c r="E209" s="255">
        <f t="shared" si="68"/>
        <v>0</v>
      </c>
      <c r="F209" s="255">
        <f t="shared" si="68"/>
        <v>0</v>
      </c>
      <c r="G209" s="255">
        <f t="shared" si="68"/>
        <v>0</v>
      </c>
      <c r="H209" s="255">
        <f t="shared" si="68"/>
        <v>0</v>
      </c>
      <c r="I209" s="255">
        <f t="shared" si="68"/>
        <v>0</v>
      </c>
      <c r="J209" s="255">
        <f t="shared" si="68"/>
        <v>0</v>
      </c>
      <c r="K209" s="255">
        <f t="shared" si="68"/>
        <v>0</v>
      </c>
      <c r="L209" s="255">
        <f t="shared" si="68"/>
        <v>0</v>
      </c>
      <c r="M209" s="255">
        <f t="shared" si="68"/>
        <v>0</v>
      </c>
      <c r="N209" s="255">
        <f t="shared" si="68"/>
        <v>0</v>
      </c>
      <c r="O209" s="255">
        <f t="shared" si="68"/>
        <v>0</v>
      </c>
      <c r="P209" s="255">
        <f t="shared" si="68"/>
        <v>0</v>
      </c>
      <c r="Q209" s="255">
        <f t="shared" si="68"/>
        <v>0</v>
      </c>
      <c r="R209" s="255">
        <f t="shared" si="68"/>
        <v>636.818772</v>
      </c>
      <c r="S209" s="255">
        <f t="shared" si="68"/>
        <v>0</v>
      </c>
      <c r="T209" s="255">
        <f t="shared" si="68"/>
        <v>636.818772</v>
      </c>
      <c r="U209" s="255">
        <f t="shared" si="68"/>
        <v>0</v>
      </c>
      <c r="V209" s="255">
        <f t="shared" si="68"/>
        <v>0</v>
      </c>
      <c r="W209" s="255">
        <f t="shared" si="68"/>
        <v>0</v>
      </c>
      <c r="X209" s="255">
        <f t="shared" si="68"/>
        <v>0</v>
      </c>
      <c r="Y209" s="255">
        <f t="shared" si="68"/>
        <v>0</v>
      </c>
      <c r="Z209" s="255">
        <f t="shared" si="68"/>
        <v>0</v>
      </c>
      <c r="AA209" s="255">
        <f t="shared" si="68"/>
        <v>0</v>
      </c>
      <c r="AB209" s="255">
        <f t="shared" si="68"/>
        <v>0</v>
      </c>
      <c r="AC209" s="255">
        <f t="shared" si="68"/>
        <v>0</v>
      </c>
      <c r="AD209" s="255">
        <f t="shared" si="68"/>
        <v>0</v>
      </c>
      <c r="AE209" s="255">
        <f t="shared" si="68"/>
        <v>636.818772</v>
      </c>
      <c r="AF209" s="255">
        <f t="shared" si="68"/>
        <v>0</v>
      </c>
      <c r="AG209" s="635">
        <f t="shared" si="65"/>
        <v>1910.456316</v>
      </c>
    </row>
    <row r="210" hidden="1" outlineLevel="1">
      <c r="A210" s="216" t="s">
        <v>1070</v>
      </c>
      <c r="B210" s="245">
        <f t="shared" ref="B210:AF210" si="69">(B23+B28+B32)</f>
        <v>0</v>
      </c>
      <c r="C210" s="245">
        <f t="shared" si="69"/>
        <v>0</v>
      </c>
      <c r="D210" s="245">
        <f t="shared" si="69"/>
        <v>0</v>
      </c>
      <c r="E210" s="245">
        <f t="shared" si="69"/>
        <v>0</v>
      </c>
      <c r="F210" s="245">
        <f t="shared" si="69"/>
        <v>0</v>
      </c>
      <c r="G210" s="245">
        <f t="shared" si="69"/>
        <v>0</v>
      </c>
      <c r="H210" s="245">
        <f t="shared" si="69"/>
        <v>1</v>
      </c>
      <c r="I210" s="245">
        <f t="shared" si="69"/>
        <v>1</v>
      </c>
      <c r="J210" s="245">
        <f t="shared" si="69"/>
        <v>0</v>
      </c>
      <c r="K210" s="245">
        <f t="shared" si="69"/>
        <v>1</v>
      </c>
      <c r="L210" s="245">
        <f t="shared" si="69"/>
        <v>0</v>
      </c>
      <c r="M210" s="245">
        <f t="shared" si="69"/>
        <v>2</v>
      </c>
      <c r="N210" s="245">
        <f t="shared" si="69"/>
        <v>3</v>
      </c>
      <c r="O210" s="245">
        <f t="shared" si="69"/>
        <v>0</v>
      </c>
      <c r="P210" s="245">
        <f t="shared" si="69"/>
        <v>0</v>
      </c>
      <c r="Q210" s="245">
        <f t="shared" si="69"/>
        <v>0</v>
      </c>
      <c r="R210" s="245">
        <f t="shared" si="69"/>
        <v>0</v>
      </c>
      <c r="S210" s="245">
        <f t="shared" si="69"/>
        <v>0</v>
      </c>
      <c r="T210" s="245">
        <f t="shared" si="69"/>
        <v>0</v>
      </c>
      <c r="U210" s="245">
        <f t="shared" si="69"/>
        <v>0</v>
      </c>
      <c r="V210" s="245">
        <f t="shared" si="69"/>
        <v>0</v>
      </c>
      <c r="W210" s="245">
        <f t="shared" si="69"/>
        <v>0</v>
      </c>
      <c r="X210" s="245">
        <f t="shared" si="69"/>
        <v>0</v>
      </c>
      <c r="Y210" s="245">
        <f t="shared" si="69"/>
        <v>0</v>
      </c>
      <c r="Z210" s="245">
        <f t="shared" si="69"/>
        <v>0</v>
      </c>
      <c r="AA210" s="245">
        <f t="shared" si="69"/>
        <v>0</v>
      </c>
      <c r="AB210" s="245">
        <f t="shared" si="69"/>
        <v>0</v>
      </c>
      <c r="AC210" s="245">
        <f t="shared" si="69"/>
        <v>0</v>
      </c>
      <c r="AD210" s="245">
        <f t="shared" si="69"/>
        <v>0</v>
      </c>
      <c r="AE210" s="245">
        <f t="shared" si="69"/>
        <v>0</v>
      </c>
      <c r="AF210" s="245">
        <f t="shared" si="69"/>
        <v>0</v>
      </c>
      <c r="AG210" s="635">
        <f t="shared" si="65"/>
        <v>8</v>
      </c>
    </row>
    <row r="211" hidden="1" outlineLevel="1">
      <c r="A211" s="99" t="s">
        <v>1071</v>
      </c>
      <c r="B211" s="245" t="str">
        <f>(#REF!*'Data - P&amp;L'!$R$3)+(#REF!*'Data - P&amp;L'!$R$4)+(#REF!*'Data - P&amp;L'!$R$5)</f>
        <v>#REF!</v>
      </c>
      <c r="C211" s="245" t="str">
        <f>(#REF!*'Data - P&amp;L'!$R$3)+(#REF!*'Data - P&amp;L'!$R$4)+(#REF!*'Data - P&amp;L'!$R$5)</f>
        <v>#REF!</v>
      </c>
      <c r="D211" s="245" t="str">
        <f>(#REF!*'Data - P&amp;L'!$R$3)+(#REF!*'Data - P&amp;L'!$R$4)+(#REF!*'Data - P&amp;L'!$R$5)</f>
        <v>#REF!</v>
      </c>
      <c r="E211" s="245" t="str">
        <f>(#REF!*'Data - P&amp;L'!$R$3)+(#REF!*'Data - P&amp;L'!$R$4)+(#REF!*'Data - P&amp;L'!$R$5)</f>
        <v>#REF!</v>
      </c>
      <c r="F211" s="245" t="str">
        <f>(#REF!*'Data - P&amp;L'!$R$3)+(#REF!*'Data - P&amp;L'!$R$4)+(#REF!*'Data - P&amp;L'!$R$5)</f>
        <v>#REF!</v>
      </c>
      <c r="G211" s="245" t="str">
        <f>(#REF!*'Data - P&amp;L'!$R$3)+(#REF!*'Data - P&amp;L'!$R$4)+(#REF!*'Data - P&amp;L'!$R$5)</f>
        <v>#REF!</v>
      </c>
      <c r="H211" s="245" t="str">
        <f>(#REF!*'Data - P&amp;L'!$R$3)+(#REF!*'Data - P&amp;L'!$R$4)+(#REF!*'Data - P&amp;L'!$R$5)</f>
        <v>#REF!</v>
      </c>
      <c r="I211" s="245" t="str">
        <f>(#REF!*'Data - P&amp;L'!$R$3)+(#REF!*'Data - P&amp;L'!$R$4)+(#REF!*'Data - P&amp;L'!$R$5)</f>
        <v>#REF!</v>
      </c>
      <c r="J211" s="245" t="str">
        <f>(#REF!*'Data - P&amp;L'!$R$3)+(#REF!*'Data - P&amp;L'!$R$4)+(#REF!*'Data - P&amp;L'!$R$5)</f>
        <v>#REF!</v>
      </c>
      <c r="K211" s="245" t="str">
        <f>(#REF!*'Data - P&amp;L'!$R$3)+(#REF!*'Data - P&amp;L'!$R$4)+(#REF!*'Data - P&amp;L'!$R$5)</f>
        <v>#REF!</v>
      </c>
      <c r="L211" s="245" t="str">
        <f>(#REF!*'Data - P&amp;L'!$R$3)+(#REF!*'Data - P&amp;L'!$R$4)+(#REF!*'Data - P&amp;L'!$R$5)</f>
        <v>#REF!</v>
      </c>
      <c r="M211" s="245" t="str">
        <f>(#REF!*'Data - P&amp;L'!$R$3)+(#REF!*'Data - P&amp;L'!$R$4)+(#REF!*'Data - P&amp;L'!$R$5)</f>
        <v>#REF!</v>
      </c>
      <c r="N211" s="245" t="str">
        <f>(#REF!*'Data - P&amp;L'!$R$3)+(#REF!*'Data - P&amp;L'!$R$4)+(#REF!*'Data - P&amp;L'!$R$5)</f>
        <v>#REF!</v>
      </c>
      <c r="O211" s="245" t="str">
        <f>(#REF!*'Data - P&amp;L'!$R$3)+(#REF!*'Data - P&amp;L'!$R$4)+(#REF!*'Data - P&amp;L'!$R$5)</f>
        <v>#REF!</v>
      </c>
      <c r="P211" s="245" t="str">
        <f>(#REF!*'Data - P&amp;L'!$R$3)+(#REF!*'Data - P&amp;L'!$R$4)+(#REF!*'Data - P&amp;L'!$R$5)</f>
        <v>#REF!</v>
      </c>
      <c r="Q211" s="245" t="str">
        <f>(#REF!*'Data - P&amp;L'!$R$3)+(#REF!*'Data - P&amp;L'!$R$4)+(#REF!*'Data - P&amp;L'!$R$5)</f>
        <v>#REF!</v>
      </c>
      <c r="R211" s="245" t="str">
        <f>(#REF!*'Data - P&amp;L'!$R$3)+(#REF!*'Data - P&amp;L'!$R$4)+(#REF!*'Data - P&amp;L'!$R$5)</f>
        <v>#REF!</v>
      </c>
      <c r="S211" s="245" t="str">
        <f>(#REF!*'Data - P&amp;L'!$R$3)+(#REF!*'Data - P&amp;L'!$R$4)+(#REF!*'Data - P&amp;L'!$R$5)</f>
        <v>#REF!</v>
      </c>
      <c r="T211" s="245" t="str">
        <f>(#REF!*'Data - P&amp;L'!$R$3)+(#REF!*'Data - P&amp;L'!$R$4)+(#REF!*'Data - P&amp;L'!$R$5)</f>
        <v>#REF!</v>
      </c>
      <c r="U211" s="245" t="str">
        <f>(#REF!*'Data - P&amp;L'!$R$3)+(#REF!*'Data - P&amp;L'!$R$4)+(#REF!*'Data - P&amp;L'!$R$5)</f>
        <v>#REF!</v>
      </c>
      <c r="V211" s="245" t="str">
        <f>(#REF!*'Data - P&amp;L'!$R$3)+(#REF!*'Data - P&amp;L'!$R$4)+(#REF!*'Data - P&amp;L'!$R$5)</f>
        <v>#REF!</v>
      </c>
      <c r="W211" s="245" t="str">
        <f>(#REF!*'Data - P&amp;L'!$R$3)+(#REF!*'Data - P&amp;L'!$R$4)+(#REF!*'Data - P&amp;L'!$R$5)</f>
        <v>#REF!</v>
      </c>
      <c r="X211" s="245" t="str">
        <f>(#REF!*'Data - P&amp;L'!$R$3)+(#REF!*'Data - P&amp;L'!$R$4)+(#REF!*'Data - P&amp;L'!$R$5)</f>
        <v>#REF!</v>
      </c>
      <c r="Y211" s="245" t="str">
        <f>(#REF!*'Data - P&amp;L'!$R$3)+(#REF!*'Data - P&amp;L'!$R$4)+(#REF!*'Data - P&amp;L'!$R$5)</f>
        <v>#REF!</v>
      </c>
      <c r="Z211" s="245" t="str">
        <f>(#REF!*'Data - P&amp;L'!$R$3)+(#REF!*'Data - P&amp;L'!$R$4)+(#REF!*'Data - P&amp;L'!$R$5)</f>
        <v>#REF!</v>
      </c>
      <c r="AA211" s="245" t="str">
        <f>(#REF!*'Data - P&amp;L'!$R$3)+(#REF!*'Data - P&amp;L'!$R$4)+(#REF!*'Data - P&amp;L'!$R$5)</f>
        <v>#REF!</v>
      </c>
      <c r="AB211" s="245" t="str">
        <f>(#REF!*'Data - P&amp;L'!$R$3)+(#REF!*'Data - P&amp;L'!$R$4)+(#REF!*'Data - P&amp;L'!$R$5)</f>
        <v>#REF!</v>
      </c>
      <c r="AC211" s="245" t="str">
        <f>(#REF!*'Data - P&amp;L'!$R$3)+(#REF!*'Data - P&amp;L'!$R$4)+(#REF!*'Data - P&amp;L'!$R$5)</f>
        <v>#REF!</v>
      </c>
      <c r="AD211" s="245" t="str">
        <f>(#REF!*'Data - P&amp;L'!$R$3)+(#REF!*'Data - P&amp;L'!$R$4)+(#REF!*'Data - P&amp;L'!$R$5)</f>
        <v>#REF!</v>
      </c>
      <c r="AE211" s="245" t="str">
        <f>(#REF!*'Data - P&amp;L'!$R$3)+(#REF!*'Data - P&amp;L'!$R$4)+(#REF!*'Data - P&amp;L'!$R$5)</f>
        <v>#REF!</v>
      </c>
      <c r="AF211" s="245" t="str">
        <f>(#REF!*'Data - P&amp;L'!$R$3)+(#REF!*'Data - P&amp;L'!$R$4)+(#REF!*'Data - P&amp;L'!$R$5)</f>
        <v>#REF!</v>
      </c>
      <c r="AG211" s="635" t="str">
        <f t="shared" si="65"/>
        <v>#REF!</v>
      </c>
    </row>
    <row r="212" hidden="1" outlineLevel="1">
      <c r="A212" s="216" t="s">
        <v>321</v>
      </c>
      <c r="B212" s="647">
        <v>0.0</v>
      </c>
      <c r="C212" s="647">
        <v>0.0</v>
      </c>
      <c r="D212" s="647">
        <v>0.0</v>
      </c>
      <c r="E212" s="648">
        <v>0.0</v>
      </c>
      <c r="F212" s="647">
        <v>0.0</v>
      </c>
      <c r="G212" s="647"/>
      <c r="H212" s="647"/>
      <c r="I212" s="647"/>
      <c r="J212" s="647"/>
      <c r="K212" s="647"/>
      <c r="L212" s="647"/>
      <c r="M212" s="647"/>
      <c r="N212" s="647"/>
      <c r="O212" s="647"/>
      <c r="P212" s="647"/>
      <c r="Q212" s="647"/>
      <c r="R212" s="647"/>
      <c r="S212" s="647"/>
      <c r="T212" s="647"/>
      <c r="U212" s="647"/>
      <c r="V212" s="647"/>
      <c r="W212" s="647"/>
      <c r="X212" s="647"/>
      <c r="Y212" s="647"/>
      <c r="Z212" s="647"/>
      <c r="AA212" s="647"/>
      <c r="AB212" s="647"/>
      <c r="AC212" s="647"/>
      <c r="AD212" s="647"/>
      <c r="AE212" s="647"/>
      <c r="AF212" s="647"/>
      <c r="AG212" s="635">
        <f t="shared" si="65"/>
        <v>0</v>
      </c>
    </row>
    <row r="213" hidden="1" outlineLevel="1">
      <c r="A213" s="216" t="s">
        <v>397</v>
      </c>
      <c r="B213" s="647">
        <v>27.0</v>
      </c>
      <c r="C213" s="647">
        <v>126.32</v>
      </c>
      <c r="D213" s="648">
        <v>0.0</v>
      </c>
      <c r="E213" s="648">
        <v>0.0</v>
      </c>
      <c r="F213" s="647">
        <v>0.0</v>
      </c>
      <c r="G213" s="647"/>
      <c r="H213" s="647"/>
      <c r="I213" s="647"/>
      <c r="J213" s="647"/>
      <c r="K213" s="647"/>
      <c r="L213" s="647"/>
      <c r="M213" s="647"/>
      <c r="N213" s="647"/>
      <c r="O213" s="647"/>
      <c r="P213" s="647"/>
      <c r="Q213" s="647"/>
      <c r="R213" s="647"/>
      <c r="S213" s="647"/>
      <c r="T213" s="647"/>
      <c r="U213" s="647"/>
      <c r="V213" s="647"/>
      <c r="W213" s="647"/>
      <c r="X213" s="647"/>
      <c r="Y213" s="647"/>
      <c r="Z213" s="647"/>
      <c r="AA213" s="647"/>
      <c r="AB213" s="647"/>
      <c r="AC213" s="647"/>
      <c r="AD213" s="647"/>
      <c r="AE213" s="647"/>
      <c r="AF213" s="647"/>
      <c r="AG213" s="635">
        <f t="shared" si="65"/>
        <v>153.32</v>
      </c>
    </row>
    <row r="214">
      <c r="A214" s="99" t="s">
        <v>1072</v>
      </c>
      <c r="B214" s="245" t="str">
        <f>#REF!*'Data - P&amp;L'!$C$27</f>
        <v>#REF!</v>
      </c>
      <c r="C214" s="245" t="str">
        <f>#REF!*'Data - P&amp;L'!$C$27</f>
        <v>#REF!</v>
      </c>
      <c r="D214" s="245" t="str">
        <f>#REF!*'Data - P&amp;L'!$C$27</f>
        <v>#REF!</v>
      </c>
      <c r="E214" s="245" t="str">
        <f>#REF!*'Data - P&amp;L'!$C$27</f>
        <v>#REF!</v>
      </c>
      <c r="F214" s="245" t="str">
        <f>#REF!*'Data - P&amp;L'!$C$27</f>
        <v>#REF!</v>
      </c>
      <c r="G214" s="245" t="str">
        <f>#REF!*'Data - P&amp;L'!$C$27</f>
        <v>#REF!</v>
      </c>
      <c r="H214" s="245" t="str">
        <f>#REF!*'Data - P&amp;L'!$C$27</f>
        <v>#REF!</v>
      </c>
      <c r="I214" s="245" t="str">
        <f>#REF!*'Data - P&amp;L'!$C$27</f>
        <v>#REF!</v>
      </c>
      <c r="J214" s="245" t="str">
        <f>#REF!*'Data - P&amp;L'!$C$27</f>
        <v>#REF!</v>
      </c>
      <c r="K214" s="245" t="str">
        <f>#REF!*'Data - P&amp;L'!$C$27</f>
        <v>#REF!</v>
      </c>
      <c r="L214" s="245" t="str">
        <f>#REF!*'Data - P&amp;L'!$C$27</f>
        <v>#REF!</v>
      </c>
      <c r="M214" s="245" t="str">
        <f>#REF!*'Data - P&amp;L'!$C$27</f>
        <v>#REF!</v>
      </c>
      <c r="N214" s="245" t="str">
        <f>#REF!*'Data - P&amp;L'!$C$27</f>
        <v>#REF!</v>
      </c>
      <c r="O214" s="245" t="str">
        <f>#REF!*'Data - P&amp;L'!$C$27</f>
        <v>#REF!</v>
      </c>
      <c r="P214" s="245" t="str">
        <f>#REF!*'Data - P&amp;L'!$C$27</f>
        <v>#REF!</v>
      </c>
      <c r="Q214" s="245" t="str">
        <f>#REF!*'Data - P&amp;L'!$C$27</f>
        <v>#REF!</v>
      </c>
      <c r="R214" s="245" t="str">
        <f>#REF!*'Data - P&amp;L'!$C$27</f>
        <v>#REF!</v>
      </c>
      <c r="S214" s="245" t="str">
        <f>#REF!*'Data - P&amp;L'!$C$27</f>
        <v>#REF!</v>
      </c>
      <c r="T214" s="245" t="str">
        <f>#REF!*'Data - P&amp;L'!$C$27</f>
        <v>#REF!</v>
      </c>
      <c r="U214" s="245" t="str">
        <f>#REF!*'Data - P&amp;L'!$C$27</f>
        <v>#REF!</v>
      </c>
      <c r="V214" s="245" t="str">
        <f>#REF!*'Data - P&amp;L'!$C$27</f>
        <v>#REF!</v>
      </c>
      <c r="W214" s="245" t="str">
        <f>#REF!*'Data - P&amp;L'!$C$27</f>
        <v>#REF!</v>
      </c>
      <c r="X214" s="245" t="str">
        <f>#REF!*'Data - P&amp;L'!$C$27</f>
        <v>#REF!</v>
      </c>
      <c r="Y214" s="245" t="str">
        <f>#REF!*'Data - P&amp;L'!$C$27</f>
        <v>#REF!</v>
      </c>
      <c r="Z214" s="245" t="str">
        <f>#REF!*'Data - P&amp;L'!$C$27</f>
        <v>#REF!</v>
      </c>
      <c r="AA214" s="245" t="str">
        <f>#REF!*'Data - P&amp;L'!$C$27</f>
        <v>#REF!</v>
      </c>
      <c r="AB214" s="245" t="str">
        <f>#REF!*'Data - P&amp;L'!$C$27</f>
        <v>#REF!</v>
      </c>
      <c r="AC214" s="245" t="str">
        <f>#REF!*'Data - P&amp;L'!$C$27</f>
        <v>#REF!</v>
      </c>
      <c r="AD214" s="245" t="str">
        <f>#REF!*'Data - P&amp;L'!$C$27</f>
        <v>#REF!</v>
      </c>
      <c r="AE214" s="245" t="str">
        <f>#REF!*'Data - P&amp;L'!$C$27</f>
        <v>#REF!</v>
      </c>
      <c r="AF214" s="245" t="str">
        <f>#REF!*'Data - P&amp;L'!$C$27</f>
        <v>#REF!</v>
      </c>
      <c r="AG214" s="635" t="str">
        <f t="shared" si="65"/>
        <v>#REF!</v>
      </c>
    </row>
    <row r="215" collapsed="1">
      <c r="A215" s="307" t="s">
        <v>1073</v>
      </c>
      <c r="B215" s="245">
        <f t="shared" ref="B215:AF215" si="70">sum(B216:B221)</f>
        <v>14.46</v>
      </c>
      <c r="C215" s="245">
        <f t="shared" si="70"/>
        <v>2.41</v>
      </c>
      <c r="D215" s="245">
        <f t="shared" si="70"/>
        <v>4.82</v>
      </c>
      <c r="E215" s="245">
        <f t="shared" si="70"/>
        <v>2.41</v>
      </c>
      <c r="F215" s="245">
        <f t="shared" si="70"/>
        <v>2.41</v>
      </c>
      <c r="G215" s="245">
        <f t="shared" si="70"/>
        <v>-7.23</v>
      </c>
      <c r="H215" s="245">
        <f t="shared" si="70"/>
        <v>12.05</v>
      </c>
      <c r="I215" s="245">
        <f t="shared" si="70"/>
        <v>45.79</v>
      </c>
      <c r="J215" s="245">
        <f t="shared" si="70"/>
        <v>7.23</v>
      </c>
      <c r="K215" s="245">
        <f t="shared" si="70"/>
        <v>9.64</v>
      </c>
      <c r="L215" s="245">
        <f t="shared" si="70"/>
        <v>12.05</v>
      </c>
      <c r="M215" s="245">
        <f t="shared" si="70"/>
        <v>221.72</v>
      </c>
      <c r="N215" s="245">
        <f t="shared" si="70"/>
        <v>69.89</v>
      </c>
      <c r="O215" s="245">
        <f t="shared" si="70"/>
        <v>0</v>
      </c>
      <c r="P215" s="245">
        <f t="shared" si="70"/>
        <v>0</v>
      </c>
      <c r="Q215" s="245">
        <f t="shared" si="70"/>
        <v>0</v>
      </c>
      <c r="R215" s="245">
        <f t="shared" si="70"/>
        <v>7.23</v>
      </c>
      <c r="S215" s="245">
        <f t="shared" si="70"/>
        <v>4.82</v>
      </c>
      <c r="T215" s="245">
        <f t="shared" si="70"/>
        <v>-2.41</v>
      </c>
      <c r="U215" s="245">
        <f t="shared" si="70"/>
        <v>0</v>
      </c>
      <c r="V215" s="245">
        <f t="shared" si="70"/>
        <v>-2.41</v>
      </c>
      <c r="W215" s="245">
        <f t="shared" si="70"/>
        <v>0</v>
      </c>
      <c r="X215" s="245">
        <f t="shared" si="70"/>
        <v>0</v>
      </c>
      <c r="Y215" s="245">
        <f t="shared" si="70"/>
        <v>-2.41</v>
      </c>
      <c r="Z215" s="245">
        <f t="shared" si="70"/>
        <v>0</v>
      </c>
      <c r="AA215" s="245">
        <f t="shared" si="70"/>
        <v>0</v>
      </c>
      <c r="AB215" s="245">
        <f t="shared" si="70"/>
        <v>0</v>
      </c>
      <c r="AC215" s="245">
        <f t="shared" si="70"/>
        <v>0</v>
      </c>
      <c r="AD215" s="245">
        <f t="shared" si="70"/>
        <v>0</v>
      </c>
      <c r="AE215" s="245">
        <f t="shared" si="70"/>
        <v>0</v>
      </c>
      <c r="AF215" s="245">
        <f t="shared" si="70"/>
        <v>0</v>
      </c>
      <c r="AG215" s="635">
        <f t="shared" si="65"/>
        <v>402.47</v>
      </c>
    </row>
    <row r="216" hidden="1" outlineLevel="1">
      <c r="A216" s="307" t="s">
        <v>1074</v>
      </c>
      <c r="B216" s="245">
        <f>((B97)*'Data - P&amp;L'!$C$28)</f>
        <v>0.6</v>
      </c>
      <c r="C216" s="245">
        <f>((C97)*'Data - P&amp;L'!$C$28)</f>
        <v>0.1</v>
      </c>
      <c r="D216" s="245">
        <f>((D97)*'Data - P&amp;L'!$C$28)</f>
        <v>0.2</v>
      </c>
      <c r="E216" s="245">
        <f>((E97)*'Data - P&amp;L'!$C$28)</f>
        <v>0.1</v>
      </c>
      <c r="F216" s="245">
        <f>((F97)*'Data - P&amp;L'!$C$28)</f>
        <v>0.1</v>
      </c>
      <c r="G216" s="245">
        <f>((G97)*'Data - P&amp;L'!$C$28)</f>
        <v>-0.3</v>
      </c>
      <c r="H216" s="245">
        <f>((H97)*'Data - P&amp;L'!$C$28)</f>
        <v>0.5</v>
      </c>
      <c r="I216" s="245">
        <f>((I97)*'Data - P&amp;L'!$C$28)</f>
        <v>1.9</v>
      </c>
      <c r="J216" s="245">
        <f>((J97)*'Data - P&amp;L'!$C$28)</f>
        <v>0.3</v>
      </c>
      <c r="K216" s="245">
        <f>((K97)*'Data - P&amp;L'!$C$28)</f>
        <v>0.4</v>
      </c>
      <c r="L216" s="245">
        <f>((L97)*'Data - P&amp;L'!$C$28)</f>
        <v>0.5</v>
      </c>
      <c r="M216" s="245">
        <f>((M97)*'Data - P&amp;L'!$C$28)</f>
        <v>9.2</v>
      </c>
      <c r="N216" s="245">
        <f>((N97)*'Data - P&amp;L'!$C$28)</f>
        <v>2.9</v>
      </c>
      <c r="O216" s="245">
        <f>((O97)*'Data - P&amp;L'!$C$28)</f>
        <v>0</v>
      </c>
      <c r="P216" s="245">
        <f>((P97)*'Data - P&amp;L'!$C$28)</f>
        <v>0</v>
      </c>
      <c r="Q216" s="245">
        <f>((Q97)*'Data - P&amp;L'!$C$28)</f>
        <v>0</v>
      </c>
      <c r="R216" s="245">
        <f>((R97)*'Data - P&amp;L'!$C$28)</f>
        <v>0.3</v>
      </c>
      <c r="S216" s="245">
        <f>((S97)*'Data - P&amp;L'!$C$28)</f>
        <v>0.2</v>
      </c>
      <c r="T216" s="245">
        <f>((T97)*'Data - P&amp;L'!$C$28)</f>
        <v>-0.1</v>
      </c>
      <c r="U216" s="245">
        <f>((U97)*'Data - P&amp;L'!$C$28)</f>
        <v>0</v>
      </c>
      <c r="V216" s="245">
        <f>((V97)*'Data - P&amp;L'!$C$28)</f>
        <v>-0.1</v>
      </c>
      <c r="W216" s="245">
        <f>((W97)*'Data - P&amp;L'!$C$28)</f>
        <v>0</v>
      </c>
      <c r="X216" s="245">
        <f>((X97)*'Data - P&amp;L'!$C$28)</f>
        <v>0</v>
      </c>
      <c r="Y216" s="245">
        <f>((Y97)*'Data - P&amp;L'!$C$28)</f>
        <v>-0.1</v>
      </c>
      <c r="Z216" s="245">
        <f>((Z97)*'Data - P&amp;L'!$C$28)</f>
        <v>0</v>
      </c>
      <c r="AA216" s="245">
        <f>((AA97)*'Data - P&amp;L'!$C$28)</f>
        <v>0</v>
      </c>
      <c r="AB216" s="245">
        <f>((AB97)*'Data - P&amp;L'!$C$28)</f>
        <v>0</v>
      </c>
      <c r="AC216" s="245">
        <f>((AC97)*'Data - P&amp;L'!$C$28)</f>
        <v>0</v>
      </c>
      <c r="AD216" s="245">
        <f>((AD97)*'Data - P&amp;L'!$C$28)</f>
        <v>0</v>
      </c>
      <c r="AE216" s="245">
        <f>((AE97)*'Data - P&amp;L'!$C$28)</f>
        <v>0</v>
      </c>
      <c r="AF216" s="245">
        <f>((AF97)*'Data - P&amp;L'!$C$28)</f>
        <v>0</v>
      </c>
      <c r="AG216" s="635">
        <f t="shared" si="65"/>
        <v>16.7</v>
      </c>
    </row>
    <row r="217" hidden="1" outlineLevel="1">
      <c r="A217" s="307" t="s">
        <v>1075</v>
      </c>
      <c r="B217" s="206">
        <f>((B97)*'Data - P&amp;L'!$C$29)</f>
        <v>1.86</v>
      </c>
      <c r="C217" s="206">
        <f>((C97)*'Data - P&amp;L'!$C$29)</f>
        <v>0.31</v>
      </c>
      <c r="D217" s="206">
        <f>((D97)*'Data - P&amp;L'!$C$29)</f>
        <v>0.62</v>
      </c>
      <c r="E217" s="206">
        <f>((E97)*'Data - P&amp;L'!$C$29)</f>
        <v>0.31</v>
      </c>
      <c r="F217" s="206">
        <f>((F97)*'Data - P&amp;L'!$C$29)</f>
        <v>0.31</v>
      </c>
      <c r="G217" s="206">
        <f>((G97)*'Data - P&amp;L'!$C$29)</f>
        <v>-0.93</v>
      </c>
      <c r="H217" s="206">
        <f>((H97)*'Data - P&amp;L'!$C$29)</f>
        <v>1.55</v>
      </c>
      <c r="I217" s="206">
        <f>((I97)*'Data - P&amp;L'!$C$29)</f>
        <v>5.89</v>
      </c>
      <c r="J217" s="206">
        <f>((J97)*'Data - P&amp;L'!$C$29)</f>
        <v>0.93</v>
      </c>
      <c r="K217" s="206">
        <f>((K97)*'Data - P&amp;L'!$C$29)</f>
        <v>1.24</v>
      </c>
      <c r="L217" s="206">
        <f>((L97)*'Data - P&amp;L'!$C$29)</f>
        <v>1.55</v>
      </c>
      <c r="M217" s="206">
        <f>((M97)*'Data - P&amp;L'!$C$29)</f>
        <v>28.52</v>
      </c>
      <c r="N217" s="206">
        <f>((N97)*'Data - P&amp;L'!$C$29)</f>
        <v>8.99</v>
      </c>
      <c r="O217" s="206">
        <f>((O97)*'Data - P&amp;L'!$C$29)</f>
        <v>0</v>
      </c>
      <c r="P217" s="206">
        <f>((P97)*'Data - P&amp;L'!$C$29)</f>
        <v>0</v>
      </c>
      <c r="Q217" s="206">
        <f>((Q97)*'Data - P&amp;L'!$C$29)</f>
        <v>0</v>
      </c>
      <c r="R217" s="206">
        <f>((R97)*'Data - P&amp;L'!$C$29)</f>
        <v>0.93</v>
      </c>
      <c r="S217" s="206">
        <f>((S97)*'Data - P&amp;L'!$C$29)</f>
        <v>0.62</v>
      </c>
      <c r="T217" s="206">
        <f>((T97)*'Data - P&amp;L'!$C$29)</f>
        <v>-0.31</v>
      </c>
      <c r="U217" s="206">
        <f>((U97)*'Data - P&amp;L'!$C$29)</f>
        <v>0</v>
      </c>
      <c r="V217" s="206">
        <f>((V97)*'Data - P&amp;L'!$C$29)</f>
        <v>-0.31</v>
      </c>
      <c r="W217" s="206">
        <f>((W97)*'Data - P&amp;L'!$C$29)</f>
        <v>0</v>
      </c>
      <c r="X217" s="206">
        <f>((X97)*'Data - P&amp;L'!$C$29)</f>
        <v>0</v>
      </c>
      <c r="Y217" s="206">
        <f>((Y97)*'Data - P&amp;L'!$C$29)</f>
        <v>-0.31</v>
      </c>
      <c r="Z217" s="206">
        <f>((Z97)*'Data - P&amp;L'!$C$29)</f>
        <v>0</v>
      </c>
      <c r="AA217" s="206">
        <f>((AA97)*'Data - P&amp;L'!$C$29)</f>
        <v>0</v>
      </c>
      <c r="AB217" s="206">
        <f>((AB97)*'Data - P&amp;L'!$C$29)</f>
        <v>0</v>
      </c>
      <c r="AC217" s="206">
        <f>((AC97)*'Data - P&amp;L'!$C$29)</f>
        <v>0</v>
      </c>
      <c r="AD217" s="206">
        <f>((AD97)*'Data - P&amp;L'!$C$29)</f>
        <v>0</v>
      </c>
      <c r="AE217" s="206">
        <f>((AE97)*'Data - P&amp;L'!$C$29)</f>
        <v>0</v>
      </c>
      <c r="AF217" s="206">
        <f>((AF97)*'Data - P&amp;L'!$C$29)</f>
        <v>0</v>
      </c>
      <c r="AG217" s="635">
        <f t="shared" si="65"/>
        <v>51.77</v>
      </c>
    </row>
    <row r="218" hidden="1" outlineLevel="1">
      <c r="A218" s="307" t="s">
        <v>1076</v>
      </c>
      <c r="B218" s="206">
        <f>((B97)*'Data - P&amp;L'!$C$30)</f>
        <v>0</v>
      </c>
      <c r="C218" s="206">
        <f>((C97)*'Data - P&amp;L'!$C$30)</f>
        <v>0</v>
      </c>
      <c r="D218" s="206">
        <f>((D97)*'Data - P&amp;L'!$C$30)</f>
        <v>0</v>
      </c>
      <c r="E218" s="206">
        <f>((E97)*'Data - P&amp;L'!$C$30)</f>
        <v>0</v>
      </c>
      <c r="F218" s="206">
        <f>((F97)*'Data - P&amp;L'!$C$30)</f>
        <v>0</v>
      </c>
      <c r="G218" s="206">
        <f>((G97)*'Data - P&amp;L'!$C$30)</f>
        <v>0</v>
      </c>
      <c r="H218" s="206">
        <f>((H97)*'Data - P&amp;L'!$C$30)</f>
        <v>0</v>
      </c>
      <c r="I218" s="206">
        <f>((I97)*'Data - P&amp;L'!$C$30)</f>
        <v>0</v>
      </c>
      <c r="J218" s="206">
        <f>((J97)*'Data - P&amp;L'!$C$30)</f>
        <v>0</v>
      </c>
      <c r="K218" s="206">
        <f>((K97)*'Data - P&amp;L'!$C$30)</f>
        <v>0</v>
      </c>
      <c r="L218" s="206">
        <f>((L97)*'Data - P&amp;L'!$C$30)</f>
        <v>0</v>
      </c>
      <c r="M218" s="206">
        <f>((M97)*'Data - P&amp;L'!$C$30)</f>
        <v>0</v>
      </c>
      <c r="N218" s="206">
        <f>((N97)*'Data - P&amp;L'!$C$30)</f>
        <v>0</v>
      </c>
      <c r="O218" s="206">
        <f>((O97)*'Data - P&amp;L'!$C$30)</f>
        <v>0</v>
      </c>
      <c r="P218" s="206">
        <f>((P97)*'Data - P&amp;L'!$C$30)</f>
        <v>0</v>
      </c>
      <c r="Q218" s="206">
        <f>((Q97)*'Data - P&amp;L'!$C$30)</f>
        <v>0</v>
      </c>
      <c r="R218" s="206">
        <f>((R97)*'Data - P&amp;L'!$C$30)</f>
        <v>0</v>
      </c>
      <c r="S218" s="206">
        <f>((S97)*'Data - P&amp;L'!$C$30)</f>
        <v>0</v>
      </c>
      <c r="T218" s="206">
        <f>((T97)*'Data - P&amp;L'!$C$30)</f>
        <v>0</v>
      </c>
      <c r="U218" s="206">
        <f>((U97)*'Data - P&amp;L'!$C$30)</f>
        <v>0</v>
      </c>
      <c r="V218" s="206">
        <f>((V97)*'Data - P&amp;L'!$C$30)</f>
        <v>0</v>
      </c>
      <c r="W218" s="206">
        <f>((W97)*'Data - P&amp;L'!$C$30)</f>
        <v>0</v>
      </c>
      <c r="X218" s="206">
        <f>((X97)*'Data - P&amp;L'!$C$30)</f>
        <v>0</v>
      </c>
      <c r="Y218" s="206">
        <f>((Y97)*'Data - P&amp;L'!$C$30)</f>
        <v>0</v>
      </c>
      <c r="Z218" s="206">
        <f>((Z97)*'Data - P&amp;L'!$C$30)</f>
        <v>0</v>
      </c>
      <c r="AA218" s="206">
        <f>((AA97)*'Data - P&amp;L'!$C$30)</f>
        <v>0</v>
      </c>
      <c r="AB218" s="206">
        <f>((AB97)*'Data - P&amp;L'!$C$30)</f>
        <v>0</v>
      </c>
      <c r="AC218" s="206">
        <f>((AC97)*'Data - P&amp;L'!$C$30)</f>
        <v>0</v>
      </c>
      <c r="AD218" s="206">
        <f>((AD97)*'Data - P&amp;L'!$C$30)</f>
        <v>0</v>
      </c>
      <c r="AE218" s="206">
        <f>((AE97)*'Data - P&amp;L'!$C$30)</f>
        <v>0</v>
      </c>
      <c r="AF218" s="206">
        <f>((AF97)*'Data - P&amp;L'!$C$30)</f>
        <v>0</v>
      </c>
      <c r="AG218" s="635">
        <f t="shared" si="65"/>
        <v>0</v>
      </c>
    </row>
    <row r="219" hidden="1" outlineLevel="1">
      <c r="A219" s="307" t="s">
        <v>1077</v>
      </c>
      <c r="B219" s="206">
        <f>((B97)*'Data - P&amp;L'!$C$31)</f>
        <v>2.1</v>
      </c>
      <c r="C219" s="206">
        <f>((C97)*'Data - P&amp;L'!$C$31)</f>
        <v>0.35</v>
      </c>
      <c r="D219" s="206">
        <f>((D97)*'Data - P&amp;L'!$C$31)</f>
        <v>0.7</v>
      </c>
      <c r="E219" s="206">
        <f>((E97)*'Data - P&amp;L'!$C$31)</f>
        <v>0.35</v>
      </c>
      <c r="F219" s="206">
        <f>((F97)*'Data - P&amp;L'!$C$31)</f>
        <v>0.35</v>
      </c>
      <c r="G219" s="206">
        <f>((G97)*'Data - P&amp;L'!$C$31)</f>
        <v>-1.05</v>
      </c>
      <c r="H219" s="206">
        <f>((H97)*'Data - P&amp;L'!$C$31)</f>
        <v>1.75</v>
      </c>
      <c r="I219" s="206">
        <f>((I97)*'Data - P&amp;L'!$C$31)</f>
        <v>6.65</v>
      </c>
      <c r="J219" s="206">
        <f>((J97)*'Data - P&amp;L'!$C$31)</f>
        <v>1.05</v>
      </c>
      <c r="K219" s="206">
        <f>((K97)*'Data - P&amp;L'!$C$31)</f>
        <v>1.4</v>
      </c>
      <c r="L219" s="206">
        <f>((L97)*'Data - P&amp;L'!$C$31)</f>
        <v>1.75</v>
      </c>
      <c r="M219" s="206">
        <f>((M97)*'Data - P&amp;L'!$C$31)</f>
        <v>32.2</v>
      </c>
      <c r="N219" s="206">
        <f>((N97)*'Data - P&amp;L'!$C$31)</f>
        <v>10.15</v>
      </c>
      <c r="O219" s="206">
        <f>((O97)*'Data - P&amp;L'!$C$31)</f>
        <v>0</v>
      </c>
      <c r="P219" s="206">
        <f>((P97)*'Data - P&amp;L'!$C$31)</f>
        <v>0</v>
      </c>
      <c r="Q219" s="206">
        <f>((Q97)*'Data - P&amp;L'!$C$31)</f>
        <v>0</v>
      </c>
      <c r="R219" s="206">
        <f>((R97)*'Data - P&amp;L'!$C$31)</f>
        <v>1.05</v>
      </c>
      <c r="S219" s="206">
        <f>((S97)*'Data - P&amp;L'!$C$31)</f>
        <v>0.7</v>
      </c>
      <c r="T219" s="206">
        <f>((T97)*'Data - P&amp;L'!$C$31)</f>
        <v>-0.35</v>
      </c>
      <c r="U219" s="206">
        <f>((U97)*'Data - P&amp;L'!$C$31)</f>
        <v>0</v>
      </c>
      <c r="V219" s="206">
        <f>((V97)*'Data - P&amp;L'!$C$31)</f>
        <v>-0.35</v>
      </c>
      <c r="W219" s="206">
        <f>((W97)*'Data - P&amp;L'!$C$31)</f>
        <v>0</v>
      </c>
      <c r="X219" s="206">
        <f>((X97)*'Data - P&amp;L'!$C$31)</f>
        <v>0</v>
      </c>
      <c r="Y219" s="206">
        <f>((Y97)*'Data - P&amp;L'!$C$31)</f>
        <v>-0.35</v>
      </c>
      <c r="Z219" s="206">
        <f>((Z97)*'Data - P&amp;L'!$C$31)</f>
        <v>0</v>
      </c>
      <c r="AA219" s="206">
        <f>((AA97)*'Data - P&amp;L'!$C$31)</f>
        <v>0</v>
      </c>
      <c r="AB219" s="206">
        <f>((AB97)*'Data - P&amp;L'!$C$31)</f>
        <v>0</v>
      </c>
      <c r="AC219" s="206">
        <f>((AC97)*'Data - P&amp;L'!$C$31)</f>
        <v>0</v>
      </c>
      <c r="AD219" s="206">
        <f>((AD97)*'Data - P&amp;L'!$C$31)</f>
        <v>0</v>
      </c>
      <c r="AE219" s="206">
        <f>((AE97)*'Data - P&amp;L'!$C$31)</f>
        <v>0</v>
      </c>
      <c r="AF219" s="206">
        <f>((AF97)*'Data - P&amp;L'!$C$31)</f>
        <v>0</v>
      </c>
      <c r="AG219" s="635">
        <f t="shared" si="65"/>
        <v>58.45</v>
      </c>
    </row>
    <row r="220" hidden="1" outlineLevel="1">
      <c r="A220" s="307" t="s">
        <v>1078</v>
      </c>
      <c r="B220" s="206">
        <f>((B97)*'Data - P&amp;L'!$C$32)</f>
        <v>0</v>
      </c>
      <c r="C220" s="206">
        <f>((C97)*'Data - P&amp;L'!$C$32)</f>
        <v>0</v>
      </c>
      <c r="D220" s="206">
        <f>((D97)*'Data - P&amp;L'!$C$32)</f>
        <v>0</v>
      </c>
      <c r="E220" s="206">
        <f>((E97)*'Data - P&amp;L'!$C$32)</f>
        <v>0</v>
      </c>
      <c r="F220" s="206">
        <f>((F97)*'Data - P&amp;L'!$C$32)</f>
        <v>0</v>
      </c>
      <c r="G220" s="206">
        <f>((G97)*'Data - P&amp;L'!$C$32)</f>
        <v>0</v>
      </c>
      <c r="H220" s="206">
        <f>((H97)*'Data - P&amp;L'!$C$32)</f>
        <v>0</v>
      </c>
      <c r="I220" s="206">
        <f>((I97)*'Data - P&amp;L'!$C$32)</f>
        <v>0</v>
      </c>
      <c r="J220" s="206">
        <f>((J97)*'Data - P&amp;L'!$C$32)</f>
        <v>0</v>
      </c>
      <c r="K220" s="206">
        <f>((K97)*'Data - P&amp;L'!$C$32)</f>
        <v>0</v>
      </c>
      <c r="L220" s="206">
        <f>((L97)*'Data - P&amp;L'!$C$32)</f>
        <v>0</v>
      </c>
      <c r="M220" s="206">
        <f>((M97)*'Data - P&amp;L'!$C$32)</f>
        <v>0</v>
      </c>
      <c r="N220" s="206">
        <f>((N97)*'Data - P&amp;L'!$C$32)</f>
        <v>0</v>
      </c>
      <c r="O220" s="206">
        <f>((O97)*'Data - P&amp;L'!$C$32)</f>
        <v>0</v>
      </c>
      <c r="P220" s="206">
        <f>((P97)*'Data - P&amp;L'!$C$32)</f>
        <v>0</v>
      </c>
      <c r="Q220" s="206">
        <f>((Q97)*'Data - P&amp;L'!$C$32)</f>
        <v>0</v>
      </c>
      <c r="R220" s="206">
        <f>((R97)*'Data - P&amp;L'!$C$32)</f>
        <v>0</v>
      </c>
      <c r="S220" s="206">
        <f>((S97)*'Data - P&amp;L'!$C$32)</f>
        <v>0</v>
      </c>
      <c r="T220" s="206">
        <f>((T97)*'Data - P&amp;L'!$C$32)</f>
        <v>0</v>
      </c>
      <c r="U220" s="206">
        <f>((U97)*'Data - P&amp;L'!$C$32)</f>
        <v>0</v>
      </c>
      <c r="V220" s="206">
        <f>((V97)*'Data - P&amp;L'!$C$32)</f>
        <v>0</v>
      </c>
      <c r="W220" s="206">
        <f>((W97)*'Data - P&amp;L'!$C$32)</f>
        <v>0</v>
      </c>
      <c r="X220" s="206">
        <f>((X97)*'Data - P&amp;L'!$C$32)</f>
        <v>0</v>
      </c>
      <c r="Y220" s="206">
        <f>((Y97)*'Data - P&amp;L'!$C$32)</f>
        <v>0</v>
      </c>
      <c r="Z220" s="206">
        <f>((Z97)*'Data - P&amp;L'!$C$32)</f>
        <v>0</v>
      </c>
      <c r="AA220" s="206">
        <f>((AA97)*'Data - P&amp;L'!$C$32)</f>
        <v>0</v>
      </c>
      <c r="AB220" s="206">
        <f>((AB97)*'Data - P&amp;L'!$C$32)</f>
        <v>0</v>
      </c>
      <c r="AC220" s="206">
        <f>((AC97)*'Data - P&amp;L'!$C$32)</f>
        <v>0</v>
      </c>
      <c r="AD220" s="206">
        <f>((AD97)*'Data - P&amp;L'!$C$32)</f>
        <v>0</v>
      </c>
      <c r="AE220" s="206">
        <f>((AE97)*'Data - P&amp;L'!$C$32)</f>
        <v>0</v>
      </c>
      <c r="AF220" s="206">
        <f>((AF97)*'Data - P&amp;L'!$C$32)</f>
        <v>0</v>
      </c>
      <c r="AG220" s="635">
        <f t="shared" si="65"/>
        <v>0</v>
      </c>
    </row>
    <row r="221" hidden="1" outlineLevel="1">
      <c r="A221" s="307" t="s">
        <v>1079</v>
      </c>
      <c r="B221" s="206">
        <f>((B97)*'Data - P&amp;L'!$C$33)</f>
        <v>9.9</v>
      </c>
      <c r="C221" s="206">
        <f>((C97)*'Data - P&amp;L'!$C$33)</f>
        <v>1.65</v>
      </c>
      <c r="D221" s="206">
        <f>((D97)*'Data - P&amp;L'!$C$33)</f>
        <v>3.3</v>
      </c>
      <c r="E221" s="206">
        <f>((E97)*'Data - P&amp;L'!$C$33)</f>
        <v>1.65</v>
      </c>
      <c r="F221" s="206">
        <f>((F97)*'Data - P&amp;L'!$C$33)</f>
        <v>1.65</v>
      </c>
      <c r="G221" s="206">
        <f>((G97)*'Data - P&amp;L'!$C$33)</f>
        <v>-4.95</v>
      </c>
      <c r="H221" s="206">
        <f>((H97)*'Data - P&amp;L'!$C$33)</f>
        <v>8.25</v>
      </c>
      <c r="I221" s="206">
        <f>((I97)*'Data - P&amp;L'!$C$33)</f>
        <v>31.35</v>
      </c>
      <c r="J221" s="206">
        <f>((J97)*'Data - P&amp;L'!$C$33)</f>
        <v>4.95</v>
      </c>
      <c r="K221" s="206">
        <f>((K97)*'Data - P&amp;L'!$C$33)</f>
        <v>6.6</v>
      </c>
      <c r="L221" s="206">
        <f>((L97)*'Data - P&amp;L'!$C$33)</f>
        <v>8.25</v>
      </c>
      <c r="M221" s="206">
        <f>((M97)*'Data - P&amp;L'!$C$33)</f>
        <v>151.8</v>
      </c>
      <c r="N221" s="206">
        <f>((N97)*'Data - P&amp;L'!$C$33)</f>
        <v>47.85</v>
      </c>
      <c r="O221" s="206">
        <f>((O97)*'Data - P&amp;L'!$C$33)</f>
        <v>0</v>
      </c>
      <c r="P221" s="206">
        <f>((P97)*'Data - P&amp;L'!$C$33)</f>
        <v>0</v>
      </c>
      <c r="Q221" s="206">
        <f>((Q97)*'Data - P&amp;L'!$C$33)</f>
        <v>0</v>
      </c>
      <c r="R221" s="206">
        <f>((R97)*'Data - P&amp;L'!$C$33)</f>
        <v>4.95</v>
      </c>
      <c r="S221" s="206">
        <f>((S97)*'Data - P&amp;L'!$C$33)</f>
        <v>3.3</v>
      </c>
      <c r="T221" s="206">
        <f>((T97)*'Data - P&amp;L'!$C$33)</f>
        <v>-1.65</v>
      </c>
      <c r="U221" s="206">
        <f>((U97)*'Data - P&amp;L'!$C$33)</f>
        <v>0</v>
      </c>
      <c r="V221" s="206">
        <f>((V97)*'Data - P&amp;L'!$C$33)</f>
        <v>-1.65</v>
      </c>
      <c r="W221" s="206">
        <f>((W97)*'Data - P&amp;L'!$C$33)</f>
        <v>0</v>
      </c>
      <c r="X221" s="206">
        <f>((X97)*'Data - P&amp;L'!$C$33)</f>
        <v>0</v>
      </c>
      <c r="Y221" s="206">
        <f>((Y97)*'Data - P&amp;L'!$C$33)</f>
        <v>-1.65</v>
      </c>
      <c r="Z221" s="206">
        <f>((Z97)*'Data - P&amp;L'!$C$33)</f>
        <v>0</v>
      </c>
      <c r="AA221" s="206">
        <f>((AA97)*'Data - P&amp;L'!$C$33)</f>
        <v>0</v>
      </c>
      <c r="AB221" s="206">
        <f>((AB97)*'Data - P&amp;L'!$C$33)</f>
        <v>0</v>
      </c>
      <c r="AC221" s="206">
        <f>((AC97)*'Data - P&amp;L'!$C$33)</f>
        <v>0</v>
      </c>
      <c r="AD221" s="206">
        <f>((AD97)*'Data - P&amp;L'!$C$33)</f>
        <v>0</v>
      </c>
      <c r="AE221" s="206">
        <f>((AE97)*'Data - P&amp;L'!$C$33)</f>
        <v>0</v>
      </c>
      <c r="AF221" s="206">
        <f>((AF97)*'Data - P&amp;L'!$C$33)</f>
        <v>0</v>
      </c>
      <c r="AG221" s="635">
        <f t="shared" si="65"/>
        <v>275.55</v>
      </c>
    </row>
    <row r="222" collapsed="1">
      <c r="A222" s="307" t="s">
        <v>1080</v>
      </c>
      <c r="B222" s="206">
        <f t="shared" ref="B222:AF222" si="71">sum(B223:B228)</f>
        <v>0</v>
      </c>
      <c r="C222" s="206">
        <f t="shared" si="71"/>
        <v>0</v>
      </c>
      <c r="D222" s="206">
        <f t="shared" si="71"/>
        <v>0</v>
      </c>
      <c r="E222" s="206">
        <f t="shared" si="71"/>
        <v>0</v>
      </c>
      <c r="F222" s="206">
        <f t="shared" si="71"/>
        <v>0</v>
      </c>
      <c r="G222" s="206">
        <f t="shared" si="71"/>
        <v>-1.37</v>
      </c>
      <c r="H222" s="206">
        <f t="shared" si="71"/>
        <v>0</v>
      </c>
      <c r="I222" s="206">
        <f t="shared" si="71"/>
        <v>0</v>
      </c>
      <c r="J222" s="206">
        <f t="shared" si="71"/>
        <v>0</v>
      </c>
      <c r="K222" s="206">
        <f t="shared" si="71"/>
        <v>0</v>
      </c>
      <c r="L222" s="206">
        <f t="shared" si="71"/>
        <v>0</v>
      </c>
      <c r="M222" s="206">
        <f t="shared" si="71"/>
        <v>0</v>
      </c>
      <c r="N222" s="206">
        <f t="shared" si="71"/>
        <v>-1.37</v>
      </c>
      <c r="O222" s="206">
        <f t="shared" si="71"/>
        <v>0</v>
      </c>
      <c r="P222" s="206">
        <f t="shared" si="71"/>
        <v>0</v>
      </c>
      <c r="Q222" s="206">
        <f t="shared" si="71"/>
        <v>0</v>
      </c>
      <c r="R222" s="206">
        <f t="shared" si="71"/>
        <v>0</v>
      </c>
      <c r="S222" s="206">
        <f t="shared" si="71"/>
        <v>0</v>
      </c>
      <c r="T222" s="206">
        <f t="shared" si="71"/>
        <v>-4.11</v>
      </c>
      <c r="U222" s="206">
        <f t="shared" si="71"/>
        <v>0</v>
      </c>
      <c r="V222" s="206">
        <f t="shared" si="71"/>
        <v>-1.37</v>
      </c>
      <c r="W222" s="206">
        <f t="shared" si="71"/>
        <v>0</v>
      </c>
      <c r="X222" s="206">
        <f t="shared" si="71"/>
        <v>0</v>
      </c>
      <c r="Y222" s="206">
        <f t="shared" si="71"/>
        <v>-1.37</v>
      </c>
      <c r="Z222" s="206">
        <f t="shared" si="71"/>
        <v>0</v>
      </c>
      <c r="AA222" s="206">
        <f t="shared" si="71"/>
        <v>0</v>
      </c>
      <c r="AB222" s="206">
        <f t="shared" si="71"/>
        <v>0</v>
      </c>
      <c r="AC222" s="206">
        <f t="shared" si="71"/>
        <v>0</v>
      </c>
      <c r="AD222" s="206">
        <f t="shared" si="71"/>
        <v>0</v>
      </c>
      <c r="AE222" s="206">
        <f t="shared" si="71"/>
        <v>0</v>
      </c>
      <c r="AF222" s="206">
        <f t="shared" si="71"/>
        <v>0</v>
      </c>
      <c r="AG222" s="635">
        <f t="shared" si="65"/>
        <v>-9.59</v>
      </c>
    </row>
    <row r="223" hidden="1" outlineLevel="1">
      <c r="A223" s="307" t="s">
        <v>1081</v>
      </c>
      <c r="B223" s="206">
        <f>((B107)*'Data - P&amp;L'!$D$28)</f>
        <v>0</v>
      </c>
      <c r="C223" s="206">
        <f>((C107)*'Data - P&amp;L'!$D$28)</f>
        <v>0</v>
      </c>
      <c r="D223" s="206">
        <f>((D107)*'Data - P&amp;L'!$D$28)</f>
        <v>0</v>
      </c>
      <c r="E223" s="206">
        <f>((E107)*'Data - P&amp;L'!$D$28)</f>
        <v>0</v>
      </c>
      <c r="F223" s="206">
        <f>((F107)*'Data - P&amp;L'!$D$28)</f>
        <v>0</v>
      </c>
      <c r="G223" s="206">
        <f>((G107)*'Data - P&amp;L'!$D$28)</f>
        <v>0</v>
      </c>
      <c r="H223" s="206">
        <f>((H107)*'Data - P&amp;L'!$D$28)</f>
        <v>0</v>
      </c>
      <c r="I223" s="206">
        <f>((I107)*'Data - P&amp;L'!$D$28)</f>
        <v>0</v>
      </c>
      <c r="J223" s="206">
        <f>((J107)*'Data - P&amp;L'!$D$28)</f>
        <v>0</v>
      </c>
      <c r="K223" s="206">
        <f>((K107)*'Data - P&amp;L'!$D$28)</f>
        <v>0</v>
      </c>
      <c r="L223" s="206">
        <f>((L107)*'Data - P&amp;L'!$D$28)</f>
        <v>0</v>
      </c>
      <c r="M223" s="206">
        <f>((M107)*'Data - P&amp;L'!$D$28)</f>
        <v>0</v>
      </c>
      <c r="N223" s="206">
        <f>((N107)*'Data - P&amp;L'!$D$28)</f>
        <v>0</v>
      </c>
      <c r="O223" s="206">
        <f>((O107)*'Data - P&amp;L'!$D$28)</f>
        <v>0</v>
      </c>
      <c r="P223" s="206">
        <f>((P107)*'Data - P&amp;L'!$D$28)</f>
        <v>0</v>
      </c>
      <c r="Q223" s="206">
        <f>((Q107)*'Data - P&amp;L'!$D$28)</f>
        <v>0</v>
      </c>
      <c r="R223" s="206">
        <f>((R107)*'Data - P&amp;L'!$D$28)</f>
        <v>0</v>
      </c>
      <c r="S223" s="206">
        <f>((S107)*'Data - P&amp;L'!$D$28)</f>
        <v>0</v>
      </c>
      <c r="T223" s="206">
        <f>((T107)*'Data - P&amp;L'!$D$28)</f>
        <v>0</v>
      </c>
      <c r="U223" s="206">
        <f>((U107)*'Data - P&amp;L'!$D$28)</f>
        <v>0</v>
      </c>
      <c r="V223" s="206">
        <f>((V107)*'Data - P&amp;L'!$D$28)</f>
        <v>0</v>
      </c>
      <c r="W223" s="206">
        <f>((W107)*'Data - P&amp;L'!$D$28)</f>
        <v>0</v>
      </c>
      <c r="X223" s="206">
        <f>((X107)*'Data - P&amp;L'!$D$28)</f>
        <v>0</v>
      </c>
      <c r="Y223" s="206">
        <f>((Y107)*'Data - P&amp;L'!$D$28)</f>
        <v>0</v>
      </c>
      <c r="Z223" s="206">
        <f>((Z107)*'Data - P&amp;L'!$D$28)</f>
        <v>0</v>
      </c>
      <c r="AA223" s="206">
        <f>((AA107)*'Data - P&amp;L'!$D$28)</f>
        <v>0</v>
      </c>
      <c r="AB223" s="206">
        <f>((AB107)*'Data - P&amp;L'!$D$28)</f>
        <v>0</v>
      </c>
      <c r="AC223" s="206">
        <f>((AC107)*'Data - P&amp;L'!$D$28)</f>
        <v>0</v>
      </c>
      <c r="AD223" s="206">
        <f>((AD107)*'Data - P&amp;L'!$D$28)</f>
        <v>0</v>
      </c>
      <c r="AE223" s="206">
        <f>((AE107)*'Data - P&amp;L'!$D$28)</f>
        <v>0</v>
      </c>
      <c r="AF223" s="206">
        <f>((AF107)*'Data - P&amp;L'!$D$28)</f>
        <v>0</v>
      </c>
      <c r="AG223" s="635">
        <f t="shared" si="65"/>
        <v>0</v>
      </c>
    </row>
    <row r="224" hidden="1" outlineLevel="1">
      <c r="A224" s="307" t="s">
        <v>1082</v>
      </c>
      <c r="B224" s="206">
        <f>((B107)*'Data - P&amp;L'!$D$29)</f>
        <v>0</v>
      </c>
      <c r="C224" s="206">
        <f>((C107)*'Data - P&amp;L'!$D$29)</f>
        <v>0</v>
      </c>
      <c r="D224" s="206">
        <f>((D107)*'Data - P&amp;L'!$D$29)</f>
        <v>0</v>
      </c>
      <c r="E224" s="206">
        <f>((E107)*'Data - P&amp;L'!$D$29)</f>
        <v>0</v>
      </c>
      <c r="F224" s="206">
        <f>((F107)*'Data - P&amp;L'!$D$29)</f>
        <v>0</v>
      </c>
      <c r="G224" s="206">
        <f>((G107)*'Data - P&amp;L'!$D$29)</f>
        <v>-0.31</v>
      </c>
      <c r="H224" s="206">
        <f>((H107)*'Data - P&amp;L'!$D$29)</f>
        <v>0</v>
      </c>
      <c r="I224" s="206">
        <f>((I107)*'Data - P&amp;L'!$D$29)</f>
        <v>0</v>
      </c>
      <c r="J224" s="206">
        <f>((J107)*'Data - P&amp;L'!$D$29)</f>
        <v>0</v>
      </c>
      <c r="K224" s="206">
        <f>((K107)*'Data - P&amp;L'!$D$29)</f>
        <v>0</v>
      </c>
      <c r="L224" s="206">
        <f>((L107)*'Data - P&amp;L'!$D$29)</f>
        <v>0</v>
      </c>
      <c r="M224" s="206">
        <f>((M107)*'Data - P&amp;L'!$D$29)</f>
        <v>0</v>
      </c>
      <c r="N224" s="206">
        <f>((N107)*'Data - P&amp;L'!$D$29)</f>
        <v>-0.31</v>
      </c>
      <c r="O224" s="206">
        <f>((O107)*'Data - P&amp;L'!$D$29)</f>
        <v>0</v>
      </c>
      <c r="P224" s="206">
        <f>((P107)*'Data - P&amp;L'!$D$29)</f>
        <v>0</v>
      </c>
      <c r="Q224" s="206">
        <f>((Q107)*'Data - P&amp;L'!$D$29)</f>
        <v>0</v>
      </c>
      <c r="R224" s="206">
        <f>((R107)*'Data - P&amp;L'!$D$29)</f>
        <v>0</v>
      </c>
      <c r="S224" s="206">
        <f>((S107)*'Data - P&amp;L'!$D$29)</f>
        <v>0</v>
      </c>
      <c r="T224" s="206">
        <f>((T107)*'Data - P&amp;L'!$D$29)</f>
        <v>-0.93</v>
      </c>
      <c r="U224" s="206">
        <f>((U107)*'Data - P&amp;L'!$D$29)</f>
        <v>0</v>
      </c>
      <c r="V224" s="206">
        <f>((V107)*'Data - P&amp;L'!$D$29)</f>
        <v>-0.31</v>
      </c>
      <c r="W224" s="206">
        <f>((W107)*'Data - P&amp;L'!$D$29)</f>
        <v>0</v>
      </c>
      <c r="X224" s="206">
        <f>((X107)*'Data - P&amp;L'!$D$29)</f>
        <v>0</v>
      </c>
      <c r="Y224" s="206">
        <f>((Y107)*'Data - P&amp;L'!$D$29)</f>
        <v>-0.31</v>
      </c>
      <c r="Z224" s="206">
        <f>((Z107)*'Data - P&amp;L'!$D$29)</f>
        <v>0</v>
      </c>
      <c r="AA224" s="206">
        <f>((AA107)*'Data - P&amp;L'!$D$29)</f>
        <v>0</v>
      </c>
      <c r="AB224" s="206">
        <f>((AB107)*'Data - P&amp;L'!$D$29)</f>
        <v>0</v>
      </c>
      <c r="AC224" s="206">
        <f>((AC107)*'Data - P&amp;L'!$D$29)</f>
        <v>0</v>
      </c>
      <c r="AD224" s="206">
        <f>((AD107)*'Data - P&amp;L'!$D$29)</f>
        <v>0</v>
      </c>
      <c r="AE224" s="206">
        <f>((AE107)*'Data - P&amp;L'!$D$29)</f>
        <v>0</v>
      </c>
      <c r="AF224" s="206">
        <f>((AF107)*'Data - P&amp;L'!$D$29)</f>
        <v>0</v>
      </c>
      <c r="AG224" s="635">
        <f t="shared" si="65"/>
        <v>-2.17</v>
      </c>
    </row>
    <row r="225" hidden="1" outlineLevel="1">
      <c r="A225" s="307" t="s">
        <v>1083</v>
      </c>
      <c r="B225" s="206">
        <f>((B107)*'Data - P&amp;L'!$D$30)</f>
        <v>0</v>
      </c>
      <c r="C225" s="206">
        <f>((C107)*'Data - P&amp;L'!$D$30)</f>
        <v>0</v>
      </c>
      <c r="D225" s="206">
        <f>((D107)*'Data - P&amp;L'!$D$30)</f>
        <v>0</v>
      </c>
      <c r="E225" s="206">
        <f>((E107)*'Data - P&amp;L'!$D$30)</f>
        <v>0</v>
      </c>
      <c r="F225" s="206">
        <f>((F107)*'Data - P&amp;L'!$D$30)</f>
        <v>0</v>
      </c>
      <c r="G225" s="206">
        <f>((G107)*'Data - P&amp;L'!$D$30)</f>
        <v>0</v>
      </c>
      <c r="H225" s="206">
        <f>((H107)*'Data - P&amp;L'!$D$30)</f>
        <v>0</v>
      </c>
      <c r="I225" s="206">
        <f>((I107)*'Data - P&amp;L'!$D$30)</f>
        <v>0</v>
      </c>
      <c r="J225" s="206">
        <f>((J107)*'Data - P&amp;L'!$D$30)</f>
        <v>0</v>
      </c>
      <c r="K225" s="206">
        <f>((K107)*'Data - P&amp;L'!$D$30)</f>
        <v>0</v>
      </c>
      <c r="L225" s="206">
        <f>((L107)*'Data - P&amp;L'!$D$30)</f>
        <v>0</v>
      </c>
      <c r="M225" s="206">
        <f>((M107)*'Data - P&amp;L'!$D$30)</f>
        <v>0</v>
      </c>
      <c r="N225" s="206">
        <f>((N107)*'Data - P&amp;L'!$D$30)</f>
        <v>0</v>
      </c>
      <c r="O225" s="206">
        <f>((O107)*'Data - P&amp;L'!$D$30)</f>
        <v>0</v>
      </c>
      <c r="P225" s="206">
        <f>((P107)*'Data - P&amp;L'!$D$30)</f>
        <v>0</v>
      </c>
      <c r="Q225" s="206">
        <f>((Q107)*'Data - P&amp;L'!$D$30)</f>
        <v>0</v>
      </c>
      <c r="R225" s="206">
        <f>((R107)*'Data - P&amp;L'!$D$30)</f>
        <v>0</v>
      </c>
      <c r="S225" s="206">
        <f>((S107)*'Data - P&amp;L'!$D$30)</f>
        <v>0</v>
      </c>
      <c r="T225" s="206">
        <f>((T107)*'Data - P&amp;L'!$D$30)</f>
        <v>0</v>
      </c>
      <c r="U225" s="206">
        <f>((U107)*'Data - P&amp;L'!$D$30)</f>
        <v>0</v>
      </c>
      <c r="V225" s="206">
        <f>((V107)*'Data - P&amp;L'!$D$30)</f>
        <v>0</v>
      </c>
      <c r="W225" s="206">
        <f>((W107)*'Data - P&amp;L'!$D$30)</f>
        <v>0</v>
      </c>
      <c r="X225" s="206">
        <f>((X107)*'Data - P&amp;L'!$D$30)</f>
        <v>0</v>
      </c>
      <c r="Y225" s="206">
        <f>((Y107)*'Data - P&amp;L'!$D$30)</f>
        <v>0</v>
      </c>
      <c r="Z225" s="206">
        <f>((Z107)*'Data - P&amp;L'!$D$30)</f>
        <v>0</v>
      </c>
      <c r="AA225" s="206">
        <f>((AA107)*'Data - P&amp;L'!$D$30)</f>
        <v>0</v>
      </c>
      <c r="AB225" s="206">
        <f>((AB107)*'Data - P&amp;L'!$D$30)</f>
        <v>0</v>
      </c>
      <c r="AC225" s="206">
        <f>((AC107)*'Data - P&amp;L'!$D$30)</f>
        <v>0</v>
      </c>
      <c r="AD225" s="206">
        <f>((AD107)*'Data - P&amp;L'!$D$30)</f>
        <v>0</v>
      </c>
      <c r="AE225" s="206">
        <f>((AE107)*'Data - P&amp;L'!$D$30)</f>
        <v>0</v>
      </c>
      <c r="AF225" s="206">
        <f>((AF107)*'Data - P&amp;L'!$D$30)</f>
        <v>0</v>
      </c>
      <c r="AG225" s="635">
        <f t="shared" si="65"/>
        <v>0</v>
      </c>
    </row>
    <row r="226" hidden="1" outlineLevel="1">
      <c r="A226" s="307" t="s">
        <v>1084</v>
      </c>
      <c r="B226" s="206">
        <f>((B107)*'Data - P&amp;L'!$D$31)</f>
        <v>0</v>
      </c>
      <c r="C226" s="206">
        <f>((C107)*'Data - P&amp;L'!$D$31)</f>
        <v>0</v>
      </c>
      <c r="D226" s="206">
        <f>((D107)*'Data - P&amp;L'!$D$31)</f>
        <v>0</v>
      </c>
      <c r="E226" s="206">
        <f>((E107)*'Data - P&amp;L'!$D$31)</f>
        <v>0</v>
      </c>
      <c r="F226" s="206">
        <f>((F107)*'Data - P&amp;L'!$D$31)</f>
        <v>0</v>
      </c>
      <c r="G226" s="206">
        <f>((G107)*'Data - P&amp;L'!$D$31)</f>
        <v>-0.35</v>
      </c>
      <c r="H226" s="206">
        <f>((H107)*'Data - P&amp;L'!$D$31)</f>
        <v>0</v>
      </c>
      <c r="I226" s="206">
        <f>((I107)*'Data - P&amp;L'!$D$31)</f>
        <v>0</v>
      </c>
      <c r="J226" s="206">
        <f>((J107)*'Data - P&amp;L'!$D$31)</f>
        <v>0</v>
      </c>
      <c r="K226" s="206">
        <f>((K107)*'Data - P&amp;L'!$D$31)</f>
        <v>0</v>
      </c>
      <c r="L226" s="206">
        <f>((L107)*'Data - P&amp;L'!$D$31)</f>
        <v>0</v>
      </c>
      <c r="M226" s="206">
        <f>((M107)*'Data - P&amp;L'!$D$31)</f>
        <v>0</v>
      </c>
      <c r="N226" s="206">
        <f>((N107)*'Data - P&amp;L'!$D$31)</f>
        <v>-0.35</v>
      </c>
      <c r="O226" s="206">
        <f>((O107)*'Data - P&amp;L'!$D$31)</f>
        <v>0</v>
      </c>
      <c r="P226" s="206">
        <f>((P107)*'Data - P&amp;L'!$D$31)</f>
        <v>0</v>
      </c>
      <c r="Q226" s="206">
        <f>((Q107)*'Data - P&amp;L'!$D$31)</f>
        <v>0</v>
      </c>
      <c r="R226" s="206">
        <f>((R107)*'Data - P&amp;L'!$D$31)</f>
        <v>0</v>
      </c>
      <c r="S226" s="206">
        <f>((S107)*'Data - P&amp;L'!$D$31)</f>
        <v>0</v>
      </c>
      <c r="T226" s="206">
        <f>((T107)*'Data - P&amp;L'!$D$31)</f>
        <v>-1.05</v>
      </c>
      <c r="U226" s="206">
        <f>((U107)*'Data - P&amp;L'!$D$31)</f>
        <v>0</v>
      </c>
      <c r="V226" s="206">
        <f>((V107)*'Data - P&amp;L'!$D$31)</f>
        <v>-0.35</v>
      </c>
      <c r="W226" s="206">
        <f>((W107)*'Data - P&amp;L'!$D$31)</f>
        <v>0</v>
      </c>
      <c r="X226" s="206">
        <f>((X107)*'Data - P&amp;L'!$D$31)</f>
        <v>0</v>
      </c>
      <c r="Y226" s="206">
        <f>((Y107)*'Data - P&amp;L'!$D$31)</f>
        <v>-0.35</v>
      </c>
      <c r="Z226" s="206">
        <f>((Z107)*'Data - P&amp;L'!$D$31)</f>
        <v>0</v>
      </c>
      <c r="AA226" s="206">
        <f>((AA107)*'Data - P&amp;L'!$D$31)</f>
        <v>0</v>
      </c>
      <c r="AB226" s="206">
        <f>((AB107)*'Data - P&amp;L'!$D$31)</f>
        <v>0</v>
      </c>
      <c r="AC226" s="206">
        <f>((AC107)*'Data - P&amp;L'!$D$31)</f>
        <v>0</v>
      </c>
      <c r="AD226" s="206">
        <f>((AD107)*'Data - P&amp;L'!$D$31)</f>
        <v>0</v>
      </c>
      <c r="AE226" s="206">
        <f>((AE107)*'Data - P&amp;L'!$D$31)</f>
        <v>0</v>
      </c>
      <c r="AF226" s="206">
        <f>((AF107)*'Data - P&amp;L'!$D$31)</f>
        <v>0</v>
      </c>
      <c r="AG226" s="635">
        <f t="shared" si="65"/>
        <v>-2.45</v>
      </c>
    </row>
    <row r="227" hidden="1" outlineLevel="1">
      <c r="A227" s="307" t="s">
        <v>1085</v>
      </c>
      <c r="B227" s="206">
        <f>((B107)*'Data - P&amp;L'!$D$32)</f>
        <v>0</v>
      </c>
      <c r="C227" s="206">
        <f>((C107)*'Data - P&amp;L'!$D$32)</f>
        <v>0</v>
      </c>
      <c r="D227" s="206">
        <f>((D107)*'Data - P&amp;L'!$D$32)</f>
        <v>0</v>
      </c>
      <c r="E227" s="206">
        <f>((E107)*'Data - P&amp;L'!$D$32)</f>
        <v>0</v>
      </c>
      <c r="F227" s="206">
        <f>((F107)*'Data - P&amp;L'!$D$32)</f>
        <v>0</v>
      </c>
      <c r="G227" s="206">
        <f>((G107)*'Data - P&amp;L'!$D$32)</f>
        <v>0</v>
      </c>
      <c r="H227" s="206">
        <f>((H107)*'Data - P&amp;L'!$D$32)</f>
        <v>0</v>
      </c>
      <c r="I227" s="206">
        <f>((I107)*'Data - P&amp;L'!$D$32)</f>
        <v>0</v>
      </c>
      <c r="J227" s="206">
        <f>((J107)*'Data - P&amp;L'!$D$32)</f>
        <v>0</v>
      </c>
      <c r="K227" s="206">
        <f>((K107)*'Data - P&amp;L'!$D$32)</f>
        <v>0</v>
      </c>
      <c r="L227" s="206">
        <f>((L107)*'Data - P&amp;L'!$D$32)</f>
        <v>0</v>
      </c>
      <c r="M227" s="206">
        <f>((M107)*'Data - P&amp;L'!$D$32)</f>
        <v>0</v>
      </c>
      <c r="N227" s="206">
        <f>((N107)*'Data - P&amp;L'!$D$32)</f>
        <v>0</v>
      </c>
      <c r="O227" s="206">
        <f>((O107)*'Data - P&amp;L'!$D$32)</f>
        <v>0</v>
      </c>
      <c r="P227" s="206">
        <f>((P107)*'Data - P&amp;L'!$D$32)</f>
        <v>0</v>
      </c>
      <c r="Q227" s="206">
        <f>((Q107)*'Data - P&amp;L'!$D$32)</f>
        <v>0</v>
      </c>
      <c r="R227" s="206">
        <f>((R107)*'Data - P&amp;L'!$D$32)</f>
        <v>0</v>
      </c>
      <c r="S227" s="206">
        <f>((S107)*'Data - P&amp;L'!$D$32)</f>
        <v>0</v>
      </c>
      <c r="T227" s="206">
        <f>((T107)*'Data - P&amp;L'!$D$32)</f>
        <v>0</v>
      </c>
      <c r="U227" s="206">
        <f>((U107)*'Data - P&amp;L'!$D$32)</f>
        <v>0</v>
      </c>
      <c r="V227" s="206">
        <f>((V107)*'Data - P&amp;L'!$D$32)</f>
        <v>0</v>
      </c>
      <c r="W227" s="206">
        <f>((W107)*'Data - P&amp;L'!$D$32)</f>
        <v>0</v>
      </c>
      <c r="X227" s="206">
        <f>((X107)*'Data - P&amp;L'!$D$32)</f>
        <v>0</v>
      </c>
      <c r="Y227" s="206">
        <f>((Y107)*'Data - P&amp;L'!$D$32)</f>
        <v>0</v>
      </c>
      <c r="Z227" s="206">
        <f>((Z107)*'Data - P&amp;L'!$D$32)</f>
        <v>0</v>
      </c>
      <c r="AA227" s="206">
        <f>((AA107)*'Data - P&amp;L'!$D$32)</f>
        <v>0</v>
      </c>
      <c r="AB227" s="206">
        <f>((AB107)*'Data - P&amp;L'!$D$32)</f>
        <v>0</v>
      </c>
      <c r="AC227" s="206">
        <f>((AC107)*'Data - P&amp;L'!$D$32)</f>
        <v>0</v>
      </c>
      <c r="AD227" s="206">
        <f>((AD107)*'Data - P&amp;L'!$D$32)</f>
        <v>0</v>
      </c>
      <c r="AE227" s="206">
        <f>((AE107)*'Data - P&amp;L'!$D$32)</f>
        <v>0</v>
      </c>
      <c r="AF227" s="206">
        <f>((AF107)*'Data - P&amp;L'!$D$32)</f>
        <v>0</v>
      </c>
      <c r="AG227" s="635">
        <f t="shared" si="65"/>
        <v>0</v>
      </c>
    </row>
    <row r="228" hidden="1" outlineLevel="1">
      <c r="A228" s="649" t="s">
        <v>1086</v>
      </c>
      <c r="B228" s="332">
        <f>((B107)*'Data - P&amp;L'!$D$33)</f>
        <v>0</v>
      </c>
      <c r="C228" s="332">
        <f>((C107)*'Data - P&amp;L'!$D$33)</f>
        <v>0</v>
      </c>
      <c r="D228" s="332">
        <f>((D107)*'Data - P&amp;L'!$D$33)</f>
        <v>0</v>
      </c>
      <c r="E228" s="332">
        <f>((E107)*'Data - P&amp;L'!$D$33)</f>
        <v>0</v>
      </c>
      <c r="F228" s="332">
        <f>((F107)*'Data - P&amp;L'!$D$33)</f>
        <v>0</v>
      </c>
      <c r="G228" s="332">
        <f>((G107)*'Data - P&amp;L'!$D$33)</f>
        <v>-0.71</v>
      </c>
      <c r="H228" s="332">
        <f>((H107)*'Data - P&amp;L'!$D$33)</f>
        <v>0</v>
      </c>
      <c r="I228" s="332">
        <f>((I107)*'Data - P&amp;L'!$D$33)</f>
        <v>0</v>
      </c>
      <c r="J228" s="332">
        <f>((J107)*'Data - P&amp;L'!$D$33)</f>
        <v>0</v>
      </c>
      <c r="K228" s="332">
        <f>((K107)*'Data - P&amp;L'!$D$33)</f>
        <v>0</v>
      </c>
      <c r="L228" s="332">
        <f>((L107)*'Data - P&amp;L'!$D$33)</f>
        <v>0</v>
      </c>
      <c r="M228" s="332">
        <f>((M107)*'Data - P&amp;L'!$D$33)</f>
        <v>0</v>
      </c>
      <c r="N228" s="332">
        <f>((N107)*'Data - P&amp;L'!$D$33)</f>
        <v>-0.71</v>
      </c>
      <c r="O228" s="332">
        <f>((O107)*'Data - P&amp;L'!$D$33)</f>
        <v>0</v>
      </c>
      <c r="P228" s="332">
        <f>((P107)*'Data - P&amp;L'!$D$33)</f>
        <v>0</v>
      </c>
      <c r="Q228" s="332">
        <f>((Q107)*'Data - P&amp;L'!$D$33)</f>
        <v>0</v>
      </c>
      <c r="R228" s="332">
        <f>((R107)*'Data - P&amp;L'!$D$33)</f>
        <v>0</v>
      </c>
      <c r="S228" s="332">
        <f>((S107)*'Data - P&amp;L'!$D$33)</f>
        <v>0</v>
      </c>
      <c r="T228" s="332">
        <f>((T107)*'Data - P&amp;L'!$D$33)</f>
        <v>-2.13</v>
      </c>
      <c r="U228" s="332">
        <f>((U107)*'Data - P&amp;L'!$D$33)</f>
        <v>0</v>
      </c>
      <c r="V228" s="332">
        <f>((V107)*'Data - P&amp;L'!$D$33)</f>
        <v>-0.71</v>
      </c>
      <c r="W228" s="332">
        <f>((W107)*'Data - P&amp;L'!$D$33)</f>
        <v>0</v>
      </c>
      <c r="X228" s="332">
        <f>((X107)*'Data - P&amp;L'!$D$33)</f>
        <v>0</v>
      </c>
      <c r="Y228" s="332">
        <f>((Y107)*'Data - P&amp;L'!$D$33)</f>
        <v>-0.71</v>
      </c>
      <c r="Z228" s="332">
        <f>((Z107)*'Data - P&amp;L'!$D$33)</f>
        <v>0</v>
      </c>
      <c r="AA228" s="332">
        <f>((AA107)*'Data - P&amp;L'!$D$33)</f>
        <v>0</v>
      </c>
      <c r="AB228" s="332">
        <f>((AB107)*'Data - P&amp;L'!$D$33)</f>
        <v>0</v>
      </c>
      <c r="AC228" s="332">
        <f>((AC107)*'Data - P&amp;L'!$D$33)</f>
        <v>0</v>
      </c>
      <c r="AD228" s="332">
        <f>((AD107)*'Data - P&amp;L'!$D$33)</f>
        <v>0</v>
      </c>
      <c r="AE228" s="332">
        <f>((AE107)*'Data - P&amp;L'!$D$33)</f>
        <v>0</v>
      </c>
      <c r="AF228" s="332">
        <f>((AF107)*'Data - P&amp;L'!$D$33)</f>
        <v>0</v>
      </c>
      <c r="AG228" s="635">
        <f t="shared" si="65"/>
        <v>-4.97</v>
      </c>
    </row>
    <row r="229" collapsed="1">
      <c r="A229" s="216" t="s">
        <v>1087</v>
      </c>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650"/>
      <c r="AF229" s="650"/>
      <c r="AG229" s="635"/>
    </row>
    <row r="230" hidden="1" outlineLevel="1">
      <c r="A230" s="389" t="s">
        <v>1045</v>
      </c>
      <c r="B230" s="206">
        <f>B142*'Data - P&amp;L'!$C$3</f>
        <v>0</v>
      </c>
      <c r="C230" s="206">
        <f>C94*'Data - P&amp;L'!$C$3</f>
        <v>0</v>
      </c>
      <c r="D230" s="206">
        <f>D94*'Data - P&amp;L'!$C$3</f>
        <v>0</v>
      </c>
      <c r="E230" s="206">
        <f>E94*'Data - P&amp;L'!$C$3</f>
        <v>0</v>
      </c>
      <c r="F230" s="206">
        <f>F94*'Data - P&amp;L'!$C$3</f>
        <v>0</v>
      </c>
      <c r="G230" s="206">
        <f>G94*'Data - P&amp;L'!$C$3</f>
        <v>-86.9</v>
      </c>
      <c r="H230" s="206">
        <f>H94*'Data - P&amp;L'!$C$3</f>
        <v>86.9</v>
      </c>
      <c r="I230" s="206">
        <f>I94*'Data - P&amp;L'!$C$3</f>
        <v>86.9</v>
      </c>
      <c r="J230" s="206">
        <f>J94*'Data - P&amp;L'!$C$3</f>
        <v>86.9</v>
      </c>
      <c r="K230" s="206">
        <f>K94*'Data - P&amp;L'!$C$3</f>
        <v>0</v>
      </c>
      <c r="L230" s="206">
        <f>L94*'Data - P&amp;L'!$C$3</f>
        <v>86.9</v>
      </c>
      <c r="M230" s="206">
        <f>M94*'Data - P&amp;L'!$C$3</f>
        <v>173.8</v>
      </c>
      <c r="N230" s="206">
        <f>N94*'Data - P&amp;L'!$C$3</f>
        <v>173.8</v>
      </c>
      <c r="O230" s="206">
        <f>O94*'Data - P&amp;L'!$C$3</f>
        <v>0</v>
      </c>
      <c r="P230" s="206">
        <f>P94*'Data - P&amp;L'!$C$3</f>
        <v>0</v>
      </c>
      <c r="Q230" s="206">
        <f>Q94*'Data - P&amp;L'!$C$3</f>
        <v>0</v>
      </c>
      <c r="R230" s="206">
        <f>R94*'Data - P&amp;L'!$C$3</f>
        <v>0</v>
      </c>
      <c r="S230" s="206">
        <f>S94*'Data - P&amp;L'!$C$3</f>
        <v>0</v>
      </c>
      <c r="T230" s="206">
        <f>T94*'Data - P&amp;L'!$C$3</f>
        <v>0</v>
      </c>
      <c r="U230" s="206">
        <f>U94*'Data - P&amp;L'!$C$3</f>
        <v>0</v>
      </c>
      <c r="V230" s="206">
        <f>V94*'Data - P&amp;L'!$C$3</f>
        <v>0</v>
      </c>
      <c r="W230" s="206">
        <f>W94*'Data - P&amp;L'!$C$3</f>
        <v>0</v>
      </c>
      <c r="X230" s="206">
        <f>X94*'Data - P&amp;L'!$C$3</f>
        <v>0</v>
      </c>
      <c r="Y230" s="206">
        <f>Y94*'Data - P&amp;L'!$C$3</f>
        <v>0</v>
      </c>
      <c r="Z230" s="206">
        <f>Z94*'Data - P&amp;L'!$C$3</f>
        <v>0</v>
      </c>
      <c r="AA230" s="206">
        <f>AA94*'Data - P&amp;L'!$C$3</f>
        <v>0</v>
      </c>
      <c r="AB230" s="206">
        <f>AB94*'Data - P&amp;L'!$C$3</f>
        <v>0</v>
      </c>
      <c r="AC230" s="206">
        <f>AC94*'Data - P&amp;L'!$C$3</f>
        <v>0</v>
      </c>
      <c r="AD230" s="206">
        <f>AD94*'Data - P&amp;L'!$C$3</f>
        <v>0</v>
      </c>
      <c r="AE230" s="206">
        <f>AE94*'Data - P&amp;L'!$C$3</f>
        <v>0</v>
      </c>
      <c r="AF230" s="206">
        <f>AF94*'Data - P&amp;L'!$C$3</f>
        <v>0</v>
      </c>
      <c r="AG230" s="635">
        <f t="shared" ref="AG230:AG264" si="72">SUM(B230:AF230)</f>
        <v>608.3</v>
      </c>
    </row>
    <row r="231" hidden="1" outlineLevel="1">
      <c r="A231" s="645" t="s">
        <v>1046</v>
      </c>
      <c r="B231" s="206">
        <f>B230*'Data - P&amp;L'!$L$5</f>
        <v>0</v>
      </c>
      <c r="C231" s="206">
        <f>C230*'Data - P&amp;L'!$L$5</f>
        <v>0</v>
      </c>
      <c r="D231" s="206">
        <f>D230*'Data - P&amp;L'!$L$5</f>
        <v>0</v>
      </c>
      <c r="E231" s="206">
        <f>E230*'Data - P&amp;L'!$L$5</f>
        <v>0</v>
      </c>
      <c r="F231" s="206">
        <f>F230*'Data - P&amp;L'!$L$5</f>
        <v>0</v>
      </c>
      <c r="G231" s="206">
        <f>G230*'Data - P&amp;L'!$L$5</f>
        <v>-6.5175</v>
      </c>
      <c r="H231" s="206">
        <f>H230*'Data - P&amp;L'!$L$5</f>
        <v>6.5175</v>
      </c>
      <c r="I231" s="206">
        <f>I230*'Data - P&amp;L'!$L$5</f>
        <v>6.5175</v>
      </c>
      <c r="J231" s="206">
        <f>J230*'Data - P&amp;L'!$L$5</f>
        <v>6.5175</v>
      </c>
      <c r="K231" s="206">
        <f>K230*'Data - P&amp;L'!$L$5</f>
        <v>0</v>
      </c>
      <c r="L231" s="206">
        <f>L230*'Data - P&amp;L'!$L$5</f>
        <v>6.5175</v>
      </c>
      <c r="M231" s="206">
        <f>M230*'Data - P&amp;L'!$L$5</f>
        <v>13.035</v>
      </c>
      <c r="N231" s="206">
        <f>N230*'Data - P&amp;L'!$L$5</f>
        <v>13.035</v>
      </c>
      <c r="O231" s="206">
        <f>O230*'Data - P&amp;L'!$L$5</f>
        <v>0</v>
      </c>
      <c r="P231" s="206">
        <f>P230*'Data - P&amp;L'!$L$5</f>
        <v>0</v>
      </c>
      <c r="Q231" s="206">
        <f>Q230*'Data - P&amp;L'!$L$5</f>
        <v>0</v>
      </c>
      <c r="R231" s="206">
        <f>R230*'Data - P&amp;L'!$L$5</f>
        <v>0</v>
      </c>
      <c r="S231" s="206">
        <f>S230*'Data - P&amp;L'!$L$5</f>
        <v>0</v>
      </c>
      <c r="T231" s="206">
        <f>T230*'Data - P&amp;L'!$L$5</f>
        <v>0</v>
      </c>
      <c r="U231" s="206">
        <f>U230*'Data - P&amp;L'!$L$5</f>
        <v>0</v>
      </c>
      <c r="V231" s="206">
        <f>V230*'Data - P&amp;L'!$L$5</f>
        <v>0</v>
      </c>
      <c r="W231" s="206">
        <f>W230*'Data - P&amp;L'!$L$5</f>
        <v>0</v>
      </c>
      <c r="X231" s="206">
        <f>X230*'Data - P&amp;L'!$L$5</f>
        <v>0</v>
      </c>
      <c r="Y231" s="206">
        <f>Y230*'Data - P&amp;L'!$L$5</f>
        <v>0</v>
      </c>
      <c r="Z231" s="206">
        <f>Z230*'Data - P&amp;L'!$L$5</f>
        <v>0</v>
      </c>
      <c r="AA231" s="206">
        <f>AA230*'Data - P&amp;L'!$L$5</f>
        <v>0</v>
      </c>
      <c r="AB231" s="206">
        <f>AB230*'Data - P&amp;L'!$L$5</f>
        <v>0</v>
      </c>
      <c r="AC231" s="206">
        <f>AC230*'Data - P&amp;L'!$L$5</f>
        <v>0</v>
      </c>
      <c r="AD231" s="206">
        <f>AD230*'Data - P&amp;L'!$L$5</f>
        <v>0</v>
      </c>
      <c r="AE231" s="206">
        <f>AE230*'Data - P&amp;L'!$L$5</f>
        <v>0</v>
      </c>
      <c r="AF231" s="206">
        <f>AF230*'Data - P&amp;L'!$L$5</f>
        <v>0</v>
      </c>
      <c r="AG231" s="635">
        <f t="shared" si="72"/>
        <v>45.6225</v>
      </c>
    </row>
    <row r="232" hidden="1" outlineLevel="1">
      <c r="A232" s="389" t="s">
        <v>1047</v>
      </c>
      <c r="B232" s="206">
        <f>B143*'Data - P&amp;L'!$C$4</f>
        <v>0</v>
      </c>
      <c r="C232" s="206">
        <f>C95*'Data - P&amp;L'!$C$4</f>
        <v>0</v>
      </c>
      <c r="D232" s="206">
        <f>D95*'Data - P&amp;L'!$C$4</f>
        <v>195.22</v>
      </c>
      <c r="E232" s="206">
        <f>E95*'Data - P&amp;L'!$C$4</f>
        <v>97.61</v>
      </c>
      <c r="F232" s="206">
        <f>F95*'Data - P&amp;L'!$C$4</f>
        <v>97.61</v>
      </c>
      <c r="G232" s="206">
        <f>G95*'Data - P&amp;L'!$C$4</f>
        <v>-97.61</v>
      </c>
      <c r="H232" s="206">
        <f>H95*'Data - P&amp;L'!$C$4</f>
        <v>292.83</v>
      </c>
      <c r="I232" s="206">
        <f>I95*'Data - P&amp;L'!$C$4</f>
        <v>976.1</v>
      </c>
      <c r="J232" s="206">
        <f>J95*'Data - P&amp;L'!$C$4</f>
        <v>195.22</v>
      </c>
      <c r="K232" s="206">
        <f>K95*'Data - P&amp;L'!$C$4</f>
        <v>195.22</v>
      </c>
      <c r="L232" s="206">
        <f>L95*'Data - P&amp;L'!$C$4</f>
        <v>390.44</v>
      </c>
      <c r="M232" s="206">
        <f>M95*'Data - P&amp;L'!$C$4</f>
        <v>6442.26</v>
      </c>
      <c r="N232" s="206">
        <f>N95*'Data - P&amp;L'!$C$4</f>
        <v>1464.15</v>
      </c>
      <c r="O232" s="206">
        <f>O95*'Data - P&amp;L'!$C$4</f>
        <v>0</v>
      </c>
      <c r="P232" s="206">
        <f>P95*'Data - P&amp;L'!$C$4</f>
        <v>0</v>
      </c>
      <c r="Q232" s="206">
        <f>Q95*'Data - P&amp;L'!$C$4</f>
        <v>0</v>
      </c>
      <c r="R232" s="206">
        <f>R95*'Data - P&amp;L'!$C$4</f>
        <v>195.22</v>
      </c>
      <c r="S232" s="206">
        <f>S95*'Data - P&amp;L'!$C$4</f>
        <v>195.22</v>
      </c>
      <c r="T232" s="206">
        <f>T95*'Data - P&amp;L'!$C$4</f>
        <v>0</v>
      </c>
      <c r="U232" s="206">
        <f>U95*'Data - P&amp;L'!$C$4</f>
        <v>0</v>
      </c>
      <c r="V232" s="206">
        <f>V95*'Data - P&amp;L'!$C$4</f>
        <v>-97.61</v>
      </c>
      <c r="W232" s="206">
        <f>W95*'Data - P&amp;L'!$C$4</f>
        <v>0</v>
      </c>
      <c r="X232" s="206">
        <f>X95*'Data - P&amp;L'!$C$4</f>
        <v>0</v>
      </c>
      <c r="Y232" s="206">
        <f>Y95*'Data - P&amp;L'!$C$4</f>
        <v>-97.61</v>
      </c>
      <c r="Z232" s="206">
        <f>Z95*'Data - P&amp;L'!$C$4</f>
        <v>0</v>
      </c>
      <c r="AA232" s="206">
        <f>AA95*'Data - P&amp;L'!$C$4</f>
        <v>0</v>
      </c>
      <c r="AB232" s="206">
        <f>AB95*'Data - P&amp;L'!$C$4</f>
        <v>0</v>
      </c>
      <c r="AC232" s="206">
        <f>AC95*'Data - P&amp;L'!$C$4</f>
        <v>0</v>
      </c>
      <c r="AD232" s="206">
        <f>AD95*'Data - P&amp;L'!$C$4</f>
        <v>0</v>
      </c>
      <c r="AE232" s="206">
        <f>AE95*'Data - P&amp;L'!$C$4</f>
        <v>0</v>
      </c>
      <c r="AF232" s="206">
        <f>AF95*'Data - P&amp;L'!$C$4</f>
        <v>0</v>
      </c>
      <c r="AG232" s="635">
        <f t="shared" si="72"/>
        <v>10444.27</v>
      </c>
    </row>
    <row r="233" hidden="1" outlineLevel="1">
      <c r="A233" s="645" t="s">
        <v>1048</v>
      </c>
      <c r="B233" s="206">
        <f>B232*'Data - P&amp;L'!$L$5</f>
        <v>0</v>
      </c>
      <c r="C233" s="206">
        <f>C232*'Data - P&amp;L'!$L$5</f>
        <v>0</v>
      </c>
      <c r="D233" s="206">
        <f>D232*'Data - P&amp;L'!$L$5</f>
        <v>14.6415</v>
      </c>
      <c r="E233" s="206">
        <f>E232*'Data - P&amp;L'!$L$5</f>
        <v>7.32075</v>
      </c>
      <c r="F233" s="206">
        <f>F232*'Data - P&amp;L'!$L$5</f>
        <v>7.32075</v>
      </c>
      <c r="G233" s="206">
        <f>G232*'Data - P&amp;L'!$L$5</f>
        <v>-7.32075</v>
      </c>
      <c r="H233" s="206">
        <f>H232*'Data - P&amp;L'!$L$5</f>
        <v>21.96225</v>
      </c>
      <c r="I233" s="206">
        <f>I232*'Data - P&amp;L'!$L$5</f>
        <v>73.2075</v>
      </c>
      <c r="J233" s="206">
        <f>J232*'Data - P&amp;L'!$L$5</f>
        <v>14.6415</v>
      </c>
      <c r="K233" s="206">
        <f>K232*'Data - P&amp;L'!$L$5</f>
        <v>14.6415</v>
      </c>
      <c r="L233" s="206">
        <f>L232*'Data - P&amp;L'!$L$5</f>
        <v>29.283</v>
      </c>
      <c r="M233" s="206">
        <f>M232*'Data - P&amp;L'!$L$5</f>
        <v>483.1695</v>
      </c>
      <c r="N233" s="206">
        <f>N232*'Data - P&amp;L'!$L$5</f>
        <v>109.81125</v>
      </c>
      <c r="O233" s="206">
        <f>O232*'Data - P&amp;L'!$L$5</f>
        <v>0</v>
      </c>
      <c r="P233" s="206">
        <f>P232*'Data - P&amp;L'!$L$5</f>
        <v>0</v>
      </c>
      <c r="Q233" s="206">
        <f>Q232*'Data - P&amp;L'!$L$5</f>
        <v>0</v>
      </c>
      <c r="R233" s="206">
        <f>R232*'Data - P&amp;L'!$L$5</f>
        <v>14.6415</v>
      </c>
      <c r="S233" s="206">
        <f>S232*'Data - P&amp;L'!$L$5</f>
        <v>14.6415</v>
      </c>
      <c r="T233" s="206">
        <f>T232*'Data - P&amp;L'!$L$5</f>
        <v>0</v>
      </c>
      <c r="U233" s="206">
        <f>U232*'Data - P&amp;L'!$L$5</f>
        <v>0</v>
      </c>
      <c r="V233" s="206">
        <f>V232*'Data - P&amp;L'!$L$5</f>
        <v>-7.32075</v>
      </c>
      <c r="W233" s="206">
        <f>W232*'Data - P&amp;L'!$L$5</f>
        <v>0</v>
      </c>
      <c r="X233" s="206">
        <f>X232*'Data - P&amp;L'!$L$5</f>
        <v>0</v>
      </c>
      <c r="Y233" s="206">
        <f>Y232*'Data - P&amp;L'!$L$5</f>
        <v>-7.32075</v>
      </c>
      <c r="Z233" s="206">
        <f>Z232*'Data - P&amp;L'!$L$5</f>
        <v>0</v>
      </c>
      <c r="AA233" s="206">
        <f>AA232*'Data - P&amp;L'!$L$5</f>
        <v>0</v>
      </c>
      <c r="AB233" s="206">
        <f>AB232*'Data - P&amp;L'!$L$5</f>
        <v>0</v>
      </c>
      <c r="AC233" s="206">
        <f>AC232*'Data - P&amp;L'!$L$5</f>
        <v>0</v>
      </c>
      <c r="AD233" s="206">
        <f>AD232*'Data - P&amp;L'!$L$5</f>
        <v>0</v>
      </c>
      <c r="AE233" s="206">
        <f>AE232*'Data - P&amp;L'!$L$5</f>
        <v>0</v>
      </c>
      <c r="AF233" s="206">
        <f>AF232*'Data - P&amp;L'!$L$5</f>
        <v>0</v>
      </c>
      <c r="AG233" s="635">
        <f t="shared" si="72"/>
        <v>783.32025</v>
      </c>
    </row>
    <row r="234" hidden="1" outlineLevel="1">
      <c r="A234" s="389" t="s">
        <v>1049</v>
      </c>
      <c r="B234" s="206">
        <f>B145*'Data - P&amp;L'!$C$6</f>
        <v>0</v>
      </c>
      <c r="C234" s="206">
        <f>(C97+C104+C112)*'Data - P&amp;L'!$C$6</f>
        <v>5.49</v>
      </c>
      <c r="D234" s="206">
        <f>(D97+D104+D112)*'Data - P&amp;L'!$C$6</f>
        <v>10.98</v>
      </c>
      <c r="E234" s="206">
        <f>(E97+E104+E112)*'Data - P&amp;L'!$C$6</f>
        <v>5.49</v>
      </c>
      <c r="F234" s="206">
        <f>(F97+F104+F112)*'Data - P&amp;L'!$C$6</f>
        <v>5.49</v>
      </c>
      <c r="G234" s="206">
        <f>(G97+G104+G112)*'Data - P&amp;L'!$C$6</f>
        <v>-10.98</v>
      </c>
      <c r="H234" s="206">
        <f>(H97+H104+H112)*'Data - P&amp;L'!$C$6</f>
        <v>27.45</v>
      </c>
      <c r="I234" s="206">
        <f>(I97+I104+I112)*'Data - P&amp;L'!$C$6</f>
        <v>104.31</v>
      </c>
      <c r="J234" s="206">
        <f>(J97+J104+J112)*'Data - P&amp;L'!$C$6</f>
        <v>16.47</v>
      </c>
      <c r="K234" s="206">
        <f>(K97+K104+K112)*'Data - P&amp;L'!$C$6</f>
        <v>21.96</v>
      </c>
      <c r="L234" s="206">
        <f>(L97+L104+L112)*'Data - P&amp;L'!$C$6</f>
        <v>27.45</v>
      </c>
      <c r="M234" s="206">
        <f>(M97+M104+M112)*'Data - P&amp;L'!$C$6</f>
        <v>505.08</v>
      </c>
      <c r="N234" s="206">
        <f>(N97+N104+N112)*'Data - P&amp;L'!$C$6</f>
        <v>159.21</v>
      </c>
      <c r="O234" s="206">
        <f>(O97+O104+O112)*'Data - P&amp;L'!$C$6</f>
        <v>0</v>
      </c>
      <c r="P234" s="206">
        <f>(P97+P104+P112)*'Data - P&amp;L'!$C$6</f>
        <v>0</v>
      </c>
      <c r="Q234" s="206">
        <f>(Q97+Q104+Q112)*'Data - P&amp;L'!$C$6</f>
        <v>0</v>
      </c>
      <c r="R234" s="206">
        <f>(R97+R104+R112)*'Data - P&amp;L'!$C$6</f>
        <v>16.47</v>
      </c>
      <c r="S234" s="206">
        <f>(S97+S104+S112)*'Data - P&amp;L'!$C$6</f>
        <v>10.98</v>
      </c>
      <c r="T234" s="206">
        <f>(T97+T104+T112)*'Data - P&amp;L'!$C$6</f>
        <v>-5.49</v>
      </c>
      <c r="U234" s="206">
        <f>(U97+U104+U112)*'Data - P&amp;L'!$C$6</f>
        <v>0</v>
      </c>
      <c r="V234" s="206">
        <f>(V97+V104+V112)*'Data - P&amp;L'!$C$6</f>
        <v>-5.49</v>
      </c>
      <c r="W234" s="206">
        <f>(W97+W104+W112)*'Data - P&amp;L'!$C$6</f>
        <v>0</v>
      </c>
      <c r="X234" s="206">
        <f>(X97+X104+X112)*'Data - P&amp;L'!$C$6</f>
        <v>0</v>
      </c>
      <c r="Y234" s="206">
        <f>(Y97+Y104+Y112)*'Data - P&amp;L'!$C$6</f>
        <v>-5.49</v>
      </c>
      <c r="Z234" s="206">
        <f>(Z97+Z104+Z112)*'Data - P&amp;L'!$C$6</f>
        <v>0</v>
      </c>
      <c r="AA234" s="206">
        <f>(AA97+AA104+AA112)*'Data - P&amp;L'!$C$6</f>
        <v>0</v>
      </c>
      <c r="AB234" s="206">
        <f>(AB97+AB104+AB112)*'Data - P&amp;L'!$C$6</f>
        <v>0</v>
      </c>
      <c r="AC234" s="206">
        <f>(AC97+AC104+AC112)*'Data - P&amp;L'!$C$6</f>
        <v>0</v>
      </c>
      <c r="AD234" s="206">
        <f>(AD97+AD104+AD112)*'Data - P&amp;L'!$C$6</f>
        <v>0</v>
      </c>
      <c r="AE234" s="206">
        <f>(AE97+AE104+AE112)*'Data - P&amp;L'!$C$6</f>
        <v>0</v>
      </c>
      <c r="AF234" s="206">
        <f>(AF97+AF104+AF112)*'Data - P&amp;L'!$C$6</f>
        <v>0</v>
      </c>
      <c r="AG234" s="635">
        <f t="shared" si="72"/>
        <v>889.38</v>
      </c>
    </row>
    <row r="235" hidden="1" outlineLevel="1">
      <c r="A235" s="645" t="s">
        <v>1050</v>
      </c>
      <c r="B235" s="206">
        <f>B234*'Data - P&amp;L'!$L$5</f>
        <v>0</v>
      </c>
      <c r="C235" s="206">
        <f>C234*'Data - P&amp;L'!$L$5</f>
        <v>0.41175</v>
      </c>
      <c r="D235" s="206">
        <f>D234*'Data - P&amp;L'!$L$5</f>
        <v>0.8235</v>
      </c>
      <c r="E235" s="206">
        <f>E234*'Data - P&amp;L'!$L$5</f>
        <v>0.41175</v>
      </c>
      <c r="F235" s="206">
        <f>F234*'Data - P&amp;L'!$L$5</f>
        <v>0.41175</v>
      </c>
      <c r="G235" s="206">
        <f>G234*'Data - P&amp;L'!$L$5</f>
        <v>-0.8235</v>
      </c>
      <c r="H235" s="206">
        <f>H234*'Data - P&amp;L'!$L$5</f>
        <v>2.05875</v>
      </c>
      <c r="I235" s="206">
        <f>I234*'Data - P&amp;L'!$L$5</f>
        <v>7.82325</v>
      </c>
      <c r="J235" s="206">
        <f>J234*'Data - P&amp;L'!$L$5</f>
        <v>1.23525</v>
      </c>
      <c r="K235" s="206">
        <f>K234*'Data - P&amp;L'!$L$5</f>
        <v>1.647</v>
      </c>
      <c r="L235" s="206">
        <f>L234*'Data - P&amp;L'!$L$5</f>
        <v>2.05875</v>
      </c>
      <c r="M235" s="206">
        <f>M234*'Data - P&amp;L'!$L$5</f>
        <v>37.881</v>
      </c>
      <c r="N235" s="206">
        <f>N234*'Data - P&amp;L'!$L$5</f>
        <v>11.94075</v>
      </c>
      <c r="O235" s="206">
        <f>O234*'Data - P&amp;L'!$L$5</f>
        <v>0</v>
      </c>
      <c r="P235" s="206">
        <f>P234*'Data - P&amp;L'!$L$5</f>
        <v>0</v>
      </c>
      <c r="Q235" s="206">
        <f>Q234*'Data - P&amp;L'!$L$5</f>
        <v>0</v>
      </c>
      <c r="R235" s="206">
        <f>R234*'Data - P&amp;L'!$L$5</f>
        <v>1.23525</v>
      </c>
      <c r="S235" s="206">
        <f>S234*'Data - P&amp;L'!$L$5</f>
        <v>0.8235</v>
      </c>
      <c r="T235" s="206">
        <f>T234*'Data - P&amp;L'!$L$5</f>
        <v>-0.41175</v>
      </c>
      <c r="U235" s="206">
        <f>U234*'Data - P&amp;L'!$L$5</f>
        <v>0</v>
      </c>
      <c r="V235" s="206">
        <f>V234*'Data - P&amp;L'!$L$5</f>
        <v>-0.41175</v>
      </c>
      <c r="W235" s="206">
        <f>W234*'Data - P&amp;L'!$L$5</f>
        <v>0</v>
      </c>
      <c r="X235" s="206">
        <f>X234*'Data - P&amp;L'!$L$5</f>
        <v>0</v>
      </c>
      <c r="Y235" s="206">
        <f>Y234*'Data - P&amp;L'!$L$5</f>
        <v>-0.41175</v>
      </c>
      <c r="Z235" s="206">
        <f>Z234*'Data - P&amp;L'!$L$5</f>
        <v>0</v>
      </c>
      <c r="AA235" s="206">
        <f>AA234*'Data - P&amp;L'!$L$5</f>
        <v>0</v>
      </c>
      <c r="AB235" s="206">
        <f>AB234*'Data - P&amp;L'!$L$5</f>
        <v>0</v>
      </c>
      <c r="AC235" s="206">
        <f>AC234*'Data - P&amp;L'!$L$5</f>
        <v>0</v>
      </c>
      <c r="AD235" s="206">
        <f>AD234*'Data - P&amp;L'!$L$5</f>
        <v>0</v>
      </c>
      <c r="AE235" s="206">
        <f>AE234*'Data - P&amp;L'!$L$5</f>
        <v>0</v>
      </c>
      <c r="AF235" s="206">
        <f>AF234*'Data - P&amp;L'!$L$5</f>
        <v>0</v>
      </c>
      <c r="AG235" s="635">
        <f t="shared" si="72"/>
        <v>66.7035</v>
      </c>
    </row>
    <row r="236" hidden="1" outlineLevel="1">
      <c r="A236" s="645" t="s">
        <v>1051</v>
      </c>
      <c r="B236" s="206">
        <f>B234*'Data - P&amp;L'!$L$4</f>
        <v>0</v>
      </c>
      <c r="C236" s="206">
        <f>C234*'Data - P&amp;L'!$L$4</f>
        <v>0.18666</v>
      </c>
      <c r="D236" s="206">
        <f>D234*'Data - P&amp;L'!$L$4</f>
        <v>0.37332</v>
      </c>
      <c r="E236" s="206">
        <f>E234*'Data - P&amp;L'!$L$4</f>
        <v>0.18666</v>
      </c>
      <c r="F236" s="206">
        <f>F234*'Data - P&amp;L'!$L$4</f>
        <v>0.18666</v>
      </c>
      <c r="G236" s="206">
        <f>G234*'Data - P&amp;L'!$L$4</f>
        <v>-0.37332</v>
      </c>
      <c r="H236" s="206">
        <f>H234*'Data - P&amp;L'!$L$4</f>
        <v>0.9333</v>
      </c>
      <c r="I236" s="206">
        <f>I234*'Data - P&amp;L'!$L$4</f>
        <v>3.54654</v>
      </c>
      <c r="J236" s="206">
        <f>J234*'Data - P&amp;L'!$L$4</f>
        <v>0.55998</v>
      </c>
      <c r="K236" s="206">
        <f>K234*'Data - P&amp;L'!$L$4</f>
        <v>0.74664</v>
      </c>
      <c r="L236" s="206">
        <f>L234*'Data - P&amp;L'!$L$4</f>
        <v>0.9333</v>
      </c>
      <c r="M236" s="206">
        <f>M234*'Data - P&amp;L'!$L$4</f>
        <v>17.17272</v>
      </c>
      <c r="N236" s="206">
        <f>N234*'Data - P&amp;L'!$L$4</f>
        <v>5.41314</v>
      </c>
      <c r="O236" s="206">
        <f>O234*'Data - P&amp;L'!$L$4</f>
        <v>0</v>
      </c>
      <c r="P236" s="206">
        <f>P234*'Data - P&amp;L'!$L$4</f>
        <v>0</v>
      </c>
      <c r="Q236" s="206">
        <f>Q234*'Data - P&amp;L'!$L$4</f>
        <v>0</v>
      </c>
      <c r="R236" s="206">
        <f>R234*'Data - P&amp;L'!$L$4</f>
        <v>0.55998</v>
      </c>
      <c r="S236" s="206">
        <f>S234*'Data - P&amp;L'!$L$4</f>
        <v>0.37332</v>
      </c>
      <c r="T236" s="206">
        <f>T234*'Data - P&amp;L'!$L$4</f>
        <v>-0.18666</v>
      </c>
      <c r="U236" s="206">
        <f>U234*'Data - P&amp;L'!$L$4</f>
        <v>0</v>
      </c>
      <c r="V236" s="206">
        <f>V234*'Data - P&amp;L'!$L$4</f>
        <v>-0.18666</v>
      </c>
      <c r="W236" s="206">
        <f>W234*'Data - P&amp;L'!$L$4</f>
        <v>0</v>
      </c>
      <c r="X236" s="206">
        <f>X234*'Data - P&amp;L'!$L$4</f>
        <v>0</v>
      </c>
      <c r="Y236" s="206">
        <f>Y234*'Data - P&amp;L'!$L$4</f>
        <v>-0.18666</v>
      </c>
      <c r="Z236" s="206">
        <f>Z234*'Data - P&amp;L'!$L$4</f>
        <v>0</v>
      </c>
      <c r="AA236" s="206">
        <f>AA234*'Data - P&amp;L'!$L$4</f>
        <v>0</v>
      </c>
      <c r="AB236" s="206">
        <f>AB234*'Data - P&amp;L'!$L$4</f>
        <v>0</v>
      </c>
      <c r="AC236" s="206">
        <f>AC234*'Data - P&amp;L'!$L$4</f>
        <v>0</v>
      </c>
      <c r="AD236" s="206">
        <f>AD234*'Data - P&amp;L'!$L$4</f>
        <v>0</v>
      </c>
      <c r="AE236" s="206">
        <f>AE234*'Data - P&amp;L'!$L$4</f>
        <v>0</v>
      </c>
      <c r="AF236" s="206">
        <f>AF234*'Data - P&amp;L'!$L$4</f>
        <v>0</v>
      </c>
      <c r="AG236" s="635">
        <f t="shared" si="72"/>
        <v>30.23892</v>
      </c>
    </row>
    <row r="237" hidden="1" outlineLevel="1">
      <c r="A237" s="389" t="s">
        <v>1052</v>
      </c>
      <c r="B237" s="206">
        <f>B146*'Data - P&amp;L'!$C$8</f>
        <v>0</v>
      </c>
      <c r="C237" s="206">
        <f>(C99+C106+C114)*'Data - P&amp;L'!$C$8</f>
        <v>0</v>
      </c>
      <c r="D237" s="206">
        <f>(D99+D106+D114)*'Data - P&amp;L'!$C$8</f>
        <v>0</v>
      </c>
      <c r="E237" s="206">
        <f>(E99+E106+E114)*'Data - P&amp;L'!$C$8</f>
        <v>0</v>
      </c>
      <c r="F237" s="206">
        <f>(F99+F106+F114)*'Data - P&amp;L'!$C$8</f>
        <v>0</v>
      </c>
      <c r="G237" s="206">
        <f>(G99+G106+G114)*'Data - P&amp;L'!$C$8</f>
        <v>0</v>
      </c>
      <c r="H237" s="206">
        <f>(H99+H106+H114)*'Data - P&amp;L'!$C$8</f>
        <v>0</v>
      </c>
      <c r="I237" s="206">
        <f>(I99+I106+I114)*'Data - P&amp;L'!$C$8</f>
        <v>0</v>
      </c>
      <c r="J237" s="206">
        <f>(J99+J106+J114)*'Data - P&amp;L'!$C$8</f>
        <v>0</v>
      </c>
      <c r="K237" s="206">
        <f>(K99+K106+K114)*'Data - P&amp;L'!$C$8</f>
        <v>0</v>
      </c>
      <c r="L237" s="206">
        <f>(L99+L106+L114)*'Data - P&amp;L'!$C$8</f>
        <v>0</v>
      </c>
      <c r="M237" s="206">
        <f>(M99+M106+M114)*'Data - P&amp;L'!$C$8</f>
        <v>0</v>
      </c>
      <c r="N237" s="206">
        <f>(N99+N106+N114)*'Data - P&amp;L'!$C$8</f>
        <v>0</v>
      </c>
      <c r="O237" s="206">
        <f>(O99+O106+O114)*'Data - P&amp;L'!$C$8</f>
        <v>0</v>
      </c>
      <c r="P237" s="206">
        <f>(P99+P106+P114)*'Data - P&amp;L'!$C$8</f>
        <v>0</v>
      </c>
      <c r="Q237" s="206">
        <f>(Q99+Q106+Q114)*'Data - P&amp;L'!$C$8</f>
        <v>0</v>
      </c>
      <c r="R237" s="206">
        <f>(R99+R106+R114)*'Data - P&amp;L'!$C$8</f>
        <v>0</v>
      </c>
      <c r="S237" s="206">
        <f>(S99+S106+S114)*'Data - P&amp;L'!$C$8</f>
        <v>0</v>
      </c>
      <c r="T237" s="206">
        <f>(T99+T106+T114)*'Data - P&amp;L'!$C$8</f>
        <v>-1.19</v>
      </c>
      <c r="U237" s="206">
        <f>(U99+U106+U114)*'Data - P&amp;L'!$C$8</f>
        <v>0</v>
      </c>
      <c r="V237" s="206">
        <f>(V99+V106+V114)*'Data - P&amp;L'!$C$8</f>
        <v>0</v>
      </c>
      <c r="W237" s="206">
        <f>(W99+W106+W114)*'Data - P&amp;L'!$C$8</f>
        <v>0</v>
      </c>
      <c r="X237" s="206">
        <f>(X99+X106+X114)*'Data - P&amp;L'!$C$8</f>
        <v>0</v>
      </c>
      <c r="Y237" s="206">
        <f>(Y99+Y106+Y114)*'Data - P&amp;L'!$C$8</f>
        <v>0</v>
      </c>
      <c r="Z237" s="206">
        <f>(Z99+Z106+Z114)*'Data - P&amp;L'!$C$8</f>
        <v>0</v>
      </c>
      <c r="AA237" s="206">
        <f>(AA99+AA106+AA114)*'Data - P&amp;L'!$C$8</f>
        <v>0</v>
      </c>
      <c r="AB237" s="206">
        <f>(AB99+AB106+AB114)*'Data - P&amp;L'!$C$8</f>
        <v>0</v>
      </c>
      <c r="AC237" s="206">
        <f>(AC99+AC106+AC114)*'Data - P&amp;L'!$C$8</f>
        <v>0</v>
      </c>
      <c r="AD237" s="206">
        <f>(AD99+AD106+AD114)*'Data - P&amp;L'!$C$8</f>
        <v>0</v>
      </c>
      <c r="AE237" s="206">
        <f>(AE99+AE106+AE114)*'Data - P&amp;L'!$C$8</f>
        <v>0</v>
      </c>
      <c r="AF237" s="206">
        <f>(AF99+AF106+AF114)*'Data - P&amp;L'!$C$8</f>
        <v>0</v>
      </c>
      <c r="AG237" s="635">
        <f t="shared" si="72"/>
        <v>-1.19</v>
      </c>
    </row>
    <row r="238" hidden="1" outlineLevel="1">
      <c r="A238" s="645" t="s">
        <v>1053</v>
      </c>
      <c r="B238" s="206">
        <f>B237*'Data - P&amp;L'!$L$5</f>
        <v>0</v>
      </c>
      <c r="C238" s="206">
        <f>C237*'Data - P&amp;L'!$L$5</f>
        <v>0</v>
      </c>
      <c r="D238" s="206">
        <f>D237*'Data - P&amp;L'!$L$5</f>
        <v>0</v>
      </c>
      <c r="E238" s="206">
        <f>E237*'Data - P&amp;L'!$L$5</f>
        <v>0</v>
      </c>
      <c r="F238" s="206">
        <f>F237*'Data - P&amp;L'!$L$5</f>
        <v>0</v>
      </c>
      <c r="G238" s="206">
        <f>G237*'Data - P&amp;L'!$L$5</f>
        <v>0</v>
      </c>
      <c r="H238" s="206">
        <f>H237*'Data - P&amp;L'!$L$5</f>
        <v>0</v>
      </c>
      <c r="I238" s="206">
        <f>I237*'Data - P&amp;L'!$L$5</f>
        <v>0</v>
      </c>
      <c r="J238" s="206">
        <f>J237*'Data - P&amp;L'!$L$5</f>
        <v>0</v>
      </c>
      <c r="K238" s="206">
        <f>K237*'Data - P&amp;L'!$L$5</f>
        <v>0</v>
      </c>
      <c r="L238" s="206">
        <f>L237*'Data - P&amp;L'!$L$5</f>
        <v>0</v>
      </c>
      <c r="M238" s="206">
        <f>M237*'Data - P&amp;L'!$L$5</f>
        <v>0</v>
      </c>
      <c r="N238" s="206">
        <f>N237*'Data - P&amp;L'!$L$5</f>
        <v>0</v>
      </c>
      <c r="O238" s="206">
        <f>O237*'Data - P&amp;L'!$L$5</f>
        <v>0</v>
      </c>
      <c r="P238" s="206">
        <f>P237*'Data - P&amp;L'!$L$5</f>
        <v>0</v>
      </c>
      <c r="Q238" s="206">
        <f>Q237*'Data - P&amp;L'!$L$5</f>
        <v>0</v>
      </c>
      <c r="R238" s="206">
        <f>R237*'Data - P&amp;L'!$L$5</f>
        <v>0</v>
      </c>
      <c r="S238" s="206">
        <f>S237*'Data - P&amp;L'!$L$5</f>
        <v>0</v>
      </c>
      <c r="T238" s="206">
        <f>T237*'Data - P&amp;L'!$L$5</f>
        <v>-0.08925</v>
      </c>
      <c r="U238" s="206">
        <f>U237*'Data - P&amp;L'!$L$5</f>
        <v>0</v>
      </c>
      <c r="V238" s="206">
        <f>V237*'Data - P&amp;L'!$L$5</f>
        <v>0</v>
      </c>
      <c r="W238" s="206">
        <f>W237*'Data - P&amp;L'!$L$5</f>
        <v>0</v>
      </c>
      <c r="X238" s="206">
        <f>X237*'Data - P&amp;L'!$L$5</f>
        <v>0</v>
      </c>
      <c r="Y238" s="206">
        <f>Y237*'Data - P&amp;L'!$L$5</f>
        <v>0</v>
      </c>
      <c r="Z238" s="206">
        <f>Z237*'Data - P&amp;L'!$L$5</f>
        <v>0</v>
      </c>
      <c r="AA238" s="206">
        <f>AA237*'Data - P&amp;L'!$L$5</f>
        <v>0</v>
      </c>
      <c r="AB238" s="206">
        <f>AB237*'Data - P&amp;L'!$L$5</f>
        <v>0</v>
      </c>
      <c r="AC238" s="206">
        <f>AC237*'Data - P&amp;L'!$L$5</f>
        <v>0</v>
      </c>
      <c r="AD238" s="206">
        <f>AD237*'Data - P&amp;L'!$L$5</f>
        <v>0</v>
      </c>
      <c r="AE238" s="206">
        <f>AE237*'Data - P&amp;L'!$L$5</f>
        <v>0</v>
      </c>
      <c r="AF238" s="206">
        <f>AF237*'Data - P&amp;L'!$L$5</f>
        <v>0</v>
      </c>
      <c r="AG238" s="635">
        <f t="shared" si="72"/>
        <v>-0.08925</v>
      </c>
    </row>
    <row r="239" hidden="1" outlineLevel="1">
      <c r="A239" s="645" t="s">
        <v>1054</v>
      </c>
      <c r="B239" s="206">
        <f>B237*'Data - P&amp;L'!$L$4</f>
        <v>0</v>
      </c>
      <c r="C239" s="206">
        <f>C237*'Data - P&amp;L'!$L$4</f>
        <v>0</v>
      </c>
      <c r="D239" s="206">
        <f>D237*'Data - P&amp;L'!$L$4</f>
        <v>0</v>
      </c>
      <c r="E239" s="206">
        <f>E237*'Data - P&amp;L'!$L$4</f>
        <v>0</v>
      </c>
      <c r="F239" s="206">
        <f>F237*'Data - P&amp;L'!$L$4</f>
        <v>0</v>
      </c>
      <c r="G239" s="206">
        <f>G237*'Data - P&amp;L'!$L$4</f>
        <v>0</v>
      </c>
      <c r="H239" s="206">
        <f>H237*'Data - P&amp;L'!$L$4</f>
        <v>0</v>
      </c>
      <c r="I239" s="206">
        <f>I237*'Data - P&amp;L'!$L$4</f>
        <v>0</v>
      </c>
      <c r="J239" s="206">
        <f>J237*'Data - P&amp;L'!$L$4</f>
        <v>0</v>
      </c>
      <c r="K239" s="206">
        <f>K237*'Data - P&amp;L'!$L$4</f>
        <v>0</v>
      </c>
      <c r="L239" s="206">
        <f>L237*'Data - P&amp;L'!$L$4</f>
        <v>0</v>
      </c>
      <c r="M239" s="206">
        <f>M237*'Data - P&amp;L'!$L$4</f>
        <v>0</v>
      </c>
      <c r="N239" s="206">
        <f>N237*'Data - P&amp;L'!$L$4</f>
        <v>0</v>
      </c>
      <c r="O239" s="206">
        <f>O237*'Data - P&amp;L'!$L$4</f>
        <v>0</v>
      </c>
      <c r="P239" s="206">
        <f>P237*'Data - P&amp;L'!$L$4</f>
        <v>0</v>
      </c>
      <c r="Q239" s="206">
        <f>Q237*'Data - P&amp;L'!$L$4</f>
        <v>0</v>
      </c>
      <c r="R239" s="206">
        <f>R237*'Data - P&amp;L'!$L$4</f>
        <v>0</v>
      </c>
      <c r="S239" s="206">
        <f>S237*'Data - P&amp;L'!$L$4</f>
        <v>0</v>
      </c>
      <c r="T239" s="206">
        <f>T237*'Data - P&amp;L'!$L$4</f>
        <v>-0.04046</v>
      </c>
      <c r="U239" s="206">
        <f>U237*'Data - P&amp;L'!$L$4</f>
        <v>0</v>
      </c>
      <c r="V239" s="206">
        <f>V237*'Data - P&amp;L'!$L$4</f>
        <v>0</v>
      </c>
      <c r="W239" s="206">
        <f>W237*'Data - P&amp;L'!$L$4</f>
        <v>0</v>
      </c>
      <c r="X239" s="206">
        <f>X237*'Data - P&amp;L'!$L$4</f>
        <v>0</v>
      </c>
      <c r="Y239" s="206">
        <f>Y237*'Data - P&amp;L'!$L$4</f>
        <v>0</v>
      </c>
      <c r="Z239" s="206">
        <f>Z237*'Data - P&amp;L'!$L$4</f>
        <v>0</v>
      </c>
      <c r="AA239" s="206">
        <f>AA237*'Data - P&amp;L'!$L$4</f>
        <v>0</v>
      </c>
      <c r="AB239" s="206">
        <f>AB237*'Data - P&amp;L'!$L$4</f>
        <v>0</v>
      </c>
      <c r="AC239" s="206">
        <f>AC237*'Data - P&amp;L'!$L$4</f>
        <v>0</v>
      </c>
      <c r="AD239" s="206">
        <f>AD237*'Data - P&amp;L'!$L$4</f>
        <v>0</v>
      </c>
      <c r="AE239" s="206">
        <f>AE237*'Data - P&amp;L'!$L$4</f>
        <v>0</v>
      </c>
      <c r="AF239" s="206">
        <f>AF237*'Data - P&amp;L'!$L$4</f>
        <v>0</v>
      </c>
      <c r="AG239" s="635">
        <f t="shared" si="72"/>
        <v>-0.04046</v>
      </c>
    </row>
    <row r="240" hidden="1" outlineLevel="1">
      <c r="A240" s="389" t="s">
        <v>1055</v>
      </c>
      <c r="B240" s="206">
        <f>(B147+B148)*'Data - P&amp;L'!$C$9</f>
        <v>0</v>
      </c>
      <c r="C240" s="82" t="str">
        <f>(#REF!+C107+C115)*'Data - P&amp;L'!$C$9</f>
        <v>#REF!</v>
      </c>
      <c r="D240" s="82" t="str">
        <f>(#REF!+D107+D115)*'Data - P&amp;L'!$C$9</f>
        <v>#REF!</v>
      </c>
      <c r="E240" s="82" t="str">
        <f>(#REF!+E107+E115)*'Data - P&amp;L'!$C$9</f>
        <v>#REF!</v>
      </c>
      <c r="F240" s="82" t="str">
        <f>(#REF!+F107+F115)*'Data - P&amp;L'!$C$9</f>
        <v>#REF!</v>
      </c>
      <c r="G240" s="82" t="str">
        <f>(#REF!+G107+G115)*'Data - P&amp;L'!$C$9</f>
        <v>#REF!</v>
      </c>
      <c r="H240" s="82" t="str">
        <f>(#REF!+H107+H115)*'Data - P&amp;L'!$C$9</f>
        <v>#REF!</v>
      </c>
      <c r="I240" s="82" t="str">
        <f>(#REF!+I107+I115)*'Data - P&amp;L'!$C$9</f>
        <v>#REF!</v>
      </c>
      <c r="J240" s="82" t="str">
        <f>(#REF!+J107+J115)*'Data - P&amp;L'!$C$9</f>
        <v>#REF!</v>
      </c>
      <c r="K240" s="82" t="str">
        <f>(#REF!+K107+K115)*'Data - P&amp;L'!$C$9</f>
        <v>#REF!</v>
      </c>
      <c r="L240" s="82" t="str">
        <f>(#REF!+L107+L115)*'Data - P&amp;L'!$C$9</f>
        <v>#REF!</v>
      </c>
      <c r="M240" s="82" t="str">
        <f>(#REF!+M107+M115)*'Data - P&amp;L'!$C$9</f>
        <v>#REF!</v>
      </c>
      <c r="N240" s="82" t="str">
        <f>(#REF!+N107+N115)*'Data - P&amp;L'!$C$9</f>
        <v>#REF!</v>
      </c>
      <c r="O240" s="82" t="str">
        <f>(#REF!+O107+O115)*'Data - P&amp;L'!$C$9</f>
        <v>#REF!</v>
      </c>
      <c r="P240" s="82" t="str">
        <f>(#REF!+P107+P115)*'Data - P&amp;L'!$C$9</f>
        <v>#REF!</v>
      </c>
      <c r="Q240" s="82" t="str">
        <f>(#REF!+Q107+Q115)*'Data - P&amp;L'!$C$9</f>
        <v>#REF!</v>
      </c>
      <c r="R240" s="82" t="str">
        <f>(#REF!+R107+R115)*'Data - P&amp;L'!$C$9</f>
        <v>#REF!</v>
      </c>
      <c r="S240" s="82" t="str">
        <f>(#REF!+S107+S115)*'Data - P&amp;L'!$C$9</f>
        <v>#REF!</v>
      </c>
      <c r="T240" s="82" t="str">
        <f>(#REF!+T107+T115)*'Data - P&amp;L'!$C$9</f>
        <v>#REF!</v>
      </c>
      <c r="U240" s="82" t="str">
        <f>(#REF!+U107+U115)*'Data - P&amp;L'!$C$9</f>
        <v>#REF!</v>
      </c>
      <c r="V240" s="82" t="str">
        <f>(#REF!+V107+V115)*'Data - P&amp;L'!$C$9</f>
        <v>#REF!</v>
      </c>
      <c r="W240" s="82" t="str">
        <f>(#REF!+W107+W115)*'Data - P&amp;L'!$C$9</f>
        <v>#REF!</v>
      </c>
      <c r="X240" s="82" t="str">
        <f>(#REF!+X107+X115)*'Data - P&amp;L'!$C$9</f>
        <v>#REF!</v>
      </c>
      <c r="Y240" s="82" t="str">
        <f>(#REF!+Y107+Y115)*'Data - P&amp;L'!$C$9</f>
        <v>#REF!</v>
      </c>
      <c r="Z240" s="82" t="str">
        <f>(#REF!+Z107+Z115)*'Data - P&amp;L'!$C$9</f>
        <v>#REF!</v>
      </c>
      <c r="AA240" s="82" t="str">
        <f>(#REF!+AA107+AA115)*'Data - P&amp;L'!$C$9</f>
        <v>#REF!</v>
      </c>
      <c r="AB240" s="82" t="str">
        <f>(#REF!+AB107+AB115)*'Data - P&amp;L'!$C$9</f>
        <v>#REF!</v>
      </c>
      <c r="AC240" s="82" t="str">
        <f>(#REF!+AC107+AC115)*'Data - P&amp;L'!$C$9</f>
        <v>#REF!</v>
      </c>
      <c r="AD240" s="82" t="str">
        <f>(#REF!+AD107+AD115)*'Data - P&amp;L'!$C$9</f>
        <v>#REF!</v>
      </c>
      <c r="AE240" s="82" t="str">
        <f>(#REF!+AE107+AE115)*'Data - P&amp;L'!$C$9</f>
        <v>#REF!</v>
      </c>
      <c r="AF240" s="82" t="str">
        <f>(#REF!+AF107+AF115)*'Data - P&amp;L'!$C$9</f>
        <v>#REF!</v>
      </c>
      <c r="AG240" s="635" t="str">
        <f t="shared" si="72"/>
        <v>#REF!</v>
      </c>
    </row>
    <row r="241" hidden="1" outlineLevel="1">
      <c r="A241" s="645" t="s">
        <v>1056</v>
      </c>
      <c r="B241" s="206">
        <f>B240*'Data - P&amp;L'!$L$5</f>
        <v>0</v>
      </c>
      <c r="C241" s="82" t="str">
        <f>C240*'Data - P&amp;L'!$L$5</f>
        <v>#REF!</v>
      </c>
      <c r="D241" s="82" t="str">
        <f>D240*'Data - P&amp;L'!$L$5</f>
        <v>#REF!</v>
      </c>
      <c r="E241" s="82" t="str">
        <f>E240*'Data - P&amp;L'!$L$5</f>
        <v>#REF!</v>
      </c>
      <c r="F241" s="82" t="str">
        <f>F240*'Data - P&amp;L'!$L$5</f>
        <v>#REF!</v>
      </c>
      <c r="G241" s="82" t="str">
        <f>G240*'Data - P&amp;L'!$L$5</f>
        <v>#REF!</v>
      </c>
      <c r="H241" s="82" t="str">
        <f>H240*'Data - P&amp;L'!$L$5</f>
        <v>#REF!</v>
      </c>
      <c r="I241" s="82" t="str">
        <f>I240*'Data - P&amp;L'!$L$5</f>
        <v>#REF!</v>
      </c>
      <c r="J241" s="82" t="str">
        <f>J240*'Data - P&amp;L'!$L$5</f>
        <v>#REF!</v>
      </c>
      <c r="K241" s="82" t="str">
        <f>K240*'Data - P&amp;L'!$L$5</f>
        <v>#REF!</v>
      </c>
      <c r="L241" s="82" t="str">
        <f>L240*'Data - P&amp;L'!$L$5</f>
        <v>#REF!</v>
      </c>
      <c r="M241" s="82" t="str">
        <f>M240*'Data - P&amp;L'!$L$5</f>
        <v>#REF!</v>
      </c>
      <c r="N241" s="82" t="str">
        <f>N240*'Data - P&amp;L'!$L$5</f>
        <v>#REF!</v>
      </c>
      <c r="O241" s="82" t="str">
        <f>O240*'Data - P&amp;L'!$L$5</f>
        <v>#REF!</v>
      </c>
      <c r="P241" s="82" t="str">
        <f>P240*'Data - P&amp;L'!$L$5</f>
        <v>#REF!</v>
      </c>
      <c r="Q241" s="82" t="str">
        <f>Q240*'Data - P&amp;L'!$L$5</f>
        <v>#REF!</v>
      </c>
      <c r="R241" s="82" t="str">
        <f>R240*'Data - P&amp;L'!$L$5</f>
        <v>#REF!</v>
      </c>
      <c r="S241" s="82" t="str">
        <f>S240*'Data - P&amp;L'!$L$5</f>
        <v>#REF!</v>
      </c>
      <c r="T241" s="82" t="str">
        <f>T240*'Data - P&amp;L'!$L$5</f>
        <v>#REF!</v>
      </c>
      <c r="U241" s="82" t="str">
        <f>U240*'Data - P&amp;L'!$L$5</f>
        <v>#REF!</v>
      </c>
      <c r="V241" s="82" t="str">
        <f>V240*'Data - P&amp;L'!$L$5</f>
        <v>#REF!</v>
      </c>
      <c r="W241" s="82" t="str">
        <f>W240*'Data - P&amp;L'!$L$5</f>
        <v>#REF!</v>
      </c>
      <c r="X241" s="82" t="str">
        <f>X240*'Data - P&amp;L'!$L$5</f>
        <v>#REF!</v>
      </c>
      <c r="Y241" s="82" t="str">
        <f>Y240*'Data - P&amp;L'!$L$5</f>
        <v>#REF!</v>
      </c>
      <c r="Z241" s="82" t="str">
        <f>Z240*'Data - P&amp;L'!$L$5</f>
        <v>#REF!</v>
      </c>
      <c r="AA241" s="82" t="str">
        <f>AA240*'Data - P&amp;L'!$L$5</f>
        <v>#REF!</v>
      </c>
      <c r="AB241" s="82" t="str">
        <f>AB240*'Data - P&amp;L'!$L$5</f>
        <v>#REF!</v>
      </c>
      <c r="AC241" s="82" t="str">
        <f>AC240*'Data - P&amp;L'!$L$5</f>
        <v>#REF!</v>
      </c>
      <c r="AD241" s="82" t="str">
        <f>AD240*'Data - P&amp;L'!$L$5</f>
        <v>#REF!</v>
      </c>
      <c r="AE241" s="82" t="str">
        <f>AE240*'Data - P&amp;L'!$L$5</f>
        <v>#REF!</v>
      </c>
      <c r="AF241" s="82" t="str">
        <f>AF240*'Data - P&amp;L'!$L$5</f>
        <v>#REF!</v>
      </c>
      <c r="AG241" s="635" t="str">
        <f t="shared" si="72"/>
        <v>#REF!</v>
      </c>
    </row>
    <row r="242" hidden="1" outlineLevel="1">
      <c r="A242" s="645" t="s">
        <v>1057</v>
      </c>
      <c r="B242" s="206">
        <f>B240*'Data - P&amp;L'!$L$4</f>
        <v>0</v>
      </c>
      <c r="C242" s="82" t="str">
        <f>C240*'Data - P&amp;L'!$L$4</f>
        <v>#REF!</v>
      </c>
      <c r="D242" s="82" t="str">
        <f>D240*'Data - P&amp;L'!$L$4</f>
        <v>#REF!</v>
      </c>
      <c r="E242" s="82" t="str">
        <f>E240*'Data - P&amp;L'!$L$4</f>
        <v>#REF!</v>
      </c>
      <c r="F242" s="82" t="str">
        <f>F240*'Data - P&amp;L'!$L$4</f>
        <v>#REF!</v>
      </c>
      <c r="G242" s="82" t="str">
        <f>G240*'Data - P&amp;L'!$L$4</f>
        <v>#REF!</v>
      </c>
      <c r="H242" s="82" t="str">
        <f>H240*'Data - P&amp;L'!$L$4</f>
        <v>#REF!</v>
      </c>
      <c r="I242" s="82" t="str">
        <f>I240*'Data - P&amp;L'!$L$4</f>
        <v>#REF!</v>
      </c>
      <c r="J242" s="82" t="str">
        <f>J240*'Data - P&amp;L'!$L$4</f>
        <v>#REF!</v>
      </c>
      <c r="K242" s="82" t="str">
        <f>K240*'Data - P&amp;L'!$L$4</f>
        <v>#REF!</v>
      </c>
      <c r="L242" s="82" t="str">
        <f>L240*'Data - P&amp;L'!$L$4</f>
        <v>#REF!</v>
      </c>
      <c r="M242" s="82" t="str">
        <f>M240*'Data - P&amp;L'!$L$4</f>
        <v>#REF!</v>
      </c>
      <c r="N242" s="82" t="str">
        <f>N240*'Data - P&amp;L'!$L$4</f>
        <v>#REF!</v>
      </c>
      <c r="O242" s="82" t="str">
        <f>O240*'Data - P&amp;L'!$L$4</f>
        <v>#REF!</v>
      </c>
      <c r="P242" s="82" t="str">
        <f>P240*'Data - P&amp;L'!$L$4</f>
        <v>#REF!</v>
      </c>
      <c r="Q242" s="82" t="str">
        <f>Q240*'Data - P&amp;L'!$L$4</f>
        <v>#REF!</v>
      </c>
      <c r="R242" s="82" t="str">
        <f>R240*'Data - P&amp;L'!$L$4</f>
        <v>#REF!</v>
      </c>
      <c r="S242" s="82" t="str">
        <f>S240*'Data - P&amp;L'!$L$4</f>
        <v>#REF!</v>
      </c>
      <c r="T242" s="82" t="str">
        <f>T240*'Data - P&amp;L'!$L$4</f>
        <v>#REF!</v>
      </c>
      <c r="U242" s="82" t="str">
        <f>U240*'Data - P&amp;L'!$L$4</f>
        <v>#REF!</v>
      </c>
      <c r="V242" s="82" t="str">
        <f>V240*'Data - P&amp;L'!$L$4</f>
        <v>#REF!</v>
      </c>
      <c r="W242" s="82" t="str">
        <f>W240*'Data - P&amp;L'!$L$4</f>
        <v>#REF!</v>
      </c>
      <c r="X242" s="82" t="str">
        <f>X240*'Data - P&amp;L'!$L$4</f>
        <v>#REF!</v>
      </c>
      <c r="Y242" s="82" t="str">
        <f>Y240*'Data - P&amp;L'!$L$4</f>
        <v>#REF!</v>
      </c>
      <c r="Z242" s="82" t="str">
        <f>Z240*'Data - P&amp;L'!$L$4</f>
        <v>#REF!</v>
      </c>
      <c r="AA242" s="82" t="str">
        <f>AA240*'Data - P&amp;L'!$L$4</f>
        <v>#REF!</v>
      </c>
      <c r="AB242" s="82" t="str">
        <f>AB240*'Data - P&amp;L'!$L$4</f>
        <v>#REF!</v>
      </c>
      <c r="AC242" s="82" t="str">
        <f>AC240*'Data - P&amp;L'!$L$4</f>
        <v>#REF!</v>
      </c>
      <c r="AD242" s="82" t="str">
        <f>AD240*'Data - P&amp;L'!$L$4</f>
        <v>#REF!</v>
      </c>
      <c r="AE242" s="82" t="str">
        <f>AE240*'Data - P&amp;L'!$L$4</f>
        <v>#REF!</v>
      </c>
      <c r="AF242" s="82" t="str">
        <f>AF240*'Data - P&amp;L'!$L$4</f>
        <v>#REF!</v>
      </c>
      <c r="AG242" s="635" t="str">
        <f t="shared" si="72"/>
        <v>#REF!</v>
      </c>
    </row>
    <row r="243" hidden="1" outlineLevel="1">
      <c r="A243" s="389" t="s">
        <v>1058</v>
      </c>
      <c r="B243" s="206">
        <f>(B149+B150)*'Data - P&amp;L'!$C$5</f>
        <v>0</v>
      </c>
      <c r="C243" s="206">
        <f>(C100+C108+C116)*'Data - P&amp;L'!$C$5</f>
        <v>0</v>
      </c>
      <c r="D243" s="206">
        <f>(D100+D108+D116)*'Data - P&amp;L'!$C$5</f>
        <v>0</v>
      </c>
      <c r="E243" s="206">
        <f>(E100+E108+E116)*'Data - P&amp;L'!$C$5</f>
        <v>0</v>
      </c>
      <c r="F243" s="206">
        <f>(F100+F108+F116)*'Data - P&amp;L'!$C$5</f>
        <v>0</v>
      </c>
      <c r="G243" s="206">
        <f>(G100+G108+G116)*'Data - P&amp;L'!$C$5</f>
        <v>0</v>
      </c>
      <c r="H243" s="206">
        <f>(H100+H108+H116)*'Data - P&amp;L'!$C$5</f>
        <v>0</v>
      </c>
      <c r="I243" s="206">
        <f>(I100+I108+I116)*'Data - P&amp;L'!$C$5</f>
        <v>0</v>
      </c>
      <c r="J243" s="206">
        <f>(J100+J108+J116)*'Data - P&amp;L'!$C$5</f>
        <v>0</v>
      </c>
      <c r="K243" s="206">
        <f>(K100+K108+K116)*'Data - P&amp;L'!$C$5</f>
        <v>0</v>
      </c>
      <c r="L243" s="206">
        <f>(L100+L108+L116)*'Data - P&amp;L'!$C$5</f>
        <v>0</v>
      </c>
      <c r="M243" s="206">
        <f>(M100+M108+M116)*'Data - P&amp;L'!$C$5</f>
        <v>0</v>
      </c>
      <c r="N243" s="206">
        <f>(N100+N108+N116)*'Data - P&amp;L'!$C$5</f>
        <v>0</v>
      </c>
      <c r="O243" s="206">
        <f>(O100+O108+O116)*'Data - P&amp;L'!$C$5</f>
        <v>0</v>
      </c>
      <c r="P243" s="206">
        <f>(P100+P108+P116)*'Data - P&amp;L'!$C$5</f>
        <v>0</v>
      </c>
      <c r="Q243" s="206">
        <f>(Q100+Q108+Q116)*'Data - P&amp;L'!$C$5</f>
        <v>0</v>
      </c>
      <c r="R243" s="206">
        <f>(R100+R108+R116)*'Data - P&amp;L'!$C$5</f>
        <v>0</v>
      </c>
      <c r="S243" s="206">
        <f>(S100+S108+S116)*'Data - P&amp;L'!$C$5</f>
        <v>0</v>
      </c>
      <c r="T243" s="206">
        <f>(T100+T108+T116)*'Data - P&amp;L'!$C$5</f>
        <v>-13.44</v>
      </c>
      <c r="U243" s="206">
        <f>(U100+U108+U116)*'Data - P&amp;L'!$C$5</f>
        <v>0</v>
      </c>
      <c r="V243" s="206">
        <f>(V100+V108+V116)*'Data - P&amp;L'!$C$5</f>
        <v>-13.44</v>
      </c>
      <c r="W243" s="206">
        <f>(W100+W108+W116)*'Data - P&amp;L'!$C$5</f>
        <v>0</v>
      </c>
      <c r="X243" s="206">
        <f>(X100+X108+X116)*'Data - P&amp;L'!$C$5</f>
        <v>0</v>
      </c>
      <c r="Y243" s="206">
        <f>(Y100+Y108+Y116)*'Data - P&amp;L'!$C$5</f>
        <v>0</v>
      </c>
      <c r="Z243" s="206">
        <f>(Z100+Z108+Z116)*'Data - P&amp;L'!$C$5</f>
        <v>0</v>
      </c>
      <c r="AA243" s="206">
        <f>(AA100+AA108+AA116)*'Data - P&amp;L'!$C$5</f>
        <v>0</v>
      </c>
      <c r="AB243" s="206">
        <f>(AB100+AB108+AB116)*'Data - P&amp;L'!$C$5</f>
        <v>0</v>
      </c>
      <c r="AC243" s="206">
        <f>(AC100+AC108+AC116)*'Data - P&amp;L'!$C$5</f>
        <v>0</v>
      </c>
      <c r="AD243" s="206">
        <f>(AD100+AD108+AD116)*'Data - P&amp;L'!$C$5</f>
        <v>0</v>
      </c>
      <c r="AE243" s="206">
        <f>(AE100+AE108+AE116)*'Data - P&amp;L'!$C$5</f>
        <v>0</v>
      </c>
      <c r="AF243" s="206">
        <f>(AF100+AF108+AF116)*'Data - P&amp;L'!$C$5</f>
        <v>0</v>
      </c>
      <c r="AG243" s="635">
        <f t="shared" si="72"/>
        <v>-26.88</v>
      </c>
    </row>
    <row r="244" hidden="1" outlineLevel="1">
      <c r="A244" s="645" t="s">
        <v>1088</v>
      </c>
      <c r="B244" s="206">
        <f>B243*'Data - P&amp;L'!$L$8</f>
        <v>0</v>
      </c>
      <c r="C244" s="206">
        <f>C243*'Data - P&amp;L'!$L$8</f>
        <v>0</v>
      </c>
      <c r="D244" s="206">
        <f>D243*'Data - P&amp;L'!$L$8</f>
        <v>0</v>
      </c>
      <c r="E244" s="206">
        <f>E243*'Data - P&amp;L'!$L$8</f>
        <v>0</v>
      </c>
      <c r="F244" s="206">
        <f>F243*'Data - P&amp;L'!$L$8</f>
        <v>0</v>
      </c>
      <c r="G244" s="206">
        <f>G243*'Data - P&amp;L'!$L$8</f>
        <v>0</v>
      </c>
      <c r="H244" s="206">
        <f>H243*'Data - P&amp;L'!$L$8</f>
        <v>0</v>
      </c>
      <c r="I244" s="206">
        <f>I243*'Data - P&amp;L'!$L$8</f>
        <v>0</v>
      </c>
      <c r="J244" s="206">
        <f>J243*'Data - P&amp;L'!$L$8</f>
        <v>0</v>
      </c>
      <c r="K244" s="206">
        <f>K243*'Data - P&amp;L'!$L$8</f>
        <v>0</v>
      </c>
      <c r="L244" s="206">
        <f>L243*'Data - P&amp;L'!$L$8</f>
        <v>0</v>
      </c>
      <c r="M244" s="206">
        <f>M243*'Data - P&amp;L'!$L$8</f>
        <v>0</v>
      </c>
      <c r="N244" s="206">
        <f>N243*'Data - P&amp;L'!$L$8</f>
        <v>0</v>
      </c>
      <c r="O244" s="206">
        <f>O243*'Data - P&amp;L'!$L$8</f>
        <v>0</v>
      </c>
      <c r="P244" s="206">
        <f>P243*'Data - P&amp;L'!$L$8</f>
        <v>0</v>
      </c>
      <c r="Q244" s="206">
        <f>Q243*'Data - P&amp;L'!$L$8</f>
        <v>0</v>
      </c>
      <c r="R244" s="206">
        <f>R243*'Data - P&amp;L'!$L$8</f>
        <v>0</v>
      </c>
      <c r="S244" s="206">
        <f>S243*'Data - P&amp;L'!$L$8</f>
        <v>0</v>
      </c>
      <c r="T244" s="206">
        <f>T243*'Data - P&amp;L'!$L$8</f>
        <v>-1.008</v>
      </c>
      <c r="U244" s="206">
        <f>U243*'Data - P&amp;L'!$L$8</f>
        <v>0</v>
      </c>
      <c r="V244" s="206">
        <f>V243*'Data - P&amp;L'!$L$8</f>
        <v>-1.008</v>
      </c>
      <c r="W244" s="206">
        <f>W243*'Data - P&amp;L'!$L$8</f>
        <v>0</v>
      </c>
      <c r="X244" s="206">
        <f>X243*'Data - P&amp;L'!$L$8</f>
        <v>0</v>
      </c>
      <c r="Y244" s="206">
        <f>Y243*'Data - P&amp;L'!$L$8</f>
        <v>0</v>
      </c>
      <c r="Z244" s="206">
        <f>Z243*'Data - P&amp;L'!$L$8</f>
        <v>0</v>
      </c>
      <c r="AA244" s="206">
        <f>AA243*'Data - P&amp;L'!$L$8</f>
        <v>0</v>
      </c>
      <c r="AB244" s="206">
        <f>AB243*'Data - P&amp;L'!$L$8</f>
        <v>0</v>
      </c>
      <c r="AC244" s="206">
        <f>AC243*'Data - P&amp;L'!$L$8</f>
        <v>0</v>
      </c>
      <c r="AD244" s="206">
        <f>AD243*'Data - P&amp;L'!$L$8</f>
        <v>0</v>
      </c>
      <c r="AE244" s="206">
        <f>AE243*'Data - P&amp;L'!$L$8</f>
        <v>0</v>
      </c>
      <c r="AF244" s="206">
        <f>AF243*'Data - P&amp;L'!$L$8</f>
        <v>0</v>
      </c>
      <c r="AG244" s="635">
        <f t="shared" si="72"/>
        <v>-2.016</v>
      </c>
    </row>
    <row r="245" hidden="1" outlineLevel="1">
      <c r="A245" s="645" t="s">
        <v>1060</v>
      </c>
      <c r="B245" s="206">
        <f>B243*'Data - P&amp;L'!$L$9</f>
        <v>0</v>
      </c>
      <c r="C245" s="206">
        <f>C243*'Data - P&amp;L'!$L$9</f>
        <v>0</v>
      </c>
      <c r="D245" s="206">
        <f>D243*'Data - P&amp;L'!$L$9</f>
        <v>0</v>
      </c>
      <c r="E245" s="206">
        <f>E243*'Data - P&amp;L'!$L$9</f>
        <v>0</v>
      </c>
      <c r="F245" s="206">
        <f>F243*'Data - P&amp;L'!$L$9</f>
        <v>0</v>
      </c>
      <c r="G245" s="206">
        <f>G243*'Data - P&amp;L'!$L$9</f>
        <v>0</v>
      </c>
      <c r="H245" s="206">
        <f>H243*'Data - P&amp;L'!$L$9</f>
        <v>0</v>
      </c>
      <c r="I245" s="206">
        <f>I243*'Data - P&amp;L'!$L$9</f>
        <v>0</v>
      </c>
      <c r="J245" s="206">
        <f>J243*'Data - P&amp;L'!$L$9</f>
        <v>0</v>
      </c>
      <c r="K245" s="206">
        <f>K243*'Data - P&amp;L'!$L$9</f>
        <v>0</v>
      </c>
      <c r="L245" s="206">
        <f>L243*'Data - P&amp;L'!$L$9</f>
        <v>0</v>
      </c>
      <c r="M245" s="206">
        <f>M243*'Data - P&amp;L'!$L$9</f>
        <v>0</v>
      </c>
      <c r="N245" s="206">
        <f>N243*'Data - P&amp;L'!$L$9</f>
        <v>0</v>
      </c>
      <c r="O245" s="206">
        <f>O243*'Data - P&amp;L'!$L$9</f>
        <v>0</v>
      </c>
      <c r="P245" s="206">
        <f>P243*'Data - P&amp;L'!$L$9</f>
        <v>0</v>
      </c>
      <c r="Q245" s="206">
        <f>Q243*'Data - P&amp;L'!$L$9</f>
        <v>0</v>
      </c>
      <c r="R245" s="206">
        <f>R243*'Data - P&amp;L'!$L$9</f>
        <v>0</v>
      </c>
      <c r="S245" s="206">
        <f>S243*'Data - P&amp;L'!$L$9</f>
        <v>0</v>
      </c>
      <c r="T245" s="206">
        <f>T243*'Data - P&amp;L'!$L$9</f>
        <v>-0.336</v>
      </c>
      <c r="U245" s="206">
        <f>U243*'Data - P&amp;L'!$L$9</f>
        <v>0</v>
      </c>
      <c r="V245" s="206">
        <f>V243*'Data - P&amp;L'!$L$9</f>
        <v>-0.336</v>
      </c>
      <c r="W245" s="206">
        <f>W243*'Data - P&amp;L'!$L$9</f>
        <v>0</v>
      </c>
      <c r="X245" s="206">
        <f>X243*'Data - P&amp;L'!$L$9</f>
        <v>0</v>
      </c>
      <c r="Y245" s="206">
        <f>Y243*'Data - P&amp;L'!$L$9</f>
        <v>0</v>
      </c>
      <c r="Z245" s="206">
        <f>Z243*'Data - P&amp;L'!$L$9</f>
        <v>0</v>
      </c>
      <c r="AA245" s="206">
        <f>AA243*'Data - P&amp;L'!$L$9</f>
        <v>0</v>
      </c>
      <c r="AB245" s="206">
        <f>AB243*'Data - P&amp;L'!$L$9</f>
        <v>0</v>
      </c>
      <c r="AC245" s="206">
        <f>AC243*'Data - P&amp;L'!$L$9</f>
        <v>0</v>
      </c>
      <c r="AD245" s="206">
        <f>AD243*'Data - P&amp;L'!$L$9</f>
        <v>0</v>
      </c>
      <c r="AE245" s="206">
        <f>AE243*'Data - P&amp;L'!$L$9</f>
        <v>0</v>
      </c>
      <c r="AF245" s="206">
        <f>AF243*'Data - P&amp;L'!$L$9</f>
        <v>0</v>
      </c>
      <c r="AG245" s="635">
        <f t="shared" si="72"/>
        <v>-0.672</v>
      </c>
    </row>
    <row r="246" hidden="1" outlineLevel="1">
      <c r="A246" s="645" t="s">
        <v>1062</v>
      </c>
      <c r="B246" s="82" t="str">
        <f>(B230+B232+#REF!+B234+B237+B240+B243)*'Data - P&amp;L'!$L$6</f>
        <v>#REF!</v>
      </c>
      <c r="C246" s="82" t="str">
        <f>(C230+C232+#REF!+C234+C237+C240+C243)*'Data - P&amp;L'!$L$6</f>
        <v>#REF!</v>
      </c>
      <c r="D246" s="82" t="str">
        <f>(D230+D232+#REF!+D234+D237+D240+D243)*'Data - P&amp;L'!$L$6</f>
        <v>#REF!</v>
      </c>
      <c r="E246" s="82" t="str">
        <f>(E230+E232+#REF!+E234+E237+E240+E243)*'Data - P&amp;L'!$L$6</f>
        <v>#REF!</v>
      </c>
      <c r="F246" s="82" t="str">
        <f>(F230+F232+#REF!+F234+F237+F240+F243)*'Data - P&amp;L'!$L$6</f>
        <v>#REF!</v>
      </c>
      <c r="G246" s="82" t="str">
        <f>(G230+G232+#REF!+G234+G237+G240+G243)*'Data - P&amp;L'!$L$6</f>
        <v>#REF!</v>
      </c>
      <c r="H246" s="82" t="str">
        <f>(H230+H232+#REF!+H234+H237+H240+H243)*'Data - P&amp;L'!$L$6</f>
        <v>#REF!</v>
      </c>
      <c r="I246" s="82" t="str">
        <f>(I230+I232+#REF!+I234+I237+I240+I243)*'Data - P&amp;L'!$L$6</f>
        <v>#REF!</v>
      </c>
      <c r="J246" s="82" t="str">
        <f>(J230+J232+#REF!+J234+J237+J240+J243)*'Data - P&amp;L'!$L$6</f>
        <v>#REF!</v>
      </c>
      <c r="K246" s="82" t="str">
        <f>(K230+K232+#REF!+K234+K237+K240+K243)*'Data - P&amp;L'!$L$6</f>
        <v>#REF!</v>
      </c>
      <c r="L246" s="82" t="str">
        <f>(L230+L232+#REF!+L234+L237+L240+L243)*'Data - P&amp;L'!$L$6</f>
        <v>#REF!</v>
      </c>
      <c r="M246" s="82" t="str">
        <f>(M230+M232+#REF!+M234+M237+M240+M243)*'Data - P&amp;L'!$L$6</f>
        <v>#REF!</v>
      </c>
      <c r="N246" s="82" t="str">
        <f>(N230+N232+#REF!+N234+N237+N240+N243)*'Data - P&amp;L'!$L$6</f>
        <v>#REF!</v>
      </c>
      <c r="O246" s="82" t="str">
        <f>(O230+O232+#REF!+O234+O237+O240+O243)*'Data - P&amp;L'!$L$6</f>
        <v>#REF!</v>
      </c>
      <c r="P246" s="82" t="str">
        <f>(P230+P232+#REF!+P234+P237+P240+P243)*'Data - P&amp;L'!$L$6</f>
        <v>#REF!</v>
      </c>
      <c r="Q246" s="82" t="str">
        <f>(Q230+Q232+#REF!+Q234+Q237+Q240+Q243)*'Data - P&amp;L'!$L$6</f>
        <v>#REF!</v>
      </c>
      <c r="R246" s="82" t="str">
        <f>(R230+R232+#REF!+R234+R237+R240+R243)*'Data - P&amp;L'!$L$6</f>
        <v>#REF!</v>
      </c>
      <c r="S246" s="82" t="str">
        <f>(S230+S232+#REF!+S234+S237+S240+S243)*'Data - P&amp;L'!$L$6</f>
        <v>#REF!</v>
      </c>
      <c r="T246" s="82" t="str">
        <f>(T230+T232+#REF!+T234+T237+T240+T243)*'Data - P&amp;L'!$L$6</f>
        <v>#REF!</v>
      </c>
      <c r="U246" s="82" t="str">
        <f>(U230+U232+#REF!+U234+U237+U240+U243)*'Data - P&amp;L'!$L$6</f>
        <v>#REF!</v>
      </c>
      <c r="V246" s="82" t="str">
        <f>(V230+V232+#REF!+V234+V237+V240+V243)*'Data - P&amp;L'!$L$6</f>
        <v>#REF!</v>
      </c>
      <c r="W246" s="82" t="str">
        <f>(W230+W232+#REF!+W234+W237+W240+W243)*'Data - P&amp;L'!$L$6</f>
        <v>#REF!</v>
      </c>
      <c r="X246" s="82" t="str">
        <f>(X230+X232+#REF!+X234+X237+X240+X243)*'Data - P&amp;L'!$L$6</f>
        <v>#REF!</v>
      </c>
      <c r="Y246" s="82" t="str">
        <f>(Y230+Y232+#REF!+Y234+Y237+Y240+Y243)*'Data - P&amp;L'!$L$6</f>
        <v>#REF!</v>
      </c>
      <c r="Z246" s="82" t="str">
        <f>(Z230+Z232+#REF!+Z234+Z237+Z240+Z243)*'Data - P&amp;L'!$L$6</f>
        <v>#REF!</v>
      </c>
      <c r="AA246" s="82" t="str">
        <f>(AA230+AA232+#REF!+AA234+AA237+AA240+AA243)*'Data - P&amp;L'!$L$6</f>
        <v>#REF!</v>
      </c>
      <c r="AB246" s="82" t="str">
        <f>(AB230+AB232+#REF!+AB234+AB237+AB240+AB243)*'Data - P&amp;L'!$L$6</f>
        <v>#REF!</v>
      </c>
      <c r="AC246" s="82" t="str">
        <f>(AC230+AC232+#REF!+AC234+AC237+AC240+AC243)*'Data - P&amp;L'!$L$6</f>
        <v>#REF!</v>
      </c>
      <c r="AD246" s="82" t="str">
        <f>(AD230+AD232+#REF!+AD234+AD237+AD240+AD243)*'Data - P&amp;L'!$L$6</f>
        <v>#REF!</v>
      </c>
      <c r="AE246" s="82" t="str">
        <f>(AE230+AE232+#REF!+AE234+AE237+AE240+AE243)*'Data - P&amp;L'!$L$6</f>
        <v>#REF!</v>
      </c>
      <c r="AF246" s="82" t="str">
        <f>(AF230+AF232+#REF!+AF234+AF237+AF240+AF243)*'Data - P&amp;L'!$L$6</f>
        <v>#REF!</v>
      </c>
      <c r="AG246" s="635" t="str">
        <f t="shared" si="72"/>
        <v>#REF!</v>
      </c>
    </row>
    <row r="247" hidden="1" outlineLevel="1">
      <c r="A247" s="645" t="s">
        <v>1064</v>
      </c>
      <c r="B247" s="82" t="str">
        <f>((B35+B36)*'Data - P&amp;L'!$C$38)+((B37+#REF!)*'Data - P&amp;L'!$C$39)+((B92+B93)*'Data - P&amp;L'!$C$40)</f>
        <v>#REF!</v>
      </c>
      <c r="C247" s="82" t="str">
        <f>((C35+C36)*'Data - P&amp;L'!$C$38)+((C37+#REF!)*'Data - P&amp;L'!$C$39)+((C92+C93)*'Data - P&amp;L'!$C$40)</f>
        <v>#REF!</v>
      </c>
      <c r="D247" s="82" t="str">
        <f>((D35+D36)*'Data - P&amp;L'!$C$38)+((D37+#REF!)*'Data - P&amp;L'!$C$39)+((D92+D93)*'Data - P&amp;L'!$C$40)</f>
        <v>#REF!</v>
      </c>
      <c r="E247" s="82" t="str">
        <f>((E35+E36)*'Data - P&amp;L'!$C$38)+((E37+#REF!)*'Data - P&amp;L'!$C$39)+((E92+E93)*'Data - P&amp;L'!$C$40)</f>
        <v>#REF!</v>
      </c>
      <c r="F247" s="82" t="str">
        <f>((F35+F36)*'Data - P&amp;L'!$C$38)+((F37+#REF!)*'Data - P&amp;L'!$C$39)+((F92+F93)*'Data - P&amp;L'!$C$40)</f>
        <v>#REF!</v>
      </c>
      <c r="G247" s="82" t="str">
        <f>((G35+G36)*'Data - P&amp;L'!$C$38)+((G37+#REF!)*'Data - P&amp;L'!$C$39)+((G92+G93)*'Data - P&amp;L'!$C$40)</f>
        <v>#REF!</v>
      </c>
      <c r="H247" s="82" t="str">
        <f>((H35+H36)*'Data - P&amp;L'!$C$38)+((H37+#REF!)*'Data - P&amp;L'!$C$39)+((H92+H93)*'Data - P&amp;L'!$C$40)</f>
        <v>#REF!</v>
      </c>
      <c r="I247" s="82" t="str">
        <f>((I35+I36)*'Data - P&amp;L'!$C$38)+((I37+#REF!)*'Data - P&amp;L'!$C$39)+((I92+I93)*'Data - P&amp;L'!$C$40)</f>
        <v>#REF!</v>
      </c>
      <c r="J247" s="82" t="str">
        <f>((J35+J36)*'Data - P&amp;L'!$C$38)+((J37+#REF!)*'Data - P&amp;L'!$C$39)+((J92+J93)*'Data - P&amp;L'!$C$40)</f>
        <v>#REF!</v>
      </c>
      <c r="K247" s="82" t="str">
        <f>((K35+K36)*'Data - P&amp;L'!$C$38)+((K37+#REF!)*'Data - P&amp;L'!$C$39)+((K92+K93)*'Data - P&amp;L'!$C$40)</f>
        <v>#REF!</v>
      </c>
      <c r="L247" s="82" t="str">
        <f>((L35+L36)*'Data - P&amp;L'!$C$38)+((L37+#REF!)*'Data - P&amp;L'!$C$39)+((L92+L93)*'Data - P&amp;L'!$C$40)</f>
        <v>#REF!</v>
      </c>
      <c r="M247" s="82" t="str">
        <f>((M35+M36)*'Data - P&amp;L'!$C$38)+((M37+#REF!)*'Data - P&amp;L'!$C$39)+((M92+M93)*'Data - P&amp;L'!$C$40)</f>
        <v>#REF!</v>
      </c>
      <c r="N247" s="82" t="str">
        <f>((N35+N36)*'Data - P&amp;L'!$C$38)+((N37+#REF!)*'Data - P&amp;L'!$C$39)+((N92+N93)*'Data - P&amp;L'!$C$40)</f>
        <v>#REF!</v>
      </c>
      <c r="O247" s="82" t="str">
        <f>((O35+O36)*'Data - P&amp;L'!$C$38)+((O37+#REF!)*'Data - P&amp;L'!$C$39)+((O92+O93)*'Data - P&amp;L'!$C$40)</f>
        <v>#REF!</v>
      </c>
      <c r="P247" s="82" t="str">
        <f>((P35+P36)*'Data - P&amp;L'!$C$38)+((P37+#REF!)*'Data - P&amp;L'!$C$39)+((P92+P93)*'Data - P&amp;L'!$C$40)</f>
        <v>#REF!</v>
      </c>
      <c r="Q247" s="82" t="str">
        <f>((Q35+Q36)*'Data - P&amp;L'!$C$38)+((Q37+#REF!)*'Data - P&amp;L'!$C$39)+((Q92+Q93)*'Data - P&amp;L'!$C$40)</f>
        <v>#REF!</v>
      </c>
      <c r="R247" s="82" t="str">
        <f>((R35+R36)*'Data - P&amp;L'!$C$38)+((R37+#REF!)*'Data - P&amp;L'!$C$39)+((R92+R93)*'Data - P&amp;L'!$C$40)</f>
        <v>#REF!</v>
      </c>
      <c r="S247" s="82" t="str">
        <f>((S35+S36)*'Data - P&amp;L'!$C$38)+((S37+#REF!)*'Data - P&amp;L'!$C$39)+((S92+S93)*'Data - P&amp;L'!$C$40)</f>
        <v>#REF!</v>
      </c>
      <c r="T247" s="82" t="str">
        <f>((T35+T36)*'Data - P&amp;L'!$C$38)+((T37+#REF!)*'Data - P&amp;L'!$C$39)+((T92+T93)*'Data - P&amp;L'!$C$40)</f>
        <v>#REF!</v>
      </c>
      <c r="U247" s="82" t="str">
        <f>((U35+U36)*'Data - P&amp;L'!$C$38)+((U37+#REF!)*'Data - P&amp;L'!$C$39)+((U92+U93)*'Data - P&amp;L'!$C$40)</f>
        <v>#REF!</v>
      </c>
      <c r="V247" s="82" t="str">
        <f>((V35+V36)*'Data - P&amp;L'!$C$38)+((V37+#REF!)*'Data - P&amp;L'!$C$39)+((V92+V93)*'Data - P&amp;L'!$C$40)</f>
        <v>#REF!</v>
      </c>
      <c r="W247" s="82" t="str">
        <f>((W35+W36)*'Data - P&amp;L'!$C$38)+((W37+#REF!)*'Data - P&amp;L'!$C$39)+((W92+W93)*'Data - P&amp;L'!$C$40)</f>
        <v>#REF!</v>
      </c>
      <c r="X247" s="82" t="str">
        <f>((X35+X36)*'Data - P&amp;L'!$C$38)+((X37+#REF!)*'Data - P&amp;L'!$C$39)+((X92+X93)*'Data - P&amp;L'!$C$40)</f>
        <v>#REF!</v>
      </c>
      <c r="Y247" s="82" t="str">
        <f>((Y35+Y36)*'Data - P&amp;L'!$C$38)+((Y37+#REF!)*'Data - P&amp;L'!$C$39)+((Y92+Y93)*'Data - P&amp;L'!$C$40)</f>
        <v>#REF!</v>
      </c>
      <c r="Z247" s="82" t="str">
        <f>((Z35+Z36)*'Data - P&amp;L'!$C$38)+((Z37+#REF!)*'Data - P&amp;L'!$C$39)+((Z92+Z93)*'Data - P&amp;L'!$C$40)</f>
        <v>#REF!</v>
      </c>
      <c r="AA247" s="82" t="str">
        <f>((AA35+AA36)*'Data - P&amp;L'!$C$38)+((AA37+#REF!)*'Data - P&amp;L'!$C$39)+((AA92+AA93)*'Data - P&amp;L'!$C$40)</f>
        <v>#REF!</v>
      </c>
      <c r="AB247" s="82" t="str">
        <f>((AB35+AB36)*'Data - P&amp;L'!$C$38)+((AB37+#REF!)*'Data - P&amp;L'!$C$39)+((AB92+AB93)*'Data - P&amp;L'!$C$40)</f>
        <v>#REF!</v>
      </c>
      <c r="AC247" s="82" t="str">
        <f>((AC35+AC36)*'Data - P&amp;L'!$C$38)+((AC37+#REF!)*'Data - P&amp;L'!$C$39)+((AC92+AC93)*'Data - P&amp;L'!$C$40)</f>
        <v>#REF!</v>
      </c>
      <c r="AD247" s="82" t="str">
        <f>((AD35+AD36)*'Data - P&amp;L'!$C$38)+((AD37+#REF!)*'Data - P&amp;L'!$C$39)+((AD92+AD93)*'Data - P&amp;L'!$C$40)</f>
        <v>#REF!</v>
      </c>
      <c r="AE247" s="82" t="str">
        <f>((AE35+AE36)*'Data - P&amp;L'!$C$38)+((AE37+#REF!)*'Data - P&amp;L'!$C$39)+((AE92+AE93)*'Data - P&amp;L'!$C$40)</f>
        <v>#REF!</v>
      </c>
      <c r="AF247" s="82" t="str">
        <f>((AF35+AF36)*'Data - P&amp;L'!$C$38)+((AF37+#REF!)*'Data - P&amp;L'!$C$39)+((AF92+AF93)*'Data - P&amp;L'!$C$40)</f>
        <v>#REF!</v>
      </c>
      <c r="AG247" s="635" t="str">
        <f t="shared" si="72"/>
        <v>#REF!</v>
      </c>
    </row>
    <row r="248" hidden="1" outlineLevel="1">
      <c r="A248" s="645" t="s">
        <v>1065</v>
      </c>
      <c r="B248" s="82" t="str">
        <f>((B35+B36)*'Data - P&amp;L'!$C$23)+((B37+#REF!)*'Data - P&amp;L'!$C$24)+((B92+B93)*'Data - P&amp;L'!$C$25)</f>
        <v>#REF!</v>
      </c>
      <c r="C248" s="82" t="str">
        <f>((C35+C36)*'Data - P&amp;L'!$C$23)+((C37+#REF!)*'Data - P&amp;L'!$C$24)+((C92+C93)*'Data - P&amp;L'!$C$25)</f>
        <v>#REF!</v>
      </c>
      <c r="D248" s="82" t="str">
        <f>((D35+D36)*'Data - P&amp;L'!$C$23)+((D37+#REF!)*'Data - P&amp;L'!$C$24)+((D92+D93)*'Data - P&amp;L'!$C$25)</f>
        <v>#REF!</v>
      </c>
      <c r="E248" s="82" t="str">
        <f>((E35+E36)*'Data - P&amp;L'!$C$23)+((E37+#REF!)*'Data - P&amp;L'!$C$24)+((E92+E93)*'Data - P&amp;L'!$C$25)</f>
        <v>#REF!</v>
      </c>
      <c r="F248" s="82" t="str">
        <f>((F35+F36)*'Data - P&amp;L'!$C$23)+((F37+#REF!)*'Data - P&amp;L'!$C$24)+((F92+F93)*'Data - P&amp;L'!$C$25)</f>
        <v>#REF!</v>
      </c>
      <c r="G248" s="82" t="str">
        <f>((G35+G36)*'Data - P&amp;L'!$C$23)+((G37+#REF!)*'Data - P&amp;L'!$C$24)+((G92+G93)*'Data - P&amp;L'!$C$25)</f>
        <v>#REF!</v>
      </c>
      <c r="H248" s="82" t="str">
        <f>((H35+H36)*'Data - P&amp;L'!$C$23)+((H37+#REF!)*'Data - P&amp;L'!$C$24)+((H92+H93)*'Data - P&amp;L'!$C$25)</f>
        <v>#REF!</v>
      </c>
      <c r="I248" s="82" t="str">
        <f>((I35+I36)*'Data - P&amp;L'!$C$23)+((I37+#REF!)*'Data - P&amp;L'!$C$24)+((I92+I93)*'Data - P&amp;L'!$C$25)</f>
        <v>#REF!</v>
      </c>
      <c r="J248" s="82" t="str">
        <f>((J35+J36)*'Data - P&amp;L'!$C$23)+((J37+#REF!)*'Data - P&amp;L'!$C$24)+((J92+J93)*'Data - P&amp;L'!$C$25)</f>
        <v>#REF!</v>
      </c>
      <c r="K248" s="82" t="str">
        <f>((K35+K36)*'Data - P&amp;L'!$C$23)+((K37+#REF!)*'Data - P&amp;L'!$C$24)+((K92+K93)*'Data - P&amp;L'!$C$25)</f>
        <v>#REF!</v>
      </c>
      <c r="L248" s="82" t="str">
        <f>((L35+L36)*'Data - P&amp;L'!$C$23)+((L37+#REF!)*'Data - P&amp;L'!$C$24)+((L92+L93)*'Data - P&amp;L'!$C$25)</f>
        <v>#REF!</v>
      </c>
      <c r="M248" s="82" t="str">
        <f>((M35+M36)*'Data - P&amp;L'!$C$23)+((M37+#REF!)*'Data - P&amp;L'!$C$24)+((M92+M93)*'Data - P&amp;L'!$C$25)</f>
        <v>#REF!</v>
      </c>
      <c r="N248" s="82" t="str">
        <f>((N35+N36)*'Data - P&amp;L'!$C$23)+((N37+#REF!)*'Data - P&amp;L'!$C$24)+((N92+N93)*'Data - P&amp;L'!$C$25)</f>
        <v>#REF!</v>
      </c>
      <c r="O248" s="82" t="str">
        <f>((O35+O36)*'Data - P&amp;L'!$C$23)+((O37+#REF!)*'Data - P&amp;L'!$C$24)+((O92+O93)*'Data - P&amp;L'!$C$25)</f>
        <v>#REF!</v>
      </c>
      <c r="P248" s="82" t="str">
        <f>((P35+P36)*'Data - P&amp;L'!$C$23)+((P37+#REF!)*'Data - P&amp;L'!$C$24)+((P92+P93)*'Data - P&amp;L'!$C$25)</f>
        <v>#REF!</v>
      </c>
      <c r="Q248" s="82" t="str">
        <f>((Q35+Q36)*'Data - P&amp;L'!$C$23)+((Q37+#REF!)*'Data - P&amp;L'!$C$24)+((Q92+Q93)*'Data - P&amp;L'!$C$25)</f>
        <v>#REF!</v>
      </c>
      <c r="R248" s="82" t="str">
        <f>((R35+R36)*'Data - P&amp;L'!$C$23)+((R37+#REF!)*'Data - P&amp;L'!$C$24)+((R92+R93)*'Data - P&amp;L'!$C$25)</f>
        <v>#REF!</v>
      </c>
      <c r="S248" s="82" t="str">
        <f>((S35+S36)*'Data - P&amp;L'!$C$23)+((S37+#REF!)*'Data - P&amp;L'!$C$24)+((S92+S93)*'Data - P&amp;L'!$C$25)</f>
        <v>#REF!</v>
      </c>
      <c r="T248" s="82" t="str">
        <f>((T35+T36)*'Data - P&amp;L'!$C$23)+((T37+#REF!)*'Data - P&amp;L'!$C$24)+((T92+T93)*'Data - P&amp;L'!$C$25)</f>
        <v>#REF!</v>
      </c>
      <c r="U248" s="82" t="str">
        <f>((U35+U36)*'Data - P&amp;L'!$C$23)+((U37+#REF!)*'Data - P&amp;L'!$C$24)+((U92+U93)*'Data - P&amp;L'!$C$25)</f>
        <v>#REF!</v>
      </c>
      <c r="V248" s="82" t="str">
        <f>((V35+V36)*'Data - P&amp;L'!$C$23)+((V37+#REF!)*'Data - P&amp;L'!$C$24)+((V92+V93)*'Data - P&amp;L'!$C$25)</f>
        <v>#REF!</v>
      </c>
      <c r="W248" s="82" t="str">
        <f>((W35+W36)*'Data - P&amp;L'!$C$23)+((W37+#REF!)*'Data - P&amp;L'!$C$24)+((W92+W93)*'Data - P&amp;L'!$C$25)</f>
        <v>#REF!</v>
      </c>
      <c r="X248" s="82" t="str">
        <f>((X35+X36)*'Data - P&amp;L'!$C$23)+((X37+#REF!)*'Data - P&amp;L'!$C$24)+((X92+X93)*'Data - P&amp;L'!$C$25)</f>
        <v>#REF!</v>
      </c>
      <c r="Y248" s="82" t="str">
        <f>((Y35+Y36)*'Data - P&amp;L'!$C$23)+((Y37+#REF!)*'Data - P&amp;L'!$C$24)+((Y92+Y93)*'Data - P&amp;L'!$C$25)</f>
        <v>#REF!</v>
      </c>
      <c r="Z248" s="82" t="str">
        <f>((Z35+Z36)*'Data - P&amp;L'!$C$23)+((Z37+#REF!)*'Data - P&amp;L'!$C$24)+((Z92+Z93)*'Data - P&amp;L'!$C$25)</f>
        <v>#REF!</v>
      </c>
      <c r="AA248" s="82" t="str">
        <f>((AA35+AA36)*'Data - P&amp;L'!$C$23)+((AA37+#REF!)*'Data - P&amp;L'!$C$24)+((AA92+AA93)*'Data - P&amp;L'!$C$25)</f>
        <v>#REF!</v>
      </c>
      <c r="AB248" s="82" t="str">
        <f>((AB35+AB36)*'Data - P&amp;L'!$C$23)+((AB37+#REF!)*'Data - P&amp;L'!$C$24)+((AB92+AB93)*'Data - P&amp;L'!$C$25)</f>
        <v>#REF!</v>
      </c>
      <c r="AC248" s="82" t="str">
        <f>((AC35+AC36)*'Data - P&amp;L'!$C$23)+((AC37+#REF!)*'Data - P&amp;L'!$C$24)+((AC92+AC93)*'Data - P&amp;L'!$C$25)</f>
        <v>#REF!</v>
      </c>
      <c r="AD248" s="82" t="str">
        <f>((AD35+AD36)*'Data - P&amp;L'!$C$23)+((AD37+#REF!)*'Data - P&amp;L'!$C$24)+((AD92+AD93)*'Data - P&amp;L'!$C$25)</f>
        <v>#REF!</v>
      </c>
      <c r="AE248" s="82" t="str">
        <f>((AE35+AE36)*'Data - P&amp;L'!$C$23)+((AE37+#REF!)*'Data - P&amp;L'!$C$24)+((AE92+AE93)*'Data - P&amp;L'!$C$25)</f>
        <v>#REF!</v>
      </c>
      <c r="AF248" s="82" t="str">
        <f>((AF35+AF36)*'Data - P&amp;L'!$C$23)+((AF37+#REF!)*'Data - P&amp;L'!$C$24)+((AF92+AF93)*'Data - P&amp;L'!$C$25)</f>
        <v>#REF!</v>
      </c>
      <c r="AG248" s="635" t="str">
        <f t="shared" si="72"/>
        <v>#REF!</v>
      </c>
    </row>
    <row r="249" hidden="1" outlineLevel="1">
      <c r="A249" s="645" t="s">
        <v>1066</v>
      </c>
      <c r="B249" s="82" t="str">
        <f>(B102*'Data - P&amp;L'!$D$38)+(B110*'Data - P&amp;L'!$D$39)+(#REF!*'Data - P&amp;L'!$D$40)</f>
        <v>#REF!</v>
      </c>
      <c r="C249" s="82" t="str">
        <f>(C102*'Data - P&amp;L'!$D$38)+(C110*'Data - P&amp;L'!$D$39)+(#REF!*'Data - P&amp;L'!$D$40)</f>
        <v>#REF!</v>
      </c>
      <c r="D249" s="82" t="str">
        <f>(D102*'Data - P&amp;L'!$D$38)+(D110*'Data - P&amp;L'!$D$39)+(#REF!*'Data - P&amp;L'!$D$40)</f>
        <v>#REF!</v>
      </c>
      <c r="E249" s="82" t="str">
        <f>(E102*'Data - P&amp;L'!$D$38)+(E110*'Data - P&amp;L'!$D$39)+(#REF!*'Data - P&amp;L'!$D$40)</f>
        <v>#REF!</v>
      </c>
      <c r="F249" s="82" t="str">
        <f>(F102*'Data - P&amp;L'!$D$38)+(F110*'Data - P&amp;L'!$D$39)+(#REF!*'Data - P&amp;L'!$D$40)</f>
        <v>#REF!</v>
      </c>
      <c r="G249" s="82" t="str">
        <f>(G102*'Data - P&amp;L'!$D$38)+(G110*'Data - P&amp;L'!$D$39)+(#REF!*'Data - P&amp;L'!$D$40)</f>
        <v>#REF!</v>
      </c>
      <c r="H249" s="82" t="str">
        <f>(H102*'Data - P&amp;L'!$D$38)+(H110*'Data - P&amp;L'!$D$39)+(#REF!*'Data - P&amp;L'!$D$40)</f>
        <v>#REF!</v>
      </c>
      <c r="I249" s="82" t="str">
        <f>(I102*'Data - P&amp;L'!$D$38)+(I110*'Data - P&amp;L'!$D$39)+(#REF!*'Data - P&amp;L'!$D$40)</f>
        <v>#REF!</v>
      </c>
      <c r="J249" s="82" t="str">
        <f>(J102*'Data - P&amp;L'!$D$38)+(J110*'Data - P&amp;L'!$D$39)+(#REF!*'Data - P&amp;L'!$D$40)</f>
        <v>#REF!</v>
      </c>
      <c r="K249" s="82" t="str">
        <f>(K102*'Data - P&amp;L'!$D$38)+(K110*'Data - P&amp;L'!$D$39)+(#REF!*'Data - P&amp;L'!$D$40)</f>
        <v>#REF!</v>
      </c>
      <c r="L249" s="82" t="str">
        <f>(L102*'Data - P&amp;L'!$D$38)+(L110*'Data - P&amp;L'!$D$39)+(#REF!*'Data - P&amp;L'!$D$40)</f>
        <v>#REF!</v>
      </c>
      <c r="M249" s="82" t="str">
        <f>(M102*'Data - P&amp;L'!$D$38)+(M110*'Data - P&amp;L'!$D$39)+(#REF!*'Data - P&amp;L'!$D$40)</f>
        <v>#REF!</v>
      </c>
      <c r="N249" s="82" t="str">
        <f>(N102*'Data - P&amp;L'!$D$38)+(N110*'Data - P&amp;L'!$D$39)+(#REF!*'Data - P&amp;L'!$D$40)</f>
        <v>#REF!</v>
      </c>
      <c r="O249" s="82" t="str">
        <f>(O102*'Data - P&amp;L'!$D$38)+(O110*'Data - P&amp;L'!$D$39)+(#REF!*'Data - P&amp;L'!$D$40)</f>
        <v>#REF!</v>
      </c>
      <c r="P249" s="82" t="str">
        <f>(P102*'Data - P&amp;L'!$D$38)+(P110*'Data - P&amp;L'!$D$39)+(#REF!*'Data - P&amp;L'!$D$40)</f>
        <v>#REF!</v>
      </c>
      <c r="Q249" s="82" t="str">
        <f>(Q102*'Data - P&amp;L'!$D$38)+(Q110*'Data - P&amp;L'!$D$39)+(#REF!*'Data - P&amp;L'!$D$40)</f>
        <v>#REF!</v>
      </c>
      <c r="R249" s="82" t="str">
        <f>(R102*'Data - P&amp;L'!$D$38)+(R110*'Data - P&amp;L'!$D$39)+(#REF!*'Data - P&amp;L'!$D$40)</f>
        <v>#REF!</v>
      </c>
      <c r="S249" s="82" t="str">
        <f>(S102*'Data - P&amp;L'!$D$38)+(S110*'Data - P&amp;L'!$D$39)+(#REF!*'Data - P&amp;L'!$D$40)</f>
        <v>#REF!</v>
      </c>
      <c r="T249" s="82" t="str">
        <f>(T102*'Data - P&amp;L'!$D$38)+(T110*'Data - P&amp;L'!$D$39)+(#REF!*'Data - P&amp;L'!$D$40)</f>
        <v>#REF!</v>
      </c>
      <c r="U249" s="82" t="str">
        <f>(U102*'Data - P&amp;L'!$D$38)+(U110*'Data - P&amp;L'!$D$39)+(#REF!*'Data - P&amp;L'!$D$40)</f>
        <v>#REF!</v>
      </c>
      <c r="V249" s="82" t="str">
        <f>(V102*'Data - P&amp;L'!$D$38)+(V110*'Data - P&amp;L'!$D$39)+(#REF!*'Data - P&amp;L'!$D$40)</f>
        <v>#REF!</v>
      </c>
      <c r="W249" s="82" t="str">
        <f>(W102*'Data - P&amp;L'!$D$38)+(W110*'Data - P&amp;L'!$D$39)+(#REF!*'Data - P&amp;L'!$D$40)</f>
        <v>#REF!</v>
      </c>
      <c r="X249" s="82" t="str">
        <f>(X102*'Data - P&amp;L'!$D$38)+(X110*'Data - P&amp;L'!$D$39)+(#REF!*'Data - P&amp;L'!$D$40)</f>
        <v>#REF!</v>
      </c>
      <c r="Y249" s="82" t="str">
        <f>(Y102*'Data - P&amp;L'!$D$38)+(Y110*'Data - P&amp;L'!$D$39)+(#REF!*'Data - P&amp;L'!$D$40)</f>
        <v>#REF!</v>
      </c>
      <c r="Z249" s="82" t="str">
        <f>(Z102*'Data - P&amp;L'!$D$38)+(Z110*'Data - P&amp;L'!$D$39)+(#REF!*'Data - P&amp;L'!$D$40)</f>
        <v>#REF!</v>
      </c>
      <c r="AA249" s="82" t="str">
        <f>(AA102*'Data - P&amp;L'!$D$38)+(AA110*'Data - P&amp;L'!$D$39)+(#REF!*'Data - P&amp;L'!$D$40)</f>
        <v>#REF!</v>
      </c>
      <c r="AB249" s="82" t="str">
        <f>(AB102*'Data - P&amp;L'!$D$38)+(AB110*'Data - P&amp;L'!$D$39)+(#REF!*'Data - P&amp;L'!$D$40)</f>
        <v>#REF!</v>
      </c>
      <c r="AC249" s="82" t="str">
        <f>(AC102*'Data - P&amp;L'!$D$38)+(AC110*'Data - P&amp;L'!$D$39)+(#REF!*'Data - P&amp;L'!$D$40)</f>
        <v>#REF!</v>
      </c>
      <c r="AD249" s="82" t="str">
        <f>(AD102*'Data - P&amp;L'!$D$38)+(AD110*'Data - P&amp;L'!$D$39)+(#REF!*'Data - P&amp;L'!$D$40)</f>
        <v>#REF!</v>
      </c>
      <c r="AE249" s="82" t="str">
        <f>(AE102*'Data - P&amp;L'!$D$38)+(AE110*'Data - P&amp;L'!$D$39)+(#REF!*'Data - P&amp;L'!$D$40)</f>
        <v>#REF!</v>
      </c>
      <c r="AF249" s="82" t="str">
        <f>(AF102*'Data - P&amp;L'!$D$38)+(AF110*'Data - P&amp;L'!$D$39)+(#REF!*'Data - P&amp;L'!$D$40)</f>
        <v>#REF!</v>
      </c>
      <c r="AG249" s="635" t="str">
        <f t="shared" si="72"/>
        <v>#REF!</v>
      </c>
    </row>
    <row r="250" hidden="1" outlineLevel="1">
      <c r="A250" s="645" t="s">
        <v>1067</v>
      </c>
      <c r="B250" s="82" t="str">
        <f>(B102*'Data - P&amp;L'!$D$23)+(B110*'Data - P&amp;L'!$D$24)+(#REF!*'Data - P&amp;L'!$D$25)</f>
        <v>#REF!</v>
      </c>
      <c r="C250" s="82" t="str">
        <f>(C102*'Data - P&amp;L'!$D$23)+(C110*'Data - P&amp;L'!$D$24)+(#REF!*'Data - P&amp;L'!$D$25)</f>
        <v>#REF!</v>
      </c>
      <c r="D250" s="82" t="str">
        <f>(D102*'Data - P&amp;L'!$D$23)+(D110*'Data - P&amp;L'!$D$24)+(#REF!*'Data - P&amp;L'!$D$25)</f>
        <v>#REF!</v>
      </c>
      <c r="E250" s="82" t="str">
        <f>(E102*'Data - P&amp;L'!$D$23)+(E110*'Data - P&amp;L'!$D$24)+(#REF!*'Data - P&amp;L'!$D$25)</f>
        <v>#REF!</v>
      </c>
      <c r="F250" s="82" t="str">
        <f>(F102*'Data - P&amp;L'!$D$23)+(F110*'Data - P&amp;L'!$D$24)+(#REF!*'Data - P&amp;L'!$D$25)</f>
        <v>#REF!</v>
      </c>
      <c r="G250" s="82" t="str">
        <f>(G102*'Data - P&amp;L'!$D$23)+(G110*'Data - P&amp;L'!$D$24)+(#REF!*'Data - P&amp;L'!$D$25)</f>
        <v>#REF!</v>
      </c>
      <c r="H250" s="82" t="str">
        <f>(H102*'Data - P&amp;L'!$D$23)+(H110*'Data - P&amp;L'!$D$24)+(#REF!*'Data - P&amp;L'!$D$25)</f>
        <v>#REF!</v>
      </c>
      <c r="I250" s="82" t="str">
        <f>(I102*'Data - P&amp;L'!$D$23)+(I110*'Data - P&amp;L'!$D$24)+(#REF!*'Data - P&amp;L'!$D$25)</f>
        <v>#REF!</v>
      </c>
      <c r="J250" s="82" t="str">
        <f>(J102*'Data - P&amp;L'!$D$23)+(J110*'Data - P&amp;L'!$D$24)+(#REF!*'Data - P&amp;L'!$D$25)</f>
        <v>#REF!</v>
      </c>
      <c r="K250" s="82" t="str">
        <f>(K102*'Data - P&amp;L'!$D$23)+(K110*'Data - P&amp;L'!$D$24)+(#REF!*'Data - P&amp;L'!$D$25)</f>
        <v>#REF!</v>
      </c>
      <c r="L250" s="82" t="str">
        <f>(L102*'Data - P&amp;L'!$D$23)+(L110*'Data - P&amp;L'!$D$24)+(#REF!*'Data - P&amp;L'!$D$25)</f>
        <v>#REF!</v>
      </c>
      <c r="M250" s="82" t="str">
        <f>(M102*'Data - P&amp;L'!$D$23)+(M110*'Data - P&amp;L'!$D$24)+(#REF!*'Data - P&amp;L'!$D$25)</f>
        <v>#REF!</v>
      </c>
      <c r="N250" s="82" t="str">
        <f>(N102*'Data - P&amp;L'!$D$23)+(N110*'Data - P&amp;L'!$D$24)+(#REF!*'Data - P&amp;L'!$D$25)</f>
        <v>#REF!</v>
      </c>
      <c r="O250" s="82" t="str">
        <f>(O102*'Data - P&amp;L'!$D$23)+(O110*'Data - P&amp;L'!$D$24)+(#REF!*'Data - P&amp;L'!$D$25)</f>
        <v>#REF!</v>
      </c>
      <c r="P250" s="82" t="str">
        <f>(P102*'Data - P&amp;L'!$D$23)+(P110*'Data - P&amp;L'!$D$24)+(#REF!*'Data - P&amp;L'!$D$25)</f>
        <v>#REF!</v>
      </c>
      <c r="Q250" s="82" t="str">
        <f>(Q102*'Data - P&amp;L'!$D$23)+(Q110*'Data - P&amp;L'!$D$24)+(#REF!*'Data - P&amp;L'!$D$25)</f>
        <v>#REF!</v>
      </c>
      <c r="R250" s="82" t="str">
        <f>(R102*'Data - P&amp;L'!$D$23)+(R110*'Data - P&amp;L'!$D$24)+(#REF!*'Data - P&amp;L'!$D$25)</f>
        <v>#REF!</v>
      </c>
      <c r="S250" s="82" t="str">
        <f>(S102*'Data - P&amp;L'!$D$23)+(S110*'Data - P&amp;L'!$D$24)+(#REF!*'Data - P&amp;L'!$D$25)</f>
        <v>#REF!</v>
      </c>
      <c r="T250" s="82" t="str">
        <f>(T102*'Data - P&amp;L'!$D$23)+(T110*'Data - P&amp;L'!$D$24)+(#REF!*'Data - P&amp;L'!$D$25)</f>
        <v>#REF!</v>
      </c>
      <c r="U250" s="82" t="str">
        <f>(U102*'Data - P&amp;L'!$D$23)+(U110*'Data - P&amp;L'!$D$24)+(#REF!*'Data - P&amp;L'!$D$25)</f>
        <v>#REF!</v>
      </c>
      <c r="V250" s="82" t="str">
        <f>(V102*'Data - P&amp;L'!$D$23)+(V110*'Data - P&amp;L'!$D$24)+(#REF!*'Data - P&amp;L'!$D$25)</f>
        <v>#REF!</v>
      </c>
      <c r="W250" s="82" t="str">
        <f>(W102*'Data - P&amp;L'!$D$23)+(W110*'Data - P&amp;L'!$D$24)+(#REF!*'Data - P&amp;L'!$D$25)</f>
        <v>#REF!</v>
      </c>
      <c r="X250" s="82" t="str">
        <f>(X102*'Data - P&amp;L'!$D$23)+(X110*'Data - P&amp;L'!$D$24)+(#REF!*'Data - P&amp;L'!$D$25)</f>
        <v>#REF!</v>
      </c>
      <c r="Y250" s="82" t="str">
        <f>(Y102*'Data - P&amp;L'!$D$23)+(Y110*'Data - P&amp;L'!$D$24)+(#REF!*'Data - P&amp;L'!$D$25)</f>
        <v>#REF!</v>
      </c>
      <c r="Z250" s="82" t="str">
        <f>(Z102*'Data - P&amp;L'!$D$23)+(Z110*'Data - P&amp;L'!$D$24)+(#REF!*'Data - P&amp;L'!$D$25)</f>
        <v>#REF!</v>
      </c>
      <c r="AA250" s="82" t="str">
        <f>(AA102*'Data - P&amp;L'!$D$23)+(AA110*'Data - P&amp;L'!$D$24)+(#REF!*'Data - P&amp;L'!$D$25)</f>
        <v>#REF!</v>
      </c>
      <c r="AB250" s="82" t="str">
        <f>(AB102*'Data - P&amp;L'!$D$23)+(AB110*'Data - P&amp;L'!$D$24)+(#REF!*'Data - P&amp;L'!$D$25)</f>
        <v>#REF!</v>
      </c>
      <c r="AC250" s="82" t="str">
        <f>(AC102*'Data - P&amp;L'!$D$23)+(AC110*'Data - P&amp;L'!$D$24)+(#REF!*'Data - P&amp;L'!$D$25)</f>
        <v>#REF!</v>
      </c>
      <c r="AD250" s="82" t="str">
        <f>(AD102*'Data - P&amp;L'!$D$23)+(AD110*'Data - P&amp;L'!$D$24)+(#REF!*'Data - P&amp;L'!$D$25)</f>
        <v>#REF!</v>
      </c>
      <c r="AE250" s="82" t="str">
        <f>(AE102*'Data - P&amp;L'!$D$23)+(AE110*'Data - P&amp;L'!$D$24)+(#REF!*'Data - P&amp;L'!$D$25)</f>
        <v>#REF!</v>
      </c>
      <c r="AF250" s="82" t="str">
        <f>(AF102*'Data - P&amp;L'!$D$23)+(AF110*'Data - P&amp;L'!$D$24)+(#REF!*'Data - P&amp;L'!$D$25)</f>
        <v>#REF!</v>
      </c>
      <c r="AG250" s="635" t="str">
        <f t="shared" si="72"/>
        <v>#REF!</v>
      </c>
    </row>
    <row r="251" hidden="1" outlineLevel="1">
      <c r="A251" s="307" t="s">
        <v>1072</v>
      </c>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c r="AD251" s="82"/>
      <c r="AE251" s="82"/>
      <c r="AF251" s="82"/>
      <c r="AG251" s="635">
        <f t="shared" si="72"/>
        <v>0</v>
      </c>
    </row>
    <row r="252" hidden="1" outlineLevel="1">
      <c r="A252" s="307" t="s">
        <v>1074</v>
      </c>
      <c r="B252" s="206">
        <f>(B94+B95)*'Data - P&amp;L'!$C$28</f>
        <v>0.3</v>
      </c>
      <c r="C252" s="206">
        <f>(C94+C95)*'Data - P&amp;L'!$C$28</f>
        <v>0</v>
      </c>
      <c r="D252" s="206">
        <f>(D94+D95)*'Data - P&amp;L'!$C$28</f>
        <v>0.2</v>
      </c>
      <c r="E252" s="206">
        <f>(E94+E95)*'Data - P&amp;L'!$C$28</f>
        <v>0.1</v>
      </c>
      <c r="F252" s="206">
        <f>(F94+F95)*'Data - P&amp;L'!$C$28</f>
        <v>0.1</v>
      </c>
      <c r="G252" s="206">
        <f>(G94+G95)*'Data - P&amp;L'!$C$28</f>
        <v>-0.2</v>
      </c>
      <c r="H252" s="206">
        <f>(H94+H95)*'Data - P&amp;L'!$C$28</f>
        <v>0.4</v>
      </c>
      <c r="I252" s="206">
        <f>(I94+I95)*'Data - P&amp;L'!$C$28</f>
        <v>1.1</v>
      </c>
      <c r="J252" s="206">
        <f>(J94+J95)*'Data - P&amp;L'!$C$28</f>
        <v>0.3</v>
      </c>
      <c r="K252" s="206">
        <f>(K94+K95)*'Data - P&amp;L'!$C$28</f>
        <v>0.2</v>
      </c>
      <c r="L252" s="206">
        <f>(L94+L95)*'Data - P&amp;L'!$C$28</f>
        <v>0.5</v>
      </c>
      <c r="M252" s="206">
        <f>(M94+M95)*'Data - P&amp;L'!$C$28</f>
        <v>6.8</v>
      </c>
      <c r="N252" s="206">
        <f>(N94+N95)*'Data - P&amp;L'!$C$28</f>
        <v>1.7</v>
      </c>
      <c r="O252" s="206">
        <f>(O94+O95)*'Data - P&amp;L'!$C$28</f>
        <v>0</v>
      </c>
      <c r="P252" s="206">
        <f>(P94+P95)*'Data - P&amp;L'!$C$28</f>
        <v>0</v>
      </c>
      <c r="Q252" s="206">
        <f>(Q94+Q95)*'Data - P&amp;L'!$C$28</f>
        <v>0</v>
      </c>
      <c r="R252" s="206">
        <f>(R94+R95)*'Data - P&amp;L'!$C$28</f>
        <v>0.2</v>
      </c>
      <c r="S252" s="206">
        <f>(S94+S95)*'Data - P&amp;L'!$C$28</f>
        <v>0.2</v>
      </c>
      <c r="T252" s="206">
        <f>(T94+T95)*'Data - P&amp;L'!$C$28</f>
        <v>0</v>
      </c>
      <c r="U252" s="206">
        <f>(U94+U95)*'Data - P&amp;L'!$C$28</f>
        <v>0</v>
      </c>
      <c r="V252" s="206">
        <f>(V94+V95)*'Data - P&amp;L'!$C$28</f>
        <v>-0.1</v>
      </c>
      <c r="W252" s="206">
        <f>(W94+W95)*'Data - P&amp;L'!$C$28</f>
        <v>0</v>
      </c>
      <c r="X252" s="206">
        <f>(X94+X95)*'Data - P&amp;L'!$C$28</f>
        <v>0</v>
      </c>
      <c r="Y252" s="206">
        <f>(Y94+Y95)*'Data - P&amp;L'!$C$28</f>
        <v>-0.1</v>
      </c>
      <c r="Z252" s="206">
        <f>(Z94+Z95)*'Data - P&amp;L'!$C$28</f>
        <v>0</v>
      </c>
      <c r="AA252" s="206">
        <f>(AA94+AA95)*'Data - P&amp;L'!$C$28</f>
        <v>0</v>
      </c>
      <c r="AB252" s="206">
        <f>(AB94+AB95)*'Data - P&amp;L'!$C$28</f>
        <v>0</v>
      </c>
      <c r="AC252" s="206">
        <f>(AC94+AC95)*'Data - P&amp;L'!$C$28</f>
        <v>0</v>
      </c>
      <c r="AD252" s="206">
        <f>(AD94+AD95)*'Data - P&amp;L'!$C$28</f>
        <v>0</v>
      </c>
      <c r="AE252" s="206">
        <f>(AE94+AE95)*'Data - P&amp;L'!$C$28</f>
        <v>0</v>
      </c>
      <c r="AF252" s="206">
        <f>(AF94+AF95)*'Data - P&amp;L'!$C$28</f>
        <v>0</v>
      </c>
      <c r="AG252" s="635">
        <f t="shared" si="72"/>
        <v>11.7</v>
      </c>
    </row>
    <row r="253" hidden="1" outlineLevel="1">
      <c r="A253" s="307" t="s">
        <v>1075</v>
      </c>
      <c r="B253" s="206">
        <f>(B94+B95)*'Data - P&amp;L'!$C$29</f>
        <v>0.93</v>
      </c>
      <c r="C253" s="206">
        <f>(C94+C95)*'Data - P&amp;L'!$C$29</f>
        <v>0</v>
      </c>
      <c r="D253" s="206">
        <f>(D94+D95)*'Data - P&amp;L'!$C$29</f>
        <v>0.62</v>
      </c>
      <c r="E253" s="206">
        <f>(E94+E95)*'Data - P&amp;L'!$C$29</f>
        <v>0.31</v>
      </c>
      <c r="F253" s="206">
        <f>(F94+F95)*'Data - P&amp;L'!$C$29</f>
        <v>0.31</v>
      </c>
      <c r="G253" s="206">
        <f>(G94+G95)*'Data - P&amp;L'!$C$29</f>
        <v>-0.62</v>
      </c>
      <c r="H253" s="206">
        <f>(H94+H95)*'Data - P&amp;L'!$C$29</f>
        <v>1.24</v>
      </c>
      <c r="I253" s="206">
        <f>(I94+I95)*'Data - P&amp;L'!$C$29</f>
        <v>3.41</v>
      </c>
      <c r="J253" s="206">
        <f>(J94+J95)*'Data - P&amp;L'!$C$29</f>
        <v>0.93</v>
      </c>
      <c r="K253" s="206">
        <f>(K94+K95)*'Data - P&amp;L'!$C$29</f>
        <v>0.62</v>
      </c>
      <c r="L253" s="206">
        <f>(L94+L95)*'Data - P&amp;L'!$C$29</f>
        <v>1.55</v>
      </c>
      <c r="M253" s="206">
        <f>(M94+M95)*'Data - P&amp;L'!$C$29</f>
        <v>21.08</v>
      </c>
      <c r="N253" s="206">
        <f>(N94+N95)*'Data - P&amp;L'!$C$29</f>
        <v>5.27</v>
      </c>
      <c r="O253" s="206">
        <f>(O94+O95)*'Data - P&amp;L'!$C$29</f>
        <v>0</v>
      </c>
      <c r="P253" s="206">
        <f>(P94+P95)*'Data - P&amp;L'!$C$29</f>
        <v>0</v>
      </c>
      <c r="Q253" s="206">
        <f>(Q94+Q95)*'Data - P&amp;L'!$C$29</f>
        <v>0</v>
      </c>
      <c r="R253" s="206">
        <f>(R94+R95)*'Data - P&amp;L'!$C$29</f>
        <v>0.62</v>
      </c>
      <c r="S253" s="206">
        <f>(S94+S95)*'Data - P&amp;L'!$C$29</f>
        <v>0.62</v>
      </c>
      <c r="T253" s="206">
        <f>(T94+T95)*'Data - P&amp;L'!$C$29</f>
        <v>0</v>
      </c>
      <c r="U253" s="206">
        <f>(U94+U95)*'Data - P&amp;L'!$C$29</f>
        <v>0</v>
      </c>
      <c r="V253" s="206">
        <f>(V94+V95)*'Data - P&amp;L'!$C$29</f>
        <v>-0.31</v>
      </c>
      <c r="W253" s="206">
        <f>(W94+W95)*'Data - P&amp;L'!$C$29</f>
        <v>0</v>
      </c>
      <c r="X253" s="206">
        <f>(X94+X95)*'Data - P&amp;L'!$C$29</f>
        <v>0</v>
      </c>
      <c r="Y253" s="206">
        <f>(Y94+Y95)*'Data - P&amp;L'!$C$29</f>
        <v>-0.31</v>
      </c>
      <c r="Z253" s="206">
        <f>(Z94+Z95)*'Data - P&amp;L'!$C$29</f>
        <v>0</v>
      </c>
      <c r="AA253" s="206">
        <f>(AA94+AA95)*'Data - P&amp;L'!$C$29</f>
        <v>0</v>
      </c>
      <c r="AB253" s="206">
        <f>(AB94+AB95)*'Data - P&amp;L'!$C$29</f>
        <v>0</v>
      </c>
      <c r="AC253" s="206">
        <f>(AC94+AC95)*'Data - P&amp;L'!$C$29</f>
        <v>0</v>
      </c>
      <c r="AD253" s="206">
        <f>(AD94+AD95)*'Data - P&amp;L'!$C$29</f>
        <v>0</v>
      </c>
      <c r="AE253" s="206">
        <f>(AE94+AE95)*'Data - P&amp;L'!$C$29</f>
        <v>0</v>
      </c>
      <c r="AF253" s="206">
        <f>(AF94+AF95)*'Data - P&amp;L'!$C$29</f>
        <v>0</v>
      </c>
      <c r="AG253" s="635">
        <f t="shared" si="72"/>
        <v>36.27</v>
      </c>
    </row>
    <row r="254" hidden="1" outlineLevel="1">
      <c r="A254" s="307" t="s">
        <v>1076</v>
      </c>
      <c r="B254" s="206">
        <f>(B94+B95)*'Data - P&amp;L'!$C$30</f>
        <v>0</v>
      </c>
      <c r="C254" s="206">
        <f>(C94+C95)*'Data - P&amp;L'!$C$30</f>
        <v>0</v>
      </c>
      <c r="D254" s="206">
        <f>(D94+D95)*'Data - P&amp;L'!$C$30</f>
        <v>0</v>
      </c>
      <c r="E254" s="206">
        <f>(E94+E95)*'Data - P&amp;L'!$C$30</f>
        <v>0</v>
      </c>
      <c r="F254" s="206">
        <f>(F94+F95)*'Data - P&amp;L'!$C$30</f>
        <v>0</v>
      </c>
      <c r="G254" s="206">
        <f>(G94+G95)*'Data - P&amp;L'!$C$30</f>
        <v>0</v>
      </c>
      <c r="H254" s="206">
        <f>(H94+H95)*'Data - P&amp;L'!$C$30</f>
        <v>0</v>
      </c>
      <c r="I254" s="206">
        <f>(I94+I95)*'Data - P&amp;L'!$C$30</f>
        <v>0</v>
      </c>
      <c r="J254" s="206">
        <f>(J94+J95)*'Data - P&amp;L'!$C$30</f>
        <v>0</v>
      </c>
      <c r="K254" s="206">
        <f>(K94+K95)*'Data - P&amp;L'!$C$30</f>
        <v>0</v>
      </c>
      <c r="L254" s="206">
        <f>(L94+L95)*'Data - P&amp;L'!$C$30</f>
        <v>0</v>
      </c>
      <c r="M254" s="206">
        <f>(M94+M95)*'Data - P&amp;L'!$C$30</f>
        <v>0</v>
      </c>
      <c r="N254" s="206">
        <f>(N94+N95)*'Data - P&amp;L'!$C$30</f>
        <v>0</v>
      </c>
      <c r="O254" s="206">
        <f>(O94+O95)*'Data - P&amp;L'!$C$30</f>
        <v>0</v>
      </c>
      <c r="P254" s="206">
        <f>(P94+P95)*'Data - P&amp;L'!$C$30</f>
        <v>0</v>
      </c>
      <c r="Q254" s="206">
        <f>(Q94+Q95)*'Data - P&amp;L'!$C$30</f>
        <v>0</v>
      </c>
      <c r="R254" s="206">
        <f>(R94+R95)*'Data - P&amp;L'!$C$30</f>
        <v>0</v>
      </c>
      <c r="S254" s="206">
        <f>(S94+S95)*'Data - P&amp;L'!$C$30</f>
        <v>0</v>
      </c>
      <c r="T254" s="206">
        <f>(T94+T95)*'Data - P&amp;L'!$C$30</f>
        <v>0</v>
      </c>
      <c r="U254" s="206">
        <f>(U94+U95)*'Data - P&amp;L'!$C$30</f>
        <v>0</v>
      </c>
      <c r="V254" s="206">
        <f>(V94+V95)*'Data - P&amp;L'!$C$30</f>
        <v>0</v>
      </c>
      <c r="W254" s="206">
        <f>(W94+W95)*'Data - P&amp;L'!$C$30</f>
        <v>0</v>
      </c>
      <c r="X254" s="206">
        <f>(X94+X95)*'Data - P&amp;L'!$C$30</f>
        <v>0</v>
      </c>
      <c r="Y254" s="206">
        <f>(Y94+Y95)*'Data - P&amp;L'!$C$30</f>
        <v>0</v>
      </c>
      <c r="Z254" s="206">
        <f>(Z94+Z95)*'Data - P&amp;L'!$C$30</f>
        <v>0</v>
      </c>
      <c r="AA254" s="206">
        <f>(AA94+AA95)*'Data - P&amp;L'!$C$30</f>
        <v>0</v>
      </c>
      <c r="AB254" s="206">
        <f>(AB94+AB95)*'Data - P&amp;L'!$C$30</f>
        <v>0</v>
      </c>
      <c r="AC254" s="206">
        <f>(AC94+AC95)*'Data - P&amp;L'!$C$30</f>
        <v>0</v>
      </c>
      <c r="AD254" s="206">
        <f>(AD94+AD95)*'Data - P&amp;L'!$C$30</f>
        <v>0</v>
      </c>
      <c r="AE254" s="206">
        <f>(AE94+AE95)*'Data - P&amp;L'!$C$30</f>
        <v>0</v>
      </c>
      <c r="AF254" s="206">
        <f>(AF94+AF95)*'Data - P&amp;L'!$C$30</f>
        <v>0</v>
      </c>
      <c r="AG254" s="635">
        <f t="shared" si="72"/>
        <v>0</v>
      </c>
    </row>
    <row r="255" hidden="1" outlineLevel="1">
      <c r="A255" s="307" t="s">
        <v>1077</v>
      </c>
      <c r="B255" s="206">
        <f>(B94+B95)*'Data - P&amp;L'!$C$31</f>
        <v>1.05</v>
      </c>
      <c r="C255" s="206">
        <f>(C94+C95)*'Data - P&amp;L'!$C$31</f>
        <v>0</v>
      </c>
      <c r="D255" s="206">
        <f>(D94+D95)*'Data - P&amp;L'!$C$31</f>
        <v>0.7</v>
      </c>
      <c r="E255" s="206">
        <f>(E94+E95)*'Data - P&amp;L'!$C$31</f>
        <v>0.35</v>
      </c>
      <c r="F255" s="206">
        <f>(F94+F95)*'Data - P&amp;L'!$C$31</f>
        <v>0.35</v>
      </c>
      <c r="G255" s="206">
        <f>(G94+G95)*'Data - P&amp;L'!$C$31</f>
        <v>-0.7</v>
      </c>
      <c r="H255" s="206">
        <f>(H94+H95)*'Data - P&amp;L'!$C$31</f>
        <v>1.4</v>
      </c>
      <c r="I255" s="206">
        <f>(I94+I95)*'Data - P&amp;L'!$C$31</f>
        <v>3.85</v>
      </c>
      <c r="J255" s="206">
        <f>(J94+J95)*'Data - P&amp;L'!$C$31</f>
        <v>1.05</v>
      </c>
      <c r="K255" s="206">
        <f>(K94+K95)*'Data - P&amp;L'!$C$31</f>
        <v>0.7</v>
      </c>
      <c r="L255" s="206">
        <f>(L94+L95)*'Data - P&amp;L'!$C$31</f>
        <v>1.75</v>
      </c>
      <c r="M255" s="206">
        <f>(M94+M95)*'Data - P&amp;L'!$C$31</f>
        <v>23.8</v>
      </c>
      <c r="N255" s="206">
        <f>(N94+N95)*'Data - P&amp;L'!$C$31</f>
        <v>5.95</v>
      </c>
      <c r="O255" s="206">
        <f>(O94+O95)*'Data - P&amp;L'!$C$31</f>
        <v>0</v>
      </c>
      <c r="P255" s="206">
        <f>(P94+P95)*'Data - P&amp;L'!$C$31</f>
        <v>0</v>
      </c>
      <c r="Q255" s="206">
        <f>(Q94+Q95)*'Data - P&amp;L'!$C$31</f>
        <v>0</v>
      </c>
      <c r="R255" s="206">
        <f>(R94+R95)*'Data - P&amp;L'!$C$31</f>
        <v>0.7</v>
      </c>
      <c r="S255" s="206">
        <f>(S94+S95)*'Data - P&amp;L'!$C$31</f>
        <v>0.7</v>
      </c>
      <c r="T255" s="206">
        <f>(T94+T95)*'Data - P&amp;L'!$C$31</f>
        <v>0</v>
      </c>
      <c r="U255" s="206">
        <f>(U94+U95)*'Data - P&amp;L'!$C$31</f>
        <v>0</v>
      </c>
      <c r="V255" s="206">
        <f>(V94+V95)*'Data - P&amp;L'!$C$31</f>
        <v>-0.35</v>
      </c>
      <c r="W255" s="206">
        <f>(W94+W95)*'Data - P&amp;L'!$C$31</f>
        <v>0</v>
      </c>
      <c r="X255" s="206">
        <f>(X94+X95)*'Data - P&amp;L'!$C$31</f>
        <v>0</v>
      </c>
      <c r="Y255" s="206">
        <f>(Y94+Y95)*'Data - P&amp;L'!$C$31</f>
        <v>-0.35</v>
      </c>
      <c r="Z255" s="206">
        <f>(Z94+Z95)*'Data - P&amp;L'!$C$31</f>
        <v>0</v>
      </c>
      <c r="AA255" s="206">
        <f>(AA94+AA95)*'Data - P&amp;L'!$C$31</f>
        <v>0</v>
      </c>
      <c r="AB255" s="206">
        <f>(AB94+AB95)*'Data - P&amp;L'!$C$31</f>
        <v>0</v>
      </c>
      <c r="AC255" s="206">
        <f>(AC94+AC95)*'Data - P&amp;L'!$C$31</f>
        <v>0</v>
      </c>
      <c r="AD255" s="206">
        <f>(AD94+AD95)*'Data - P&amp;L'!$C$31</f>
        <v>0</v>
      </c>
      <c r="AE255" s="206">
        <f>(AE94+AE95)*'Data - P&amp;L'!$C$31</f>
        <v>0</v>
      </c>
      <c r="AF255" s="206">
        <f>(AF94+AF95)*'Data - P&amp;L'!$C$31</f>
        <v>0</v>
      </c>
      <c r="AG255" s="635">
        <f t="shared" si="72"/>
        <v>40.95</v>
      </c>
    </row>
    <row r="256" hidden="1" outlineLevel="1">
      <c r="A256" s="307" t="s">
        <v>1078</v>
      </c>
      <c r="B256" s="206">
        <f>(B94+B95)*'Data - P&amp;L'!$C$32</f>
        <v>0</v>
      </c>
      <c r="C256" s="206">
        <f>(C94+C95)*'Data - P&amp;L'!$C$32</f>
        <v>0</v>
      </c>
      <c r="D256" s="206">
        <f>(D94+D95)*'Data - P&amp;L'!$C$32</f>
        <v>0</v>
      </c>
      <c r="E256" s="206">
        <f>(E94+E95)*'Data - P&amp;L'!$C$32</f>
        <v>0</v>
      </c>
      <c r="F256" s="206">
        <f>(F94+F95)*'Data - P&amp;L'!$C$32</f>
        <v>0</v>
      </c>
      <c r="G256" s="206">
        <f>(G94+G95)*'Data - P&amp;L'!$C$32</f>
        <v>0</v>
      </c>
      <c r="H256" s="206">
        <f>(H94+H95)*'Data - P&amp;L'!$C$32</f>
        <v>0</v>
      </c>
      <c r="I256" s="206">
        <f>(I94+I95)*'Data - P&amp;L'!$C$32</f>
        <v>0</v>
      </c>
      <c r="J256" s="206">
        <f>(J94+J95)*'Data - P&amp;L'!$C$32</f>
        <v>0</v>
      </c>
      <c r="K256" s="206">
        <f>(K94+K95)*'Data - P&amp;L'!$C$32</f>
        <v>0</v>
      </c>
      <c r="L256" s="206">
        <f>(L94+L95)*'Data - P&amp;L'!$C$32</f>
        <v>0</v>
      </c>
      <c r="M256" s="206">
        <f>(M94+M95)*'Data - P&amp;L'!$C$32</f>
        <v>0</v>
      </c>
      <c r="N256" s="206">
        <f>(N94+N95)*'Data - P&amp;L'!$C$32</f>
        <v>0</v>
      </c>
      <c r="O256" s="206">
        <f>(O94+O95)*'Data - P&amp;L'!$C$32</f>
        <v>0</v>
      </c>
      <c r="P256" s="206">
        <f>(P94+P95)*'Data - P&amp;L'!$C$32</f>
        <v>0</v>
      </c>
      <c r="Q256" s="206">
        <f>(Q94+Q95)*'Data - P&amp;L'!$C$32</f>
        <v>0</v>
      </c>
      <c r="R256" s="206">
        <f>(R94+R95)*'Data - P&amp;L'!$C$32</f>
        <v>0</v>
      </c>
      <c r="S256" s="206">
        <f>(S94+S95)*'Data - P&amp;L'!$C$32</f>
        <v>0</v>
      </c>
      <c r="T256" s="206">
        <f>(T94+T95)*'Data - P&amp;L'!$C$32</f>
        <v>0</v>
      </c>
      <c r="U256" s="206">
        <f>(U94+U95)*'Data - P&amp;L'!$C$32</f>
        <v>0</v>
      </c>
      <c r="V256" s="206">
        <f>(V94+V95)*'Data - P&amp;L'!$C$32</f>
        <v>0</v>
      </c>
      <c r="W256" s="206">
        <f>(W94+W95)*'Data - P&amp;L'!$C$32</f>
        <v>0</v>
      </c>
      <c r="X256" s="206">
        <f>(X94+X95)*'Data - P&amp;L'!$C$32</f>
        <v>0</v>
      </c>
      <c r="Y256" s="206">
        <f>(Y94+Y95)*'Data - P&amp;L'!$C$32</f>
        <v>0</v>
      </c>
      <c r="Z256" s="206">
        <f>(Z94+Z95)*'Data - P&amp;L'!$C$32</f>
        <v>0</v>
      </c>
      <c r="AA256" s="206">
        <f>(AA94+AA95)*'Data - P&amp;L'!$C$32</f>
        <v>0</v>
      </c>
      <c r="AB256" s="206">
        <f>(AB94+AB95)*'Data - P&amp;L'!$C$32</f>
        <v>0</v>
      </c>
      <c r="AC256" s="206">
        <f>(AC94+AC95)*'Data - P&amp;L'!$C$32</f>
        <v>0</v>
      </c>
      <c r="AD256" s="206">
        <f>(AD94+AD95)*'Data - P&amp;L'!$C$32</f>
        <v>0</v>
      </c>
      <c r="AE256" s="206">
        <f>(AE94+AE95)*'Data - P&amp;L'!$C$32</f>
        <v>0</v>
      </c>
      <c r="AF256" s="206">
        <f>(AF94+AF95)*'Data - P&amp;L'!$C$32</f>
        <v>0</v>
      </c>
      <c r="AG256" s="635">
        <f t="shared" si="72"/>
        <v>0</v>
      </c>
    </row>
    <row r="257" hidden="1" outlineLevel="1">
      <c r="A257" s="307" t="s">
        <v>1079</v>
      </c>
      <c r="B257" s="206">
        <f>(B94+B95)*'Data - P&amp;L'!$C$33</f>
        <v>4.95</v>
      </c>
      <c r="C257" s="206">
        <f>(C94+C95)*'Data - P&amp;L'!$C$33</f>
        <v>0</v>
      </c>
      <c r="D257" s="206">
        <f>(D94+D95)*'Data - P&amp;L'!$C$33</f>
        <v>3.3</v>
      </c>
      <c r="E257" s="206">
        <f>(E94+E95)*'Data - P&amp;L'!$C$33</f>
        <v>1.65</v>
      </c>
      <c r="F257" s="206">
        <f>(F94+F95)*'Data - P&amp;L'!$C$33</f>
        <v>1.65</v>
      </c>
      <c r="G257" s="206">
        <f>(G94+G95)*'Data - P&amp;L'!$C$33</f>
        <v>-3.3</v>
      </c>
      <c r="H257" s="206">
        <f>(H94+H95)*'Data - P&amp;L'!$C$33</f>
        <v>6.6</v>
      </c>
      <c r="I257" s="206">
        <f>(I94+I95)*'Data - P&amp;L'!$C$33</f>
        <v>18.15</v>
      </c>
      <c r="J257" s="206">
        <f>(J94+J95)*'Data - P&amp;L'!$C$33</f>
        <v>4.95</v>
      </c>
      <c r="K257" s="206">
        <f>(K94+K95)*'Data - P&amp;L'!$C$33</f>
        <v>3.3</v>
      </c>
      <c r="L257" s="206">
        <f>(L94+L95)*'Data - P&amp;L'!$C$33</f>
        <v>8.25</v>
      </c>
      <c r="M257" s="206">
        <f>(M94+M95)*'Data - P&amp;L'!$C$33</f>
        <v>112.2</v>
      </c>
      <c r="N257" s="206">
        <f>(N94+N95)*'Data - P&amp;L'!$C$33</f>
        <v>28.05</v>
      </c>
      <c r="O257" s="206">
        <f>(O94+O95)*'Data - P&amp;L'!$C$33</f>
        <v>0</v>
      </c>
      <c r="P257" s="206">
        <f>(P94+P95)*'Data - P&amp;L'!$C$33</f>
        <v>0</v>
      </c>
      <c r="Q257" s="206">
        <f>(Q94+Q95)*'Data - P&amp;L'!$C$33</f>
        <v>0</v>
      </c>
      <c r="R257" s="206">
        <f>(R94+R95)*'Data - P&amp;L'!$C$33</f>
        <v>3.3</v>
      </c>
      <c r="S257" s="206">
        <f>(S94+S95)*'Data - P&amp;L'!$C$33</f>
        <v>3.3</v>
      </c>
      <c r="T257" s="206">
        <f>(T94+T95)*'Data - P&amp;L'!$C$33</f>
        <v>0</v>
      </c>
      <c r="U257" s="206">
        <f>(U94+U95)*'Data - P&amp;L'!$C$33</f>
        <v>0</v>
      </c>
      <c r="V257" s="206">
        <f>(V94+V95)*'Data - P&amp;L'!$C$33</f>
        <v>-1.65</v>
      </c>
      <c r="W257" s="206">
        <f>(W94+W95)*'Data - P&amp;L'!$C$33</f>
        <v>0</v>
      </c>
      <c r="X257" s="206">
        <f>(X94+X95)*'Data - P&amp;L'!$C$33</f>
        <v>0</v>
      </c>
      <c r="Y257" s="206">
        <f>(Y94+Y95)*'Data - P&amp;L'!$C$33</f>
        <v>-1.65</v>
      </c>
      <c r="Z257" s="206">
        <f>(Z94+Z95)*'Data - P&amp;L'!$C$33</f>
        <v>0</v>
      </c>
      <c r="AA257" s="206">
        <f>(AA94+AA95)*'Data - P&amp;L'!$C$33</f>
        <v>0</v>
      </c>
      <c r="AB257" s="206">
        <f>(AB94+AB95)*'Data - P&amp;L'!$C$33</f>
        <v>0</v>
      </c>
      <c r="AC257" s="206">
        <f>(AC94+AC95)*'Data - P&amp;L'!$C$33</f>
        <v>0</v>
      </c>
      <c r="AD257" s="206">
        <f>(AD94+AD95)*'Data - P&amp;L'!$C$33</f>
        <v>0</v>
      </c>
      <c r="AE257" s="206">
        <f>(AE94+AE95)*'Data - P&amp;L'!$C$33</f>
        <v>0</v>
      </c>
      <c r="AF257" s="206">
        <f>(AF94+AF95)*'Data - P&amp;L'!$C$33</f>
        <v>0</v>
      </c>
      <c r="AG257" s="635">
        <f t="shared" si="72"/>
        <v>193.05</v>
      </c>
    </row>
    <row r="258" hidden="1" outlineLevel="1">
      <c r="A258" s="307" t="s">
        <v>1081</v>
      </c>
      <c r="B258" s="82" t="str">
        <f>(B102+B110+#REF!)*'Data - P&amp;L'!$D$28</f>
        <v>#REF!</v>
      </c>
      <c r="C258" s="82" t="str">
        <f>(C102+C110+#REF!)*'Data - P&amp;L'!$D$28</f>
        <v>#REF!</v>
      </c>
      <c r="D258" s="82" t="str">
        <f>(D102+D110+#REF!)*'Data - P&amp;L'!$D$28</f>
        <v>#REF!</v>
      </c>
      <c r="E258" s="82" t="str">
        <f>(E102+E110+#REF!)*'Data - P&amp;L'!$D$28</f>
        <v>#REF!</v>
      </c>
      <c r="F258" s="82" t="str">
        <f>(F102+F110+#REF!)*'Data - P&amp;L'!$D$28</f>
        <v>#REF!</v>
      </c>
      <c r="G258" s="82" t="str">
        <f>(G102+G110+#REF!)*'Data - P&amp;L'!$D$28</f>
        <v>#REF!</v>
      </c>
      <c r="H258" s="82" t="str">
        <f>(H102+H110+#REF!)*'Data - P&amp;L'!$D$28</f>
        <v>#REF!</v>
      </c>
      <c r="I258" s="82" t="str">
        <f>(I102+I110+#REF!)*'Data - P&amp;L'!$D$28</f>
        <v>#REF!</v>
      </c>
      <c r="J258" s="82" t="str">
        <f>(J102+J110+#REF!)*'Data - P&amp;L'!$D$28</f>
        <v>#REF!</v>
      </c>
      <c r="K258" s="82" t="str">
        <f>(K102+K110+#REF!)*'Data - P&amp;L'!$D$28</f>
        <v>#REF!</v>
      </c>
      <c r="L258" s="82" t="str">
        <f>(L102+L110+#REF!)*'Data - P&amp;L'!$D$28</f>
        <v>#REF!</v>
      </c>
      <c r="M258" s="82" t="str">
        <f>(M102+M110+#REF!)*'Data - P&amp;L'!$D$28</f>
        <v>#REF!</v>
      </c>
      <c r="N258" s="82" t="str">
        <f>(N102+N110+#REF!)*'Data - P&amp;L'!$D$28</f>
        <v>#REF!</v>
      </c>
      <c r="O258" s="82" t="str">
        <f>(O102+O110+#REF!)*'Data - P&amp;L'!$D$28</f>
        <v>#REF!</v>
      </c>
      <c r="P258" s="82" t="str">
        <f>(P102+P110+#REF!)*'Data - P&amp;L'!$D$28</f>
        <v>#REF!</v>
      </c>
      <c r="Q258" s="82" t="str">
        <f>(Q102+Q110+#REF!)*'Data - P&amp;L'!$D$28</f>
        <v>#REF!</v>
      </c>
      <c r="R258" s="82" t="str">
        <f>(R102+R110+#REF!)*'Data - P&amp;L'!$D$28</f>
        <v>#REF!</v>
      </c>
      <c r="S258" s="82" t="str">
        <f>(S102+S110+#REF!)*'Data - P&amp;L'!$D$28</f>
        <v>#REF!</v>
      </c>
      <c r="T258" s="82" t="str">
        <f>(T102+T110+#REF!)*'Data - P&amp;L'!$D$28</f>
        <v>#REF!</v>
      </c>
      <c r="U258" s="82" t="str">
        <f>(U102+U110+#REF!)*'Data - P&amp;L'!$D$28</f>
        <v>#REF!</v>
      </c>
      <c r="V258" s="82" t="str">
        <f>(V102+V110+#REF!)*'Data - P&amp;L'!$D$28</f>
        <v>#REF!</v>
      </c>
      <c r="W258" s="82" t="str">
        <f>(W102+W110+#REF!)*'Data - P&amp;L'!$D$28</f>
        <v>#REF!</v>
      </c>
      <c r="X258" s="82" t="str">
        <f>(X102+X110+#REF!)*'Data - P&amp;L'!$D$28</f>
        <v>#REF!</v>
      </c>
      <c r="Y258" s="82" t="str">
        <f>(Y102+Y110+#REF!)*'Data - P&amp;L'!$D$28</f>
        <v>#REF!</v>
      </c>
      <c r="Z258" s="82" t="str">
        <f>(Z102+Z110+#REF!)*'Data - P&amp;L'!$D$28</f>
        <v>#REF!</v>
      </c>
      <c r="AA258" s="82" t="str">
        <f>(AA102+AA110+#REF!)*'Data - P&amp;L'!$D$28</f>
        <v>#REF!</v>
      </c>
      <c r="AB258" s="82" t="str">
        <f>(AB102+AB110+#REF!)*'Data - P&amp;L'!$D$28</f>
        <v>#REF!</v>
      </c>
      <c r="AC258" s="82" t="str">
        <f>(AC102+AC110+#REF!)*'Data - P&amp;L'!$D$28</f>
        <v>#REF!</v>
      </c>
      <c r="AD258" s="82" t="str">
        <f>(AD102+AD110+#REF!)*'Data - P&amp;L'!$D$28</f>
        <v>#REF!</v>
      </c>
      <c r="AE258" s="82" t="str">
        <f>(AE102+AE110+#REF!)*'Data - P&amp;L'!$D$28</f>
        <v>#REF!</v>
      </c>
      <c r="AF258" s="82" t="str">
        <f>(AF102+AF110+#REF!)*'Data - P&amp;L'!$D$28</f>
        <v>#REF!</v>
      </c>
      <c r="AG258" s="635" t="str">
        <f t="shared" si="72"/>
        <v>#REF!</v>
      </c>
    </row>
    <row r="259" hidden="1" outlineLevel="1">
      <c r="A259" s="307" t="s">
        <v>1082</v>
      </c>
      <c r="B259" s="82" t="str">
        <f>(B102+B110+#REF!)*'Data - P&amp;L'!$D$29</f>
        <v>#REF!</v>
      </c>
      <c r="C259" s="82" t="str">
        <f>(C102+C110+#REF!)*'Data - P&amp;L'!$D$29</f>
        <v>#REF!</v>
      </c>
      <c r="D259" s="82" t="str">
        <f>(D102+D110+#REF!)*'Data - P&amp;L'!$D$29</f>
        <v>#REF!</v>
      </c>
      <c r="E259" s="82" t="str">
        <f>(E102+E110+#REF!)*'Data - P&amp;L'!$D$29</f>
        <v>#REF!</v>
      </c>
      <c r="F259" s="82" t="str">
        <f>(F102+F110+#REF!)*'Data - P&amp;L'!$D$29</f>
        <v>#REF!</v>
      </c>
      <c r="G259" s="82" t="str">
        <f>(G102+G110+#REF!)*'Data - P&amp;L'!$D$29</f>
        <v>#REF!</v>
      </c>
      <c r="H259" s="82" t="str">
        <f>(H102+H110+#REF!)*'Data - P&amp;L'!$D$29</f>
        <v>#REF!</v>
      </c>
      <c r="I259" s="82" t="str">
        <f>(I102+I110+#REF!)*'Data - P&amp;L'!$D$29</f>
        <v>#REF!</v>
      </c>
      <c r="J259" s="82" t="str">
        <f>(J102+J110+#REF!)*'Data - P&amp;L'!$D$29</f>
        <v>#REF!</v>
      </c>
      <c r="K259" s="82" t="str">
        <f>(K102+K110+#REF!)*'Data - P&amp;L'!$D$29</f>
        <v>#REF!</v>
      </c>
      <c r="L259" s="82" t="str">
        <f>(L102+L110+#REF!)*'Data - P&amp;L'!$D$29</f>
        <v>#REF!</v>
      </c>
      <c r="M259" s="82" t="str">
        <f>(M102+M110+#REF!)*'Data - P&amp;L'!$D$29</f>
        <v>#REF!</v>
      </c>
      <c r="N259" s="82" t="str">
        <f>(N102+N110+#REF!)*'Data - P&amp;L'!$D$29</f>
        <v>#REF!</v>
      </c>
      <c r="O259" s="82" t="str">
        <f>(O102+O110+#REF!)*'Data - P&amp;L'!$D$29</f>
        <v>#REF!</v>
      </c>
      <c r="P259" s="82" t="str">
        <f>(P102+P110+#REF!)*'Data - P&amp;L'!$D$29</f>
        <v>#REF!</v>
      </c>
      <c r="Q259" s="82" t="str">
        <f>(Q102+Q110+#REF!)*'Data - P&amp;L'!$D$29</f>
        <v>#REF!</v>
      </c>
      <c r="R259" s="82" t="str">
        <f>(R102+R110+#REF!)*'Data - P&amp;L'!$D$29</f>
        <v>#REF!</v>
      </c>
      <c r="S259" s="82" t="str">
        <f>(S102+S110+#REF!)*'Data - P&amp;L'!$D$29</f>
        <v>#REF!</v>
      </c>
      <c r="T259" s="82" t="str">
        <f>(T102+T110+#REF!)*'Data - P&amp;L'!$D$29</f>
        <v>#REF!</v>
      </c>
      <c r="U259" s="82" t="str">
        <f>(U102+U110+#REF!)*'Data - P&amp;L'!$D$29</f>
        <v>#REF!</v>
      </c>
      <c r="V259" s="82" t="str">
        <f>(V102+V110+#REF!)*'Data - P&amp;L'!$D$29</f>
        <v>#REF!</v>
      </c>
      <c r="W259" s="82" t="str">
        <f>(W102+W110+#REF!)*'Data - P&amp;L'!$D$29</f>
        <v>#REF!</v>
      </c>
      <c r="X259" s="82" t="str">
        <f>(X102+X110+#REF!)*'Data - P&amp;L'!$D$29</f>
        <v>#REF!</v>
      </c>
      <c r="Y259" s="82" t="str">
        <f>(Y102+Y110+#REF!)*'Data - P&amp;L'!$D$29</f>
        <v>#REF!</v>
      </c>
      <c r="Z259" s="82" t="str">
        <f>(Z102+Z110+#REF!)*'Data - P&amp;L'!$D$29</f>
        <v>#REF!</v>
      </c>
      <c r="AA259" s="82" t="str">
        <f>(AA102+AA110+#REF!)*'Data - P&amp;L'!$D$29</f>
        <v>#REF!</v>
      </c>
      <c r="AB259" s="82" t="str">
        <f>(AB102+AB110+#REF!)*'Data - P&amp;L'!$D$29</f>
        <v>#REF!</v>
      </c>
      <c r="AC259" s="82" t="str">
        <f>(AC102+AC110+#REF!)*'Data - P&amp;L'!$D$29</f>
        <v>#REF!</v>
      </c>
      <c r="AD259" s="82" t="str">
        <f>(AD102+AD110+#REF!)*'Data - P&amp;L'!$D$29</f>
        <v>#REF!</v>
      </c>
      <c r="AE259" s="82" t="str">
        <f>(AE102+AE110+#REF!)*'Data - P&amp;L'!$D$29</f>
        <v>#REF!</v>
      </c>
      <c r="AF259" s="82" t="str">
        <f>(AF102+AF110+#REF!)*'Data - P&amp;L'!$D$29</f>
        <v>#REF!</v>
      </c>
      <c r="AG259" s="635" t="str">
        <f t="shared" si="72"/>
        <v>#REF!</v>
      </c>
    </row>
    <row r="260" hidden="1" outlineLevel="1">
      <c r="A260" s="307" t="s">
        <v>1083</v>
      </c>
      <c r="B260" s="82" t="str">
        <f>(B102+B110+#REF!)*'Data - P&amp;L'!$D$30</f>
        <v>#REF!</v>
      </c>
      <c r="C260" s="82" t="str">
        <f>(C102+C110+#REF!)*'Data - P&amp;L'!$D$30</f>
        <v>#REF!</v>
      </c>
      <c r="D260" s="82" t="str">
        <f>(D102+D110+#REF!)*'Data - P&amp;L'!$D$30</f>
        <v>#REF!</v>
      </c>
      <c r="E260" s="82" t="str">
        <f>(E102+E110+#REF!)*'Data - P&amp;L'!$D$30</f>
        <v>#REF!</v>
      </c>
      <c r="F260" s="82" t="str">
        <f>(F102+F110+#REF!)*'Data - P&amp;L'!$D$30</f>
        <v>#REF!</v>
      </c>
      <c r="G260" s="82" t="str">
        <f>(G102+G110+#REF!)*'Data - P&amp;L'!$D$30</f>
        <v>#REF!</v>
      </c>
      <c r="H260" s="82" t="str">
        <f>(H102+H110+#REF!)*'Data - P&amp;L'!$D$30</f>
        <v>#REF!</v>
      </c>
      <c r="I260" s="82" t="str">
        <f>(I102+I110+#REF!)*'Data - P&amp;L'!$D$30</f>
        <v>#REF!</v>
      </c>
      <c r="J260" s="82" t="str">
        <f>(J102+J110+#REF!)*'Data - P&amp;L'!$D$30</f>
        <v>#REF!</v>
      </c>
      <c r="K260" s="82" t="str">
        <f>(K102+K110+#REF!)*'Data - P&amp;L'!$D$30</f>
        <v>#REF!</v>
      </c>
      <c r="L260" s="82" t="str">
        <f>(L102+L110+#REF!)*'Data - P&amp;L'!$D$30</f>
        <v>#REF!</v>
      </c>
      <c r="M260" s="82" t="str">
        <f>(M102+M110+#REF!)*'Data - P&amp;L'!$D$30</f>
        <v>#REF!</v>
      </c>
      <c r="N260" s="82" t="str">
        <f>(N102+N110+#REF!)*'Data - P&amp;L'!$D$30</f>
        <v>#REF!</v>
      </c>
      <c r="O260" s="82" t="str">
        <f>(O102+O110+#REF!)*'Data - P&amp;L'!$D$30</f>
        <v>#REF!</v>
      </c>
      <c r="P260" s="82" t="str">
        <f>(P102+P110+#REF!)*'Data - P&amp;L'!$D$30</f>
        <v>#REF!</v>
      </c>
      <c r="Q260" s="82" t="str">
        <f>(Q102+Q110+#REF!)*'Data - P&amp;L'!$D$30</f>
        <v>#REF!</v>
      </c>
      <c r="R260" s="82" t="str">
        <f>(R102+R110+#REF!)*'Data - P&amp;L'!$D$30</f>
        <v>#REF!</v>
      </c>
      <c r="S260" s="82" t="str">
        <f>(S102+S110+#REF!)*'Data - P&amp;L'!$D$30</f>
        <v>#REF!</v>
      </c>
      <c r="T260" s="82" t="str">
        <f>(T102+T110+#REF!)*'Data - P&amp;L'!$D$30</f>
        <v>#REF!</v>
      </c>
      <c r="U260" s="82" t="str">
        <f>(U102+U110+#REF!)*'Data - P&amp;L'!$D$30</f>
        <v>#REF!</v>
      </c>
      <c r="V260" s="82" t="str">
        <f>(V102+V110+#REF!)*'Data - P&amp;L'!$D$30</f>
        <v>#REF!</v>
      </c>
      <c r="W260" s="82" t="str">
        <f>(W102+W110+#REF!)*'Data - P&amp;L'!$D$30</f>
        <v>#REF!</v>
      </c>
      <c r="X260" s="82" t="str">
        <f>(X102+X110+#REF!)*'Data - P&amp;L'!$D$30</f>
        <v>#REF!</v>
      </c>
      <c r="Y260" s="82" t="str">
        <f>(Y102+Y110+#REF!)*'Data - P&amp;L'!$D$30</f>
        <v>#REF!</v>
      </c>
      <c r="Z260" s="82" t="str">
        <f>(Z102+Z110+#REF!)*'Data - P&amp;L'!$D$30</f>
        <v>#REF!</v>
      </c>
      <c r="AA260" s="82" t="str">
        <f>(AA102+AA110+#REF!)*'Data - P&amp;L'!$D$30</f>
        <v>#REF!</v>
      </c>
      <c r="AB260" s="82" t="str">
        <f>(AB102+AB110+#REF!)*'Data - P&amp;L'!$D$30</f>
        <v>#REF!</v>
      </c>
      <c r="AC260" s="82" t="str">
        <f>(AC102+AC110+#REF!)*'Data - P&amp;L'!$D$30</f>
        <v>#REF!</v>
      </c>
      <c r="AD260" s="82" t="str">
        <f>(AD102+AD110+#REF!)*'Data - P&amp;L'!$D$30</f>
        <v>#REF!</v>
      </c>
      <c r="AE260" s="82" t="str">
        <f>(AE102+AE110+#REF!)*'Data - P&amp;L'!$D$30</f>
        <v>#REF!</v>
      </c>
      <c r="AF260" s="82" t="str">
        <f>(AF102+AF110+#REF!)*'Data - P&amp;L'!$D$30</f>
        <v>#REF!</v>
      </c>
      <c r="AG260" s="635" t="str">
        <f t="shared" si="72"/>
        <v>#REF!</v>
      </c>
    </row>
    <row r="261" hidden="1" outlineLevel="1">
      <c r="A261" s="307" t="s">
        <v>1084</v>
      </c>
      <c r="B261" s="82" t="str">
        <f>(B102+B110+#REF!)*'Data - P&amp;L'!$D$31</f>
        <v>#REF!</v>
      </c>
      <c r="C261" s="82" t="str">
        <f>(C102+C110+#REF!)*'Data - P&amp;L'!$D$31</f>
        <v>#REF!</v>
      </c>
      <c r="D261" s="82" t="str">
        <f>(D102+D110+#REF!)*'Data - P&amp;L'!$D$31</f>
        <v>#REF!</v>
      </c>
      <c r="E261" s="82" t="str">
        <f>(E102+E110+#REF!)*'Data - P&amp;L'!$D$31</f>
        <v>#REF!</v>
      </c>
      <c r="F261" s="82" t="str">
        <f>(F102+F110+#REF!)*'Data - P&amp;L'!$D$31</f>
        <v>#REF!</v>
      </c>
      <c r="G261" s="82" t="str">
        <f>(G102+G110+#REF!)*'Data - P&amp;L'!$D$31</f>
        <v>#REF!</v>
      </c>
      <c r="H261" s="82" t="str">
        <f>(H102+H110+#REF!)*'Data - P&amp;L'!$D$31</f>
        <v>#REF!</v>
      </c>
      <c r="I261" s="82" t="str">
        <f>(I102+I110+#REF!)*'Data - P&amp;L'!$D$31</f>
        <v>#REF!</v>
      </c>
      <c r="J261" s="82" t="str">
        <f>(J102+J110+#REF!)*'Data - P&amp;L'!$D$31</f>
        <v>#REF!</v>
      </c>
      <c r="K261" s="82" t="str">
        <f>(K102+K110+#REF!)*'Data - P&amp;L'!$D$31</f>
        <v>#REF!</v>
      </c>
      <c r="L261" s="82" t="str">
        <f>(L102+L110+#REF!)*'Data - P&amp;L'!$D$31</f>
        <v>#REF!</v>
      </c>
      <c r="M261" s="82" t="str">
        <f>(M102+M110+#REF!)*'Data - P&amp;L'!$D$31</f>
        <v>#REF!</v>
      </c>
      <c r="N261" s="82" t="str">
        <f>(N102+N110+#REF!)*'Data - P&amp;L'!$D$31</f>
        <v>#REF!</v>
      </c>
      <c r="O261" s="82" t="str">
        <f>(O102+O110+#REF!)*'Data - P&amp;L'!$D$31</f>
        <v>#REF!</v>
      </c>
      <c r="P261" s="82" t="str">
        <f>(P102+P110+#REF!)*'Data - P&amp;L'!$D$31</f>
        <v>#REF!</v>
      </c>
      <c r="Q261" s="82" t="str">
        <f>(Q102+Q110+#REF!)*'Data - P&amp;L'!$D$31</f>
        <v>#REF!</v>
      </c>
      <c r="R261" s="82" t="str">
        <f>(R102+R110+#REF!)*'Data - P&amp;L'!$D$31</f>
        <v>#REF!</v>
      </c>
      <c r="S261" s="82" t="str">
        <f>(S102+S110+#REF!)*'Data - P&amp;L'!$D$31</f>
        <v>#REF!</v>
      </c>
      <c r="T261" s="82" t="str">
        <f>(T102+T110+#REF!)*'Data - P&amp;L'!$D$31</f>
        <v>#REF!</v>
      </c>
      <c r="U261" s="82" t="str">
        <f>(U102+U110+#REF!)*'Data - P&amp;L'!$D$31</f>
        <v>#REF!</v>
      </c>
      <c r="V261" s="82" t="str">
        <f>(V102+V110+#REF!)*'Data - P&amp;L'!$D$31</f>
        <v>#REF!</v>
      </c>
      <c r="W261" s="82" t="str">
        <f>(W102+W110+#REF!)*'Data - P&amp;L'!$D$31</f>
        <v>#REF!</v>
      </c>
      <c r="X261" s="82" t="str">
        <f>(X102+X110+#REF!)*'Data - P&amp;L'!$D$31</f>
        <v>#REF!</v>
      </c>
      <c r="Y261" s="82" t="str">
        <f>(Y102+Y110+#REF!)*'Data - P&amp;L'!$D$31</f>
        <v>#REF!</v>
      </c>
      <c r="Z261" s="82" t="str">
        <f>(Z102+Z110+#REF!)*'Data - P&amp;L'!$D$31</f>
        <v>#REF!</v>
      </c>
      <c r="AA261" s="82" t="str">
        <f>(AA102+AA110+#REF!)*'Data - P&amp;L'!$D$31</f>
        <v>#REF!</v>
      </c>
      <c r="AB261" s="82" t="str">
        <f>(AB102+AB110+#REF!)*'Data - P&amp;L'!$D$31</f>
        <v>#REF!</v>
      </c>
      <c r="AC261" s="82" t="str">
        <f>(AC102+AC110+#REF!)*'Data - P&amp;L'!$D$31</f>
        <v>#REF!</v>
      </c>
      <c r="AD261" s="82" t="str">
        <f>(AD102+AD110+#REF!)*'Data - P&amp;L'!$D$31</f>
        <v>#REF!</v>
      </c>
      <c r="AE261" s="82" t="str">
        <f>(AE102+AE110+#REF!)*'Data - P&amp;L'!$D$31</f>
        <v>#REF!</v>
      </c>
      <c r="AF261" s="82" t="str">
        <f>(AF102+AF110+#REF!)*'Data - P&amp;L'!$D$31</f>
        <v>#REF!</v>
      </c>
      <c r="AG261" s="635" t="str">
        <f t="shared" si="72"/>
        <v>#REF!</v>
      </c>
    </row>
    <row r="262" hidden="1" outlineLevel="1">
      <c r="A262" s="307" t="s">
        <v>1085</v>
      </c>
      <c r="B262" s="82" t="str">
        <f>(B102+B110+#REF!)*'Data - P&amp;L'!$D$32</f>
        <v>#REF!</v>
      </c>
      <c r="C262" s="82" t="str">
        <f>(C102+C110+#REF!)*'Data - P&amp;L'!$D$32</f>
        <v>#REF!</v>
      </c>
      <c r="D262" s="82" t="str">
        <f>(D102+D110+#REF!)*'Data - P&amp;L'!$D$32</f>
        <v>#REF!</v>
      </c>
      <c r="E262" s="82" t="str">
        <f>(E102+E110+#REF!)*'Data - P&amp;L'!$D$32</f>
        <v>#REF!</v>
      </c>
      <c r="F262" s="82" t="str">
        <f>(F102+F110+#REF!)*'Data - P&amp;L'!$D$32</f>
        <v>#REF!</v>
      </c>
      <c r="G262" s="82" t="str">
        <f>(G102+G110+#REF!)*'Data - P&amp;L'!$D$32</f>
        <v>#REF!</v>
      </c>
      <c r="H262" s="82" t="str">
        <f>(H102+H110+#REF!)*'Data - P&amp;L'!$D$32</f>
        <v>#REF!</v>
      </c>
      <c r="I262" s="82" t="str">
        <f>(I102+I110+#REF!)*'Data - P&amp;L'!$D$32</f>
        <v>#REF!</v>
      </c>
      <c r="J262" s="82" t="str">
        <f>(J102+J110+#REF!)*'Data - P&amp;L'!$D$32</f>
        <v>#REF!</v>
      </c>
      <c r="K262" s="82" t="str">
        <f>(K102+K110+#REF!)*'Data - P&amp;L'!$D$32</f>
        <v>#REF!</v>
      </c>
      <c r="L262" s="82" t="str">
        <f>(L102+L110+#REF!)*'Data - P&amp;L'!$D$32</f>
        <v>#REF!</v>
      </c>
      <c r="M262" s="82" t="str">
        <f>(M102+M110+#REF!)*'Data - P&amp;L'!$D$32</f>
        <v>#REF!</v>
      </c>
      <c r="N262" s="82" t="str">
        <f>(N102+N110+#REF!)*'Data - P&amp;L'!$D$32</f>
        <v>#REF!</v>
      </c>
      <c r="O262" s="82" t="str">
        <f>(O102+O110+#REF!)*'Data - P&amp;L'!$D$32</f>
        <v>#REF!</v>
      </c>
      <c r="P262" s="82" t="str">
        <f>(P102+P110+#REF!)*'Data - P&amp;L'!$D$32</f>
        <v>#REF!</v>
      </c>
      <c r="Q262" s="82" t="str">
        <f>(Q102+Q110+#REF!)*'Data - P&amp;L'!$D$32</f>
        <v>#REF!</v>
      </c>
      <c r="R262" s="82" t="str">
        <f>(R102+R110+#REF!)*'Data - P&amp;L'!$D$32</f>
        <v>#REF!</v>
      </c>
      <c r="S262" s="82" t="str">
        <f>(S102+S110+#REF!)*'Data - P&amp;L'!$D$32</f>
        <v>#REF!</v>
      </c>
      <c r="T262" s="82" t="str">
        <f>(T102+T110+#REF!)*'Data - P&amp;L'!$D$32</f>
        <v>#REF!</v>
      </c>
      <c r="U262" s="82" t="str">
        <f>(U102+U110+#REF!)*'Data - P&amp;L'!$D$32</f>
        <v>#REF!</v>
      </c>
      <c r="V262" s="82" t="str">
        <f>(V102+V110+#REF!)*'Data - P&amp;L'!$D$32</f>
        <v>#REF!</v>
      </c>
      <c r="W262" s="82" t="str">
        <f>(W102+W110+#REF!)*'Data - P&amp;L'!$D$32</f>
        <v>#REF!</v>
      </c>
      <c r="X262" s="82" t="str">
        <f>(X102+X110+#REF!)*'Data - P&amp;L'!$D$32</f>
        <v>#REF!</v>
      </c>
      <c r="Y262" s="82" t="str">
        <f>(Y102+Y110+#REF!)*'Data - P&amp;L'!$D$32</f>
        <v>#REF!</v>
      </c>
      <c r="Z262" s="82" t="str">
        <f>(Z102+Z110+#REF!)*'Data - P&amp;L'!$D$32</f>
        <v>#REF!</v>
      </c>
      <c r="AA262" s="82" t="str">
        <f>(AA102+AA110+#REF!)*'Data - P&amp;L'!$D$32</f>
        <v>#REF!</v>
      </c>
      <c r="AB262" s="82" t="str">
        <f>(AB102+AB110+#REF!)*'Data - P&amp;L'!$D$32</f>
        <v>#REF!</v>
      </c>
      <c r="AC262" s="82" t="str">
        <f>(AC102+AC110+#REF!)*'Data - P&amp;L'!$D$32</f>
        <v>#REF!</v>
      </c>
      <c r="AD262" s="82" t="str">
        <f>(AD102+AD110+#REF!)*'Data - P&amp;L'!$D$32</f>
        <v>#REF!</v>
      </c>
      <c r="AE262" s="82" t="str">
        <f>(AE102+AE110+#REF!)*'Data - P&amp;L'!$D$32</f>
        <v>#REF!</v>
      </c>
      <c r="AF262" s="82" t="str">
        <f>(AF102+AF110+#REF!)*'Data - P&amp;L'!$D$32</f>
        <v>#REF!</v>
      </c>
      <c r="AG262" s="635" t="str">
        <f t="shared" si="72"/>
        <v>#REF!</v>
      </c>
    </row>
    <row r="263" hidden="1" outlineLevel="1">
      <c r="A263" s="649" t="s">
        <v>1086</v>
      </c>
      <c r="B263" s="329" t="str">
        <f>(B102+B110+#REF!)*'Data - P&amp;L'!$D$33</f>
        <v>#REF!</v>
      </c>
      <c r="C263" s="329" t="str">
        <f>(C102+C110+#REF!)*'Data - P&amp;L'!$D$33</f>
        <v>#REF!</v>
      </c>
      <c r="D263" s="329" t="str">
        <f>(D102+D110+#REF!)*'Data - P&amp;L'!$D$33</f>
        <v>#REF!</v>
      </c>
      <c r="E263" s="329" t="str">
        <f>(E102+E110+#REF!)*'Data - P&amp;L'!$D$33</f>
        <v>#REF!</v>
      </c>
      <c r="F263" s="329" t="str">
        <f>(F102+F110+#REF!)*'Data - P&amp;L'!$D$33</f>
        <v>#REF!</v>
      </c>
      <c r="G263" s="329" t="str">
        <f>(G102+G110+#REF!)*'Data - P&amp;L'!$D$33</f>
        <v>#REF!</v>
      </c>
      <c r="H263" s="329" t="str">
        <f>(H102+H110+#REF!)*'Data - P&amp;L'!$D$33</f>
        <v>#REF!</v>
      </c>
      <c r="I263" s="329" t="str">
        <f>(I102+I110+#REF!)*'Data - P&amp;L'!$D$33</f>
        <v>#REF!</v>
      </c>
      <c r="J263" s="329" t="str">
        <f>(J102+J110+#REF!)*'Data - P&amp;L'!$D$33</f>
        <v>#REF!</v>
      </c>
      <c r="K263" s="329" t="str">
        <f>(K102+K110+#REF!)*'Data - P&amp;L'!$D$33</f>
        <v>#REF!</v>
      </c>
      <c r="L263" s="329" t="str">
        <f>(L102+L110+#REF!)*'Data - P&amp;L'!$D$33</f>
        <v>#REF!</v>
      </c>
      <c r="M263" s="329" t="str">
        <f>(M102+M110+#REF!)*'Data - P&amp;L'!$D$33</f>
        <v>#REF!</v>
      </c>
      <c r="N263" s="329" t="str">
        <f>(N102+N110+#REF!)*'Data - P&amp;L'!$D$33</f>
        <v>#REF!</v>
      </c>
      <c r="O263" s="329" t="str">
        <f>(O102+O110+#REF!)*'Data - P&amp;L'!$D$33</f>
        <v>#REF!</v>
      </c>
      <c r="P263" s="329" t="str">
        <f>(P102+P110+#REF!)*'Data - P&amp;L'!$D$33</f>
        <v>#REF!</v>
      </c>
      <c r="Q263" s="329" t="str">
        <f>(Q102+Q110+#REF!)*'Data - P&amp;L'!$D$33</f>
        <v>#REF!</v>
      </c>
      <c r="R263" s="329" t="str">
        <f>(R102+R110+#REF!)*'Data - P&amp;L'!$D$33</f>
        <v>#REF!</v>
      </c>
      <c r="S263" s="329" t="str">
        <f>(S102+S110+#REF!)*'Data - P&amp;L'!$D$33</f>
        <v>#REF!</v>
      </c>
      <c r="T263" s="329" t="str">
        <f>(T102+T110+#REF!)*'Data - P&amp;L'!$D$33</f>
        <v>#REF!</v>
      </c>
      <c r="U263" s="329" t="str">
        <f>(U102+U110+#REF!)*'Data - P&amp;L'!$D$33</f>
        <v>#REF!</v>
      </c>
      <c r="V263" s="329" t="str">
        <f>(V102+V110+#REF!)*'Data - P&amp;L'!$D$33</f>
        <v>#REF!</v>
      </c>
      <c r="W263" s="329" t="str">
        <f>(W102+W110+#REF!)*'Data - P&amp;L'!$D$33</f>
        <v>#REF!</v>
      </c>
      <c r="X263" s="329" t="str">
        <f>(X102+X110+#REF!)*'Data - P&amp;L'!$D$33</f>
        <v>#REF!</v>
      </c>
      <c r="Y263" s="329" t="str">
        <f>(Y102+Y110+#REF!)*'Data - P&amp;L'!$D$33</f>
        <v>#REF!</v>
      </c>
      <c r="Z263" s="329" t="str">
        <f>(Z102+Z110+#REF!)*'Data - P&amp;L'!$D$33</f>
        <v>#REF!</v>
      </c>
      <c r="AA263" s="329" t="str">
        <f>(AA102+AA110+#REF!)*'Data - P&amp;L'!$D$33</f>
        <v>#REF!</v>
      </c>
      <c r="AB263" s="329" t="str">
        <f>(AB102+AB110+#REF!)*'Data - P&amp;L'!$D$33</f>
        <v>#REF!</v>
      </c>
      <c r="AC263" s="329" t="str">
        <f>(AC102+AC110+#REF!)*'Data - P&amp;L'!$D$33</f>
        <v>#REF!</v>
      </c>
      <c r="AD263" s="329" t="str">
        <f>(AD102+AD110+#REF!)*'Data - P&amp;L'!$D$33</f>
        <v>#REF!</v>
      </c>
      <c r="AE263" s="329" t="str">
        <f>(AE102+AE110+#REF!)*'Data - P&amp;L'!$D$33</f>
        <v>#REF!</v>
      </c>
      <c r="AF263" s="329" t="str">
        <f>(AF102+AF110+#REF!)*'Data - P&amp;L'!$D$33</f>
        <v>#REF!</v>
      </c>
      <c r="AG263" s="635" t="str">
        <f t="shared" si="72"/>
        <v>#REF!</v>
      </c>
    </row>
    <row r="264">
      <c r="A264" s="104" t="s">
        <v>345</v>
      </c>
      <c r="B264" s="82" t="str">
        <f t="shared" ref="B264:AF264" si="73">sum(B230:B263)</f>
        <v>#REF!</v>
      </c>
      <c r="C264" s="82" t="str">
        <f t="shared" si="73"/>
        <v>#REF!</v>
      </c>
      <c r="D264" s="82" t="str">
        <f t="shared" si="73"/>
        <v>#REF!</v>
      </c>
      <c r="E264" s="82" t="str">
        <f t="shared" si="73"/>
        <v>#REF!</v>
      </c>
      <c r="F264" s="82" t="str">
        <f t="shared" si="73"/>
        <v>#REF!</v>
      </c>
      <c r="G264" s="82" t="str">
        <f t="shared" si="73"/>
        <v>#REF!</v>
      </c>
      <c r="H264" s="82" t="str">
        <f t="shared" si="73"/>
        <v>#REF!</v>
      </c>
      <c r="I264" s="82" t="str">
        <f t="shared" si="73"/>
        <v>#REF!</v>
      </c>
      <c r="J264" s="82" t="str">
        <f t="shared" si="73"/>
        <v>#REF!</v>
      </c>
      <c r="K264" s="82" t="str">
        <f t="shared" si="73"/>
        <v>#REF!</v>
      </c>
      <c r="L264" s="82" t="str">
        <f t="shared" si="73"/>
        <v>#REF!</v>
      </c>
      <c r="M264" s="82" t="str">
        <f t="shared" si="73"/>
        <v>#REF!</v>
      </c>
      <c r="N264" s="82" t="str">
        <f t="shared" si="73"/>
        <v>#REF!</v>
      </c>
      <c r="O264" s="82" t="str">
        <f t="shared" si="73"/>
        <v>#REF!</v>
      </c>
      <c r="P264" s="82" t="str">
        <f t="shared" si="73"/>
        <v>#REF!</v>
      </c>
      <c r="Q264" s="82" t="str">
        <f t="shared" si="73"/>
        <v>#REF!</v>
      </c>
      <c r="R264" s="82" t="str">
        <f t="shared" si="73"/>
        <v>#REF!</v>
      </c>
      <c r="S264" s="82" t="str">
        <f t="shared" si="73"/>
        <v>#REF!</v>
      </c>
      <c r="T264" s="82" t="str">
        <f t="shared" si="73"/>
        <v>#REF!</v>
      </c>
      <c r="U264" s="82" t="str">
        <f t="shared" si="73"/>
        <v>#REF!</v>
      </c>
      <c r="V264" s="82" t="str">
        <f t="shared" si="73"/>
        <v>#REF!</v>
      </c>
      <c r="W264" s="82" t="str">
        <f t="shared" si="73"/>
        <v>#REF!</v>
      </c>
      <c r="X264" s="82" t="str">
        <f t="shared" si="73"/>
        <v>#REF!</v>
      </c>
      <c r="Y264" s="82" t="str">
        <f t="shared" si="73"/>
        <v>#REF!</v>
      </c>
      <c r="Z264" s="82" t="str">
        <f t="shared" si="73"/>
        <v>#REF!</v>
      </c>
      <c r="AA264" s="82" t="str">
        <f t="shared" si="73"/>
        <v>#REF!</v>
      </c>
      <c r="AB264" s="82" t="str">
        <f t="shared" si="73"/>
        <v>#REF!</v>
      </c>
      <c r="AC264" s="82" t="str">
        <f t="shared" si="73"/>
        <v>#REF!</v>
      </c>
      <c r="AD264" s="82" t="str">
        <f t="shared" si="73"/>
        <v>#REF!</v>
      </c>
      <c r="AE264" s="82" t="str">
        <f t="shared" si="73"/>
        <v>#REF!</v>
      </c>
      <c r="AF264" s="82" t="str">
        <f t="shared" si="73"/>
        <v>#REF!</v>
      </c>
      <c r="AG264" s="635" t="str">
        <f t="shared" si="72"/>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59.75"/>
  </cols>
  <sheetData>
    <row r="1">
      <c r="A1" s="651" t="s">
        <v>704</v>
      </c>
      <c r="B1" s="652">
        <v>45292.0</v>
      </c>
      <c r="C1" s="652">
        <v>45293.0</v>
      </c>
      <c r="D1" s="652">
        <v>45294.0</v>
      </c>
      <c r="E1" s="652">
        <v>45295.0</v>
      </c>
      <c r="F1" s="652">
        <v>45296.0</v>
      </c>
      <c r="G1" s="652">
        <v>45297.0</v>
      </c>
      <c r="H1" s="652">
        <v>45298.0</v>
      </c>
      <c r="I1" s="652">
        <v>45299.0</v>
      </c>
      <c r="J1" s="652">
        <v>45300.0</v>
      </c>
      <c r="K1" s="652">
        <v>45301.0</v>
      </c>
      <c r="L1" s="652">
        <v>45302.0</v>
      </c>
      <c r="M1" s="652">
        <v>45303.0</v>
      </c>
      <c r="N1" s="652">
        <v>45304.0</v>
      </c>
      <c r="O1" s="652">
        <v>45305.0</v>
      </c>
      <c r="P1" s="652">
        <v>45306.0</v>
      </c>
      <c r="Q1" s="652">
        <v>45307.0</v>
      </c>
      <c r="R1" s="652">
        <v>45308.0</v>
      </c>
      <c r="S1" s="652">
        <v>45309.0</v>
      </c>
      <c r="T1" s="652">
        <v>45310.0</v>
      </c>
      <c r="U1" s="652">
        <v>45311.0</v>
      </c>
      <c r="V1" s="652">
        <v>45312.0</v>
      </c>
      <c r="W1" s="652">
        <v>45313.0</v>
      </c>
      <c r="X1" s="652">
        <v>45314.0</v>
      </c>
      <c r="Y1" s="652">
        <v>45315.0</v>
      </c>
      <c r="Z1" s="652">
        <v>45316.0</v>
      </c>
      <c r="AA1" s="652">
        <v>45317.0</v>
      </c>
      <c r="AB1" s="652">
        <v>45318.0</v>
      </c>
      <c r="AC1" s="652">
        <v>45319.0</v>
      </c>
      <c r="AD1" s="652">
        <v>45320.0</v>
      </c>
      <c r="AE1" s="652">
        <v>45321.0</v>
      </c>
      <c r="AF1" s="652">
        <v>45322.0</v>
      </c>
      <c r="AG1" s="653" t="s">
        <v>1089</v>
      </c>
      <c r="AH1" s="654" t="s">
        <v>1090</v>
      </c>
    </row>
    <row r="2">
      <c r="A2" s="655" t="s">
        <v>705</v>
      </c>
      <c r="B2" s="656">
        <v>23.0</v>
      </c>
      <c r="C2" s="656">
        <v>26.0</v>
      </c>
      <c r="D2" s="656">
        <v>37.0</v>
      </c>
      <c r="E2" s="656">
        <v>31.0</v>
      </c>
      <c r="F2" s="656">
        <v>34.0</v>
      </c>
      <c r="G2" s="656">
        <v>34.0</v>
      </c>
      <c r="H2" s="656">
        <v>41.0</v>
      </c>
      <c r="I2" s="656">
        <v>25.0</v>
      </c>
      <c r="J2" s="656">
        <v>23.0</v>
      </c>
      <c r="K2" s="656">
        <v>10.0</v>
      </c>
      <c r="L2" s="656">
        <v>24.0</v>
      </c>
      <c r="M2" s="656">
        <v>19.0</v>
      </c>
      <c r="N2" s="7">
        <v>18.0</v>
      </c>
      <c r="O2" s="657">
        <v>28.0</v>
      </c>
      <c r="P2" s="657">
        <v>14.0</v>
      </c>
      <c r="Q2" s="657">
        <v>12.0</v>
      </c>
      <c r="R2" s="657">
        <v>18.0</v>
      </c>
      <c r="S2" s="657">
        <v>15.0</v>
      </c>
      <c r="T2" s="657">
        <v>19.0</v>
      </c>
      <c r="U2" s="658">
        <v>21.0</v>
      </c>
      <c r="V2" s="658">
        <v>20.0</v>
      </c>
      <c r="W2" s="658">
        <v>16.0</v>
      </c>
      <c r="X2" s="658">
        <v>16.0</v>
      </c>
      <c r="Y2" s="657">
        <v>8.0</v>
      </c>
      <c r="Z2" s="657">
        <v>13.0</v>
      </c>
      <c r="AA2" s="657">
        <v>12.0</v>
      </c>
      <c r="AB2" s="657">
        <v>15.0</v>
      </c>
      <c r="AC2" s="657">
        <v>15.0</v>
      </c>
      <c r="AD2" s="657">
        <v>15.0</v>
      </c>
      <c r="AE2" s="657">
        <v>10.0</v>
      </c>
      <c r="AF2" s="657">
        <v>16.0</v>
      </c>
      <c r="AG2" s="659">
        <f t="shared" ref="AG2:AG10" si="1">SUM(B2:AF2)</f>
        <v>628</v>
      </c>
      <c r="AH2" s="660">
        <f t="shared" ref="AH2:AH9" si="2">iferror(AG2/AG$10,"")</f>
        <v>0.2543539895</v>
      </c>
    </row>
    <row r="3">
      <c r="A3" s="661" t="s">
        <v>710</v>
      </c>
      <c r="B3" s="657">
        <v>70.0</v>
      </c>
      <c r="C3" s="657">
        <v>56.0</v>
      </c>
      <c r="D3" s="657">
        <v>56.0</v>
      </c>
      <c r="E3" s="657">
        <v>48.0</v>
      </c>
      <c r="F3" s="657">
        <v>58.0</v>
      </c>
      <c r="G3" s="657">
        <v>63.0</v>
      </c>
      <c r="H3" s="657">
        <v>70.0</v>
      </c>
      <c r="I3" s="657">
        <v>54.0</v>
      </c>
      <c r="J3" s="657">
        <v>39.0</v>
      </c>
      <c r="K3" s="657">
        <v>37.0</v>
      </c>
      <c r="L3" s="657">
        <v>35.0</v>
      </c>
      <c r="M3" s="657">
        <v>55.0</v>
      </c>
      <c r="N3" s="7">
        <v>55.0</v>
      </c>
      <c r="O3" s="7">
        <v>50.0</v>
      </c>
      <c r="P3" s="7">
        <v>46.0</v>
      </c>
      <c r="Q3" s="657">
        <v>46.0</v>
      </c>
      <c r="R3" s="657">
        <v>51.0</v>
      </c>
      <c r="S3" s="657">
        <v>38.0</v>
      </c>
      <c r="T3" s="657">
        <v>44.0</v>
      </c>
      <c r="U3" s="657">
        <v>54.0</v>
      </c>
      <c r="V3" s="657">
        <v>39.0</v>
      </c>
      <c r="W3" s="657">
        <v>37.0</v>
      </c>
      <c r="X3" s="657">
        <v>35.0</v>
      </c>
      <c r="Y3" s="657">
        <v>38.0</v>
      </c>
      <c r="Z3" s="657">
        <v>34.0</v>
      </c>
      <c r="AA3" s="657">
        <v>36.0</v>
      </c>
      <c r="AB3" s="657">
        <v>34.0</v>
      </c>
      <c r="AC3" s="657">
        <v>35.0</v>
      </c>
      <c r="AD3" s="657">
        <v>44.0</v>
      </c>
      <c r="AE3" s="657">
        <v>26.0</v>
      </c>
      <c r="AF3" s="657">
        <v>14.0</v>
      </c>
      <c r="AG3" s="659">
        <f t="shared" si="1"/>
        <v>1397</v>
      </c>
      <c r="AH3" s="660">
        <f t="shared" si="2"/>
        <v>0.5658161199</v>
      </c>
    </row>
    <row r="4">
      <c r="A4" s="661" t="s">
        <v>104</v>
      </c>
      <c r="B4" s="657">
        <v>1.0</v>
      </c>
      <c r="C4" s="657">
        <v>2.0</v>
      </c>
      <c r="D4" s="657">
        <v>3.0</v>
      </c>
      <c r="E4" s="657">
        <v>1.0</v>
      </c>
      <c r="F4" s="657">
        <v>0.0</v>
      </c>
      <c r="G4" s="657">
        <v>1.0</v>
      </c>
      <c r="H4" s="657">
        <v>1.0</v>
      </c>
      <c r="I4" s="657">
        <v>1.0</v>
      </c>
      <c r="J4" s="657">
        <v>3.0</v>
      </c>
      <c r="K4" s="657">
        <v>1.0</v>
      </c>
      <c r="L4" s="657">
        <v>0.0</v>
      </c>
      <c r="M4" s="657">
        <v>0.0</v>
      </c>
      <c r="N4" s="7">
        <v>1.0</v>
      </c>
      <c r="O4" s="7">
        <v>1.0</v>
      </c>
      <c r="P4" s="7">
        <v>2.0</v>
      </c>
      <c r="Q4" s="657">
        <v>1.0</v>
      </c>
      <c r="R4" s="657">
        <v>1.0</v>
      </c>
      <c r="S4" s="657">
        <v>1.0</v>
      </c>
      <c r="T4" s="657">
        <v>6.0</v>
      </c>
      <c r="U4" s="657">
        <v>2.0</v>
      </c>
      <c r="V4" s="657">
        <v>0.0</v>
      </c>
      <c r="W4" s="657">
        <v>1.0</v>
      </c>
      <c r="X4" s="657">
        <v>0.0</v>
      </c>
      <c r="Y4" s="657">
        <v>0.0</v>
      </c>
      <c r="Z4" s="657">
        <v>2.0</v>
      </c>
      <c r="AA4" s="657">
        <v>2.0</v>
      </c>
      <c r="AB4" s="657">
        <v>1.0</v>
      </c>
      <c r="AC4" s="657">
        <v>1.0</v>
      </c>
      <c r="AD4" s="657">
        <v>1.0</v>
      </c>
      <c r="AE4" s="657">
        <v>0.0</v>
      </c>
      <c r="AF4" s="657">
        <v>0.0</v>
      </c>
      <c r="AG4" s="659">
        <f t="shared" si="1"/>
        <v>37</v>
      </c>
      <c r="AH4" s="660">
        <f t="shared" si="2"/>
        <v>0.01498582422</v>
      </c>
    </row>
    <row r="5">
      <c r="A5" s="661" t="s">
        <v>711</v>
      </c>
      <c r="B5" s="657">
        <v>1.0</v>
      </c>
      <c r="C5" s="657">
        <v>4.0</v>
      </c>
      <c r="D5" s="657">
        <v>2.0</v>
      </c>
      <c r="E5" s="657">
        <v>1.0</v>
      </c>
      <c r="F5" s="657">
        <v>6.0</v>
      </c>
      <c r="G5" s="657">
        <v>2.0</v>
      </c>
      <c r="H5" s="657">
        <v>3.0</v>
      </c>
      <c r="I5" s="657">
        <v>0.0</v>
      </c>
      <c r="J5" s="657">
        <v>0.0</v>
      </c>
      <c r="K5" s="657">
        <v>1.0</v>
      </c>
      <c r="L5" s="657">
        <v>2.0</v>
      </c>
      <c r="M5" s="657">
        <v>3.0</v>
      </c>
      <c r="N5" s="7">
        <v>3.0</v>
      </c>
      <c r="O5" s="7">
        <v>1.0</v>
      </c>
      <c r="P5" s="7">
        <v>3.0</v>
      </c>
      <c r="Q5" s="657">
        <v>1.0</v>
      </c>
      <c r="R5" s="657">
        <v>4.0</v>
      </c>
      <c r="S5" s="657">
        <v>0.0</v>
      </c>
      <c r="T5" s="657">
        <v>1.0</v>
      </c>
      <c r="U5" s="657">
        <v>1.0</v>
      </c>
      <c r="V5" s="657">
        <v>3.0</v>
      </c>
      <c r="W5" s="657">
        <v>3.0</v>
      </c>
      <c r="X5" s="657">
        <v>2.0</v>
      </c>
      <c r="Y5" s="657">
        <v>1.0</v>
      </c>
      <c r="Z5" s="657">
        <v>1.0</v>
      </c>
      <c r="AA5" s="657">
        <v>2.0</v>
      </c>
      <c r="AB5" s="657">
        <v>1.0</v>
      </c>
      <c r="AC5" s="657">
        <v>0.0</v>
      </c>
      <c r="AD5" s="657">
        <v>1.0</v>
      </c>
      <c r="AE5" s="657">
        <v>0.0</v>
      </c>
      <c r="AF5" s="657">
        <v>0.0</v>
      </c>
      <c r="AG5" s="659">
        <f t="shared" si="1"/>
        <v>53</v>
      </c>
      <c r="AH5" s="660">
        <f t="shared" si="2"/>
        <v>0.02146618064</v>
      </c>
    </row>
    <row r="6">
      <c r="A6" s="661" t="s">
        <v>712</v>
      </c>
      <c r="B6" s="657">
        <v>8.0</v>
      </c>
      <c r="C6" s="657">
        <v>1.0</v>
      </c>
      <c r="D6" s="657">
        <v>4.0</v>
      </c>
      <c r="E6" s="657">
        <v>5.0</v>
      </c>
      <c r="F6" s="657">
        <v>6.0</v>
      </c>
      <c r="G6" s="657">
        <v>6.0</v>
      </c>
      <c r="H6" s="657">
        <v>10.0</v>
      </c>
      <c r="I6" s="657">
        <v>6.0</v>
      </c>
      <c r="J6" s="657">
        <v>6.0</v>
      </c>
      <c r="K6" s="657">
        <v>2.0</v>
      </c>
      <c r="L6" s="657">
        <v>9.0</v>
      </c>
      <c r="M6" s="657">
        <v>6.0</v>
      </c>
      <c r="N6" s="7">
        <v>7.0</v>
      </c>
      <c r="O6" s="7">
        <v>7.0</v>
      </c>
      <c r="P6" s="7">
        <v>6.0</v>
      </c>
      <c r="Q6" s="657">
        <v>4.0</v>
      </c>
      <c r="R6" s="657">
        <v>5.0</v>
      </c>
      <c r="S6" s="657">
        <v>3.0</v>
      </c>
      <c r="T6" s="657">
        <v>1.0</v>
      </c>
      <c r="U6" s="657">
        <v>5.0</v>
      </c>
      <c r="V6" s="657">
        <v>6.0</v>
      </c>
      <c r="W6" s="657">
        <v>2.0</v>
      </c>
      <c r="X6" s="657">
        <v>3.0</v>
      </c>
      <c r="Y6" s="657">
        <v>3.0</v>
      </c>
      <c r="Z6" s="657">
        <v>3.0</v>
      </c>
      <c r="AA6" s="657">
        <v>1.0</v>
      </c>
      <c r="AB6" s="657">
        <v>4.0</v>
      </c>
      <c r="AC6" s="657">
        <v>7.0</v>
      </c>
      <c r="AD6" s="657">
        <v>2.0</v>
      </c>
      <c r="AE6" s="657">
        <v>3.0</v>
      </c>
      <c r="AF6" s="657">
        <v>2.0</v>
      </c>
      <c r="AG6" s="659">
        <f t="shared" si="1"/>
        <v>143</v>
      </c>
      <c r="AH6" s="660">
        <f t="shared" si="2"/>
        <v>0.0579181855</v>
      </c>
    </row>
    <row r="7">
      <c r="A7" s="662" t="s">
        <v>713</v>
      </c>
      <c r="B7" s="657">
        <v>0.0</v>
      </c>
      <c r="C7" s="7">
        <v>1.0</v>
      </c>
      <c r="D7" s="7">
        <v>4.0</v>
      </c>
      <c r="E7" s="7">
        <v>2.0</v>
      </c>
      <c r="F7" s="7">
        <v>0.0</v>
      </c>
      <c r="G7" s="7">
        <v>0.0</v>
      </c>
      <c r="H7" s="7">
        <v>1.0</v>
      </c>
      <c r="I7" s="7">
        <v>0.0</v>
      </c>
      <c r="J7" s="7">
        <v>0.0</v>
      </c>
      <c r="K7" s="7">
        <v>2.0</v>
      </c>
      <c r="L7" s="7">
        <v>1.0</v>
      </c>
      <c r="M7" s="7">
        <v>1.0</v>
      </c>
      <c r="N7" s="7">
        <v>1.0</v>
      </c>
      <c r="O7" s="7">
        <v>0.0</v>
      </c>
      <c r="P7" s="7">
        <v>1.0</v>
      </c>
      <c r="Q7" s="657">
        <v>0.0</v>
      </c>
      <c r="R7" s="657">
        <v>0.0</v>
      </c>
      <c r="S7" s="657">
        <v>1.0</v>
      </c>
      <c r="T7" s="657">
        <v>1.0</v>
      </c>
      <c r="U7" s="657">
        <v>1.0</v>
      </c>
      <c r="V7" s="657">
        <v>1.0</v>
      </c>
      <c r="W7" s="657">
        <v>0.0</v>
      </c>
      <c r="X7" s="657">
        <v>0.0</v>
      </c>
      <c r="Y7" s="657">
        <v>0.0</v>
      </c>
      <c r="Z7" s="657">
        <v>1.0</v>
      </c>
      <c r="AA7" s="657">
        <v>1.0</v>
      </c>
      <c r="AB7" s="657">
        <v>0.0</v>
      </c>
      <c r="AC7" s="657">
        <v>1.0</v>
      </c>
      <c r="AD7" s="657">
        <v>1.0</v>
      </c>
      <c r="AE7" s="657">
        <v>0.0</v>
      </c>
      <c r="AF7" s="657">
        <v>0.0</v>
      </c>
      <c r="AG7" s="659">
        <f t="shared" si="1"/>
        <v>22</v>
      </c>
      <c r="AH7" s="660">
        <f t="shared" si="2"/>
        <v>0.008910490077</v>
      </c>
    </row>
    <row r="8">
      <c r="A8" s="662" t="s">
        <v>714</v>
      </c>
      <c r="B8" s="7">
        <v>11.0</v>
      </c>
      <c r="C8" s="7">
        <v>11.0</v>
      </c>
      <c r="D8" s="7">
        <v>5.0</v>
      </c>
      <c r="E8" s="7">
        <v>7.0</v>
      </c>
      <c r="F8" s="7">
        <v>12.0</v>
      </c>
      <c r="G8" s="7">
        <v>8.0</v>
      </c>
      <c r="H8" s="7">
        <v>7.0</v>
      </c>
      <c r="I8" s="7">
        <v>7.0</v>
      </c>
      <c r="J8" s="7">
        <v>8.0</v>
      </c>
      <c r="K8" s="7">
        <v>7.0</v>
      </c>
      <c r="L8" s="7">
        <v>7.0</v>
      </c>
      <c r="M8" s="7">
        <v>3.0</v>
      </c>
      <c r="N8" s="7">
        <v>3.0</v>
      </c>
      <c r="O8" s="7">
        <v>10.0</v>
      </c>
      <c r="P8" s="7">
        <v>7.0</v>
      </c>
      <c r="Q8" s="657">
        <v>5.0</v>
      </c>
      <c r="R8" s="657">
        <v>4.0</v>
      </c>
      <c r="S8" s="657">
        <v>9.0</v>
      </c>
      <c r="T8" s="657">
        <v>5.0</v>
      </c>
      <c r="U8" s="657">
        <v>8.0</v>
      </c>
      <c r="V8" s="657">
        <v>3.0</v>
      </c>
      <c r="W8" s="657">
        <v>1.0</v>
      </c>
      <c r="X8" s="657">
        <v>3.0</v>
      </c>
      <c r="Y8" s="657">
        <v>5.0</v>
      </c>
      <c r="Z8" s="657">
        <v>4.0</v>
      </c>
      <c r="AA8" s="657">
        <v>2.0</v>
      </c>
      <c r="AB8" s="657">
        <v>5.0</v>
      </c>
      <c r="AC8" s="657">
        <v>5.0</v>
      </c>
      <c r="AD8" s="657">
        <v>5.0</v>
      </c>
      <c r="AE8" s="657">
        <v>3.0</v>
      </c>
      <c r="AF8" s="657">
        <v>2.0</v>
      </c>
      <c r="AG8" s="659">
        <f t="shared" si="1"/>
        <v>182</v>
      </c>
      <c r="AH8" s="660">
        <f t="shared" si="2"/>
        <v>0.07371405427</v>
      </c>
    </row>
    <row r="9">
      <c r="A9" s="662" t="s">
        <v>715</v>
      </c>
      <c r="B9" s="7">
        <v>0.0</v>
      </c>
      <c r="C9" s="7">
        <v>0.0</v>
      </c>
      <c r="D9" s="7">
        <v>0.0</v>
      </c>
      <c r="E9" s="7">
        <v>0.0</v>
      </c>
      <c r="F9" s="7">
        <v>0.0</v>
      </c>
      <c r="G9" s="7">
        <v>1.0</v>
      </c>
      <c r="H9" s="7">
        <v>0.0</v>
      </c>
      <c r="I9" s="7">
        <v>0.0</v>
      </c>
      <c r="J9" s="7">
        <v>0.0</v>
      </c>
      <c r="K9" s="7">
        <v>0.0</v>
      </c>
      <c r="L9" s="7">
        <v>0.0</v>
      </c>
      <c r="M9" s="7">
        <v>0.0</v>
      </c>
      <c r="N9" s="7">
        <v>0.0</v>
      </c>
      <c r="O9" s="7">
        <v>0.0</v>
      </c>
      <c r="P9" s="7">
        <v>0.0</v>
      </c>
      <c r="Q9" s="657">
        <v>1.0</v>
      </c>
      <c r="R9" s="657">
        <v>1.0</v>
      </c>
      <c r="S9" s="657">
        <v>0.0</v>
      </c>
      <c r="T9" s="657">
        <v>0.0</v>
      </c>
      <c r="U9" s="657">
        <v>0.0</v>
      </c>
      <c r="V9" s="657">
        <v>0.0</v>
      </c>
      <c r="W9" s="657">
        <v>0.0</v>
      </c>
      <c r="X9" s="657">
        <v>0.0</v>
      </c>
      <c r="Y9" s="657">
        <v>0.0</v>
      </c>
      <c r="Z9" s="657">
        <v>1.0</v>
      </c>
      <c r="AA9" s="657">
        <v>0.0</v>
      </c>
      <c r="AB9" s="657">
        <v>1.0</v>
      </c>
      <c r="AC9" s="657">
        <v>0.0</v>
      </c>
      <c r="AD9" s="657">
        <v>1.0</v>
      </c>
      <c r="AE9" s="657">
        <v>1.0</v>
      </c>
      <c r="AF9" s="657">
        <v>0.0</v>
      </c>
      <c r="AG9" s="659">
        <f t="shared" si="1"/>
        <v>7</v>
      </c>
      <c r="AH9" s="660">
        <f t="shared" si="2"/>
        <v>0.002835155934</v>
      </c>
    </row>
    <row r="10">
      <c r="A10" s="663" t="s">
        <v>1091</v>
      </c>
      <c r="B10" s="664">
        <f t="shared" ref="B10:AF10" si="3">SUM(B2:B9)</f>
        <v>114</v>
      </c>
      <c r="C10" s="664">
        <f t="shared" si="3"/>
        <v>101</v>
      </c>
      <c r="D10" s="664">
        <f t="shared" si="3"/>
        <v>111</v>
      </c>
      <c r="E10" s="664">
        <f t="shared" si="3"/>
        <v>95</v>
      </c>
      <c r="F10" s="664">
        <f t="shared" si="3"/>
        <v>116</v>
      </c>
      <c r="G10" s="664">
        <f t="shared" si="3"/>
        <v>115</v>
      </c>
      <c r="H10" s="664">
        <f t="shared" si="3"/>
        <v>133</v>
      </c>
      <c r="I10" s="664">
        <f t="shared" si="3"/>
        <v>93</v>
      </c>
      <c r="J10" s="664">
        <f t="shared" si="3"/>
        <v>79</v>
      </c>
      <c r="K10" s="664">
        <f t="shared" si="3"/>
        <v>60</v>
      </c>
      <c r="L10" s="664">
        <f t="shared" si="3"/>
        <v>78</v>
      </c>
      <c r="M10" s="664">
        <f t="shared" si="3"/>
        <v>87</v>
      </c>
      <c r="N10" s="664">
        <f t="shared" si="3"/>
        <v>88</v>
      </c>
      <c r="O10" s="664">
        <f t="shared" si="3"/>
        <v>97</v>
      </c>
      <c r="P10" s="664">
        <f t="shared" si="3"/>
        <v>79</v>
      </c>
      <c r="Q10" s="664">
        <f t="shared" si="3"/>
        <v>70</v>
      </c>
      <c r="R10" s="664">
        <f t="shared" si="3"/>
        <v>84</v>
      </c>
      <c r="S10" s="664">
        <f t="shared" si="3"/>
        <v>67</v>
      </c>
      <c r="T10" s="664">
        <f t="shared" si="3"/>
        <v>77</v>
      </c>
      <c r="U10" s="664">
        <f t="shared" si="3"/>
        <v>92</v>
      </c>
      <c r="V10" s="664">
        <f t="shared" si="3"/>
        <v>72</v>
      </c>
      <c r="W10" s="664">
        <f t="shared" si="3"/>
        <v>60</v>
      </c>
      <c r="X10" s="664">
        <f t="shared" si="3"/>
        <v>59</v>
      </c>
      <c r="Y10" s="664">
        <f t="shared" si="3"/>
        <v>55</v>
      </c>
      <c r="Z10" s="664">
        <f t="shared" si="3"/>
        <v>59</v>
      </c>
      <c r="AA10" s="664">
        <f t="shared" si="3"/>
        <v>56</v>
      </c>
      <c r="AB10" s="664">
        <f t="shared" si="3"/>
        <v>61</v>
      </c>
      <c r="AC10" s="664">
        <f t="shared" si="3"/>
        <v>64</v>
      </c>
      <c r="AD10" s="664">
        <f t="shared" si="3"/>
        <v>70</v>
      </c>
      <c r="AE10" s="664">
        <f t="shared" si="3"/>
        <v>43</v>
      </c>
      <c r="AF10" s="664">
        <f t="shared" si="3"/>
        <v>34</v>
      </c>
      <c r="AG10" s="665">
        <f t="shared" si="1"/>
        <v>2469</v>
      </c>
      <c r="AH10" s="666">
        <f>SUM(AH2:AH9)</f>
        <v>1</v>
      </c>
    </row>
    <row r="11">
      <c r="A11" s="667" t="s">
        <v>1092</v>
      </c>
      <c r="B11" s="668">
        <v>45292.0</v>
      </c>
      <c r="C11" s="668">
        <v>45293.0</v>
      </c>
      <c r="D11" s="668">
        <v>45294.0</v>
      </c>
      <c r="E11" s="668">
        <v>45295.0</v>
      </c>
      <c r="F11" s="668">
        <v>45296.0</v>
      </c>
      <c r="G11" s="668">
        <v>45297.0</v>
      </c>
      <c r="H11" s="668">
        <v>45298.0</v>
      </c>
      <c r="I11" s="668">
        <v>45299.0</v>
      </c>
      <c r="J11" s="668">
        <v>45300.0</v>
      </c>
      <c r="K11" s="668">
        <v>45301.0</v>
      </c>
      <c r="L11" s="668">
        <v>45302.0</v>
      </c>
      <c r="M11" s="668">
        <v>45303.0</v>
      </c>
      <c r="N11" s="668">
        <v>45304.0</v>
      </c>
      <c r="O11" s="668">
        <v>45305.0</v>
      </c>
      <c r="P11" s="668">
        <v>45306.0</v>
      </c>
      <c r="Q11" s="668">
        <v>45307.0</v>
      </c>
      <c r="R11" s="668">
        <v>45308.0</v>
      </c>
      <c r="S11" s="668">
        <v>45309.0</v>
      </c>
      <c r="T11" s="668">
        <v>45310.0</v>
      </c>
      <c r="U11" s="668">
        <v>45311.0</v>
      </c>
      <c r="V11" s="668">
        <v>45312.0</v>
      </c>
      <c r="W11" s="668">
        <v>45313.0</v>
      </c>
      <c r="X11" s="668">
        <v>45314.0</v>
      </c>
      <c r="Y11" s="668">
        <v>45315.0</v>
      </c>
      <c r="Z11" s="668">
        <v>45316.0</v>
      </c>
      <c r="AA11" s="668">
        <v>45317.0</v>
      </c>
      <c r="AB11" s="668">
        <v>45318.0</v>
      </c>
      <c r="AC11" s="668">
        <v>45319.0</v>
      </c>
      <c r="AD11" s="668">
        <v>45320.0</v>
      </c>
      <c r="AE11" s="668">
        <v>45321.0</v>
      </c>
      <c r="AF11" s="668">
        <v>45322.0</v>
      </c>
      <c r="AG11" s="669"/>
      <c r="AH11" s="670"/>
    </row>
    <row r="12">
      <c r="A12" s="671" t="s">
        <v>705</v>
      </c>
      <c r="B12" s="672">
        <f t="shared" ref="B12:AF12" si="4">iferror(B2/B$10,"")</f>
        <v>0.201754386</v>
      </c>
      <c r="C12" s="672">
        <f t="shared" si="4"/>
        <v>0.2574257426</v>
      </c>
      <c r="D12" s="672">
        <f t="shared" si="4"/>
        <v>0.3333333333</v>
      </c>
      <c r="E12" s="672">
        <f t="shared" si="4"/>
        <v>0.3263157895</v>
      </c>
      <c r="F12" s="672">
        <f t="shared" si="4"/>
        <v>0.2931034483</v>
      </c>
      <c r="G12" s="672">
        <f t="shared" si="4"/>
        <v>0.2956521739</v>
      </c>
      <c r="H12" s="672">
        <f t="shared" si="4"/>
        <v>0.3082706767</v>
      </c>
      <c r="I12" s="672">
        <f t="shared" si="4"/>
        <v>0.2688172043</v>
      </c>
      <c r="J12" s="672">
        <f t="shared" si="4"/>
        <v>0.2911392405</v>
      </c>
      <c r="K12" s="672">
        <f t="shared" si="4"/>
        <v>0.1666666667</v>
      </c>
      <c r="L12" s="672">
        <f t="shared" si="4"/>
        <v>0.3076923077</v>
      </c>
      <c r="M12" s="672">
        <f t="shared" si="4"/>
        <v>0.2183908046</v>
      </c>
      <c r="N12" s="672">
        <f t="shared" si="4"/>
        <v>0.2045454545</v>
      </c>
      <c r="O12" s="672">
        <f t="shared" si="4"/>
        <v>0.2886597938</v>
      </c>
      <c r="P12" s="672">
        <f t="shared" si="4"/>
        <v>0.1772151899</v>
      </c>
      <c r="Q12" s="672">
        <f t="shared" si="4"/>
        <v>0.1714285714</v>
      </c>
      <c r="R12" s="672">
        <f t="shared" si="4"/>
        <v>0.2142857143</v>
      </c>
      <c r="S12" s="672">
        <f t="shared" si="4"/>
        <v>0.223880597</v>
      </c>
      <c r="T12" s="672">
        <f t="shared" si="4"/>
        <v>0.2467532468</v>
      </c>
      <c r="U12" s="672">
        <f t="shared" si="4"/>
        <v>0.2282608696</v>
      </c>
      <c r="V12" s="672">
        <f t="shared" si="4"/>
        <v>0.2777777778</v>
      </c>
      <c r="W12" s="672">
        <f t="shared" si="4"/>
        <v>0.2666666667</v>
      </c>
      <c r="X12" s="672">
        <f t="shared" si="4"/>
        <v>0.2711864407</v>
      </c>
      <c r="Y12" s="672">
        <f t="shared" si="4"/>
        <v>0.1454545455</v>
      </c>
      <c r="Z12" s="672">
        <f t="shared" si="4"/>
        <v>0.2203389831</v>
      </c>
      <c r="AA12" s="672">
        <f t="shared" si="4"/>
        <v>0.2142857143</v>
      </c>
      <c r="AB12" s="672">
        <f t="shared" si="4"/>
        <v>0.2459016393</v>
      </c>
      <c r="AC12" s="672">
        <f t="shared" si="4"/>
        <v>0.234375</v>
      </c>
      <c r="AD12" s="672">
        <f t="shared" si="4"/>
        <v>0.2142857143</v>
      </c>
      <c r="AE12" s="672">
        <f t="shared" si="4"/>
        <v>0.2325581395</v>
      </c>
      <c r="AF12" s="672">
        <f t="shared" si="4"/>
        <v>0.4705882353</v>
      </c>
      <c r="AG12" s="673"/>
      <c r="AH12" s="674"/>
    </row>
    <row r="13">
      <c r="A13" s="671" t="s">
        <v>710</v>
      </c>
      <c r="B13" s="672">
        <f t="shared" ref="B13:AF13" si="5">iferror(B3/B$10,"")</f>
        <v>0.6140350877</v>
      </c>
      <c r="C13" s="672">
        <f t="shared" si="5"/>
        <v>0.5544554455</v>
      </c>
      <c r="D13" s="672">
        <f t="shared" si="5"/>
        <v>0.5045045045</v>
      </c>
      <c r="E13" s="672">
        <f t="shared" si="5"/>
        <v>0.5052631579</v>
      </c>
      <c r="F13" s="672">
        <f t="shared" si="5"/>
        <v>0.5</v>
      </c>
      <c r="G13" s="672">
        <f t="shared" si="5"/>
        <v>0.547826087</v>
      </c>
      <c r="H13" s="672">
        <f t="shared" si="5"/>
        <v>0.5263157895</v>
      </c>
      <c r="I13" s="672">
        <f t="shared" si="5"/>
        <v>0.5806451613</v>
      </c>
      <c r="J13" s="672">
        <f t="shared" si="5"/>
        <v>0.4936708861</v>
      </c>
      <c r="K13" s="672">
        <f t="shared" si="5"/>
        <v>0.6166666667</v>
      </c>
      <c r="L13" s="672">
        <f t="shared" si="5"/>
        <v>0.4487179487</v>
      </c>
      <c r="M13" s="672">
        <f t="shared" si="5"/>
        <v>0.632183908</v>
      </c>
      <c r="N13" s="672">
        <f t="shared" si="5"/>
        <v>0.625</v>
      </c>
      <c r="O13" s="672">
        <f t="shared" si="5"/>
        <v>0.5154639175</v>
      </c>
      <c r="P13" s="672">
        <f t="shared" si="5"/>
        <v>0.582278481</v>
      </c>
      <c r="Q13" s="672">
        <f t="shared" si="5"/>
        <v>0.6571428571</v>
      </c>
      <c r="R13" s="672">
        <f t="shared" si="5"/>
        <v>0.6071428571</v>
      </c>
      <c r="S13" s="672">
        <f t="shared" si="5"/>
        <v>0.5671641791</v>
      </c>
      <c r="T13" s="672">
        <f t="shared" si="5"/>
        <v>0.5714285714</v>
      </c>
      <c r="U13" s="672">
        <f t="shared" si="5"/>
        <v>0.5869565217</v>
      </c>
      <c r="V13" s="672">
        <f t="shared" si="5"/>
        <v>0.5416666667</v>
      </c>
      <c r="W13" s="672">
        <f t="shared" si="5"/>
        <v>0.6166666667</v>
      </c>
      <c r="X13" s="672">
        <f t="shared" si="5"/>
        <v>0.593220339</v>
      </c>
      <c r="Y13" s="672">
        <f t="shared" si="5"/>
        <v>0.6909090909</v>
      </c>
      <c r="Z13" s="672">
        <f t="shared" si="5"/>
        <v>0.5762711864</v>
      </c>
      <c r="AA13" s="672">
        <f t="shared" si="5"/>
        <v>0.6428571429</v>
      </c>
      <c r="AB13" s="672">
        <f t="shared" si="5"/>
        <v>0.5573770492</v>
      </c>
      <c r="AC13" s="672">
        <f t="shared" si="5"/>
        <v>0.546875</v>
      </c>
      <c r="AD13" s="672">
        <f t="shared" si="5"/>
        <v>0.6285714286</v>
      </c>
      <c r="AE13" s="672">
        <f t="shared" si="5"/>
        <v>0.6046511628</v>
      </c>
      <c r="AF13" s="672">
        <f t="shared" si="5"/>
        <v>0.4117647059</v>
      </c>
      <c r="AG13" s="673"/>
      <c r="AH13" s="674"/>
    </row>
    <row r="14">
      <c r="A14" s="671" t="s">
        <v>104</v>
      </c>
      <c r="B14" s="672">
        <f t="shared" ref="B14:AF14" si="6">iferror(B4/B$10,"")</f>
        <v>0.008771929825</v>
      </c>
      <c r="C14" s="672">
        <f t="shared" si="6"/>
        <v>0.0198019802</v>
      </c>
      <c r="D14" s="672">
        <f t="shared" si="6"/>
        <v>0.02702702703</v>
      </c>
      <c r="E14" s="672">
        <f t="shared" si="6"/>
        <v>0.01052631579</v>
      </c>
      <c r="F14" s="672">
        <f t="shared" si="6"/>
        <v>0</v>
      </c>
      <c r="G14" s="672">
        <f t="shared" si="6"/>
        <v>0.008695652174</v>
      </c>
      <c r="H14" s="672">
        <f t="shared" si="6"/>
        <v>0.007518796992</v>
      </c>
      <c r="I14" s="672">
        <f t="shared" si="6"/>
        <v>0.01075268817</v>
      </c>
      <c r="J14" s="672">
        <f t="shared" si="6"/>
        <v>0.03797468354</v>
      </c>
      <c r="K14" s="672">
        <f t="shared" si="6"/>
        <v>0.01666666667</v>
      </c>
      <c r="L14" s="672">
        <f t="shared" si="6"/>
        <v>0</v>
      </c>
      <c r="M14" s="672">
        <f t="shared" si="6"/>
        <v>0</v>
      </c>
      <c r="N14" s="672">
        <f t="shared" si="6"/>
        <v>0.01136363636</v>
      </c>
      <c r="O14" s="672">
        <f t="shared" si="6"/>
        <v>0.01030927835</v>
      </c>
      <c r="P14" s="672">
        <f t="shared" si="6"/>
        <v>0.0253164557</v>
      </c>
      <c r="Q14" s="672">
        <f t="shared" si="6"/>
        <v>0.01428571429</v>
      </c>
      <c r="R14" s="672">
        <f t="shared" si="6"/>
        <v>0.0119047619</v>
      </c>
      <c r="S14" s="672">
        <f t="shared" si="6"/>
        <v>0.01492537313</v>
      </c>
      <c r="T14" s="672">
        <f t="shared" si="6"/>
        <v>0.07792207792</v>
      </c>
      <c r="U14" s="672">
        <f t="shared" si="6"/>
        <v>0.02173913043</v>
      </c>
      <c r="V14" s="672">
        <f t="shared" si="6"/>
        <v>0</v>
      </c>
      <c r="W14" s="672">
        <f t="shared" si="6"/>
        <v>0.01666666667</v>
      </c>
      <c r="X14" s="672">
        <f t="shared" si="6"/>
        <v>0</v>
      </c>
      <c r="Y14" s="672">
        <f t="shared" si="6"/>
        <v>0</v>
      </c>
      <c r="Z14" s="672">
        <f t="shared" si="6"/>
        <v>0.03389830508</v>
      </c>
      <c r="AA14" s="672">
        <f t="shared" si="6"/>
        <v>0.03571428571</v>
      </c>
      <c r="AB14" s="672">
        <f t="shared" si="6"/>
        <v>0.01639344262</v>
      </c>
      <c r="AC14" s="672">
        <f t="shared" si="6"/>
        <v>0.015625</v>
      </c>
      <c r="AD14" s="672">
        <f t="shared" si="6"/>
        <v>0.01428571429</v>
      </c>
      <c r="AE14" s="672">
        <f t="shared" si="6"/>
        <v>0</v>
      </c>
      <c r="AF14" s="672">
        <f t="shared" si="6"/>
        <v>0</v>
      </c>
      <c r="AG14" s="673"/>
      <c r="AH14" s="674"/>
    </row>
    <row r="15">
      <c r="A15" s="671" t="s">
        <v>711</v>
      </c>
      <c r="B15" s="672">
        <f t="shared" ref="B15:AF15" si="7">iferror(B5/B$10,"")</f>
        <v>0.008771929825</v>
      </c>
      <c r="C15" s="672">
        <f t="shared" si="7"/>
        <v>0.0396039604</v>
      </c>
      <c r="D15" s="672">
        <f t="shared" si="7"/>
        <v>0.01801801802</v>
      </c>
      <c r="E15" s="672">
        <f t="shared" si="7"/>
        <v>0.01052631579</v>
      </c>
      <c r="F15" s="672">
        <f t="shared" si="7"/>
        <v>0.05172413793</v>
      </c>
      <c r="G15" s="672">
        <f t="shared" si="7"/>
        <v>0.01739130435</v>
      </c>
      <c r="H15" s="672">
        <f t="shared" si="7"/>
        <v>0.02255639098</v>
      </c>
      <c r="I15" s="672">
        <f t="shared" si="7"/>
        <v>0</v>
      </c>
      <c r="J15" s="672">
        <f t="shared" si="7"/>
        <v>0</v>
      </c>
      <c r="K15" s="672">
        <f t="shared" si="7"/>
        <v>0.01666666667</v>
      </c>
      <c r="L15" s="672">
        <f t="shared" si="7"/>
        <v>0.02564102564</v>
      </c>
      <c r="M15" s="672">
        <f t="shared" si="7"/>
        <v>0.03448275862</v>
      </c>
      <c r="N15" s="672">
        <f t="shared" si="7"/>
        <v>0.03409090909</v>
      </c>
      <c r="O15" s="672">
        <f t="shared" si="7"/>
        <v>0.01030927835</v>
      </c>
      <c r="P15" s="672">
        <f t="shared" si="7"/>
        <v>0.03797468354</v>
      </c>
      <c r="Q15" s="672">
        <f t="shared" si="7"/>
        <v>0.01428571429</v>
      </c>
      <c r="R15" s="672">
        <f t="shared" si="7"/>
        <v>0.04761904762</v>
      </c>
      <c r="S15" s="672">
        <f t="shared" si="7"/>
        <v>0</v>
      </c>
      <c r="T15" s="672">
        <f t="shared" si="7"/>
        <v>0.01298701299</v>
      </c>
      <c r="U15" s="672">
        <f t="shared" si="7"/>
        <v>0.01086956522</v>
      </c>
      <c r="V15" s="672">
        <f t="shared" si="7"/>
        <v>0.04166666667</v>
      </c>
      <c r="W15" s="672">
        <f t="shared" si="7"/>
        <v>0.05</v>
      </c>
      <c r="X15" s="672">
        <f t="shared" si="7"/>
        <v>0.03389830508</v>
      </c>
      <c r="Y15" s="672">
        <f t="shared" si="7"/>
        <v>0.01818181818</v>
      </c>
      <c r="Z15" s="672">
        <f t="shared" si="7"/>
        <v>0.01694915254</v>
      </c>
      <c r="AA15" s="672">
        <f t="shared" si="7"/>
        <v>0.03571428571</v>
      </c>
      <c r="AB15" s="672">
        <f t="shared" si="7"/>
        <v>0.01639344262</v>
      </c>
      <c r="AC15" s="672">
        <f t="shared" si="7"/>
        <v>0</v>
      </c>
      <c r="AD15" s="672">
        <f t="shared" si="7"/>
        <v>0.01428571429</v>
      </c>
      <c r="AE15" s="672">
        <f t="shared" si="7"/>
        <v>0</v>
      </c>
      <c r="AF15" s="672">
        <f t="shared" si="7"/>
        <v>0</v>
      </c>
      <c r="AG15" s="673"/>
      <c r="AH15" s="674"/>
    </row>
    <row r="16">
      <c r="A16" s="671" t="s">
        <v>712</v>
      </c>
      <c r="B16" s="672">
        <f t="shared" ref="B16:AF16" si="8">iferror(B6/B$10,"")</f>
        <v>0.0701754386</v>
      </c>
      <c r="C16" s="672">
        <f t="shared" si="8"/>
        <v>0.009900990099</v>
      </c>
      <c r="D16" s="672">
        <f t="shared" si="8"/>
        <v>0.03603603604</v>
      </c>
      <c r="E16" s="672">
        <f t="shared" si="8"/>
        <v>0.05263157895</v>
      </c>
      <c r="F16" s="672">
        <f t="shared" si="8"/>
        <v>0.05172413793</v>
      </c>
      <c r="G16" s="672">
        <f t="shared" si="8"/>
        <v>0.05217391304</v>
      </c>
      <c r="H16" s="672">
        <f t="shared" si="8"/>
        <v>0.07518796992</v>
      </c>
      <c r="I16" s="672">
        <f t="shared" si="8"/>
        <v>0.06451612903</v>
      </c>
      <c r="J16" s="672">
        <f t="shared" si="8"/>
        <v>0.07594936709</v>
      </c>
      <c r="K16" s="672">
        <f t="shared" si="8"/>
        <v>0.03333333333</v>
      </c>
      <c r="L16" s="672">
        <f t="shared" si="8"/>
        <v>0.1153846154</v>
      </c>
      <c r="M16" s="672">
        <f t="shared" si="8"/>
        <v>0.06896551724</v>
      </c>
      <c r="N16" s="672">
        <f t="shared" si="8"/>
        <v>0.07954545455</v>
      </c>
      <c r="O16" s="672">
        <f t="shared" si="8"/>
        <v>0.07216494845</v>
      </c>
      <c r="P16" s="672">
        <f t="shared" si="8"/>
        <v>0.07594936709</v>
      </c>
      <c r="Q16" s="672">
        <f t="shared" si="8"/>
        <v>0.05714285714</v>
      </c>
      <c r="R16" s="672">
        <f t="shared" si="8"/>
        <v>0.05952380952</v>
      </c>
      <c r="S16" s="672">
        <f t="shared" si="8"/>
        <v>0.0447761194</v>
      </c>
      <c r="T16" s="672">
        <f t="shared" si="8"/>
        <v>0.01298701299</v>
      </c>
      <c r="U16" s="672">
        <f t="shared" si="8"/>
        <v>0.05434782609</v>
      </c>
      <c r="V16" s="672">
        <f t="shared" si="8"/>
        <v>0.08333333333</v>
      </c>
      <c r="W16" s="672">
        <f t="shared" si="8"/>
        <v>0.03333333333</v>
      </c>
      <c r="X16" s="672">
        <f t="shared" si="8"/>
        <v>0.05084745763</v>
      </c>
      <c r="Y16" s="672">
        <f t="shared" si="8"/>
        <v>0.05454545455</v>
      </c>
      <c r="Z16" s="672">
        <f t="shared" si="8"/>
        <v>0.05084745763</v>
      </c>
      <c r="AA16" s="672">
        <f t="shared" si="8"/>
        <v>0.01785714286</v>
      </c>
      <c r="AB16" s="672">
        <f t="shared" si="8"/>
        <v>0.06557377049</v>
      </c>
      <c r="AC16" s="672">
        <f t="shared" si="8"/>
        <v>0.109375</v>
      </c>
      <c r="AD16" s="672">
        <f t="shared" si="8"/>
        <v>0.02857142857</v>
      </c>
      <c r="AE16" s="672">
        <f t="shared" si="8"/>
        <v>0.06976744186</v>
      </c>
      <c r="AF16" s="672">
        <f t="shared" si="8"/>
        <v>0.05882352941</v>
      </c>
      <c r="AG16" s="673"/>
      <c r="AH16" s="674"/>
    </row>
    <row r="17">
      <c r="A17" s="675" t="s">
        <v>713</v>
      </c>
      <c r="B17" s="672">
        <f t="shared" ref="B17:AF17" si="9">iferror(B7/B$10,"")</f>
        <v>0</v>
      </c>
      <c r="C17" s="672">
        <f t="shared" si="9"/>
        <v>0.009900990099</v>
      </c>
      <c r="D17" s="672">
        <f t="shared" si="9"/>
        <v>0.03603603604</v>
      </c>
      <c r="E17" s="672">
        <f t="shared" si="9"/>
        <v>0.02105263158</v>
      </c>
      <c r="F17" s="672">
        <f t="shared" si="9"/>
        <v>0</v>
      </c>
      <c r="G17" s="672">
        <f t="shared" si="9"/>
        <v>0</v>
      </c>
      <c r="H17" s="672">
        <f t="shared" si="9"/>
        <v>0.007518796992</v>
      </c>
      <c r="I17" s="672">
        <f t="shared" si="9"/>
        <v>0</v>
      </c>
      <c r="J17" s="672">
        <f t="shared" si="9"/>
        <v>0</v>
      </c>
      <c r="K17" s="672">
        <f t="shared" si="9"/>
        <v>0.03333333333</v>
      </c>
      <c r="L17" s="672">
        <f t="shared" si="9"/>
        <v>0.01282051282</v>
      </c>
      <c r="M17" s="672">
        <f t="shared" si="9"/>
        <v>0.01149425287</v>
      </c>
      <c r="N17" s="672">
        <f t="shared" si="9"/>
        <v>0.01136363636</v>
      </c>
      <c r="O17" s="672">
        <f t="shared" si="9"/>
        <v>0</v>
      </c>
      <c r="P17" s="672">
        <f t="shared" si="9"/>
        <v>0.01265822785</v>
      </c>
      <c r="Q17" s="672">
        <f t="shared" si="9"/>
        <v>0</v>
      </c>
      <c r="R17" s="672">
        <f t="shared" si="9"/>
        <v>0</v>
      </c>
      <c r="S17" s="672">
        <f t="shared" si="9"/>
        <v>0.01492537313</v>
      </c>
      <c r="T17" s="672">
        <f t="shared" si="9"/>
        <v>0.01298701299</v>
      </c>
      <c r="U17" s="672">
        <f t="shared" si="9"/>
        <v>0.01086956522</v>
      </c>
      <c r="V17" s="672">
        <f t="shared" si="9"/>
        <v>0.01388888889</v>
      </c>
      <c r="W17" s="672">
        <f t="shared" si="9"/>
        <v>0</v>
      </c>
      <c r="X17" s="672">
        <f t="shared" si="9"/>
        <v>0</v>
      </c>
      <c r="Y17" s="672">
        <f t="shared" si="9"/>
        <v>0</v>
      </c>
      <c r="Z17" s="672">
        <f t="shared" si="9"/>
        <v>0.01694915254</v>
      </c>
      <c r="AA17" s="672">
        <f t="shared" si="9"/>
        <v>0.01785714286</v>
      </c>
      <c r="AB17" s="672">
        <f t="shared" si="9"/>
        <v>0</v>
      </c>
      <c r="AC17" s="672">
        <f t="shared" si="9"/>
        <v>0.015625</v>
      </c>
      <c r="AD17" s="672">
        <f t="shared" si="9"/>
        <v>0.01428571429</v>
      </c>
      <c r="AE17" s="672">
        <f t="shared" si="9"/>
        <v>0</v>
      </c>
      <c r="AF17" s="672">
        <f t="shared" si="9"/>
        <v>0</v>
      </c>
      <c r="AG17" s="673"/>
      <c r="AH17" s="674"/>
    </row>
    <row r="18">
      <c r="A18" s="675" t="s">
        <v>714</v>
      </c>
      <c r="B18" s="672">
        <f t="shared" ref="B18:AF18" si="10">iferror(B8/B$10,"")</f>
        <v>0.09649122807</v>
      </c>
      <c r="C18" s="672">
        <f t="shared" si="10"/>
        <v>0.1089108911</v>
      </c>
      <c r="D18" s="672">
        <f t="shared" si="10"/>
        <v>0.04504504505</v>
      </c>
      <c r="E18" s="672">
        <f t="shared" si="10"/>
        <v>0.07368421053</v>
      </c>
      <c r="F18" s="672">
        <f t="shared" si="10"/>
        <v>0.1034482759</v>
      </c>
      <c r="G18" s="672">
        <f t="shared" si="10"/>
        <v>0.06956521739</v>
      </c>
      <c r="H18" s="672">
        <f t="shared" si="10"/>
        <v>0.05263157895</v>
      </c>
      <c r="I18" s="672">
        <f t="shared" si="10"/>
        <v>0.0752688172</v>
      </c>
      <c r="J18" s="672">
        <f t="shared" si="10"/>
        <v>0.1012658228</v>
      </c>
      <c r="K18" s="672">
        <f t="shared" si="10"/>
        <v>0.1166666667</v>
      </c>
      <c r="L18" s="672">
        <f t="shared" si="10"/>
        <v>0.08974358974</v>
      </c>
      <c r="M18" s="672">
        <f t="shared" si="10"/>
        <v>0.03448275862</v>
      </c>
      <c r="N18" s="672">
        <f t="shared" si="10"/>
        <v>0.03409090909</v>
      </c>
      <c r="O18" s="672">
        <f t="shared" si="10"/>
        <v>0.1030927835</v>
      </c>
      <c r="P18" s="672">
        <f t="shared" si="10"/>
        <v>0.08860759494</v>
      </c>
      <c r="Q18" s="672">
        <f t="shared" si="10"/>
        <v>0.07142857143</v>
      </c>
      <c r="R18" s="672">
        <f t="shared" si="10"/>
        <v>0.04761904762</v>
      </c>
      <c r="S18" s="672">
        <f t="shared" si="10"/>
        <v>0.1343283582</v>
      </c>
      <c r="T18" s="672">
        <f t="shared" si="10"/>
        <v>0.06493506494</v>
      </c>
      <c r="U18" s="672">
        <f t="shared" si="10"/>
        <v>0.08695652174</v>
      </c>
      <c r="V18" s="672">
        <f t="shared" si="10"/>
        <v>0.04166666667</v>
      </c>
      <c r="W18" s="672">
        <f t="shared" si="10"/>
        <v>0.01666666667</v>
      </c>
      <c r="X18" s="672">
        <f t="shared" si="10"/>
        <v>0.05084745763</v>
      </c>
      <c r="Y18" s="672">
        <f t="shared" si="10"/>
        <v>0.09090909091</v>
      </c>
      <c r="Z18" s="672">
        <f t="shared" si="10"/>
        <v>0.06779661017</v>
      </c>
      <c r="AA18" s="672">
        <f t="shared" si="10"/>
        <v>0.03571428571</v>
      </c>
      <c r="AB18" s="672">
        <f t="shared" si="10"/>
        <v>0.08196721311</v>
      </c>
      <c r="AC18" s="672">
        <f t="shared" si="10"/>
        <v>0.078125</v>
      </c>
      <c r="AD18" s="672">
        <f t="shared" si="10"/>
        <v>0.07142857143</v>
      </c>
      <c r="AE18" s="672">
        <f t="shared" si="10"/>
        <v>0.06976744186</v>
      </c>
      <c r="AF18" s="672">
        <f t="shared" si="10"/>
        <v>0.05882352941</v>
      </c>
      <c r="AG18" s="673"/>
      <c r="AH18" s="674"/>
    </row>
    <row r="19">
      <c r="A19" s="676" t="s">
        <v>715</v>
      </c>
      <c r="B19" s="672">
        <f t="shared" ref="B19:AF19" si="11">iferror(B9/B$10,"")</f>
        <v>0</v>
      </c>
      <c r="C19" s="672">
        <f t="shared" si="11"/>
        <v>0</v>
      </c>
      <c r="D19" s="672">
        <f t="shared" si="11"/>
        <v>0</v>
      </c>
      <c r="E19" s="672">
        <f t="shared" si="11"/>
        <v>0</v>
      </c>
      <c r="F19" s="672">
        <f t="shared" si="11"/>
        <v>0</v>
      </c>
      <c r="G19" s="672">
        <f t="shared" si="11"/>
        <v>0.008695652174</v>
      </c>
      <c r="H19" s="672">
        <f t="shared" si="11"/>
        <v>0</v>
      </c>
      <c r="I19" s="672">
        <f t="shared" si="11"/>
        <v>0</v>
      </c>
      <c r="J19" s="672">
        <f t="shared" si="11"/>
        <v>0</v>
      </c>
      <c r="K19" s="672">
        <f t="shared" si="11"/>
        <v>0</v>
      </c>
      <c r="L19" s="672">
        <f t="shared" si="11"/>
        <v>0</v>
      </c>
      <c r="M19" s="672">
        <f t="shared" si="11"/>
        <v>0</v>
      </c>
      <c r="N19" s="672">
        <f t="shared" si="11"/>
        <v>0</v>
      </c>
      <c r="O19" s="672">
        <f t="shared" si="11"/>
        <v>0</v>
      </c>
      <c r="P19" s="672">
        <f t="shared" si="11"/>
        <v>0</v>
      </c>
      <c r="Q19" s="672">
        <f t="shared" si="11"/>
        <v>0.01428571429</v>
      </c>
      <c r="R19" s="672">
        <f t="shared" si="11"/>
        <v>0.0119047619</v>
      </c>
      <c r="S19" s="672">
        <f t="shared" si="11"/>
        <v>0</v>
      </c>
      <c r="T19" s="672">
        <f t="shared" si="11"/>
        <v>0</v>
      </c>
      <c r="U19" s="672">
        <f t="shared" si="11"/>
        <v>0</v>
      </c>
      <c r="V19" s="672">
        <f t="shared" si="11"/>
        <v>0</v>
      </c>
      <c r="W19" s="672">
        <f t="shared" si="11"/>
        <v>0</v>
      </c>
      <c r="X19" s="672">
        <f t="shared" si="11"/>
        <v>0</v>
      </c>
      <c r="Y19" s="672">
        <f t="shared" si="11"/>
        <v>0</v>
      </c>
      <c r="Z19" s="672">
        <f t="shared" si="11"/>
        <v>0.01694915254</v>
      </c>
      <c r="AA19" s="672">
        <f t="shared" si="11"/>
        <v>0</v>
      </c>
      <c r="AB19" s="672">
        <f t="shared" si="11"/>
        <v>0.01639344262</v>
      </c>
      <c r="AC19" s="672">
        <f t="shared" si="11"/>
        <v>0</v>
      </c>
      <c r="AD19" s="672">
        <f t="shared" si="11"/>
        <v>0.01428571429</v>
      </c>
      <c r="AE19" s="672">
        <f t="shared" si="11"/>
        <v>0.02325581395</v>
      </c>
      <c r="AF19" s="672">
        <f t="shared" si="11"/>
        <v>0</v>
      </c>
      <c r="AG19" s="673"/>
      <c r="AH19" s="674"/>
    </row>
    <row r="20">
      <c r="A20" s="662"/>
      <c r="B20" s="677"/>
      <c r="C20" s="677"/>
      <c r="D20" s="677"/>
      <c r="E20" s="677"/>
      <c r="F20" s="677"/>
      <c r="G20" s="677"/>
      <c r="H20" s="677"/>
      <c r="I20" s="677"/>
      <c r="J20" s="677"/>
      <c r="K20" s="677"/>
      <c r="L20" s="677"/>
      <c r="M20" s="677"/>
      <c r="N20" s="677"/>
      <c r="O20" s="677"/>
      <c r="P20" s="677"/>
      <c r="Q20" s="677"/>
      <c r="R20" s="677"/>
      <c r="S20" s="677"/>
      <c r="T20" s="677"/>
      <c r="U20" s="677"/>
      <c r="V20" s="677"/>
      <c r="W20" s="677"/>
      <c r="X20" s="677"/>
      <c r="Y20" s="677"/>
      <c r="Z20" s="677"/>
      <c r="AA20" s="677"/>
      <c r="AB20" s="677"/>
      <c r="AC20" s="677"/>
      <c r="AD20" s="677"/>
      <c r="AE20" s="677"/>
      <c r="AF20" s="678"/>
      <c r="AG20" s="673"/>
      <c r="AH20" s="674"/>
    </row>
    <row r="21">
      <c r="A21" s="662"/>
      <c r="B21" s="678"/>
      <c r="C21" s="678"/>
      <c r="D21" s="678"/>
      <c r="E21" s="678"/>
      <c r="F21" s="678"/>
      <c r="G21" s="678"/>
      <c r="H21" s="678"/>
      <c r="I21" s="678"/>
      <c r="J21" s="678"/>
      <c r="K21" s="678"/>
      <c r="L21" s="678"/>
      <c r="M21" s="678"/>
      <c r="N21" s="678"/>
      <c r="O21" s="678"/>
      <c r="P21" s="678"/>
      <c r="Q21" s="678"/>
      <c r="R21" s="678"/>
      <c r="S21" s="678"/>
      <c r="T21" s="678"/>
      <c r="U21" s="678"/>
      <c r="V21" s="678"/>
      <c r="W21" s="678"/>
      <c r="X21" s="678"/>
      <c r="Y21" s="678"/>
      <c r="Z21" s="678"/>
      <c r="AA21" s="678"/>
      <c r="AB21" s="678"/>
      <c r="AC21" s="678"/>
      <c r="AD21" s="678"/>
      <c r="AE21" s="678"/>
      <c r="AF21" s="678"/>
      <c r="AG21" s="673"/>
      <c r="AH21" s="674"/>
    </row>
    <row r="22">
      <c r="A22" s="679" t="s">
        <v>1093</v>
      </c>
      <c r="B22" s="680">
        <v>45292.0</v>
      </c>
      <c r="C22" s="680">
        <v>45293.0</v>
      </c>
      <c r="D22" s="680">
        <v>45294.0</v>
      </c>
      <c r="E22" s="680">
        <v>45295.0</v>
      </c>
      <c r="F22" s="680">
        <v>45296.0</v>
      </c>
      <c r="G22" s="680">
        <v>45297.0</v>
      </c>
      <c r="H22" s="680">
        <v>45298.0</v>
      </c>
      <c r="I22" s="680">
        <v>45299.0</v>
      </c>
      <c r="J22" s="680">
        <v>45300.0</v>
      </c>
      <c r="K22" s="680">
        <v>45301.0</v>
      </c>
      <c r="L22" s="680">
        <v>45302.0</v>
      </c>
      <c r="M22" s="680">
        <v>45303.0</v>
      </c>
      <c r="N22" s="680">
        <v>45304.0</v>
      </c>
      <c r="O22" s="680">
        <v>45305.0</v>
      </c>
      <c r="P22" s="680">
        <v>45306.0</v>
      </c>
      <c r="Q22" s="680">
        <v>45307.0</v>
      </c>
      <c r="R22" s="680">
        <v>45308.0</v>
      </c>
      <c r="S22" s="680">
        <v>45309.0</v>
      </c>
      <c r="T22" s="680">
        <v>45310.0</v>
      </c>
      <c r="U22" s="680">
        <v>45311.0</v>
      </c>
      <c r="V22" s="680">
        <v>45312.0</v>
      </c>
      <c r="W22" s="680">
        <v>45313.0</v>
      </c>
      <c r="X22" s="680">
        <v>45314.0</v>
      </c>
      <c r="Y22" s="680">
        <v>45315.0</v>
      </c>
      <c r="Z22" s="680">
        <v>45316.0</v>
      </c>
      <c r="AA22" s="680">
        <v>45317.0</v>
      </c>
      <c r="AB22" s="680">
        <v>45318.0</v>
      </c>
      <c r="AC22" s="680">
        <v>45319.0</v>
      </c>
      <c r="AD22" s="680">
        <v>45320.0</v>
      </c>
      <c r="AE22" s="680">
        <v>45321.0</v>
      </c>
      <c r="AF22" s="680">
        <v>45322.0</v>
      </c>
      <c r="AG22" s="669"/>
      <c r="AH22" s="670"/>
    </row>
    <row r="23">
      <c r="A23" s="655" t="s">
        <v>707</v>
      </c>
      <c r="B23" s="656">
        <v>18.0</v>
      </c>
      <c r="C23" s="656">
        <v>22.0</v>
      </c>
      <c r="D23" s="656">
        <v>22.0</v>
      </c>
      <c r="E23" s="656">
        <v>22.0</v>
      </c>
      <c r="F23" s="656">
        <v>27.0</v>
      </c>
      <c r="G23" s="656">
        <v>20.0</v>
      </c>
      <c r="H23" s="656">
        <v>31.0</v>
      </c>
      <c r="I23" s="656">
        <v>19.0</v>
      </c>
      <c r="J23" s="656">
        <v>17.0</v>
      </c>
      <c r="K23" s="656">
        <v>9.0</v>
      </c>
      <c r="L23" s="656">
        <v>20.0</v>
      </c>
      <c r="M23" s="656">
        <v>16.0</v>
      </c>
      <c r="N23" s="657">
        <v>13.0</v>
      </c>
      <c r="O23" s="657">
        <v>23.0</v>
      </c>
      <c r="P23" s="657">
        <v>10.0</v>
      </c>
      <c r="Q23" s="657">
        <v>7.0</v>
      </c>
      <c r="R23" s="657">
        <v>13.0</v>
      </c>
      <c r="S23" s="657">
        <v>8.0</v>
      </c>
      <c r="T23" s="657">
        <v>16.0</v>
      </c>
      <c r="U23" s="656">
        <v>12.0</v>
      </c>
      <c r="V23" s="656">
        <v>14.0</v>
      </c>
      <c r="W23" s="656">
        <v>11.0</v>
      </c>
      <c r="X23" s="656">
        <v>13.0</v>
      </c>
      <c r="Y23" s="657">
        <v>4.0</v>
      </c>
      <c r="Z23" s="657">
        <v>7.0</v>
      </c>
      <c r="AA23" s="657">
        <v>9.0</v>
      </c>
      <c r="AB23" s="657">
        <v>11.0</v>
      </c>
      <c r="AC23" s="657">
        <v>11.0</v>
      </c>
      <c r="AD23" s="657">
        <v>10.0</v>
      </c>
      <c r="AE23" s="657">
        <v>6.0</v>
      </c>
      <c r="AF23" s="657">
        <v>14.0</v>
      </c>
      <c r="AG23" s="659">
        <f t="shared" ref="AG23:AG26" si="12">SUM(B23:AF23)</f>
        <v>455</v>
      </c>
      <c r="AH23" s="660">
        <f t="shared" ref="AH23:AH25" si="13">iferror(AG23/AG$26,"")</f>
        <v>0.724522293</v>
      </c>
    </row>
    <row r="24">
      <c r="A24" s="681" t="s">
        <v>708</v>
      </c>
      <c r="B24" s="657">
        <v>1.0</v>
      </c>
      <c r="C24" s="657">
        <v>2.0</v>
      </c>
      <c r="D24" s="657">
        <v>8.0</v>
      </c>
      <c r="E24" s="657">
        <v>7.0</v>
      </c>
      <c r="F24" s="657">
        <v>4.0</v>
      </c>
      <c r="G24" s="657">
        <v>9.0</v>
      </c>
      <c r="H24" s="657">
        <v>5.0</v>
      </c>
      <c r="I24" s="657">
        <v>2.0</v>
      </c>
      <c r="J24" s="657">
        <v>2.0</v>
      </c>
      <c r="K24" s="657">
        <v>1.0</v>
      </c>
      <c r="L24" s="657">
        <v>3.0</v>
      </c>
      <c r="M24" s="682">
        <v>1.0</v>
      </c>
      <c r="N24" s="657">
        <v>0.0</v>
      </c>
      <c r="O24" s="657">
        <v>3.0</v>
      </c>
      <c r="P24" s="657">
        <v>3.0</v>
      </c>
      <c r="Q24" s="657">
        <v>0.0</v>
      </c>
      <c r="R24" s="657">
        <v>5.0</v>
      </c>
      <c r="S24" s="657">
        <v>2.0</v>
      </c>
      <c r="T24" s="657">
        <v>1.0</v>
      </c>
      <c r="U24" s="657">
        <v>7.0</v>
      </c>
      <c r="V24" s="657">
        <v>1.0</v>
      </c>
      <c r="W24" s="657">
        <v>1.0</v>
      </c>
      <c r="X24" s="657">
        <v>3.0</v>
      </c>
      <c r="Y24" s="657">
        <v>2.0</v>
      </c>
      <c r="Z24" s="657">
        <v>3.0</v>
      </c>
      <c r="AA24" s="657">
        <v>1.0</v>
      </c>
      <c r="AB24" s="657">
        <v>4.0</v>
      </c>
      <c r="AC24" s="657">
        <v>2.0</v>
      </c>
      <c r="AD24" s="657">
        <v>3.0</v>
      </c>
      <c r="AE24" s="657">
        <v>3.0</v>
      </c>
      <c r="AF24" s="657">
        <v>1.0</v>
      </c>
      <c r="AG24" s="659">
        <f t="shared" si="12"/>
        <v>90</v>
      </c>
      <c r="AH24" s="660">
        <f t="shared" si="13"/>
        <v>0.1433121019</v>
      </c>
    </row>
    <row r="25">
      <c r="A25" s="683" t="s">
        <v>709</v>
      </c>
      <c r="B25" s="684">
        <v>4.0</v>
      </c>
      <c r="C25" s="684">
        <v>2.0</v>
      </c>
      <c r="D25" s="684">
        <v>7.0</v>
      </c>
      <c r="E25" s="684">
        <v>2.0</v>
      </c>
      <c r="F25" s="684">
        <v>3.0</v>
      </c>
      <c r="G25" s="684">
        <v>5.0</v>
      </c>
      <c r="H25" s="684">
        <v>5.0</v>
      </c>
      <c r="I25" s="684">
        <v>4.0</v>
      </c>
      <c r="J25" s="684">
        <v>4.0</v>
      </c>
      <c r="K25" s="684">
        <v>0.0</v>
      </c>
      <c r="L25" s="684">
        <v>1.0</v>
      </c>
      <c r="M25" s="685">
        <v>2.0</v>
      </c>
      <c r="N25" s="684">
        <v>5.0</v>
      </c>
      <c r="O25" s="684">
        <v>2.0</v>
      </c>
      <c r="P25" s="684">
        <v>1.0</v>
      </c>
      <c r="Q25" s="684">
        <v>5.0</v>
      </c>
      <c r="R25" s="684">
        <v>0.0</v>
      </c>
      <c r="S25" s="684">
        <v>5.0</v>
      </c>
      <c r="T25" s="684">
        <v>2.0</v>
      </c>
      <c r="U25" s="684">
        <v>2.0</v>
      </c>
      <c r="V25" s="684">
        <v>5.0</v>
      </c>
      <c r="W25" s="684">
        <v>4.0</v>
      </c>
      <c r="X25" s="684">
        <v>0.0</v>
      </c>
      <c r="Y25" s="684">
        <v>2.0</v>
      </c>
      <c r="Z25" s="684">
        <v>3.0</v>
      </c>
      <c r="AA25" s="684">
        <v>2.0</v>
      </c>
      <c r="AB25" s="684">
        <v>0.0</v>
      </c>
      <c r="AC25" s="684">
        <v>2.0</v>
      </c>
      <c r="AD25" s="684">
        <v>2.0</v>
      </c>
      <c r="AE25" s="684">
        <v>1.0</v>
      </c>
      <c r="AF25" s="657">
        <v>1.0</v>
      </c>
      <c r="AG25" s="659">
        <f t="shared" si="12"/>
        <v>83</v>
      </c>
      <c r="AH25" s="660">
        <f t="shared" si="13"/>
        <v>0.1321656051</v>
      </c>
    </row>
    <row r="26">
      <c r="A26" s="686" t="s">
        <v>1091</v>
      </c>
      <c r="B26" s="664">
        <f t="shared" ref="B26:AF26" si="14">SUM(B23:B25)</f>
        <v>23</v>
      </c>
      <c r="C26" s="664">
        <f t="shared" si="14"/>
        <v>26</v>
      </c>
      <c r="D26" s="664">
        <f t="shared" si="14"/>
        <v>37</v>
      </c>
      <c r="E26" s="664">
        <f t="shared" si="14"/>
        <v>31</v>
      </c>
      <c r="F26" s="664">
        <f t="shared" si="14"/>
        <v>34</v>
      </c>
      <c r="G26" s="664">
        <f t="shared" si="14"/>
        <v>34</v>
      </c>
      <c r="H26" s="664">
        <f t="shared" si="14"/>
        <v>41</v>
      </c>
      <c r="I26" s="664">
        <f t="shared" si="14"/>
        <v>25</v>
      </c>
      <c r="J26" s="664">
        <f t="shared" si="14"/>
        <v>23</v>
      </c>
      <c r="K26" s="664">
        <f t="shared" si="14"/>
        <v>10</v>
      </c>
      <c r="L26" s="664">
        <f t="shared" si="14"/>
        <v>24</v>
      </c>
      <c r="M26" s="664">
        <f t="shared" si="14"/>
        <v>19</v>
      </c>
      <c r="N26" s="664">
        <f t="shared" si="14"/>
        <v>18</v>
      </c>
      <c r="O26" s="664">
        <f t="shared" si="14"/>
        <v>28</v>
      </c>
      <c r="P26" s="664">
        <f t="shared" si="14"/>
        <v>14</v>
      </c>
      <c r="Q26" s="664">
        <f t="shared" si="14"/>
        <v>12</v>
      </c>
      <c r="R26" s="664">
        <f t="shared" si="14"/>
        <v>18</v>
      </c>
      <c r="S26" s="664">
        <f t="shared" si="14"/>
        <v>15</v>
      </c>
      <c r="T26" s="664">
        <f t="shared" si="14"/>
        <v>19</v>
      </c>
      <c r="U26" s="664">
        <f t="shared" si="14"/>
        <v>21</v>
      </c>
      <c r="V26" s="664">
        <f t="shared" si="14"/>
        <v>20</v>
      </c>
      <c r="W26" s="664">
        <f t="shared" si="14"/>
        <v>16</v>
      </c>
      <c r="X26" s="664">
        <f t="shared" si="14"/>
        <v>16</v>
      </c>
      <c r="Y26" s="664">
        <f t="shared" si="14"/>
        <v>8</v>
      </c>
      <c r="Z26" s="664">
        <f t="shared" si="14"/>
        <v>13</v>
      </c>
      <c r="AA26" s="664">
        <f t="shared" si="14"/>
        <v>12</v>
      </c>
      <c r="AB26" s="664">
        <f t="shared" si="14"/>
        <v>15</v>
      </c>
      <c r="AC26" s="664">
        <f t="shared" si="14"/>
        <v>15</v>
      </c>
      <c r="AD26" s="664">
        <f t="shared" si="14"/>
        <v>15</v>
      </c>
      <c r="AE26" s="664">
        <f t="shared" si="14"/>
        <v>10</v>
      </c>
      <c r="AF26" s="664">
        <f t="shared" si="14"/>
        <v>16</v>
      </c>
      <c r="AG26" s="665">
        <f t="shared" si="12"/>
        <v>628</v>
      </c>
      <c r="AH26" s="666">
        <f>SUM(AH23:AH25)</f>
        <v>1</v>
      </c>
    </row>
    <row r="27">
      <c r="A27" s="667" t="s">
        <v>1094</v>
      </c>
      <c r="B27" s="668">
        <v>45292.0</v>
      </c>
      <c r="C27" s="668">
        <v>45293.0</v>
      </c>
      <c r="D27" s="668">
        <v>45294.0</v>
      </c>
      <c r="E27" s="668">
        <v>45295.0</v>
      </c>
      <c r="F27" s="668">
        <v>45296.0</v>
      </c>
      <c r="G27" s="668">
        <v>45297.0</v>
      </c>
      <c r="H27" s="668">
        <v>45298.0</v>
      </c>
      <c r="I27" s="668">
        <v>45299.0</v>
      </c>
      <c r="J27" s="668">
        <v>45300.0</v>
      </c>
      <c r="K27" s="668">
        <v>45301.0</v>
      </c>
      <c r="L27" s="668">
        <v>45302.0</v>
      </c>
      <c r="M27" s="668">
        <v>45303.0</v>
      </c>
      <c r="N27" s="668">
        <v>45304.0</v>
      </c>
      <c r="O27" s="668">
        <v>45305.0</v>
      </c>
      <c r="P27" s="668">
        <v>45306.0</v>
      </c>
      <c r="Q27" s="668">
        <v>45307.0</v>
      </c>
      <c r="R27" s="668">
        <v>45308.0</v>
      </c>
      <c r="S27" s="668">
        <v>45309.0</v>
      </c>
      <c r="T27" s="668">
        <v>45310.0</v>
      </c>
      <c r="U27" s="668">
        <v>45311.0</v>
      </c>
      <c r="V27" s="668">
        <v>45312.0</v>
      </c>
      <c r="W27" s="668">
        <v>45313.0</v>
      </c>
      <c r="X27" s="668">
        <v>45314.0</v>
      </c>
      <c r="Y27" s="668">
        <v>45315.0</v>
      </c>
      <c r="Z27" s="668">
        <v>45316.0</v>
      </c>
      <c r="AA27" s="668">
        <v>45317.0</v>
      </c>
      <c r="AB27" s="668">
        <v>45318.0</v>
      </c>
      <c r="AC27" s="668">
        <v>45319.0</v>
      </c>
      <c r="AD27" s="668">
        <v>45320.0</v>
      </c>
      <c r="AE27" s="668">
        <v>45321.0</v>
      </c>
      <c r="AF27" s="668">
        <v>45322.0</v>
      </c>
      <c r="AG27" s="669"/>
      <c r="AH27" s="670"/>
    </row>
    <row r="28">
      <c r="A28" s="687" t="s">
        <v>707</v>
      </c>
      <c r="B28" s="672">
        <f t="shared" ref="B28:AF28" si="15">iferror(B23/B$26,"")</f>
        <v>0.7826086957</v>
      </c>
      <c r="C28" s="672">
        <f t="shared" si="15"/>
        <v>0.8461538462</v>
      </c>
      <c r="D28" s="672">
        <f t="shared" si="15"/>
        <v>0.5945945946</v>
      </c>
      <c r="E28" s="672">
        <f t="shared" si="15"/>
        <v>0.7096774194</v>
      </c>
      <c r="F28" s="672">
        <f t="shared" si="15"/>
        <v>0.7941176471</v>
      </c>
      <c r="G28" s="672">
        <f t="shared" si="15"/>
        <v>0.5882352941</v>
      </c>
      <c r="H28" s="672">
        <f t="shared" si="15"/>
        <v>0.756097561</v>
      </c>
      <c r="I28" s="672">
        <f t="shared" si="15"/>
        <v>0.76</v>
      </c>
      <c r="J28" s="672">
        <f t="shared" si="15"/>
        <v>0.7391304348</v>
      </c>
      <c r="K28" s="672">
        <f t="shared" si="15"/>
        <v>0.9</v>
      </c>
      <c r="L28" s="672">
        <f t="shared" si="15"/>
        <v>0.8333333333</v>
      </c>
      <c r="M28" s="672">
        <f t="shared" si="15"/>
        <v>0.8421052632</v>
      </c>
      <c r="N28" s="672">
        <f t="shared" si="15"/>
        <v>0.7222222222</v>
      </c>
      <c r="O28" s="672">
        <f t="shared" si="15"/>
        <v>0.8214285714</v>
      </c>
      <c r="P28" s="672">
        <f t="shared" si="15"/>
        <v>0.7142857143</v>
      </c>
      <c r="Q28" s="672">
        <f t="shared" si="15"/>
        <v>0.5833333333</v>
      </c>
      <c r="R28" s="672">
        <f t="shared" si="15"/>
        <v>0.7222222222</v>
      </c>
      <c r="S28" s="672">
        <f t="shared" si="15"/>
        <v>0.5333333333</v>
      </c>
      <c r="T28" s="672">
        <f t="shared" si="15"/>
        <v>0.8421052632</v>
      </c>
      <c r="U28" s="672">
        <f t="shared" si="15"/>
        <v>0.5714285714</v>
      </c>
      <c r="V28" s="672">
        <f t="shared" si="15"/>
        <v>0.7</v>
      </c>
      <c r="W28" s="672">
        <f t="shared" si="15"/>
        <v>0.6875</v>
      </c>
      <c r="X28" s="672">
        <f t="shared" si="15"/>
        <v>0.8125</v>
      </c>
      <c r="Y28" s="672">
        <f t="shared" si="15"/>
        <v>0.5</v>
      </c>
      <c r="Z28" s="672">
        <f t="shared" si="15"/>
        <v>0.5384615385</v>
      </c>
      <c r="AA28" s="672">
        <f t="shared" si="15"/>
        <v>0.75</v>
      </c>
      <c r="AB28" s="672">
        <f t="shared" si="15"/>
        <v>0.7333333333</v>
      </c>
      <c r="AC28" s="672">
        <f t="shared" si="15"/>
        <v>0.7333333333</v>
      </c>
      <c r="AD28" s="672">
        <f t="shared" si="15"/>
        <v>0.6666666667</v>
      </c>
      <c r="AE28" s="672">
        <f t="shared" si="15"/>
        <v>0.6</v>
      </c>
      <c r="AF28" s="672">
        <f t="shared" si="15"/>
        <v>0.875</v>
      </c>
      <c r="AG28" s="673"/>
      <c r="AH28" s="674"/>
    </row>
    <row r="29">
      <c r="A29" s="671" t="s">
        <v>708</v>
      </c>
      <c r="B29" s="672">
        <f t="shared" ref="B29:AF29" si="16">iferror(B24/B$26,"")</f>
        <v>0.04347826087</v>
      </c>
      <c r="C29" s="672">
        <f t="shared" si="16"/>
        <v>0.07692307692</v>
      </c>
      <c r="D29" s="672">
        <f t="shared" si="16"/>
        <v>0.2162162162</v>
      </c>
      <c r="E29" s="672">
        <f t="shared" si="16"/>
        <v>0.2258064516</v>
      </c>
      <c r="F29" s="672">
        <f t="shared" si="16"/>
        <v>0.1176470588</v>
      </c>
      <c r="G29" s="672">
        <f t="shared" si="16"/>
        <v>0.2647058824</v>
      </c>
      <c r="H29" s="672">
        <f t="shared" si="16"/>
        <v>0.1219512195</v>
      </c>
      <c r="I29" s="672">
        <f t="shared" si="16"/>
        <v>0.08</v>
      </c>
      <c r="J29" s="672">
        <f t="shared" si="16"/>
        <v>0.08695652174</v>
      </c>
      <c r="K29" s="672">
        <f t="shared" si="16"/>
        <v>0.1</v>
      </c>
      <c r="L29" s="672">
        <f t="shared" si="16"/>
        <v>0.125</v>
      </c>
      <c r="M29" s="672">
        <f t="shared" si="16"/>
        <v>0.05263157895</v>
      </c>
      <c r="N29" s="672">
        <f t="shared" si="16"/>
        <v>0</v>
      </c>
      <c r="O29" s="672">
        <f t="shared" si="16"/>
        <v>0.1071428571</v>
      </c>
      <c r="P29" s="672">
        <f t="shared" si="16"/>
        <v>0.2142857143</v>
      </c>
      <c r="Q29" s="672">
        <f t="shared" si="16"/>
        <v>0</v>
      </c>
      <c r="R29" s="672">
        <f t="shared" si="16"/>
        <v>0.2777777778</v>
      </c>
      <c r="S29" s="672">
        <f t="shared" si="16"/>
        <v>0.1333333333</v>
      </c>
      <c r="T29" s="672">
        <f t="shared" si="16"/>
        <v>0.05263157895</v>
      </c>
      <c r="U29" s="672">
        <f t="shared" si="16"/>
        <v>0.3333333333</v>
      </c>
      <c r="V29" s="672">
        <f t="shared" si="16"/>
        <v>0.05</v>
      </c>
      <c r="W29" s="672">
        <f t="shared" si="16"/>
        <v>0.0625</v>
      </c>
      <c r="X29" s="672">
        <f t="shared" si="16"/>
        <v>0.1875</v>
      </c>
      <c r="Y29" s="672">
        <f t="shared" si="16"/>
        <v>0.25</v>
      </c>
      <c r="Z29" s="672">
        <f t="shared" si="16"/>
        <v>0.2307692308</v>
      </c>
      <c r="AA29" s="672">
        <f t="shared" si="16"/>
        <v>0.08333333333</v>
      </c>
      <c r="AB29" s="672">
        <f t="shared" si="16"/>
        <v>0.2666666667</v>
      </c>
      <c r="AC29" s="672">
        <f t="shared" si="16"/>
        <v>0.1333333333</v>
      </c>
      <c r="AD29" s="672">
        <f t="shared" si="16"/>
        <v>0.2</v>
      </c>
      <c r="AE29" s="672">
        <f t="shared" si="16"/>
        <v>0.3</v>
      </c>
      <c r="AF29" s="672">
        <f t="shared" si="16"/>
        <v>0.0625</v>
      </c>
      <c r="AG29" s="673"/>
      <c r="AH29" s="674"/>
    </row>
    <row r="30">
      <c r="A30" s="688" t="s">
        <v>709</v>
      </c>
      <c r="B30" s="689">
        <f t="shared" ref="B30:AF30" si="17">iferror(B25/B$26,"")</f>
        <v>0.1739130435</v>
      </c>
      <c r="C30" s="689">
        <f t="shared" si="17"/>
        <v>0.07692307692</v>
      </c>
      <c r="D30" s="689">
        <f t="shared" si="17"/>
        <v>0.1891891892</v>
      </c>
      <c r="E30" s="689">
        <f t="shared" si="17"/>
        <v>0.06451612903</v>
      </c>
      <c r="F30" s="689">
        <f t="shared" si="17"/>
        <v>0.08823529412</v>
      </c>
      <c r="G30" s="689">
        <f t="shared" si="17"/>
        <v>0.1470588235</v>
      </c>
      <c r="H30" s="689">
        <f t="shared" si="17"/>
        <v>0.1219512195</v>
      </c>
      <c r="I30" s="689">
        <f t="shared" si="17"/>
        <v>0.16</v>
      </c>
      <c r="J30" s="689">
        <f t="shared" si="17"/>
        <v>0.1739130435</v>
      </c>
      <c r="K30" s="689">
        <f t="shared" si="17"/>
        <v>0</v>
      </c>
      <c r="L30" s="689">
        <f t="shared" si="17"/>
        <v>0.04166666667</v>
      </c>
      <c r="M30" s="689">
        <f t="shared" si="17"/>
        <v>0.1052631579</v>
      </c>
      <c r="N30" s="689">
        <f t="shared" si="17"/>
        <v>0.2777777778</v>
      </c>
      <c r="O30" s="689">
        <f t="shared" si="17"/>
        <v>0.07142857143</v>
      </c>
      <c r="P30" s="689">
        <f t="shared" si="17"/>
        <v>0.07142857143</v>
      </c>
      <c r="Q30" s="689">
        <f t="shared" si="17"/>
        <v>0.4166666667</v>
      </c>
      <c r="R30" s="689">
        <f t="shared" si="17"/>
        <v>0</v>
      </c>
      <c r="S30" s="689">
        <f t="shared" si="17"/>
        <v>0.3333333333</v>
      </c>
      <c r="T30" s="689">
        <f t="shared" si="17"/>
        <v>0.1052631579</v>
      </c>
      <c r="U30" s="689">
        <f t="shared" si="17"/>
        <v>0.09523809524</v>
      </c>
      <c r="V30" s="689">
        <f t="shared" si="17"/>
        <v>0.25</v>
      </c>
      <c r="W30" s="689">
        <f t="shared" si="17"/>
        <v>0.25</v>
      </c>
      <c r="X30" s="689">
        <f t="shared" si="17"/>
        <v>0</v>
      </c>
      <c r="Y30" s="689">
        <f t="shared" si="17"/>
        <v>0.25</v>
      </c>
      <c r="Z30" s="689">
        <f t="shared" si="17"/>
        <v>0.2307692308</v>
      </c>
      <c r="AA30" s="689">
        <f t="shared" si="17"/>
        <v>0.1666666667</v>
      </c>
      <c r="AB30" s="689">
        <f t="shared" si="17"/>
        <v>0</v>
      </c>
      <c r="AC30" s="689">
        <f t="shared" si="17"/>
        <v>0.1333333333</v>
      </c>
      <c r="AD30" s="689">
        <f t="shared" si="17"/>
        <v>0.1333333333</v>
      </c>
      <c r="AE30" s="689">
        <f t="shared" si="17"/>
        <v>0.1</v>
      </c>
      <c r="AF30" s="689">
        <f t="shared" si="17"/>
        <v>0.0625</v>
      </c>
      <c r="AG30" s="673"/>
      <c r="AH30" s="674"/>
    </row>
    <row r="31">
      <c r="B31" s="571"/>
      <c r="C31" s="571"/>
      <c r="D31" s="571"/>
      <c r="E31" s="571"/>
      <c r="F31" s="571"/>
      <c r="G31" s="571"/>
      <c r="H31" s="571"/>
      <c r="I31" s="571"/>
      <c r="J31" s="571"/>
      <c r="K31" s="571"/>
      <c r="L31" s="571"/>
      <c r="M31" s="571"/>
      <c r="N31" s="571"/>
      <c r="O31" s="571"/>
      <c r="P31" s="571"/>
      <c r="Q31" s="571"/>
      <c r="R31" s="571"/>
      <c r="S31" s="571"/>
      <c r="T31" s="571"/>
      <c r="U31" s="571"/>
      <c r="V31" s="571"/>
      <c r="W31" s="571"/>
      <c r="X31" s="571"/>
      <c r="Y31" s="571"/>
      <c r="Z31" s="571"/>
      <c r="AA31" s="571"/>
      <c r="AB31" s="571"/>
      <c r="AC31" s="571"/>
      <c r="AD31" s="571"/>
      <c r="AE31" s="571"/>
      <c r="AF31" s="571"/>
      <c r="AG31" s="690"/>
      <c r="AH31" s="691"/>
    </row>
    <row r="32">
      <c r="A32" s="501"/>
      <c r="B32" s="692"/>
      <c r="C32" s="692"/>
      <c r="D32" s="692"/>
      <c r="E32" s="692"/>
      <c r="F32" s="692"/>
      <c r="G32" s="692"/>
      <c r="H32" s="692"/>
      <c r="I32" s="692"/>
      <c r="J32" s="692"/>
      <c r="K32" s="692"/>
      <c r="L32" s="692"/>
      <c r="M32" s="692"/>
      <c r="N32" s="692"/>
      <c r="O32" s="692"/>
      <c r="P32" s="692"/>
      <c r="Q32" s="692"/>
      <c r="R32" s="692"/>
      <c r="S32" s="692"/>
      <c r="T32" s="692"/>
      <c r="U32" s="692"/>
      <c r="V32" s="692"/>
      <c r="W32" s="692"/>
      <c r="X32" s="692"/>
      <c r="Y32" s="692"/>
      <c r="Z32" s="692"/>
      <c r="AA32" s="692"/>
      <c r="AB32" s="692"/>
      <c r="AC32" s="692"/>
      <c r="AD32" s="692"/>
      <c r="AE32" s="692"/>
      <c r="AF32" s="692"/>
      <c r="AG32" s="690"/>
      <c r="AH32" s="691"/>
    </row>
    <row r="33">
      <c r="A33" s="501"/>
      <c r="B33" s="692"/>
      <c r="C33" s="692"/>
      <c r="D33" s="692"/>
      <c r="E33" s="692"/>
      <c r="F33" s="692"/>
      <c r="G33" s="692"/>
      <c r="H33" s="692"/>
      <c r="I33" s="692"/>
      <c r="J33" s="692"/>
      <c r="K33" s="692"/>
      <c r="L33" s="692"/>
      <c r="M33" s="692"/>
      <c r="N33" s="692"/>
      <c r="O33" s="692"/>
      <c r="P33" s="692"/>
      <c r="Q33" s="692"/>
      <c r="R33" s="692"/>
      <c r="S33" s="692"/>
      <c r="T33" s="692"/>
      <c r="U33" s="692"/>
      <c r="V33" s="692"/>
      <c r="W33" s="692"/>
      <c r="X33" s="692"/>
      <c r="Y33" s="692"/>
      <c r="Z33" s="692"/>
      <c r="AA33" s="692"/>
      <c r="AB33" s="692"/>
      <c r="AC33" s="692"/>
      <c r="AD33" s="692"/>
      <c r="AE33" s="692"/>
      <c r="AF33" s="692"/>
      <c r="AG33" s="690"/>
      <c r="AH33" s="691"/>
    </row>
    <row r="34">
      <c r="B34" s="571"/>
      <c r="C34" s="571"/>
      <c r="D34" s="571"/>
      <c r="E34" s="571"/>
      <c r="F34" s="571"/>
      <c r="G34" s="571"/>
      <c r="H34" s="571"/>
      <c r="I34" s="571"/>
      <c r="J34" s="571"/>
      <c r="K34" s="571"/>
      <c r="L34" s="571"/>
      <c r="M34" s="571"/>
      <c r="N34" s="571"/>
      <c r="O34" s="571"/>
      <c r="P34" s="571"/>
      <c r="Q34" s="571"/>
      <c r="R34" s="571"/>
      <c r="S34" s="571"/>
      <c r="T34" s="571"/>
      <c r="U34" s="571"/>
      <c r="V34" s="571"/>
      <c r="W34" s="571"/>
      <c r="X34" s="571"/>
      <c r="Y34" s="571"/>
      <c r="Z34" s="571"/>
      <c r="AA34" s="571"/>
      <c r="AB34" s="571"/>
      <c r="AC34" s="571"/>
      <c r="AD34" s="571"/>
      <c r="AE34" s="571"/>
      <c r="AF34" s="571"/>
      <c r="AG34" s="690"/>
      <c r="AH34" s="691"/>
    </row>
    <row r="35">
      <c r="A35" s="693" t="s">
        <v>716</v>
      </c>
      <c r="B35" s="694">
        <v>45292.0</v>
      </c>
      <c r="C35" s="694">
        <v>45293.0</v>
      </c>
      <c r="D35" s="694">
        <v>45294.0</v>
      </c>
      <c r="E35" s="694">
        <v>45295.0</v>
      </c>
      <c r="F35" s="694">
        <v>45296.0</v>
      </c>
      <c r="G35" s="694">
        <v>45297.0</v>
      </c>
      <c r="H35" s="694">
        <v>45298.0</v>
      </c>
      <c r="I35" s="694">
        <v>45299.0</v>
      </c>
      <c r="J35" s="694">
        <v>45300.0</v>
      </c>
      <c r="K35" s="694">
        <v>45301.0</v>
      </c>
      <c r="L35" s="694">
        <v>45302.0</v>
      </c>
      <c r="M35" s="694">
        <v>45303.0</v>
      </c>
      <c r="N35" s="694">
        <v>45304.0</v>
      </c>
      <c r="O35" s="694">
        <v>45305.0</v>
      </c>
      <c r="P35" s="694">
        <v>45306.0</v>
      </c>
      <c r="Q35" s="694">
        <v>45307.0</v>
      </c>
      <c r="R35" s="694">
        <v>45308.0</v>
      </c>
      <c r="S35" s="694">
        <v>45309.0</v>
      </c>
      <c r="T35" s="694">
        <v>45310.0</v>
      </c>
      <c r="U35" s="694">
        <v>45311.0</v>
      </c>
      <c r="V35" s="694">
        <v>45312.0</v>
      </c>
      <c r="W35" s="694">
        <v>45313.0</v>
      </c>
      <c r="X35" s="694">
        <v>45314.0</v>
      </c>
      <c r="Y35" s="694">
        <v>45315.0</v>
      </c>
      <c r="Z35" s="694">
        <v>45316.0</v>
      </c>
      <c r="AA35" s="694">
        <v>45317.0</v>
      </c>
      <c r="AB35" s="694">
        <v>45318.0</v>
      </c>
      <c r="AC35" s="694">
        <v>45319.0</v>
      </c>
      <c r="AD35" s="694">
        <v>45320.0</v>
      </c>
      <c r="AE35" s="694">
        <v>45321.0</v>
      </c>
      <c r="AF35" s="694">
        <v>45322.0</v>
      </c>
      <c r="AG35" s="695"/>
      <c r="AH35" s="696"/>
    </row>
    <row r="36" collapsed="1">
      <c r="A36" s="655" t="s">
        <v>717</v>
      </c>
      <c r="B36" s="657">
        <f t="shared" ref="B36:AF36" si="18">B41</f>
        <v>37</v>
      </c>
      <c r="C36" s="657">
        <f t="shared" si="18"/>
        <v>31</v>
      </c>
      <c r="D36" s="657">
        <f t="shared" si="18"/>
        <v>33</v>
      </c>
      <c r="E36" s="657">
        <f t="shared" si="18"/>
        <v>29</v>
      </c>
      <c r="F36" s="657">
        <f t="shared" si="18"/>
        <v>38</v>
      </c>
      <c r="G36" s="657">
        <f t="shared" si="18"/>
        <v>35</v>
      </c>
      <c r="H36" s="657">
        <f t="shared" si="18"/>
        <v>37</v>
      </c>
      <c r="I36" s="657">
        <f t="shared" si="18"/>
        <v>27</v>
      </c>
      <c r="J36" s="657">
        <f t="shared" si="18"/>
        <v>23</v>
      </c>
      <c r="K36" s="657">
        <f t="shared" si="18"/>
        <v>12</v>
      </c>
      <c r="L36" s="657">
        <f t="shared" si="18"/>
        <v>19</v>
      </c>
      <c r="M36" s="657">
        <f t="shared" si="18"/>
        <v>23</v>
      </c>
      <c r="N36" s="657">
        <f t="shared" si="18"/>
        <v>27</v>
      </c>
      <c r="O36" s="657">
        <f t="shared" si="18"/>
        <v>35</v>
      </c>
      <c r="P36" s="657">
        <f t="shared" si="18"/>
        <v>17</v>
      </c>
      <c r="Q36" s="657">
        <f t="shared" si="18"/>
        <v>22</v>
      </c>
      <c r="R36" s="657">
        <f t="shared" si="18"/>
        <v>20</v>
      </c>
      <c r="S36" s="657">
        <f t="shared" si="18"/>
        <v>17</v>
      </c>
      <c r="T36" s="657">
        <f t="shared" si="18"/>
        <v>24</v>
      </c>
      <c r="U36" s="657">
        <f t="shared" si="18"/>
        <v>21</v>
      </c>
      <c r="V36" s="657">
        <f t="shared" si="18"/>
        <v>30</v>
      </c>
      <c r="W36" s="657">
        <f t="shared" si="18"/>
        <v>20</v>
      </c>
      <c r="X36" s="657">
        <f t="shared" si="18"/>
        <v>17</v>
      </c>
      <c r="Y36" s="657">
        <f t="shared" si="18"/>
        <v>13</v>
      </c>
      <c r="Z36" s="657">
        <f t="shared" si="18"/>
        <v>16</v>
      </c>
      <c r="AA36" s="657">
        <f t="shared" si="18"/>
        <v>16</v>
      </c>
      <c r="AB36" s="657">
        <f t="shared" si="18"/>
        <v>9</v>
      </c>
      <c r="AC36" s="657">
        <f t="shared" si="18"/>
        <v>23</v>
      </c>
      <c r="AD36" s="657">
        <f t="shared" si="18"/>
        <v>15</v>
      </c>
      <c r="AE36" s="657">
        <f t="shared" si="18"/>
        <v>12</v>
      </c>
      <c r="AF36" s="657">
        <f t="shared" si="18"/>
        <v>11</v>
      </c>
      <c r="AG36" s="659"/>
      <c r="AH36" s="697"/>
    </row>
    <row r="37" hidden="1" outlineLevel="1">
      <c r="A37" s="698" t="s">
        <v>1095</v>
      </c>
      <c r="B37" s="699"/>
      <c r="C37" s="699"/>
      <c r="D37" s="699"/>
      <c r="E37" s="699"/>
      <c r="F37" s="699"/>
      <c r="G37" s="699"/>
      <c r="H37" s="699"/>
      <c r="I37" s="699"/>
      <c r="J37" s="699"/>
      <c r="K37" s="699"/>
      <c r="L37" s="699"/>
      <c r="M37" s="699"/>
      <c r="N37" s="700"/>
      <c r="O37" s="700"/>
      <c r="P37" s="700"/>
      <c r="Q37" s="700"/>
      <c r="R37" s="700"/>
      <c r="S37" s="700"/>
      <c r="T37" s="701"/>
      <c r="U37" s="702"/>
      <c r="V37" s="702"/>
      <c r="W37" s="702"/>
      <c r="X37" s="702"/>
      <c r="Y37" s="701"/>
      <c r="Z37" s="701"/>
      <c r="AA37" s="701"/>
      <c r="AB37" s="701"/>
      <c r="AC37" s="701"/>
      <c r="AD37" s="701"/>
      <c r="AE37" s="701"/>
      <c r="AF37" s="701"/>
      <c r="AG37" s="659"/>
      <c r="AH37" s="697"/>
    </row>
    <row r="38" hidden="1" outlineLevel="1">
      <c r="A38" s="661" t="s">
        <v>1096</v>
      </c>
      <c r="B38" s="656">
        <v>21.0</v>
      </c>
      <c r="C38" s="656">
        <v>25.0</v>
      </c>
      <c r="D38" s="656">
        <v>19.0</v>
      </c>
      <c r="E38" s="656">
        <v>16.0</v>
      </c>
      <c r="F38" s="656">
        <v>27.0</v>
      </c>
      <c r="G38" s="656">
        <v>30.0</v>
      </c>
      <c r="H38" s="656">
        <v>24.0</v>
      </c>
      <c r="I38" s="656">
        <v>16.0</v>
      </c>
      <c r="J38" s="656">
        <v>16.0</v>
      </c>
      <c r="K38" s="656">
        <v>7.0</v>
      </c>
      <c r="L38" s="656">
        <v>13.0</v>
      </c>
      <c r="M38" s="656">
        <v>15.0</v>
      </c>
      <c r="N38" s="657">
        <v>15.0</v>
      </c>
      <c r="O38" s="657">
        <v>28.0</v>
      </c>
      <c r="P38" s="656">
        <v>13.0</v>
      </c>
      <c r="Q38" s="657">
        <v>15.0</v>
      </c>
      <c r="R38" s="657">
        <v>17.0</v>
      </c>
      <c r="S38" s="657">
        <v>11.0</v>
      </c>
      <c r="T38" s="657">
        <v>17.0</v>
      </c>
      <c r="U38" s="656">
        <v>13.0</v>
      </c>
      <c r="V38" s="656">
        <v>15.0</v>
      </c>
      <c r="W38" s="656">
        <v>17.0</v>
      </c>
      <c r="X38" s="656">
        <v>12.0</v>
      </c>
      <c r="Y38" s="657">
        <v>6.0</v>
      </c>
      <c r="Z38" s="657">
        <v>12.0</v>
      </c>
      <c r="AA38" s="657">
        <v>10.0</v>
      </c>
      <c r="AB38" s="657">
        <v>6.0</v>
      </c>
      <c r="AC38" s="657">
        <v>16.0</v>
      </c>
      <c r="AD38" s="657">
        <v>11.0</v>
      </c>
      <c r="AE38" s="657">
        <v>7.0</v>
      </c>
      <c r="AF38" s="657">
        <v>4.0</v>
      </c>
      <c r="AG38" s="659">
        <f t="shared" ref="AG38:AG41" si="19">SUM(B38:AF38)</f>
        <v>474</v>
      </c>
      <c r="AH38" s="660">
        <f t="shared" ref="AH38:AH40" si="20">iferror(AG38/AG$41,"")</f>
        <v>0.6685472496</v>
      </c>
    </row>
    <row r="39" hidden="1" outlineLevel="1">
      <c r="A39" s="661" t="s">
        <v>1097</v>
      </c>
      <c r="B39" s="656">
        <v>15.0</v>
      </c>
      <c r="C39" s="656">
        <v>5.0</v>
      </c>
      <c r="D39" s="656">
        <v>13.0</v>
      </c>
      <c r="E39" s="656">
        <v>11.0</v>
      </c>
      <c r="F39" s="656">
        <v>11.0</v>
      </c>
      <c r="G39" s="656">
        <v>3.0</v>
      </c>
      <c r="H39" s="656">
        <v>13.0</v>
      </c>
      <c r="I39" s="656">
        <v>9.0</v>
      </c>
      <c r="J39" s="656">
        <v>7.0</v>
      </c>
      <c r="K39" s="656">
        <v>2.0</v>
      </c>
      <c r="L39" s="656">
        <v>5.0</v>
      </c>
      <c r="M39" s="656">
        <v>7.0</v>
      </c>
      <c r="N39" s="657">
        <v>11.0</v>
      </c>
      <c r="O39" s="657">
        <v>6.0</v>
      </c>
      <c r="P39" s="656">
        <v>4.0</v>
      </c>
      <c r="Q39" s="657">
        <v>3.0</v>
      </c>
      <c r="R39" s="657">
        <v>3.0</v>
      </c>
      <c r="S39" s="657">
        <v>5.0</v>
      </c>
      <c r="T39" s="657">
        <v>7.0</v>
      </c>
      <c r="U39" s="656">
        <v>8.0</v>
      </c>
      <c r="V39" s="656">
        <v>15.0</v>
      </c>
      <c r="W39" s="656">
        <v>1.0</v>
      </c>
      <c r="X39" s="656">
        <v>4.0</v>
      </c>
      <c r="Y39" s="657">
        <v>6.0</v>
      </c>
      <c r="Z39" s="657">
        <v>3.0</v>
      </c>
      <c r="AA39" s="657">
        <v>5.0</v>
      </c>
      <c r="AB39" s="657">
        <v>3.0</v>
      </c>
      <c r="AC39" s="657">
        <v>6.0</v>
      </c>
      <c r="AD39" s="657">
        <v>4.0</v>
      </c>
      <c r="AE39" s="657">
        <v>4.0</v>
      </c>
      <c r="AF39" s="657">
        <v>6.0</v>
      </c>
      <c r="AG39" s="659">
        <f t="shared" si="19"/>
        <v>205</v>
      </c>
      <c r="AH39" s="660">
        <f t="shared" si="20"/>
        <v>0.2891396333</v>
      </c>
    </row>
    <row r="40" hidden="1" outlineLevel="1">
      <c r="A40" s="661" t="s">
        <v>1098</v>
      </c>
      <c r="B40" s="656">
        <v>1.0</v>
      </c>
      <c r="C40" s="656">
        <v>1.0</v>
      </c>
      <c r="D40" s="656">
        <v>1.0</v>
      </c>
      <c r="E40" s="656">
        <v>2.0</v>
      </c>
      <c r="F40" s="656">
        <v>0.0</v>
      </c>
      <c r="G40" s="656">
        <v>2.0</v>
      </c>
      <c r="H40" s="656">
        <v>0.0</v>
      </c>
      <c r="I40" s="656">
        <v>2.0</v>
      </c>
      <c r="J40" s="656">
        <v>0.0</v>
      </c>
      <c r="K40" s="656">
        <v>3.0</v>
      </c>
      <c r="L40" s="656">
        <v>1.0</v>
      </c>
      <c r="M40" s="656">
        <v>1.0</v>
      </c>
      <c r="N40" s="657">
        <v>1.0</v>
      </c>
      <c r="O40" s="657">
        <v>1.0</v>
      </c>
      <c r="P40" s="656">
        <v>0.0</v>
      </c>
      <c r="Q40" s="657">
        <v>4.0</v>
      </c>
      <c r="R40" s="657">
        <v>0.0</v>
      </c>
      <c r="S40" s="657">
        <v>1.0</v>
      </c>
      <c r="T40" s="657">
        <v>0.0</v>
      </c>
      <c r="U40" s="656">
        <v>0.0</v>
      </c>
      <c r="V40" s="656">
        <v>0.0</v>
      </c>
      <c r="W40" s="656">
        <v>2.0</v>
      </c>
      <c r="X40" s="656">
        <v>1.0</v>
      </c>
      <c r="Y40" s="657">
        <v>1.0</v>
      </c>
      <c r="Z40" s="657">
        <v>1.0</v>
      </c>
      <c r="AA40" s="657">
        <v>1.0</v>
      </c>
      <c r="AB40" s="657">
        <v>0.0</v>
      </c>
      <c r="AC40" s="657">
        <v>1.0</v>
      </c>
      <c r="AD40" s="657">
        <v>0.0</v>
      </c>
      <c r="AE40" s="657">
        <v>1.0</v>
      </c>
      <c r="AF40" s="657">
        <v>1.0</v>
      </c>
      <c r="AG40" s="659">
        <f t="shared" si="19"/>
        <v>30</v>
      </c>
      <c r="AH40" s="660">
        <f t="shared" si="20"/>
        <v>0.04231311707</v>
      </c>
    </row>
    <row r="41" hidden="1" outlineLevel="1">
      <c r="A41" s="703" t="s">
        <v>1091</v>
      </c>
      <c r="B41" s="704">
        <f t="shared" ref="B41:AF41" si="21">SUM(B38:B40)</f>
        <v>37</v>
      </c>
      <c r="C41" s="704">
        <f t="shared" si="21"/>
        <v>31</v>
      </c>
      <c r="D41" s="704">
        <f t="shared" si="21"/>
        <v>33</v>
      </c>
      <c r="E41" s="704">
        <f t="shared" si="21"/>
        <v>29</v>
      </c>
      <c r="F41" s="704">
        <f t="shared" si="21"/>
        <v>38</v>
      </c>
      <c r="G41" s="704">
        <f t="shared" si="21"/>
        <v>35</v>
      </c>
      <c r="H41" s="704">
        <f t="shared" si="21"/>
        <v>37</v>
      </c>
      <c r="I41" s="704">
        <f t="shared" si="21"/>
        <v>27</v>
      </c>
      <c r="J41" s="704">
        <f t="shared" si="21"/>
        <v>23</v>
      </c>
      <c r="K41" s="704">
        <f t="shared" si="21"/>
        <v>12</v>
      </c>
      <c r="L41" s="704">
        <f t="shared" si="21"/>
        <v>19</v>
      </c>
      <c r="M41" s="704">
        <f t="shared" si="21"/>
        <v>23</v>
      </c>
      <c r="N41" s="704">
        <f t="shared" si="21"/>
        <v>27</v>
      </c>
      <c r="O41" s="704">
        <f t="shared" si="21"/>
        <v>35</v>
      </c>
      <c r="P41" s="704">
        <f t="shared" si="21"/>
        <v>17</v>
      </c>
      <c r="Q41" s="704">
        <f t="shared" si="21"/>
        <v>22</v>
      </c>
      <c r="R41" s="704">
        <f t="shared" si="21"/>
        <v>20</v>
      </c>
      <c r="S41" s="704">
        <f t="shared" si="21"/>
        <v>17</v>
      </c>
      <c r="T41" s="704">
        <f t="shared" si="21"/>
        <v>24</v>
      </c>
      <c r="U41" s="704">
        <f t="shared" si="21"/>
        <v>21</v>
      </c>
      <c r="V41" s="704">
        <f t="shared" si="21"/>
        <v>30</v>
      </c>
      <c r="W41" s="704">
        <f t="shared" si="21"/>
        <v>20</v>
      </c>
      <c r="X41" s="704">
        <f t="shared" si="21"/>
        <v>17</v>
      </c>
      <c r="Y41" s="704">
        <f t="shared" si="21"/>
        <v>13</v>
      </c>
      <c r="Z41" s="704">
        <f t="shared" si="21"/>
        <v>16</v>
      </c>
      <c r="AA41" s="704">
        <f t="shared" si="21"/>
        <v>16</v>
      </c>
      <c r="AB41" s="704">
        <f t="shared" si="21"/>
        <v>9</v>
      </c>
      <c r="AC41" s="704">
        <f t="shared" si="21"/>
        <v>23</v>
      </c>
      <c r="AD41" s="704">
        <f t="shared" si="21"/>
        <v>15</v>
      </c>
      <c r="AE41" s="704">
        <f t="shared" si="21"/>
        <v>12</v>
      </c>
      <c r="AF41" s="704">
        <f t="shared" si="21"/>
        <v>11</v>
      </c>
      <c r="AG41" s="665">
        <f t="shared" si="19"/>
        <v>709</v>
      </c>
      <c r="AH41" s="666">
        <f>SUM(AH38:AH40)</f>
        <v>1</v>
      </c>
    </row>
    <row r="42" collapsed="1">
      <c r="A42" s="681" t="s">
        <v>722</v>
      </c>
      <c r="B42" s="657">
        <f t="shared" ref="B42:AF42" si="22">B47</f>
        <v>36</v>
      </c>
      <c r="C42" s="657">
        <f t="shared" si="22"/>
        <v>28</v>
      </c>
      <c r="D42" s="657">
        <f t="shared" si="22"/>
        <v>31</v>
      </c>
      <c r="E42" s="657">
        <f t="shared" si="22"/>
        <v>21</v>
      </c>
      <c r="F42" s="657">
        <f t="shared" si="22"/>
        <v>34</v>
      </c>
      <c r="G42" s="657">
        <f t="shared" si="22"/>
        <v>42</v>
      </c>
      <c r="H42" s="657">
        <f t="shared" si="22"/>
        <v>52</v>
      </c>
      <c r="I42" s="657">
        <f t="shared" si="22"/>
        <v>25</v>
      </c>
      <c r="J42" s="657">
        <f t="shared" si="22"/>
        <v>21</v>
      </c>
      <c r="K42" s="657">
        <f t="shared" si="22"/>
        <v>21</v>
      </c>
      <c r="L42" s="657">
        <f t="shared" si="22"/>
        <v>22</v>
      </c>
      <c r="M42" s="657">
        <f t="shared" si="22"/>
        <v>31</v>
      </c>
      <c r="N42" s="657">
        <f t="shared" si="22"/>
        <v>35</v>
      </c>
      <c r="O42" s="657">
        <f t="shared" si="22"/>
        <v>35</v>
      </c>
      <c r="P42" s="657">
        <f t="shared" si="22"/>
        <v>23</v>
      </c>
      <c r="Q42" s="657">
        <f t="shared" si="22"/>
        <v>28</v>
      </c>
      <c r="R42" s="657">
        <f t="shared" si="22"/>
        <v>22</v>
      </c>
      <c r="S42" s="657">
        <f t="shared" si="22"/>
        <v>23</v>
      </c>
      <c r="T42" s="657">
        <f t="shared" si="22"/>
        <v>26</v>
      </c>
      <c r="U42" s="657">
        <f t="shared" si="22"/>
        <v>35</v>
      </c>
      <c r="V42" s="657">
        <f t="shared" si="22"/>
        <v>15</v>
      </c>
      <c r="W42" s="657">
        <f t="shared" si="22"/>
        <v>17</v>
      </c>
      <c r="X42" s="657">
        <f t="shared" si="22"/>
        <v>19</v>
      </c>
      <c r="Y42" s="657">
        <f t="shared" si="22"/>
        <v>19</v>
      </c>
      <c r="Z42" s="657">
        <f t="shared" si="22"/>
        <v>14</v>
      </c>
      <c r="AA42" s="657">
        <f t="shared" si="22"/>
        <v>22</v>
      </c>
      <c r="AB42" s="657">
        <f t="shared" si="22"/>
        <v>22</v>
      </c>
      <c r="AC42" s="657">
        <f t="shared" si="22"/>
        <v>15</v>
      </c>
      <c r="AD42" s="657">
        <f t="shared" si="22"/>
        <v>21</v>
      </c>
      <c r="AE42" s="657">
        <f t="shared" si="22"/>
        <v>5</v>
      </c>
      <c r="AF42" s="657">
        <f t="shared" si="22"/>
        <v>9</v>
      </c>
      <c r="AG42" s="659"/>
      <c r="AH42" s="697"/>
    </row>
    <row r="43" hidden="1" outlineLevel="1">
      <c r="A43" s="698" t="s">
        <v>1095</v>
      </c>
      <c r="B43" s="700"/>
      <c r="C43" s="700"/>
      <c r="D43" s="700"/>
      <c r="E43" s="700"/>
      <c r="F43" s="700"/>
      <c r="G43" s="700"/>
      <c r="H43" s="700"/>
      <c r="I43" s="700"/>
      <c r="J43" s="700"/>
      <c r="K43" s="700"/>
      <c r="L43" s="700"/>
      <c r="M43" s="700"/>
      <c r="N43" s="700"/>
      <c r="O43" s="700"/>
      <c r="P43" s="700"/>
      <c r="Q43" s="700"/>
      <c r="R43" s="700"/>
      <c r="S43" s="700"/>
      <c r="T43" s="701"/>
      <c r="U43" s="701"/>
      <c r="V43" s="701"/>
      <c r="W43" s="701"/>
      <c r="X43" s="701"/>
      <c r="Y43" s="701"/>
      <c r="Z43" s="701"/>
      <c r="AA43" s="705"/>
      <c r="AB43" s="705"/>
      <c r="AC43" s="705"/>
      <c r="AD43" s="705"/>
      <c r="AE43" s="705"/>
      <c r="AF43" s="705"/>
      <c r="AG43" s="706"/>
      <c r="AH43" s="707"/>
    </row>
    <row r="44" hidden="1" outlineLevel="1">
      <c r="A44" s="661" t="s">
        <v>1096</v>
      </c>
      <c r="B44" s="657">
        <v>27.0</v>
      </c>
      <c r="C44" s="657">
        <v>18.0</v>
      </c>
      <c r="D44" s="657">
        <v>18.0</v>
      </c>
      <c r="E44" s="657">
        <v>11.0</v>
      </c>
      <c r="F44" s="657">
        <v>19.0</v>
      </c>
      <c r="G44" s="657">
        <v>33.0</v>
      </c>
      <c r="H44" s="657">
        <v>35.0</v>
      </c>
      <c r="I44" s="657">
        <v>12.0</v>
      </c>
      <c r="J44" s="657">
        <v>15.0</v>
      </c>
      <c r="K44" s="657">
        <v>15.0</v>
      </c>
      <c r="L44" s="657">
        <v>13.0</v>
      </c>
      <c r="M44" s="657">
        <v>19.0</v>
      </c>
      <c r="N44" s="657">
        <v>24.0</v>
      </c>
      <c r="O44" s="657">
        <v>22.0</v>
      </c>
      <c r="P44" s="657">
        <v>19.0</v>
      </c>
      <c r="Q44" s="657">
        <v>17.0</v>
      </c>
      <c r="R44" s="657">
        <v>9.0</v>
      </c>
      <c r="S44" s="657">
        <v>14.0</v>
      </c>
      <c r="T44" s="657">
        <v>18.0</v>
      </c>
      <c r="U44" s="657">
        <v>22.0</v>
      </c>
      <c r="V44" s="657">
        <v>9.0</v>
      </c>
      <c r="W44" s="657">
        <v>15.0</v>
      </c>
      <c r="X44" s="657">
        <v>15.0</v>
      </c>
      <c r="Y44" s="657">
        <v>12.0</v>
      </c>
      <c r="Z44" s="657">
        <v>11.0</v>
      </c>
      <c r="AA44" s="657">
        <v>14.0</v>
      </c>
      <c r="AB44" s="657">
        <v>15.0</v>
      </c>
      <c r="AC44" s="657">
        <v>11.0</v>
      </c>
      <c r="AD44" s="657">
        <v>12.0</v>
      </c>
      <c r="AE44" s="657">
        <v>4.0</v>
      </c>
      <c r="AF44" s="657">
        <v>6.0</v>
      </c>
      <c r="AG44" s="659">
        <f t="shared" ref="AG44:AG47" si="23">SUM(B44:AF44)</f>
        <v>504</v>
      </c>
      <c r="AH44" s="660">
        <f t="shared" ref="AH44:AH46" si="24">iferror(AG44/AG$47,"")</f>
        <v>0.655396619</v>
      </c>
    </row>
    <row r="45" hidden="1" outlineLevel="1">
      <c r="A45" s="661" t="s">
        <v>1097</v>
      </c>
      <c r="B45" s="657">
        <v>7.0</v>
      </c>
      <c r="C45" s="657">
        <v>9.0</v>
      </c>
      <c r="D45" s="657">
        <v>10.0</v>
      </c>
      <c r="E45" s="657">
        <v>8.0</v>
      </c>
      <c r="F45" s="657">
        <v>13.0</v>
      </c>
      <c r="G45" s="657">
        <v>9.0</v>
      </c>
      <c r="H45" s="657">
        <v>13.0</v>
      </c>
      <c r="I45" s="657">
        <v>8.0</v>
      </c>
      <c r="J45" s="657">
        <v>6.0</v>
      </c>
      <c r="K45" s="657">
        <v>6.0</v>
      </c>
      <c r="L45" s="657">
        <v>6.0</v>
      </c>
      <c r="M45" s="657">
        <v>12.0</v>
      </c>
      <c r="N45" s="657">
        <v>8.0</v>
      </c>
      <c r="O45" s="657">
        <v>11.0</v>
      </c>
      <c r="P45" s="657">
        <v>4.0</v>
      </c>
      <c r="Q45" s="657">
        <v>10.0</v>
      </c>
      <c r="R45" s="657">
        <v>10.0</v>
      </c>
      <c r="S45" s="657">
        <v>8.0</v>
      </c>
      <c r="T45" s="657">
        <v>8.0</v>
      </c>
      <c r="U45" s="657">
        <v>13.0</v>
      </c>
      <c r="V45" s="657">
        <v>4.0</v>
      </c>
      <c r="W45" s="657">
        <v>2.0</v>
      </c>
      <c r="X45" s="657">
        <v>3.0</v>
      </c>
      <c r="Y45" s="657">
        <v>6.0</v>
      </c>
      <c r="Z45" s="657">
        <v>2.0</v>
      </c>
      <c r="AA45" s="657">
        <v>8.0</v>
      </c>
      <c r="AB45" s="657">
        <v>6.0</v>
      </c>
      <c r="AC45" s="657">
        <v>4.0</v>
      </c>
      <c r="AD45" s="657">
        <v>8.0</v>
      </c>
      <c r="AE45" s="657">
        <v>1.0</v>
      </c>
      <c r="AF45" s="657">
        <v>3.0</v>
      </c>
      <c r="AG45" s="659">
        <f t="shared" si="23"/>
        <v>226</v>
      </c>
      <c r="AH45" s="660">
        <f t="shared" si="24"/>
        <v>0.2938881664</v>
      </c>
    </row>
    <row r="46" hidden="1" outlineLevel="1">
      <c r="A46" s="661" t="s">
        <v>1098</v>
      </c>
      <c r="B46" s="657">
        <v>2.0</v>
      </c>
      <c r="C46" s="657">
        <v>1.0</v>
      </c>
      <c r="D46" s="657">
        <v>3.0</v>
      </c>
      <c r="E46" s="657">
        <v>2.0</v>
      </c>
      <c r="F46" s="657">
        <v>2.0</v>
      </c>
      <c r="G46" s="657">
        <v>0.0</v>
      </c>
      <c r="H46" s="657">
        <v>4.0</v>
      </c>
      <c r="I46" s="657">
        <v>5.0</v>
      </c>
      <c r="J46" s="657">
        <v>0.0</v>
      </c>
      <c r="K46" s="657">
        <v>0.0</v>
      </c>
      <c r="L46" s="657">
        <v>3.0</v>
      </c>
      <c r="M46" s="657">
        <v>0.0</v>
      </c>
      <c r="N46" s="657">
        <v>3.0</v>
      </c>
      <c r="O46" s="657">
        <v>2.0</v>
      </c>
      <c r="P46" s="657">
        <v>0.0</v>
      </c>
      <c r="Q46" s="657">
        <v>1.0</v>
      </c>
      <c r="R46" s="657">
        <v>3.0</v>
      </c>
      <c r="S46" s="657">
        <v>1.0</v>
      </c>
      <c r="T46" s="657">
        <v>0.0</v>
      </c>
      <c r="U46" s="657">
        <v>0.0</v>
      </c>
      <c r="V46" s="657">
        <v>2.0</v>
      </c>
      <c r="W46" s="657">
        <v>0.0</v>
      </c>
      <c r="X46" s="657">
        <v>1.0</v>
      </c>
      <c r="Y46" s="657">
        <v>1.0</v>
      </c>
      <c r="Z46" s="657">
        <v>1.0</v>
      </c>
      <c r="AA46" s="657">
        <v>0.0</v>
      </c>
      <c r="AB46" s="657">
        <v>1.0</v>
      </c>
      <c r="AC46" s="657">
        <v>0.0</v>
      </c>
      <c r="AD46" s="657">
        <v>1.0</v>
      </c>
      <c r="AE46" s="657">
        <v>0.0</v>
      </c>
      <c r="AF46" s="657">
        <v>0.0</v>
      </c>
      <c r="AG46" s="659">
        <f t="shared" si="23"/>
        <v>39</v>
      </c>
      <c r="AH46" s="660">
        <f t="shared" si="24"/>
        <v>0.05071521456</v>
      </c>
    </row>
    <row r="47" hidden="1" outlineLevel="1">
      <c r="A47" s="703" t="s">
        <v>1091</v>
      </c>
      <c r="B47" s="708">
        <f t="shared" ref="B47:AF47" si="25">SUM(B44:B46)</f>
        <v>36</v>
      </c>
      <c r="C47" s="708">
        <f t="shared" si="25"/>
        <v>28</v>
      </c>
      <c r="D47" s="708">
        <f t="shared" si="25"/>
        <v>31</v>
      </c>
      <c r="E47" s="708">
        <f t="shared" si="25"/>
        <v>21</v>
      </c>
      <c r="F47" s="708">
        <f t="shared" si="25"/>
        <v>34</v>
      </c>
      <c r="G47" s="708">
        <f t="shared" si="25"/>
        <v>42</v>
      </c>
      <c r="H47" s="708">
        <f t="shared" si="25"/>
        <v>52</v>
      </c>
      <c r="I47" s="708">
        <f t="shared" si="25"/>
        <v>25</v>
      </c>
      <c r="J47" s="708">
        <f t="shared" si="25"/>
        <v>21</v>
      </c>
      <c r="K47" s="708">
        <f t="shared" si="25"/>
        <v>21</v>
      </c>
      <c r="L47" s="708">
        <f t="shared" si="25"/>
        <v>22</v>
      </c>
      <c r="M47" s="708">
        <f t="shared" si="25"/>
        <v>31</v>
      </c>
      <c r="N47" s="708">
        <f t="shared" si="25"/>
        <v>35</v>
      </c>
      <c r="O47" s="708">
        <f t="shared" si="25"/>
        <v>35</v>
      </c>
      <c r="P47" s="708">
        <f t="shared" si="25"/>
        <v>23</v>
      </c>
      <c r="Q47" s="708">
        <f t="shared" si="25"/>
        <v>28</v>
      </c>
      <c r="R47" s="708">
        <f t="shared" si="25"/>
        <v>22</v>
      </c>
      <c r="S47" s="708">
        <f t="shared" si="25"/>
        <v>23</v>
      </c>
      <c r="T47" s="708">
        <f t="shared" si="25"/>
        <v>26</v>
      </c>
      <c r="U47" s="708">
        <f t="shared" si="25"/>
        <v>35</v>
      </c>
      <c r="V47" s="708">
        <f t="shared" si="25"/>
        <v>15</v>
      </c>
      <c r="W47" s="708">
        <f t="shared" si="25"/>
        <v>17</v>
      </c>
      <c r="X47" s="708">
        <f t="shared" si="25"/>
        <v>19</v>
      </c>
      <c r="Y47" s="708">
        <f t="shared" si="25"/>
        <v>19</v>
      </c>
      <c r="Z47" s="708">
        <f t="shared" si="25"/>
        <v>14</v>
      </c>
      <c r="AA47" s="708">
        <f t="shared" si="25"/>
        <v>22</v>
      </c>
      <c r="AB47" s="708">
        <f t="shared" si="25"/>
        <v>22</v>
      </c>
      <c r="AC47" s="708">
        <f t="shared" si="25"/>
        <v>15</v>
      </c>
      <c r="AD47" s="708">
        <f t="shared" si="25"/>
        <v>21</v>
      </c>
      <c r="AE47" s="708">
        <f t="shared" si="25"/>
        <v>5</v>
      </c>
      <c r="AF47" s="708">
        <f t="shared" si="25"/>
        <v>9</v>
      </c>
      <c r="AG47" s="665">
        <f t="shared" si="23"/>
        <v>769</v>
      </c>
      <c r="AH47" s="666">
        <f>SUM(AH44:AH46)</f>
        <v>1</v>
      </c>
    </row>
    <row r="48" collapsed="1">
      <c r="A48" s="681" t="s">
        <v>723</v>
      </c>
      <c r="B48" s="709">
        <f t="shared" ref="B48:AF48" si="26">B53</f>
        <v>21</v>
      </c>
      <c r="C48" s="709">
        <f t="shared" si="26"/>
        <v>21</v>
      </c>
      <c r="D48" s="709">
        <f t="shared" si="26"/>
        <v>22</v>
      </c>
      <c r="E48" s="709">
        <f t="shared" si="26"/>
        <v>21</v>
      </c>
      <c r="F48" s="709">
        <f t="shared" si="26"/>
        <v>21</v>
      </c>
      <c r="G48" s="709">
        <f t="shared" si="26"/>
        <v>21</v>
      </c>
      <c r="H48" s="709">
        <f t="shared" si="26"/>
        <v>18</v>
      </c>
      <c r="I48" s="709">
        <f t="shared" si="26"/>
        <v>22</v>
      </c>
      <c r="J48" s="709">
        <f t="shared" si="26"/>
        <v>15</v>
      </c>
      <c r="K48" s="709">
        <f t="shared" si="26"/>
        <v>15</v>
      </c>
      <c r="L48" s="709">
        <f t="shared" si="26"/>
        <v>21</v>
      </c>
      <c r="M48" s="709">
        <f t="shared" si="26"/>
        <v>11</v>
      </c>
      <c r="N48" s="709">
        <f t="shared" si="26"/>
        <v>14</v>
      </c>
      <c r="O48" s="709">
        <f t="shared" si="26"/>
        <v>14</v>
      </c>
      <c r="P48" s="709">
        <f t="shared" si="26"/>
        <v>21</v>
      </c>
      <c r="Q48" s="709">
        <f t="shared" si="26"/>
        <v>9</v>
      </c>
      <c r="R48" s="709">
        <f t="shared" si="26"/>
        <v>17</v>
      </c>
      <c r="S48" s="709">
        <f t="shared" si="26"/>
        <v>15</v>
      </c>
      <c r="T48" s="709">
        <f t="shared" si="26"/>
        <v>11</v>
      </c>
      <c r="U48" s="709">
        <f t="shared" si="26"/>
        <v>18</v>
      </c>
      <c r="V48" s="709">
        <f t="shared" si="26"/>
        <v>11</v>
      </c>
      <c r="W48" s="709">
        <f t="shared" si="26"/>
        <v>14</v>
      </c>
      <c r="X48" s="709">
        <f t="shared" si="26"/>
        <v>14</v>
      </c>
      <c r="Y48" s="709">
        <f t="shared" si="26"/>
        <v>13</v>
      </c>
      <c r="Z48" s="709">
        <f t="shared" si="26"/>
        <v>17</v>
      </c>
      <c r="AA48" s="709">
        <f t="shared" si="26"/>
        <v>9</v>
      </c>
      <c r="AB48" s="709">
        <f t="shared" si="26"/>
        <v>16</v>
      </c>
      <c r="AC48" s="709">
        <f t="shared" si="26"/>
        <v>16</v>
      </c>
      <c r="AD48" s="709">
        <f t="shared" si="26"/>
        <v>12</v>
      </c>
      <c r="AE48" s="709">
        <f t="shared" si="26"/>
        <v>9</v>
      </c>
      <c r="AF48" s="709">
        <f t="shared" si="26"/>
        <v>5</v>
      </c>
      <c r="AG48" s="706"/>
      <c r="AH48" s="707"/>
    </row>
    <row r="49" hidden="1" outlineLevel="1">
      <c r="A49" s="698" t="s">
        <v>1095</v>
      </c>
      <c r="B49" s="700"/>
      <c r="C49" s="700"/>
      <c r="D49" s="700"/>
      <c r="E49" s="700"/>
      <c r="F49" s="700"/>
      <c r="G49" s="700"/>
      <c r="H49" s="700"/>
      <c r="I49" s="700"/>
      <c r="J49" s="700"/>
      <c r="K49" s="700"/>
      <c r="L49" s="700"/>
      <c r="M49" s="700"/>
      <c r="N49" s="700"/>
      <c r="O49" s="700"/>
      <c r="P49" s="700"/>
      <c r="Q49" s="700"/>
      <c r="R49" s="700"/>
      <c r="S49" s="700"/>
      <c r="T49" s="700"/>
      <c r="U49" s="700"/>
      <c r="V49" s="700"/>
      <c r="W49" s="700"/>
      <c r="X49" s="700"/>
      <c r="Y49" s="700"/>
      <c r="Z49" s="700"/>
      <c r="AA49" s="710"/>
      <c r="AB49" s="710"/>
      <c r="AC49" s="710"/>
      <c r="AD49" s="710"/>
      <c r="AE49" s="710"/>
      <c r="AF49" s="710"/>
      <c r="AG49" s="659"/>
      <c r="AH49" s="697"/>
    </row>
    <row r="50" hidden="1" outlineLevel="1">
      <c r="A50" s="661" t="s">
        <v>1096</v>
      </c>
      <c r="B50" s="657">
        <v>11.0</v>
      </c>
      <c r="C50" s="657">
        <v>7.0</v>
      </c>
      <c r="D50" s="657">
        <v>12.0</v>
      </c>
      <c r="E50" s="657">
        <v>8.0</v>
      </c>
      <c r="F50" s="657">
        <v>9.0</v>
      </c>
      <c r="G50" s="657">
        <v>7.0</v>
      </c>
      <c r="H50" s="657">
        <v>6.0</v>
      </c>
      <c r="I50" s="657">
        <v>8.0</v>
      </c>
      <c r="J50" s="657">
        <v>8.0</v>
      </c>
      <c r="K50" s="657">
        <v>6.0</v>
      </c>
      <c r="L50" s="657">
        <v>10.0</v>
      </c>
      <c r="M50" s="657">
        <v>2.0</v>
      </c>
      <c r="N50" s="657">
        <v>4.0</v>
      </c>
      <c r="O50" s="657">
        <v>10.0</v>
      </c>
      <c r="P50" s="657">
        <v>6.0</v>
      </c>
      <c r="Q50" s="657">
        <v>5.0</v>
      </c>
      <c r="R50" s="657">
        <v>8.0</v>
      </c>
      <c r="S50" s="657">
        <v>5.0</v>
      </c>
      <c r="T50" s="657">
        <v>4.0</v>
      </c>
      <c r="U50" s="657">
        <v>9.0</v>
      </c>
      <c r="V50" s="657">
        <v>4.0</v>
      </c>
      <c r="W50" s="657">
        <v>4.0</v>
      </c>
      <c r="X50" s="657">
        <v>8.0</v>
      </c>
      <c r="Y50" s="657">
        <v>3.0</v>
      </c>
      <c r="Z50" s="657">
        <v>7.0</v>
      </c>
      <c r="AA50" s="657">
        <v>5.0</v>
      </c>
      <c r="AB50" s="657">
        <v>11.0</v>
      </c>
      <c r="AC50" s="657">
        <v>4.0</v>
      </c>
      <c r="AD50" s="657">
        <v>7.0</v>
      </c>
      <c r="AE50" s="657">
        <v>2.0</v>
      </c>
      <c r="AF50" s="657">
        <v>4.0</v>
      </c>
      <c r="AG50" s="659">
        <f t="shared" ref="AG50:AG53" si="27">SUM(B50:AF50)</f>
        <v>204</v>
      </c>
      <c r="AH50" s="660">
        <f t="shared" ref="AH50:AH52" si="28">iferror(AG50/AG$53,"")</f>
        <v>0.4214876033</v>
      </c>
    </row>
    <row r="51" hidden="1" outlineLevel="1">
      <c r="A51" s="661" t="s">
        <v>1097</v>
      </c>
      <c r="B51" s="657">
        <v>9.0</v>
      </c>
      <c r="C51" s="657">
        <v>10.0</v>
      </c>
      <c r="D51" s="657">
        <v>8.0</v>
      </c>
      <c r="E51" s="657">
        <v>8.0</v>
      </c>
      <c r="F51" s="657">
        <v>8.0</v>
      </c>
      <c r="G51" s="657">
        <v>8.0</v>
      </c>
      <c r="H51" s="657">
        <v>9.0</v>
      </c>
      <c r="I51" s="657">
        <v>14.0</v>
      </c>
      <c r="J51" s="657">
        <v>7.0</v>
      </c>
      <c r="K51" s="657">
        <v>4.0</v>
      </c>
      <c r="L51" s="657">
        <v>9.0</v>
      </c>
      <c r="M51" s="657">
        <v>6.0</v>
      </c>
      <c r="N51" s="657">
        <v>8.0</v>
      </c>
      <c r="O51" s="657">
        <v>4.0</v>
      </c>
      <c r="P51" s="657">
        <v>12.0</v>
      </c>
      <c r="Q51" s="657">
        <v>2.0</v>
      </c>
      <c r="R51" s="657">
        <v>5.0</v>
      </c>
      <c r="S51" s="657">
        <v>6.0</v>
      </c>
      <c r="T51" s="657">
        <v>6.0</v>
      </c>
      <c r="U51" s="657">
        <v>7.0</v>
      </c>
      <c r="V51" s="657">
        <v>5.0</v>
      </c>
      <c r="W51" s="657">
        <v>6.0</v>
      </c>
      <c r="X51" s="657">
        <v>6.0</v>
      </c>
      <c r="Y51" s="657">
        <v>7.0</v>
      </c>
      <c r="Z51" s="657">
        <v>6.0</v>
      </c>
      <c r="AA51" s="657">
        <v>3.0</v>
      </c>
      <c r="AB51" s="657">
        <v>4.0</v>
      </c>
      <c r="AC51" s="657">
        <v>10.0</v>
      </c>
      <c r="AD51" s="657">
        <v>4.0</v>
      </c>
      <c r="AE51" s="657">
        <v>4.0</v>
      </c>
      <c r="AF51" s="657">
        <v>1.0</v>
      </c>
      <c r="AG51" s="659">
        <f t="shared" si="27"/>
        <v>206</v>
      </c>
      <c r="AH51" s="660">
        <f t="shared" si="28"/>
        <v>0.4256198347</v>
      </c>
    </row>
    <row r="52" hidden="1" outlineLevel="1">
      <c r="A52" s="661" t="s">
        <v>1098</v>
      </c>
      <c r="B52" s="657">
        <v>1.0</v>
      </c>
      <c r="C52" s="657">
        <v>4.0</v>
      </c>
      <c r="D52" s="657">
        <v>2.0</v>
      </c>
      <c r="E52" s="657">
        <v>5.0</v>
      </c>
      <c r="F52" s="657">
        <v>4.0</v>
      </c>
      <c r="G52" s="657">
        <v>6.0</v>
      </c>
      <c r="H52" s="657">
        <v>3.0</v>
      </c>
      <c r="I52" s="657">
        <v>0.0</v>
      </c>
      <c r="J52" s="657">
        <v>0.0</v>
      </c>
      <c r="K52" s="657">
        <v>5.0</v>
      </c>
      <c r="L52" s="657">
        <v>2.0</v>
      </c>
      <c r="M52" s="657">
        <v>3.0</v>
      </c>
      <c r="N52" s="657">
        <v>2.0</v>
      </c>
      <c r="O52" s="657">
        <v>0.0</v>
      </c>
      <c r="P52" s="657">
        <v>3.0</v>
      </c>
      <c r="Q52" s="657">
        <v>2.0</v>
      </c>
      <c r="R52" s="657">
        <v>4.0</v>
      </c>
      <c r="S52" s="657">
        <v>4.0</v>
      </c>
      <c r="T52" s="657">
        <v>1.0</v>
      </c>
      <c r="U52" s="657">
        <v>2.0</v>
      </c>
      <c r="V52" s="657">
        <v>2.0</v>
      </c>
      <c r="W52" s="657">
        <v>4.0</v>
      </c>
      <c r="X52" s="657">
        <v>0.0</v>
      </c>
      <c r="Y52" s="657">
        <v>3.0</v>
      </c>
      <c r="Z52" s="657">
        <v>4.0</v>
      </c>
      <c r="AA52" s="657">
        <v>1.0</v>
      </c>
      <c r="AB52" s="657">
        <v>1.0</v>
      </c>
      <c r="AC52" s="657">
        <v>2.0</v>
      </c>
      <c r="AD52" s="657">
        <v>1.0</v>
      </c>
      <c r="AE52" s="657">
        <v>3.0</v>
      </c>
      <c r="AF52" s="657">
        <v>0.0</v>
      </c>
      <c r="AG52" s="659">
        <f t="shared" si="27"/>
        <v>74</v>
      </c>
      <c r="AH52" s="660">
        <f t="shared" si="28"/>
        <v>0.152892562</v>
      </c>
    </row>
    <row r="53" hidden="1" outlineLevel="1">
      <c r="A53" s="703" t="s">
        <v>1091</v>
      </c>
      <c r="B53" s="708">
        <f t="shared" ref="B53:AF53" si="29">SUM(B50:B52)</f>
        <v>21</v>
      </c>
      <c r="C53" s="708">
        <f t="shared" si="29"/>
        <v>21</v>
      </c>
      <c r="D53" s="708">
        <f t="shared" si="29"/>
        <v>22</v>
      </c>
      <c r="E53" s="708">
        <f t="shared" si="29"/>
        <v>21</v>
      </c>
      <c r="F53" s="708">
        <f t="shared" si="29"/>
        <v>21</v>
      </c>
      <c r="G53" s="708">
        <f t="shared" si="29"/>
        <v>21</v>
      </c>
      <c r="H53" s="708">
        <f t="shared" si="29"/>
        <v>18</v>
      </c>
      <c r="I53" s="708">
        <f t="shared" si="29"/>
        <v>22</v>
      </c>
      <c r="J53" s="708">
        <f t="shared" si="29"/>
        <v>15</v>
      </c>
      <c r="K53" s="708">
        <f t="shared" si="29"/>
        <v>15</v>
      </c>
      <c r="L53" s="708">
        <f t="shared" si="29"/>
        <v>21</v>
      </c>
      <c r="M53" s="708">
        <f t="shared" si="29"/>
        <v>11</v>
      </c>
      <c r="N53" s="708">
        <f t="shared" si="29"/>
        <v>14</v>
      </c>
      <c r="O53" s="708">
        <f t="shared" si="29"/>
        <v>14</v>
      </c>
      <c r="P53" s="708">
        <f t="shared" si="29"/>
        <v>21</v>
      </c>
      <c r="Q53" s="708">
        <f t="shared" si="29"/>
        <v>9</v>
      </c>
      <c r="R53" s="708">
        <f t="shared" si="29"/>
        <v>17</v>
      </c>
      <c r="S53" s="708">
        <f t="shared" si="29"/>
        <v>15</v>
      </c>
      <c r="T53" s="708">
        <f t="shared" si="29"/>
        <v>11</v>
      </c>
      <c r="U53" s="708">
        <f t="shared" si="29"/>
        <v>18</v>
      </c>
      <c r="V53" s="708">
        <f t="shared" si="29"/>
        <v>11</v>
      </c>
      <c r="W53" s="708">
        <f t="shared" si="29"/>
        <v>14</v>
      </c>
      <c r="X53" s="708">
        <f t="shared" si="29"/>
        <v>14</v>
      </c>
      <c r="Y53" s="708">
        <f t="shared" si="29"/>
        <v>13</v>
      </c>
      <c r="Z53" s="708">
        <f t="shared" si="29"/>
        <v>17</v>
      </c>
      <c r="AA53" s="708">
        <f t="shared" si="29"/>
        <v>9</v>
      </c>
      <c r="AB53" s="708">
        <f t="shared" si="29"/>
        <v>16</v>
      </c>
      <c r="AC53" s="708">
        <f t="shared" si="29"/>
        <v>16</v>
      </c>
      <c r="AD53" s="708">
        <f t="shared" si="29"/>
        <v>12</v>
      </c>
      <c r="AE53" s="708">
        <f t="shared" si="29"/>
        <v>9</v>
      </c>
      <c r="AF53" s="708">
        <f t="shared" si="29"/>
        <v>5</v>
      </c>
      <c r="AG53" s="665">
        <f t="shared" si="27"/>
        <v>484</v>
      </c>
      <c r="AH53" s="666">
        <f>SUM(AH50:AH52)</f>
        <v>1</v>
      </c>
    </row>
    <row r="54" collapsed="1">
      <c r="A54" s="587" t="s">
        <v>724</v>
      </c>
      <c r="B54" s="709">
        <f t="shared" ref="B54:AF54" si="30">B59</f>
        <v>21</v>
      </c>
      <c r="C54" s="709">
        <f t="shared" si="30"/>
        <v>20</v>
      </c>
      <c r="D54" s="709">
        <f t="shared" si="30"/>
        <v>25</v>
      </c>
      <c r="E54" s="709">
        <f t="shared" si="30"/>
        <v>24</v>
      </c>
      <c r="F54" s="709">
        <f t="shared" si="30"/>
        <v>24</v>
      </c>
      <c r="G54" s="709">
        <f t="shared" si="30"/>
        <v>17</v>
      </c>
      <c r="H54" s="709">
        <f t="shared" si="30"/>
        <v>25</v>
      </c>
      <c r="I54" s="709">
        <f t="shared" si="30"/>
        <v>20</v>
      </c>
      <c r="J54" s="709">
        <f t="shared" si="30"/>
        <v>20</v>
      </c>
      <c r="K54" s="709">
        <f t="shared" si="30"/>
        <v>11</v>
      </c>
      <c r="L54" s="709">
        <f t="shared" si="30"/>
        <v>16</v>
      </c>
      <c r="M54" s="709">
        <f t="shared" si="30"/>
        <v>22</v>
      </c>
      <c r="N54" s="709">
        <f t="shared" si="30"/>
        <v>13</v>
      </c>
      <c r="O54" s="709">
        <f t="shared" si="30"/>
        <v>13</v>
      </c>
      <c r="P54" s="709">
        <f t="shared" si="30"/>
        <v>17</v>
      </c>
      <c r="Q54" s="709">
        <f t="shared" si="30"/>
        <v>11</v>
      </c>
      <c r="R54" s="709">
        <f t="shared" si="30"/>
        <v>25</v>
      </c>
      <c r="S54" s="709">
        <f t="shared" si="30"/>
        <v>12</v>
      </c>
      <c r="T54" s="709">
        <f t="shared" si="30"/>
        <v>16</v>
      </c>
      <c r="U54" s="709">
        <f t="shared" si="30"/>
        <v>18</v>
      </c>
      <c r="V54" s="709">
        <f t="shared" si="30"/>
        <v>16</v>
      </c>
      <c r="W54" s="709">
        <f t="shared" si="30"/>
        <v>9</v>
      </c>
      <c r="X54" s="709">
        <f t="shared" si="30"/>
        <v>9</v>
      </c>
      <c r="Y54" s="709">
        <f t="shared" si="30"/>
        <v>10</v>
      </c>
      <c r="Z54" s="709">
        <f t="shared" si="30"/>
        <v>12</v>
      </c>
      <c r="AA54" s="709">
        <f t="shared" si="30"/>
        <v>9</v>
      </c>
      <c r="AB54" s="709">
        <f t="shared" si="30"/>
        <v>15</v>
      </c>
      <c r="AC54" s="709">
        <f t="shared" si="30"/>
        <v>11</v>
      </c>
      <c r="AD54" s="709">
        <f t="shared" si="30"/>
        <v>20</v>
      </c>
      <c r="AE54" s="709">
        <f t="shared" si="30"/>
        <v>17</v>
      </c>
      <c r="AF54" s="709">
        <f t="shared" si="30"/>
        <v>9</v>
      </c>
      <c r="AG54" s="706"/>
      <c r="AH54" s="707"/>
    </row>
    <row r="55" hidden="1" outlineLevel="1">
      <c r="A55" s="698" t="s">
        <v>1095</v>
      </c>
      <c r="B55" s="700"/>
      <c r="C55" s="700"/>
      <c r="D55" s="700"/>
      <c r="E55" s="700"/>
      <c r="F55" s="700"/>
      <c r="G55" s="700"/>
      <c r="H55" s="700"/>
      <c r="I55" s="700"/>
      <c r="J55" s="700"/>
      <c r="K55" s="700"/>
      <c r="L55" s="700"/>
      <c r="M55" s="700"/>
      <c r="N55" s="700"/>
      <c r="O55" s="700"/>
      <c r="P55" s="700"/>
      <c r="Q55" s="700"/>
      <c r="R55" s="700"/>
      <c r="S55" s="700"/>
      <c r="T55" s="700"/>
      <c r="U55" s="700"/>
      <c r="V55" s="700"/>
      <c r="W55" s="700"/>
      <c r="X55" s="700"/>
      <c r="Y55" s="700"/>
      <c r="Z55" s="700"/>
      <c r="AA55" s="710"/>
      <c r="AB55" s="710"/>
      <c r="AC55" s="710"/>
      <c r="AD55" s="710"/>
      <c r="AE55" s="710"/>
      <c r="AF55" s="710"/>
      <c r="AG55" s="659"/>
      <c r="AH55" s="697"/>
    </row>
    <row r="56" hidden="1" outlineLevel="1">
      <c r="A56" s="661" t="s">
        <v>1096</v>
      </c>
      <c r="B56" s="657">
        <v>6.0</v>
      </c>
      <c r="C56" s="657">
        <v>6.0</v>
      </c>
      <c r="D56" s="657">
        <v>6.0</v>
      </c>
      <c r="E56" s="657">
        <v>9.0</v>
      </c>
      <c r="F56" s="657">
        <v>10.0</v>
      </c>
      <c r="G56" s="657">
        <v>11.0</v>
      </c>
      <c r="H56" s="657">
        <v>9.0</v>
      </c>
      <c r="I56" s="657">
        <v>8.0</v>
      </c>
      <c r="J56" s="657">
        <v>9.0</v>
      </c>
      <c r="K56" s="657">
        <v>3.0</v>
      </c>
      <c r="L56" s="657">
        <v>11.0</v>
      </c>
      <c r="M56" s="657">
        <v>14.0</v>
      </c>
      <c r="N56" s="657">
        <v>11.0</v>
      </c>
      <c r="O56" s="657">
        <v>6.0</v>
      </c>
      <c r="P56" s="657">
        <v>10.0</v>
      </c>
      <c r="Q56" s="657">
        <v>6.0</v>
      </c>
      <c r="R56" s="657">
        <v>15.0</v>
      </c>
      <c r="S56" s="657">
        <v>8.0</v>
      </c>
      <c r="T56" s="657">
        <v>8.0</v>
      </c>
      <c r="U56" s="657">
        <v>7.0</v>
      </c>
      <c r="V56" s="657">
        <v>6.0</v>
      </c>
      <c r="W56" s="657">
        <v>4.0</v>
      </c>
      <c r="X56" s="657">
        <v>3.0</v>
      </c>
      <c r="Y56" s="657">
        <v>3.0</v>
      </c>
      <c r="Z56" s="657">
        <v>7.0</v>
      </c>
      <c r="AA56" s="657">
        <v>5.0</v>
      </c>
      <c r="AB56" s="657">
        <v>9.0</v>
      </c>
      <c r="AC56" s="657">
        <v>7.0</v>
      </c>
      <c r="AD56" s="657">
        <v>8.0</v>
      </c>
      <c r="AE56" s="657">
        <v>10.0</v>
      </c>
      <c r="AF56" s="657">
        <v>2.0</v>
      </c>
      <c r="AG56" s="659">
        <f t="shared" ref="AG56:AG59" si="31">SUM(B56:AF56)</f>
        <v>237</v>
      </c>
      <c r="AH56" s="660">
        <f t="shared" ref="AH56:AH58" si="32">iferror(AG56/AG$59,"")</f>
        <v>0.4674556213</v>
      </c>
    </row>
    <row r="57" hidden="1" outlineLevel="1">
      <c r="A57" s="661" t="s">
        <v>1097</v>
      </c>
      <c r="B57" s="657">
        <v>12.0</v>
      </c>
      <c r="C57" s="657">
        <v>8.0</v>
      </c>
      <c r="D57" s="657">
        <v>17.0</v>
      </c>
      <c r="E57" s="657">
        <v>12.0</v>
      </c>
      <c r="F57" s="657">
        <v>13.0</v>
      </c>
      <c r="G57" s="657">
        <v>5.0</v>
      </c>
      <c r="H57" s="657">
        <v>11.0</v>
      </c>
      <c r="I57" s="657">
        <v>10.0</v>
      </c>
      <c r="J57" s="657">
        <v>10.0</v>
      </c>
      <c r="K57" s="657">
        <v>8.0</v>
      </c>
      <c r="L57" s="657">
        <v>3.0</v>
      </c>
      <c r="M57" s="657">
        <v>7.0</v>
      </c>
      <c r="N57" s="657">
        <v>0.0</v>
      </c>
      <c r="O57" s="657">
        <v>6.0</v>
      </c>
      <c r="P57" s="657">
        <v>6.0</v>
      </c>
      <c r="Q57" s="657">
        <v>5.0</v>
      </c>
      <c r="R57" s="657">
        <v>9.0</v>
      </c>
      <c r="S57" s="657">
        <v>4.0</v>
      </c>
      <c r="T57" s="657">
        <v>7.0</v>
      </c>
      <c r="U57" s="657">
        <v>9.0</v>
      </c>
      <c r="V57" s="657">
        <v>10.0</v>
      </c>
      <c r="W57" s="657">
        <v>5.0</v>
      </c>
      <c r="X57" s="657">
        <v>4.0</v>
      </c>
      <c r="Y57" s="657">
        <v>3.0</v>
      </c>
      <c r="Z57" s="657">
        <v>3.0</v>
      </c>
      <c r="AA57" s="657">
        <v>3.0</v>
      </c>
      <c r="AB57" s="657">
        <v>6.0</v>
      </c>
      <c r="AC57" s="657">
        <v>3.0</v>
      </c>
      <c r="AD57" s="657">
        <v>8.0</v>
      </c>
      <c r="AE57" s="657">
        <v>4.0</v>
      </c>
      <c r="AF57" s="657">
        <v>7.0</v>
      </c>
      <c r="AG57" s="659">
        <f t="shared" si="31"/>
        <v>218</v>
      </c>
      <c r="AH57" s="660">
        <f t="shared" si="32"/>
        <v>0.4299802761</v>
      </c>
    </row>
    <row r="58" hidden="1" outlineLevel="1">
      <c r="A58" s="661" t="s">
        <v>1098</v>
      </c>
      <c r="B58" s="657">
        <v>3.0</v>
      </c>
      <c r="C58" s="657">
        <v>6.0</v>
      </c>
      <c r="D58" s="657">
        <v>2.0</v>
      </c>
      <c r="E58" s="657">
        <v>3.0</v>
      </c>
      <c r="F58" s="657">
        <v>1.0</v>
      </c>
      <c r="G58" s="657">
        <v>1.0</v>
      </c>
      <c r="H58" s="657">
        <v>5.0</v>
      </c>
      <c r="I58" s="657">
        <v>2.0</v>
      </c>
      <c r="J58" s="657">
        <v>1.0</v>
      </c>
      <c r="K58" s="657">
        <v>0.0</v>
      </c>
      <c r="L58" s="657">
        <v>2.0</v>
      </c>
      <c r="M58" s="657">
        <v>1.0</v>
      </c>
      <c r="N58" s="657">
        <v>2.0</v>
      </c>
      <c r="O58" s="657">
        <v>1.0</v>
      </c>
      <c r="P58" s="657">
        <v>1.0</v>
      </c>
      <c r="Q58" s="657">
        <v>0.0</v>
      </c>
      <c r="R58" s="657">
        <v>1.0</v>
      </c>
      <c r="S58" s="657">
        <v>0.0</v>
      </c>
      <c r="T58" s="657">
        <v>1.0</v>
      </c>
      <c r="U58" s="657">
        <v>2.0</v>
      </c>
      <c r="V58" s="657">
        <v>0.0</v>
      </c>
      <c r="W58" s="657">
        <v>0.0</v>
      </c>
      <c r="X58" s="657">
        <v>2.0</v>
      </c>
      <c r="Y58" s="657">
        <v>4.0</v>
      </c>
      <c r="Z58" s="657">
        <v>2.0</v>
      </c>
      <c r="AA58" s="657">
        <v>1.0</v>
      </c>
      <c r="AB58" s="657">
        <v>0.0</v>
      </c>
      <c r="AC58" s="657">
        <v>1.0</v>
      </c>
      <c r="AD58" s="657">
        <v>4.0</v>
      </c>
      <c r="AE58" s="657">
        <v>3.0</v>
      </c>
      <c r="AF58" s="657">
        <v>0.0</v>
      </c>
      <c r="AG58" s="659">
        <f t="shared" si="31"/>
        <v>52</v>
      </c>
      <c r="AH58" s="660">
        <f t="shared" si="32"/>
        <v>0.1025641026</v>
      </c>
    </row>
    <row r="59" hidden="1" outlineLevel="1">
      <c r="A59" s="703" t="s">
        <v>1091</v>
      </c>
      <c r="B59" s="708">
        <f t="shared" ref="B59:AF59" si="33">SUM(B56:B58)</f>
        <v>21</v>
      </c>
      <c r="C59" s="708">
        <f t="shared" si="33"/>
        <v>20</v>
      </c>
      <c r="D59" s="708">
        <f t="shared" si="33"/>
        <v>25</v>
      </c>
      <c r="E59" s="708">
        <f t="shared" si="33"/>
        <v>24</v>
      </c>
      <c r="F59" s="708">
        <f t="shared" si="33"/>
        <v>24</v>
      </c>
      <c r="G59" s="708">
        <f t="shared" si="33"/>
        <v>17</v>
      </c>
      <c r="H59" s="708">
        <f t="shared" si="33"/>
        <v>25</v>
      </c>
      <c r="I59" s="708">
        <f t="shared" si="33"/>
        <v>20</v>
      </c>
      <c r="J59" s="708">
        <f t="shared" si="33"/>
        <v>20</v>
      </c>
      <c r="K59" s="708">
        <f t="shared" si="33"/>
        <v>11</v>
      </c>
      <c r="L59" s="708">
        <f t="shared" si="33"/>
        <v>16</v>
      </c>
      <c r="M59" s="708">
        <f t="shared" si="33"/>
        <v>22</v>
      </c>
      <c r="N59" s="708">
        <f t="shared" si="33"/>
        <v>13</v>
      </c>
      <c r="O59" s="708">
        <f t="shared" si="33"/>
        <v>13</v>
      </c>
      <c r="P59" s="708">
        <f t="shared" si="33"/>
        <v>17</v>
      </c>
      <c r="Q59" s="708">
        <f t="shared" si="33"/>
        <v>11</v>
      </c>
      <c r="R59" s="708">
        <f t="shared" si="33"/>
        <v>25</v>
      </c>
      <c r="S59" s="708">
        <f t="shared" si="33"/>
        <v>12</v>
      </c>
      <c r="T59" s="708">
        <f t="shared" si="33"/>
        <v>16</v>
      </c>
      <c r="U59" s="708">
        <f t="shared" si="33"/>
        <v>18</v>
      </c>
      <c r="V59" s="708">
        <f t="shared" si="33"/>
        <v>16</v>
      </c>
      <c r="W59" s="708">
        <f t="shared" si="33"/>
        <v>9</v>
      </c>
      <c r="X59" s="708">
        <f t="shared" si="33"/>
        <v>9</v>
      </c>
      <c r="Y59" s="708">
        <f t="shared" si="33"/>
        <v>10</v>
      </c>
      <c r="Z59" s="708">
        <f t="shared" si="33"/>
        <v>12</v>
      </c>
      <c r="AA59" s="708">
        <f t="shared" si="33"/>
        <v>9</v>
      </c>
      <c r="AB59" s="708">
        <f t="shared" si="33"/>
        <v>15</v>
      </c>
      <c r="AC59" s="708">
        <f t="shared" si="33"/>
        <v>11</v>
      </c>
      <c r="AD59" s="708">
        <f t="shared" si="33"/>
        <v>20</v>
      </c>
      <c r="AE59" s="708">
        <f t="shared" si="33"/>
        <v>17</v>
      </c>
      <c r="AF59" s="708">
        <f t="shared" si="33"/>
        <v>9</v>
      </c>
      <c r="AG59" s="665">
        <f t="shared" si="31"/>
        <v>507</v>
      </c>
      <c r="AH59" s="666">
        <f>SUM(AH56:AH58)</f>
        <v>1</v>
      </c>
    </row>
    <row r="60">
      <c r="A60" s="711" t="s">
        <v>1091</v>
      </c>
      <c r="B60" s="712">
        <f t="shared" ref="B60:AF60" si="34">SUM(B36,B42,B48,B54)</f>
        <v>115</v>
      </c>
      <c r="C60" s="712">
        <f t="shared" si="34"/>
        <v>100</v>
      </c>
      <c r="D60" s="712">
        <f t="shared" si="34"/>
        <v>111</v>
      </c>
      <c r="E60" s="712">
        <f t="shared" si="34"/>
        <v>95</v>
      </c>
      <c r="F60" s="712">
        <f t="shared" si="34"/>
        <v>117</v>
      </c>
      <c r="G60" s="712">
        <f t="shared" si="34"/>
        <v>115</v>
      </c>
      <c r="H60" s="712">
        <f t="shared" si="34"/>
        <v>132</v>
      </c>
      <c r="I60" s="712">
        <f t="shared" si="34"/>
        <v>94</v>
      </c>
      <c r="J60" s="712">
        <f t="shared" si="34"/>
        <v>79</v>
      </c>
      <c r="K60" s="712">
        <f t="shared" si="34"/>
        <v>59</v>
      </c>
      <c r="L60" s="712">
        <f t="shared" si="34"/>
        <v>78</v>
      </c>
      <c r="M60" s="712">
        <f t="shared" si="34"/>
        <v>87</v>
      </c>
      <c r="N60" s="712">
        <f t="shared" si="34"/>
        <v>89</v>
      </c>
      <c r="O60" s="712">
        <f t="shared" si="34"/>
        <v>97</v>
      </c>
      <c r="P60" s="712">
        <f t="shared" si="34"/>
        <v>78</v>
      </c>
      <c r="Q60" s="712">
        <f t="shared" si="34"/>
        <v>70</v>
      </c>
      <c r="R60" s="712">
        <f t="shared" si="34"/>
        <v>84</v>
      </c>
      <c r="S60" s="712">
        <f t="shared" si="34"/>
        <v>67</v>
      </c>
      <c r="T60" s="713">
        <f t="shared" si="34"/>
        <v>77</v>
      </c>
      <c r="U60" s="713">
        <f t="shared" si="34"/>
        <v>92</v>
      </c>
      <c r="V60" s="713">
        <f t="shared" si="34"/>
        <v>72</v>
      </c>
      <c r="W60" s="713">
        <f t="shared" si="34"/>
        <v>60</v>
      </c>
      <c r="X60" s="713">
        <f t="shared" si="34"/>
        <v>59</v>
      </c>
      <c r="Y60" s="713">
        <f t="shared" si="34"/>
        <v>55</v>
      </c>
      <c r="Z60" s="713">
        <f t="shared" si="34"/>
        <v>59</v>
      </c>
      <c r="AA60" s="713">
        <f t="shared" si="34"/>
        <v>56</v>
      </c>
      <c r="AB60" s="713">
        <f t="shared" si="34"/>
        <v>62</v>
      </c>
      <c r="AC60" s="713">
        <f t="shared" si="34"/>
        <v>65</v>
      </c>
      <c r="AD60" s="713">
        <f t="shared" si="34"/>
        <v>68</v>
      </c>
      <c r="AE60" s="713">
        <f t="shared" si="34"/>
        <v>43</v>
      </c>
      <c r="AF60" s="713">
        <f t="shared" si="34"/>
        <v>34</v>
      </c>
      <c r="AG60" s="714"/>
      <c r="AH60" s="715"/>
    </row>
    <row r="61">
      <c r="A61" s="716" t="s">
        <v>1099</v>
      </c>
      <c r="B61" s="717">
        <v>45292.0</v>
      </c>
      <c r="C61" s="717">
        <v>45293.0</v>
      </c>
      <c r="D61" s="717">
        <v>45294.0</v>
      </c>
      <c r="E61" s="717">
        <v>45295.0</v>
      </c>
      <c r="F61" s="717">
        <v>45296.0</v>
      </c>
      <c r="G61" s="717">
        <v>45297.0</v>
      </c>
      <c r="H61" s="717">
        <v>45298.0</v>
      </c>
      <c r="I61" s="717">
        <v>45299.0</v>
      </c>
      <c r="J61" s="717">
        <v>45300.0</v>
      </c>
      <c r="K61" s="717">
        <v>45301.0</v>
      </c>
      <c r="L61" s="717">
        <v>45302.0</v>
      </c>
      <c r="M61" s="717">
        <v>45303.0</v>
      </c>
      <c r="N61" s="717">
        <v>45304.0</v>
      </c>
      <c r="O61" s="717">
        <v>45305.0</v>
      </c>
      <c r="P61" s="717">
        <v>45306.0</v>
      </c>
      <c r="Q61" s="717">
        <v>45307.0</v>
      </c>
      <c r="R61" s="717">
        <v>45308.0</v>
      </c>
      <c r="S61" s="717">
        <v>45309.0</v>
      </c>
      <c r="T61" s="717">
        <v>45310.0</v>
      </c>
      <c r="U61" s="717">
        <v>45311.0</v>
      </c>
      <c r="V61" s="717">
        <v>45312.0</v>
      </c>
      <c r="W61" s="717">
        <v>45313.0</v>
      </c>
      <c r="X61" s="717">
        <v>45314.0</v>
      </c>
      <c r="Y61" s="717">
        <v>45315.0</v>
      </c>
      <c r="Z61" s="717">
        <v>45316.0</v>
      </c>
      <c r="AA61" s="717">
        <v>45317.0</v>
      </c>
      <c r="AB61" s="717">
        <v>45318.0</v>
      </c>
      <c r="AC61" s="717">
        <v>45319.0</v>
      </c>
      <c r="AD61" s="717">
        <v>45320.0</v>
      </c>
      <c r="AE61" s="717">
        <v>45321.0</v>
      </c>
      <c r="AF61" s="718">
        <v>45322.0</v>
      </c>
      <c r="AG61" s="695"/>
      <c r="AH61" s="696"/>
    </row>
    <row r="62" collapsed="1">
      <c r="A62" s="687" t="s">
        <v>717</v>
      </c>
      <c r="B62" s="719">
        <f t="shared" ref="B62:AF62" si="35">iferror(B36/B$60,"")</f>
        <v>0.3217391304</v>
      </c>
      <c r="C62" s="719">
        <f t="shared" si="35"/>
        <v>0.31</v>
      </c>
      <c r="D62" s="719">
        <f t="shared" si="35"/>
        <v>0.2972972973</v>
      </c>
      <c r="E62" s="719">
        <f t="shared" si="35"/>
        <v>0.3052631579</v>
      </c>
      <c r="F62" s="719">
        <f t="shared" si="35"/>
        <v>0.3247863248</v>
      </c>
      <c r="G62" s="719">
        <f t="shared" si="35"/>
        <v>0.3043478261</v>
      </c>
      <c r="H62" s="719">
        <f t="shared" si="35"/>
        <v>0.2803030303</v>
      </c>
      <c r="I62" s="719">
        <f t="shared" si="35"/>
        <v>0.2872340426</v>
      </c>
      <c r="J62" s="719">
        <f t="shared" si="35"/>
        <v>0.2911392405</v>
      </c>
      <c r="K62" s="719">
        <f t="shared" si="35"/>
        <v>0.2033898305</v>
      </c>
      <c r="L62" s="719">
        <f t="shared" si="35"/>
        <v>0.2435897436</v>
      </c>
      <c r="M62" s="719">
        <f t="shared" si="35"/>
        <v>0.2643678161</v>
      </c>
      <c r="N62" s="719">
        <f t="shared" si="35"/>
        <v>0.3033707865</v>
      </c>
      <c r="O62" s="719">
        <f t="shared" si="35"/>
        <v>0.3608247423</v>
      </c>
      <c r="P62" s="719">
        <f t="shared" si="35"/>
        <v>0.2179487179</v>
      </c>
      <c r="Q62" s="719">
        <f t="shared" si="35"/>
        <v>0.3142857143</v>
      </c>
      <c r="R62" s="719">
        <f t="shared" si="35"/>
        <v>0.2380952381</v>
      </c>
      <c r="S62" s="719">
        <f t="shared" si="35"/>
        <v>0.2537313433</v>
      </c>
      <c r="T62" s="719">
        <f t="shared" si="35"/>
        <v>0.3116883117</v>
      </c>
      <c r="U62" s="719">
        <f t="shared" si="35"/>
        <v>0.2282608696</v>
      </c>
      <c r="V62" s="719">
        <f t="shared" si="35"/>
        <v>0.4166666667</v>
      </c>
      <c r="W62" s="719">
        <f t="shared" si="35"/>
        <v>0.3333333333</v>
      </c>
      <c r="X62" s="719">
        <f t="shared" si="35"/>
        <v>0.2881355932</v>
      </c>
      <c r="Y62" s="719">
        <f t="shared" si="35"/>
        <v>0.2363636364</v>
      </c>
      <c r="Z62" s="719">
        <f t="shared" si="35"/>
        <v>0.2711864407</v>
      </c>
      <c r="AA62" s="719">
        <f t="shared" si="35"/>
        <v>0.2857142857</v>
      </c>
      <c r="AB62" s="719">
        <f t="shared" si="35"/>
        <v>0.1451612903</v>
      </c>
      <c r="AC62" s="719">
        <f t="shared" si="35"/>
        <v>0.3538461538</v>
      </c>
      <c r="AD62" s="719">
        <f t="shared" si="35"/>
        <v>0.2205882353</v>
      </c>
      <c r="AE62" s="719">
        <f t="shared" si="35"/>
        <v>0.2790697674</v>
      </c>
      <c r="AF62" s="720">
        <f t="shared" si="35"/>
        <v>0.3235294118</v>
      </c>
      <c r="AG62" s="674"/>
      <c r="AH62" s="721"/>
    </row>
    <row r="63" hidden="1" outlineLevel="1">
      <c r="A63" s="722" t="s">
        <v>1095</v>
      </c>
      <c r="B63" s="672"/>
      <c r="C63" s="672"/>
      <c r="D63" s="672"/>
      <c r="E63" s="672"/>
      <c r="F63" s="672"/>
      <c r="G63" s="672"/>
      <c r="H63" s="672"/>
      <c r="I63" s="672"/>
      <c r="J63" s="672"/>
      <c r="K63" s="672"/>
      <c r="L63" s="672"/>
      <c r="M63" s="672"/>
      <c r="N63" s="672"/>
      <c r="O63" s="672"/>
      <c r="P63" s="672"/>
      <c r="Q63" s="672"/>
      <c r="R63" s="672"/>
      <c r="S63" s="672"/>
      <c r="T63" s="672"/>
      <c r="U63" s="672"/>
      <c r="V63" s="672"/>
      <c r="W63" s="672"/>
      <c r="X63" s="672"/>
      <c r="Y63" s="672"/>
      <c r="Z63" s="672"/>
      <c r="AA63" s="672"/>
      <c r="AB63" s="672"/>
      <c r="AC63" s="672"/>
      <c r="AD63" s="672"/>
      <c r="AE63" s="672"/>
      <c r="AF63" s="723"/>
      <c r="AG63" s="674"/>
      <c r="AH63" s="721"/>
    </row>
    <row r="64" hidden="1" outlineLevel="1">
      <c r="A64" s="496" t="s">
        <v>1096</v>
      </c>
      <c r="B64" s="672">
        <f t="shared" ref="B64:AF64" si="36">iferror(B38/B$41,"")</f>
        <v>0.5675675676</v>
      </c>
      <c r="C64" s="672">
        <f t="shared" si="36"/>
        <v>0.8064516129</v>
      </c>
      <c r="D64" s="672">
        <f t="shared" si="36"/>
        <v>0.5757575758</v>
      </c>
      <c r="E64" s="672">
        <f t="shared" si="36"/>
        <v>0.5517241379</v>
      </c>
      <c r="F64" s="672">
        <f t="shared" si="36"/>
        <v>0.7105263158</v>
      </c>
      <c r="G64" s="672">
        <f t="shared" si="36"/>
        <v>0.8571428571</v>
      </c>
      <c r="H64" s="672">
        <f t="shared" si="36"/>
        <v>0.6486486486</v>
      </c>
      <c r="I64" s="672">
        <f t="shared" si="36"/>
        <v>0.5925925926</v>
      </c>
      <c r="J64" s="672">
        <f t="shared" si="36"/>
        <v>0.6956521739</v>
      </c>
      <c r="K64" s="672">
        <f t="shared" si="36"/>
        <v>0.5833333333</v>
      </c>
      <c r="L64" s="672">
        <f t="shared" si="36"/>
        <v>0.6842105263</v>
      </c>
      <c r="M64" s="672">
        <f t="shared" si="36"/>
        <v>0.652173913</v>
      </c>
      <c r="N64" s="672">
        <f t="shared" si="36"/>
        <v>0.5555555556</v>
      </c>
      <c r="O64" s="672">
        <f t="shared" si="36"/>
        <v>0.8</v>
      </c>
      <c r="P64" s="672">
        <f t="shared" si="36"/>
        <v>0.7647058824</v>
      </c>
      <c r="Q64" s="672">
        <f t="shared" si="36"/>
        <v>0.6818181818</v>
      </c>
      <c r="R64" s="672">
        <f t="shared" si="36"/>
        <v>0.85</v>
      </c>
      <c r="S64" s="672">
        <f t="shared" si="36"/>
        <v>0.6470588235</v>
      </c>
      <c r="T64" s="672">
        <f t="shared" si="36"/>
        <v>0.7083333333</v>
      </c>
      <c r="U64" s="672">
        <f t="shared" si="36"/>
        <v>0.619047619</v>
      </c>
      <c r="V64" s="672">
        <f t="shared" si="36"/>
        <v>0.5</v>
      </c>
      <c r="W64" s="672">
        <f t="shared" si="36"/>
        <v>0.85</v>
      </c>
      <c r="X64" s="672">
        <f t="shared" si="36"/>
        <v>0.7058823529</v>
      </c>
      <c r="Y64" s="672">
        <f t="shared" si="36"/>
        <v>0.4615384615</v>
      </c>
      <c r="Z64" s="672">
        <f t="shared" si="36"/>
        <v>0.75</v>
      </c>
      <c r="AA64" s="672">
        <f t="shared" si="36"/>
        <v>0.625</v>
      </c>
      <c r="AB64" s="672">
        <f t="shared" si="36"/>
        <v>0.6666666667</v>
      </c>
      <c r="AC64" s="672">
        <f t="shared" si="36"/>
        <v>0.6956521739</v>
      </c>
      <c r="AD64" s="672">
        <f t="shared" si="36"/>
        <v>0.7333333333</v>
      </c>
      <c r="AE64" s="672">
        <f t="shared" si="36"/>
        <v>0.5833333333</v>
      </c>
      <c r="AF64" s="723">
        <f t="shared" si="36"/>
        <v>0.3636363636</v>
      </c>
      <c r="AG64" s="674"/>
      <c r="AH64" s="721"/>
    </row>
    <row r="65" hidden="1" outlineLevel="1">
      <c r="A65" s="496" t="s">
        <v>1097</v>
      </c>
      <c r="B65" s="672">
        <f t="shared" ref="B65:AF65" si="37">iferror(B39/B$41,"")</f>
        <v>0.4054054054</v>
      </c>
      <c r="C65" s="672">
        <f t="shared" si="37"/>
        <v>0.1612903226</v>
      </c>
      <c r="D65" s="672">
        <f t="shared" si="37"/>
        <v>0.3939393939</v>
      </c>
      <c r="E65" s="672">
        <f t="shared" si="37"/>
        <v>0.3793103448</v>
      </c>
      <c r="F65" s="672">
        <f t="shared" si="37"/>
        <v>0.2894736842</v>
      </c>
      <c r="G65" s="672">
        <f t="shared" si="37"/>
        <v>0.08571428571</v>
      </c>
      <c r="H65" s="672">
        <f t="shared" si="37"/>
        <v>0.3513513514</v>
      </c>
      <c r="I65" s="672">
        <f t="shared" si="37"/>
        <v>0.3333333333</v>
      </c>
      <c r="J65" s="672">
        <f t="shared" si="37"/>
        <v>0.3043478261</v>
      </c>
      <c r="K65" s="672">
        <f t="shared" si="37"/>
        <v>0.1666666667</v>
      </c>
      <c r="L65" s="672">
        <f t="shared" si="37"/>
        <v>0.2631578947</v>
      </c>
      <c r="M65" s="672">
        <f t="shared" si="37"/>
        <v>0.3043478261</v>
      </c>
      <c r="N65" s="672">
        <f t="shared" si="37"/>
        <v>0.4074074074</v>
      </c>
      <c r="O65" s="672">
        <f t="shared" si="37"/>
        <v>0.1714285714</v>
      </c>
      <c r="P65" s="672">
        <f t="shared" si="37"/>
        <v>0.2352941176</v>
      </c>
      <c r="Q65" s="672">
        <f t="shared" si="37"/>
        <v>0.1363636364</v>
      </c>
      <c r="R65" s="672">
        <f t="shared" si="37"/>
        <v>0.15</v>
      </c>
      <c r="S65" s="672">
        <f t="shared" si="37"/>
        <v>0.2941176471</v>
      </c>
      <c r="T65" s="672">
        <f t="shared" si="37"/>
        <v>0.2916666667</v>
      </c>
      <c r="U65" s="672">
        <f t="shared" si="37"/>
        <v>0.380952381</v>
      </c>
      <c r="V65" s="672">
        <f t="shared" si="37"/>
        <v>0.5</v>
      </c>
      <c r="W65" s="672">
        <f t="shared" si="37"/>
        <v>0.05</v>
      </c>
      <c r="X65" s="672">
        <f t="shared" si="37"/>
        <v>0.2352941176</v>
      </c>
      <c r="Y65" s="672">
        <f t="shared" si="37"/>
        <v>0.4615384615</v>
      </c>
      <c r="Z65" s="672">
        <f t="shared" si="37"/>
        <v>0.1875</v>
      </c>
      <c r="AA65" s="672">
        <f t="shared" si="37"/>
        <v>0.3125</v>
      </c>
      <c r="AB65" s="672">
        <f t="shared" si="37"/>
        <v>0.3333333333</v>
      </c>
      <c r="AC65" s="672">
        <f t="shared" si="37"/>
        <v>0.2608695652</v>
      </c>
      <c r="AD65" s="672">
        <f t="shared" si="37"/>
        <v>0.2666666667</v>
      </c>
      <c r="AE65" s="672">
        <f t="shared" si="37"/>
        <v>0.3333333333</v>
      </c>
      <c r="AF65" s="723">
        <f t="shared" si="37"/>
        <v>0.5454545455</v>
      </c>
      <c r="AG65" s="674"/>
      <c r="AH65" s="721"/>
    </row>
    <row r="66" hidden="1" outlineLevel="1">
      <c r="A66" s="496" t="s">
        <v>1098</v>
      </c>
      <c r="B66" s="672">
        <f t="shared" ref="B66:AF66" si="38">iferror(B40/B$41,"")</f>
        <v>0.02702702703</v>
      </c>
      <c r="C66" s="672">
        <f t="shared" si="38"/>
        <v>0.03225806452</v>
      </c>
      <c r="D66" s="672">
        <f t="shared" si="38"/>
        <v>0.0303030303</v>
      </c>
      <c r="E66" s="672">
        <f t="shared" si="38"/>
        <v>0.06896551724</v>
      </c>
      <c r="F66" s="672">
        <f t="shared" si="38"/>
        <v>0</v>
      </c>
      <c r="G66" s="672">
        <f t="shared" si="38"/>
        <v>0.05714285714</v>
      </c>
      <c r="H66" s="672">
        <f t="shared" si="38"/>
        <v>0</v>
      </c>
      <c r="I66" s="672">
        <f t="shared" si="38"/>
        <v>0.07407407407</v>
      </c>
      <c r="J66" s="672">
        <f t="shared" si="38"/>
        <v>0</v>
      </c>
      <c r="K66" s="672">
        <f t="shared" si="38"/>
        <v>0.25</v>
      </c>
      <c r="L66" s="672">
        <f t="shared" si="38"/>
        <v>0.05263157895</v>
      </c>
      <c r="M66" s="672">
        <f t="shared" si="38"/>
        <v>0.04347826087</v>
      </c>
      <c r="N66" s="672">
        <f t="shared" si="38"/>
        <v>0.03703703704</v>
      </c>
      <c r="O66" s="672">
        <f t="shared" si="38"/>
        <v>0.02857142857</v>
      </c>
      <c r="P66" s="672">
        <f t="shared" si="38"/>
        <v>0</v>
      </c>
      <c r="Q66" s="672">
        <f t="shared" si="38"/>
        <v>0.1818181818</v>
      </c>
      <c r="R66" s="672">
        <f t="shared" si="38"/>
        <v>0</v>
      </c>
      <c r="S66" s="672">
        <f t="shared" si="38"/>
        <v>0.05882352941</v>
      </c>
      <c r="T66" s="672">
        <f t="shared" si="38"/>
        <v>0</v>
      </c>
      <c r="U66" s="672">
        <f t="shared" si="38"/>
        <v>0</v>
      </c>
      <c r="V66" s="672">
        <f t="shared" si="38"/>
        <v>0</v>
      </c>
      <c r="W66" s="672">
        <f t="shared" si="38"/>
        <v>0.1</v>
      </c>
      <c r="X66" s="672">
        <f t="shared" si="38"/>
        <v>0.05882352941</v>
      </c>
      <c r="Y66" s="672">
        <f t="shared" si="38"/>
        <v>0.07692307692</v>
      </c>
      <c r="Z66" s="672">
        <f t="shared" si="38"/>
        <v>0.0625</v>
      </c>
      <c r="AA66" s="672">
        <f t="shared" si="38"/>
        <v>0.0625</v>
      </c>
      <c r="AB66" s="672">
        <f t="shared" si="38"/>
        <v>0</v>
      </c>
      <c r="AC66" s="672">
        <f t="shared" si="38"/>
        <v>0.04347826087</v>
      </c>
      <c r="AD66" s="672">
        <f t="shared" si="38"/>
        <v>0</v>
      </c>
      <c r="AE66" s="672">
        <f t="shared" si="38"/>
        <v>0.08333333333</v>
      </c>
      <c r="AF66" s="723">
        <f t="shared" si="38"/>
        <v>0.09090909091</v>
      </c>
      <c r="AG66" s="674"/>
      <c r="AH66" s="721"/>
    </row>
    <row r="67" hidden="1" outlineLevel="1">
      <c r="A67" s="722"/>
      <c r="B67" s="672"/>
      <c r="C67" s="672"/>
      <c r="D67" s="672"/>
      <c r="E67" s="672"/>
      <c r="F67" s="672"/>
      <c r="G67" s="672"/>
      <c r="H67" s="672" t="str">
        <f t="shared" ref="H67:AF67" si="39">iferror(H41/#REF!,"")</f>
        <v/>
      </c>
      <c r="I67" s="672" t="str">
        <f t="shared" si="39"/>
        <v/>
      </c>
      <c r="J67" s="672" t="str">
        <f t="shared" si="39"/>
        <v/>
      </c>
      <c r="K67" s="672" t="str">
        <f t="shared" si="39"/>
        <v/>
      </c>
      <c r="L67" s="672" t="str">
        <f t="shared" si="39"/>
        <v/>
      </c>
      <c r="M67" s="672" t="str">
        <f t="shared" si="39"/>
        <v/>
      </c>
      <c r="N67" s="672" t="str">
        <f t="shared" si="39"/>
        <v/>
      </c>
      <c r="O67" s="672" t="str">
        <f t="shared" si="39"/>
        <v/>
      </c>
      <c r="P67" s="672" t="str">
        <f t="shared" si="39"/>
        <v/>
      </c>
      <c r="Q67" s="672" t="str">
        <f t="shared" si="39"/>
        <v/>
      </c>
      <c r="R67" s="672" t="str">
        <f t="shared" si="39"/>
        <v/>
      </c>
      <c r="S67" s="672" t="str">
        <f t="shared" si="39"/>
        <v/>
      </c>
      <c r="T67" s="672" t="str">
        <f t="shared" si="39"/>
        <v/>
      </c>
      <c r="U67" s="672" t="str">
        <f t="shared" si="39"/>
        <v/>
      </c>
      <c r="V67" s="672" t="str">
        <f t="shared" si="39"/>
        <v/>
      </c>
      <c r="W67" s="672" t="str">
        <f t="shared" si="39"/>
        <v/>
      </c>
      <c r="X67" s="672" t="str">
        <f t="shared" si="39"/>
        <v/>
      </c>
      <c r="Y67" s="672" t="str">
        <f t="shared" si="39"/>
        <v/>
      </c>
      <c r="Z67" s="672" t="str">
        <f t="shared" si="39"/>
        <v/>
      </c>
      <c r="AA67" s="672" t="str">
        <f t="shared" si="39"/>
        <v/>
      </c>
      <c r="AB67" s="672" t="str">
        <f t="shared" si="39"/>
        <v/>
      </c>
      <c r="AC67" s="672" t="str">
        <f t="shared" si="39"/>
        <v/>
      </c>
      <c r="AD67" s="672" t="str">
        <f t="shared" si="39"/>
        <v/>
      </c>
      <c r="AE67" s="672" t="str">
        <f t="shared" si="39"/>
        <v/>
      </c>
      <c r="AF67" s="723" t="str">
        <f t="shared" si="39"/>
        <v/>
      </c>
      <c r="AG67" s="674"/>
      <c r="AH67" s="721"/>
    </row>
    <row r="68" collapsed="1">
      <c r="A68" s="496" t="s">
        <v>722</v>
      </c>
      <c r="B68" s="672">
        <f t="shared" ref="B68:AF68" si="40">iferror(B42/B$60,"")</f>
        <v>0.3130434783</v>
      </c>
      <c r="C68" s="672">
        <f t="shared" si="40"/>
        <v>0.28</v>
      </c>
      <c r="D68" s="672">
        <f t="shared" si="40"/>
        <v>0.2792792793</v>
      </c>
      <c r="E68" s="672">
        <f t="shared" si="40"/>
        <v>0.2210526316</v>
      </c>
      <c r="F68" s="672">
        <f t="shared" si="40"/>
        <v>0.2905982906</v>
      </c>
      <c r="G68" s="672">
        <f t="shared" si="40"/>
        <v>0.3652173913</v>
      </c>
      <c r="H68" s="672">
        <f t="shared" si="40"/>
        <v>0.3939393939</v>
      </c>
      <c r="I68" s="672">
        <f t="shared" si="40"/>
        <v>0.2659574468</v>
      </c>
      <c r="J68" s="672">
        <f t="shared" si="40"/>
        <v>0.2658227848</v>
      </c>
      <c r="K68" s="672">
        <f t="shared" si="40"/>
        <v>0.3559322034</v>
      </c>
      <c r="L68" s="672">
        <f t="shared" si="40"/>
        <v>0.2820512821</v>
      </c>
      <c r="M68" s="672">
        <f t="shared" si="40"/>
        <v>0.3563218391</v>
      </c>
      <c r="N68" s="672">
        <f t="shared" si="40"/>
        <v>0.393258427</v>
      </c>
      <c r="O68" s="672">
        <f t="shared" si="40"/>
        <v>0.3608247423</v>
      </c>
      <c r="P68" s="672">
        <f t="shared" si="40"/>
        <v>0.2948717949</v>
      </c>
      <c r="Q68" s="672">
        <f t="shared" si="40"/>
        <v>0.4</v>
      </c>
      <c r="R68" s="672">
        <f t="shared" si="40"/>
        <v>0.2619047619</v>
      </c>
      <c r="S68" s="672">
        <f t="shared" si="40"/>
        <v>0.3432835821</v>
      </c>
      <c r="T68" s="672">
        <f t="shared" si="40"/>
        <v>0.3376623377</v>
      </c>
      <c r="U68" s="672">
        <f t="shared" si="40"/>
        <v>0.3804347826</v>
      </c>
      <c r="V68" s="672">
        <f t="shared" si="40"/>
        <v>0.2083333333</v>
      </c>
      <c r="W68" s="672">
        <f t="shared" si="40"/>
        <v>0.2833333333</v>
      </c>
      <c r="X68" s="672">
        <f t="shared" si="40"/>
        <v>0.3220338983</v>
      </c>
      <c r="Y68" s="672">
        <f t="shared" si="40"/>
        <v>0.3454545455</v>
      </c>
      <c r="Z68" s="672">
        <f t="shared" si="40"/>
        <v>0.2372881356</v>
      </c>
      <c r="AA68" s="672">
        <f t="shared" si="40"/>
        <v>0.3928571429</v>
      </c>
      <c r="AB68" s="672">
        <f t="shared" si="40"/>
        <v>0.3548387097</v>
      </c>
      <c r="AC68" s="672">
        <f t="shared" si="40"/>
        <v>0.2307692308</v>
      </c>
      <c r="AD68" s="672">
        <f t="shared" si="40"/>
        <v>0.3088235294</v>
      </c>
      <c r="AE68" s="672">
        <f t="shared" si="40"/>
        <v>0.1162790698</v>
      </c>
      <c r="AF68" s="723">
        <f t="shared" si="40"/>
        <v>0.2647058824</v>
      </c>
      <c r="AG68" s="674"/>
      <c r="AH68" s="721"/>
    </row>
    <row r="69" hidden="1" outlineLevel="1">
      <c r="A69" s="722" t="s">
        <v>1095</v>
      </c>
      <c r="B69" s="672"/>
      <c r="C69" s="672"/>
      <c r="D69" s="672"/>
      <c r="E69" s="672"/>
      <c r="F69" s="672"/>
      <c r="G69" s="672"/>
      <c r="H69" s="672"/>
      <c r="I69" s="672"/>
      <c r="J69" s="672"/>
      <c r="K69" s="672"/>
      <c r="L69" s="672"/>
      <c r="M69" s="672"/>
      <c r="N69" s="672"/>
      <c r="O69" s="672"/>
      <c r="P69" s="672"/>
      <c r="Q69" s="672"/>
      <c r="R69" s="672"/>
      <c r="S69" s="672"/>
      <c r="T69" s="672"/>
      <c r="U69" s="672"/>
      <c r="V69" s="672"/>
      <c r="W69" s="672"/>
      <c r="X69" s="672"/>
      <c r="Y69" s="672"/>
      <c r="Z69" s="672"/>
      <c r="AA69" s="672"/>
      <c r="AB69" s="672"/>
      <c r="AC69" s="672"/>
      <c r="AD69" s="672"/>
      <c r="AE69" s="672"/>
      <c r="AF69" s="723"/>
      <c r="AG69" s="674"/>
      <c r="AH69" s="721"/>
    </row>
    <row r="70" hidden="1" outlineLevel="1">
      <c r="A70" s="496" t="s">
        <v>1096</v>
      </c>
      <c r="B70" s="672">
        <f t="shared" ref="B70:AF70" si="41">iferror(B44/B$47,"")</f>
        <v>0.75</v>
      </c>
      <c r="C70" s="672">
        <f t="shared" si="41"/>
        <v>0.6428571429</v>
      </c>
      <c r="D70" s="672">
        <f t="shared" si="41"/>
        <v>0.5806451613</v>
      </c>
      <c r="E70" s="672">
        <f t="shared" si="41"/>
        <v>0.5238095238</v>
      </c>
      <c r="F70" s="672">
        <f t="shared" si="41"/>
        <v>0.5588235294</v>
      </c>
      <c r="G70" s="672">
        <f t="shared" si="41"/>
        <v>0.7857142857</v>
      </c>
      <c r="H70" s="672">
        <f t="shared" si="41"/>
        <v>0.6730769231</v>
      </c>
      <c r="I70" s="672">
        <f t="shared" si="41"/>
        <v>0.48</v>
      </c>
      <c r="J70" s="672">
        <f t="shared" si="41"/>
        <v>0.7142857143</v>
      </c>
      <c r="K70" s="672">
        <f t="shared" si="41"/>
        <v>0.7142857143</v>
      </c>
      <c r="L70" s="672">
        <f t="shared" si="41"/>
        <v>0.5909090909</v>
      </c>
      <c r="M70" s="672">
        <f t="shared" si="41"/>
        <v>0.6129032258</v>
      </c>
      <c r="N70" s="672">
        <f t="shared" si="41"/>
        <v>0.6857142857</v>
      </c>
      <c r="O70" s="672">
        <f t="shared" si="41"/>
        <v>0.6285714286</v>
      </c>
      <c r="P70" s="672">
        <f t="shared" si="41"/>
        <v>0.8260869565</v>
      </c>
      <c r="Q70" s="672">
        <f t="shared" si="41"/>
        <v>0.6071428571</v>
      </c>
      <c r="R70" s="672">
        <f t="shared" si="41"/>
        <v>0.4090909091</v>
      </c>
      <c r="S70" s="672">
        <f t="shared" si="41"/>
        <v>0.6086956522</v>
      </c>
      <c r="T70" s="672">
        <f t="shared" si="41"/>
        <v>0.6923076923</v>
      </c>
      <c r="U70" s="672">
        <f t="shared" si="41"/>
        <v>0.6285714286</v>
      </c>
      <c r="V70" s="672">
        <f t="shared" si="41"/>
        <v>0.6</v>
      </c>
      <c r="W70" s="672">
        <f t="shared" si="41"/>
        <v>0.8823529412</v>
      </c>
      <c r="X70" s="672">
        <f t="shared" si="41"/>
        <v>0.7894736842</v>
      </c>
      <c r="Y70" s="672">
        <f t="shared" si="41"/>
        <v>0.6315789474</v>
      </c>
      <c r="Z70" s="672">
        <f t="shared" si="41"/>
        <v>0.7857142857</v>
      </c>
      <c r="AA70" s="672">
        <f t="shared" si="41"/>
        <v>0.6363636364</v>
      </c>
      <c r="AB70" s="672">
        <f t="shared" si="41"/>
        <v>0.6818181818</v>
      </c>
      <c r="AC70" s="672">
        <f t="shared" si="41"/>
        <v>0.7333333333</v>
      </c>
      <c r="AD70" s="672">
        <f t="shared" si="41"/>
        <v>0.5714285714</v>
      </c>
      <c r="AE70" s="672">
        <f t="shared" si="41"/>
        <v>0.8</v>
      </c>
      <c r="AF70" s="723">
        <f t="shared" si="41"/>
        <v>0.6666666667</v>
      </c>
      <c r="AG70" s="674"/>
      <c r="AH70" s="721"/>
    </row>
    <row r="71" hidden="1" outlineLevel="1">
      <c r="A71" s="496" t="s">
        <v>1097</v>
      </c>
      <c r="B71" s="672">
        <f t="shared" ref="B71:AF71" si="42">iferror(B45/B$47,"")</f>
        <v>0.1944444444</v>
      </c>
      <c r="C71" s="672">
        <f t="shared" si="42"/>
        <v>0.3214285714</v>
      </c>
      <c r="D71" s="672">
        <f t="shared" si="42"/>
        <v>0.3225806452</v>
      </c>
      <c r="E71" s="672">
        <f t="shared" si="42"/>
        <v>0.380952381</v>
      </c>
      <c r="F71" s="672">
        <f t="shared" si="42"/>
        <v>0.3823529412</v>
      </c>
      <c r="G71" s="672">
        <f t="shared" si="42"/>
        <v>0.2142857143</v>
      </c>
      <c r="H71" s="672">
        <f t="shared" si="42"/>
        <v>0.25</v>
      </c>
      <c r="I71" s="672">
        <f t="shared" si="42"/>
        <v>0.32</v>
      </c>
      <c r="J71" s="672">
        <f t="shared" si="42"/>
        <v>0.2857142857</v>
      </c>
      <c r="K71" s="672">
        <f t="shared" si="42"/>
        <v>0.2857142857</v>
      </c>
      <c r="L71" s="672">
        <f t="shared" si="42"/>
        <v>0.2727272727</v>
      </c>
      <c r="M71" s="672">
        <f t="shared" si="42"/>
        <v>0.3870967742</v>
      </c>
      <c r="N71" s="672">
        <f t="shared" si="42"/>
        <v>0.2285714286</v>
      </c>
      <c r="O71" s="672">
        <f t="shared" si="42"/>
        <v>0.3142857143</v>
      </c>
      <c r="P71" s="672">
        <f t="shared" si="42"/>
        <v>0.1739130435</v>
      </c>
      <c r="Q71" s="672">
        <f t="shared" si="42"/>
        <v>0.3571428571</v>
      </c>
      <c r="R71" s="672">
        <f t="shared" si="42"/>
        <v>0.4545454545</v>
      </c>
      <c r="S71" s="672">
        <f t="shared" si="42"/>
        <v>0.347826087</v>
      </c>
      <c r="T71" s="672">
        <f t="shared" si="42"/>
        <v>0.3076923077</v>
      </c>
      <c r="U71" s="672">
        <f t="shared" si="42"/>
        <v>0.3714285714</v>
      </c>
      <c r="V71" s="672">
        <f t="shared" si="42"/>
        <v>0.2666666667</v>
      </c>
      <c r="W71" s="672">
        <f t="shared" si="42"/>
        <v>0.1176470588</v>
      </c>
      <c r="X71" s="672">
        <f t="shared" si="42"/>
        <v>0.1578947368</v>
      </c>
      <c r="Y71" s="672">
        <f t="shared" si="42"/>
        <v>0.3157894737</v>
      </c>
      <c r="Z71" s="672">
        <f t="shared" si="42"/>
        <v>0.1428571429</v>
      </c>
      <c r="AA71" s="672">
        <f t="shared" si="42"/>
        <v>0.3636363636</v>
      </c>
      <c r="AB71" s="672">
        <f t="shared" si="42"/>
        <v>0.2727272727</v>
      </c>
      <c r="AC71" s="672">
        <f t="shared" si="42"/>
        <v>0.2666666667</v>
      </c>
      <c r="AD71" s="672">
        <f t="shared" si="42"/>
        <v>0.380952381</v>
      </c>
      <c r="AE71" s="672">
        <f t="shared" si="42"/>
        <v>0.2</v>
      </c>
      <c r="AF71" s="723">
        <f t="shared" si="42"/>
        <v>0.3333333333</v>
      </c>
      <c r="AG71" s="674"/>
      <c r="AH71" s="721"/>
    </row>
    <row r="72" hidden="1" outlineLevel="1">
      <c r="A72" s="496" t="s">
        <v>1098</v>
      </c>
      <c r="B72" s="672">
        <f t="shared" ref="B72:AF72" si="43">iferror(B46/B$47,"")</f>
        <v>0.05555555556</v>
      </c>
      <c r="C72" s="672">
        <f t="shared" si="43"/>
        <v>0.03571428571</v>
      </c>
      <c r="D72" s="672">
        <f t="shared" si="43"/>
        <v>0.09677419355</v>
      </c>
      <c r="E72" s="672">
        <f t="shared" si="43"/>
        <v>0.09523809524</v>
      </c>
      <c r="F72" s="672">
        <f t="shared" si="43"/>
        <v>0.05882352941</v>
      </c>
      <c r="G72" s="672">
        <f t="shared" si="43"/>
        <v>0</v>
      </c>
      <c r="H72" s="672">
        <f t="shared" si="43"/>
        <v>0.07692307692</v>
      </c>
      <c r="I72" s="672">
        <f t="shared" si="43"/>
        <v>0.2</v>
      </c>
      <c r="J72" s="672">
        <f t="shared" si="43"/>
        <v>0</v>
      </c>
      <c r="K72" s="672">
        <f t="shared" si="43"/>
        <v>0</v>
      </c>
      <c r="L72" s="672">
        <f t="shared" si="43"/>
        <v>0.1363636364</v>
      </c>
      <c r="M72" s="672">
        <f t="shared" si="43"/>
        <v>0</v>
      </c>
      <c r="N72" s="672">
        <f t="shared" si="43"/>
        <v>0.08571428571</v>
      </c>
      <c r="O72" s="672">
        <f t="shared" si="43"/>
        <v>0.05714285714</v>
      </c>
      <c r="P72" s="672">
        <f t="shared" si="43"/>
        <v>0</v>
      </c>
      <c r="Q72" s="672">
        <f t="shared" si="43"/>
        <v>0.03571428571</v>
      </c>
      <c r="R72" s="672">
        <f t="shared" si="43"/>
        <v>0.1363636364</v>
      </c>
      <c r="S72" s="672">
        <f t="shared" si="43"/>
        <v>0.04347826087</v>
      </c>
      <c r="T72" s="672">
        <f t="shared" si="43"/>
        <v>0</v>
      </c>
      <c r="U72" s="672">
        <f t="shared" si="43"/>
        <v>0</v>
      </c>
      <c r="V72" s="672">
        <f t="shared" si="43"/>
        <v>0.1333333333</v>
      </c>
      <c r="W72" s="672">
        <f t="shared" si="43"/>
        <v>0</v>
      </c>
      <c r="X72" s="672">
        <f t="shared" si="43"/>
        <v>0.05263157895</v>
      </c>
      <c r="Y72" s="672">
        <f t="shared" si="43"/>
        <v>0.05263157895</v>
      </c>
      <c r="Z72" s="672">
        <f t="shared" si="43"/>
        <v>0.07142857143</v>
      </c>
      <c r="AA72" s="672">
        <f t="shared" si="43"/>
        <v>0</v>
      </c>
      <c r="AB72" s="672">
        <f t="shared" si="43"/>
        <v>0.04545454545</v>
      </c>
      <c r="AC72" s="672">
        <f t="shared" si="43"/>
        <v>0</v>
      </c>
      <c r="AD72" s="672">
        <f t="shared" si="43"/>
        <v>0.04761904762</v>
      </c>
      <c r="AE72" s="672">
        <f t="shared" si="43"/>
        <v>0</v>
      </c>
      <c r="AF72" s="723">
        <f t="shared" si="43"/>
        <v>0</v>
      </c>
      <c r="AG72" s="674"/>
      <c r="AH72" s="721"/>
    </row>
    <row r="73" hidden="1" outlineLevel="1">
      <c r="A73" s="722"/>
      <c r="B73" s="672"/>
      <c r="C73" s="672"/>
      <c r="D73" s="672"/>
      <c r="E73" s="672"/>
      <c r="F73" s="672"/>
      <c r="G73" s="672"/>
      <c r="H73" s="672"/>
      <c r="I73" s="672"/>
      <c r="J73" s="672"/>
      <c r="K73" s="672"/>
      <c r="L73" s="672"/>
      <c r="M73" s="672"/>
      <c r="N73" s="672"/>
      <c r="O73" s="672"/>
      <c r="P73" s="672"/>
      <c r="Q73" s="672"/>
      <c r="R73" s="672"/>
      <c r="S73" s="672"/>
      <c r="T73" s="672"/>
      <c r="U73" s="672"/>
      <c r="V73" s="672"/>
      <c r="W73" s="672"/>
      <c r="X73" s="672"/>
      <c r="Y73" s="672"/>
      <c r="Z73" s="672"/>
      <c r="AA73" s="672"/>
      <c r="AB73" s="672"/>
      <c r="AC73" s="672"/>
      <c r="AD73" s="672"/>
      <c r="AE73" s="672"/>
      <c r="AF73" s="723"/>
      <c r="AG73" s="674"/>
      <c r="AH73" s="721"/>
    </row>
    <row r="74" collapsed="1">
      <c r="A74" s="496" t="s">
        <v>723</v>
      </c>
      <c r="B74" s="672">
        <f t="shared" ref="B74:AF74" si="44">iferror(B48/B$60,"")</f>
        <v>0.1826086957</v>
      </c>
      <c r="C74" s="672">
        <f t="shared" si="44"/>
        <v>0.21</v>
      </c>
      <c r="D74" s="672">
        <f t="shared" si="44"/>
        <v>0.1981981982</v>
      </c>
      <c r="E74" s="672">
        <f t="shared" si="44"/>
        <v>0.2210526316</v>
      </c>
      <c r="F74" s="672">
        <f t="shared" si="44"/>
        <v>0.1794871795</v>
      </c>
      <c r="G74" s="672">
        <f t="shared" si="44"/>
        <v>0.1826086957</v>
      </c>
      <c r="H74" s="672">
        <f t="shared" si="44"/>
        <v>0.1363636364</v>
      </c>
      <c r="I74" s="672">
        <f t="shared" si="44"/>
        <v>0.2340425532</v>
      </c>
      <c r="J74" s="672">
        <f t="shared" si="44"/>
        <v>0.1898734177</v>
      </c>
      <c r="K74" s="672">
        <f t="shared" si="44"/>
        <v>0.2542372881</v>
      </c>
      <c r="L74" s="672">
        <f t="shared" si="44"/>
        <v>0.2692307692</v>
      </c>
      <c r="M74" s="672">
        <f t="shared" si="44"/>
        <v>0.1264367816</v>
      </c>
      <c r="N74" s="672">
        <f t="shared" si="44"/>
        <v>0.1573033708</v>
      </c>
      <c r="O74" s="672">
        <f t="shared" si="44"/>
        <v>0.1443298969</v>
      </c>
      <c r="P74" s="672">
        <f t="shared" si="44"/>
        <v>0.2692307692</v>
      </c>
      <c r="Q74" s="672">
        <f t="shared" si="44"/>
        <v>0.1285714286</v>
      </c>
      <c r="R74" s="672">
        <f t="shared" si="44"/>
        <v>0.2023809524</v>
      </c>
      <c r="S74" s="672">
        <f t="shared" si="44"/>
        <v>0.223880597</v>
      </c>
      <c r="T74" s="672">
        <f t="shared" si="44"/>
        <v>0.1428571429</v>
      </c>
      <c r="U74" s="672">
        <f t="shared" si="44"/>
        <v>0.1956521739</v>
      </c>
      <c r="V74" s="672">
        <f t="shared" si="44"/>
        <v>0.1527777778</v>
      </c>
      <c r="W74" s="672">
        <f t="shared" si="44"/>
        <v>0.2333333333</v>
      </c>
      <c r="X74" s="672">
        <f t="shared" si="44"/>
        <v>0.2372881356</v>
      </c>
      <c r="Y74" s="672">
        <f t="shared" si="44"/>
        <v>0.2363636364</v>
      </c>
      <c r="Z74" s="672">
        <f t="shared" si="44"/>
        <v>0.2881355932</v>
      </c>
      <c r="AA74" s="672">
        <f t="shared" si="44"/>
        <v>0.1607142857</v>
      </c>
      <c r="AB74" s="672">
        <f t="shared" si="44"/>
        <v>0.2580645161</v>
      </c>
      <c r="AC74" s="672">
        <f t="shared" si="44"/>
        <v>0.2461538462</v>
      </c>
      <c r="AD74" s="672">
        <f t="shared" si="44"/>
        <v>0.1764705882</v>
      </c>
      <c r="AE74" s="672">
        <f t="shared" si="44"/>
        <v>0.2093023256</v>
      </c>
      <c r="AF74" s="723">
        <f t="shared" si="44"/>
        <v>0.1470588235</v>
      </c>
      <c r="AG74" s="674"/>
      <c r="AH74" s="721"/>
    </row>
    <row r="75" hidden="1" outlineLevel="1">
      <c r="A75" s="722" t="s">
        <v>1095</v>
      </c>
      <c r="B75" s="672"/>
      <c r="C75" s="672"/>
      <c r="D75" s="672"/>
      <c r="E75" s="672"/>
      <c r="F75" s="672"/>
      <c r="G75" s="672"/>
      <c r="H75" s="672"/>
      <c r="I75" s="672"/>
      <c r="J75" s="672"/>
      <c r="K75" s="672"/>
      <c r="L75" s="672"/>
      <c r="M75" s="672"/>
      <c r="N75" s="672"/>
      <c r="O75" s="672"/>
      <c r="P75" s="672"/>
      <c r="Q75" s="672"/>
      <c r="R75" s="672"/>
      <c r="S75" s="672"/>
      <c r="T75" s="672"/>
      <c r="U75" s="672"/>
      <c r="V75" s="672"/>
      <c r="W75" s="672"/>
      <c r="X75" s="672"/>
      <c r="Y75" s="672"/>
      <c r="Z75" s="672"/>
      <c r="AA75" s="672"/>
      <c r="AB75" s="672"/>
      <c r="AC75" s="672"/>
      <c r="AD75" s="672"/>
      <c r="AE75" s="672"/>
      <c r="AF75" s="723"/>
      <c r="AG75" s="674"/>
      <c r="AH75" s="721"/>
    </row>
    <row r="76" hidden="1" outlineLevel="1">
      <c r="A76" s="496" t="s">
        <v>1096</v>
      </c>
      <c r="B76" s="672">
        <f t="shared" ref="B76:AF76" si="45">iferror(B50/B$53,"")</f>
        <v>0.5238095238</v>
      </c>
      <c r="C76" s="672">
        <f t="shared" si="45"/>
        <v>0.3333333333</v>
      </c>
      <c r="D76" s="672">
        <f t="shared" si="45"/>
        <v>0.5454545455</v>
      </c>
      <c r="E76" s="672">
        <f t="shared" si="45"/>
        <v>0.380952381</v>
      </c>
      <c r="F76" s="672">
        <f t="shared" si="45"/>
        <v>0.4285714286</v>
      </c>
      <c r="G76" s="672">
        <f t="shared" si="45"/>
        <v>0.3333333333</v>
      </c>
      <c r="H76" s="672">
        <f t="shared" si="45"/>
        <v>0.3333333333</v>
      </c>
      <c r="I76" s="672">
        <f t="shared" si="45"/>
        <v>0.3636363636</v>
      </c>
      <c r="J76" s="672">
        <f t="shared" si="45"/>
        <v>0.5333333333</v>
      </c>
      <c r="K76" s="672">
        <f t="shared" si="45"/>
        <v>0.4</v>
      </c>
      <c r="L76" s="672">
        <f t="shared" si="45"/>
        <v>0.4761904762</v>
      </c>
      <c r="M76" s="672">
        <f t="shared" si="45"/>
        <v>0.1818181818</v>
      </c>
      <c r="N76" s="672">
        <f t="shared" si="45"/>
        <v>0.2857142857</v>
      </c>
      <c r="O76" s="672">
        <f t="shared" si="45"/>
        <v>0.7142857143</v>
      </c>
      <c r="P76" s="672">
        <f t="shared" si="45"/>
        <v>0.2857142857</v>
      </c>
      <c r="Q76" s="672">
        <f t="shared" si="45"/>
        <v>0.5555555556</v>
      </c>
      <c r="R76" s="672">
        <f t="shared" si="45"/>
        <v>0.4705882353</v>
      </c>
      <c r="S76" s="672">
        <f t="shared" si="45"/>
        <v>0.3333333333</v>
      </c>
      <c r="T76" s="672">
        <f t="shared" si="45"/>
        <v>0.3636363636</v>
      </c>
      <c r="U76" s="672">
        <f t="shared" si="45"/>
        <v>0.5</v>
      </c>
      <c r="V76" s="672">
        <f t="shared" si="45"/>
        <v>0.3636363636</v>
      </c>
      <c r="W76" s="672">
        <f t="shared" si="45"/>
        <v>0.2857142857</v>
      </c>
      <c r="X76" s="672">
        <f t="shared" si="45"/>
        <v>0.5714285714</v>
      </c>
      <c r="Y76" s="672">
        <f t="shared" si="45"/>
        <v>0.2307692308</v>
      </c>
      <c r="Z76" s="672">
        <f t="shared" si="45"/>
        <v>0.4117647059</v>
      </c>
      <c r="AA76" s="672">
        <f t="shared" si="45"/>
        <v>0.5555555556</v>
      </c>
      <c r="AB76" s="672">
        <f t="shared" si="45"/>
        <v>0.6875</v>
      </c>
      <c r="AC76" s="672">
        <f t="shared" si="45"/>
        <v>0.25</v>
      </c>
      <c r="AD76" s="672">
        <f t="shared" si="45"/>
        <v>0.5833333333</v>
      </c>
      <c r="AE76" s="672">
        <f t="shared" si="45"/>
        <v>0.2222222222</v>
      </c>
      <c r="AF76" s="723">
        <f t="shared" si="45"/>
        <v>0.8</v>
      </c>
      <c r="AG76" s="674"/>
      <c r="AH76" s="721"/>
    </row>
    <row r="77" hidden="1" outlineLevel="1">
      <c r="A77" s="496" t="s">
        <v>1097</v>
      </c>
      <c r="B77" s="672">
        <f t="shared" ref="B77:AF77" si="46">iferror(B51/B$53,"")</f>
        <v>0.4285714286</v>
      </c>
      <c r="C77" s="672">
        <f t="shared" si="46"/>
        <v>0.4761904762</v>
      </c>
      <c r="D77" s="672">
        <f t="shared" si="46"/>
        <v>0.3636363636</v>
      </c>
      <c r="E77" s="672">
        <f t="shared" si="46"/>
        <v>0.380952381</v>
      </c>
      <c r="F77" s="672">
        <f t="shared" si="46"/>
        <v>0.380952381</v>
      </c>
      <c r="G77" s="672">
        <f t="shared" si="46"/>
        <v>0.380952381</v>
      </c>
      <c r="H77" s="672">
        <f t="shared" si="46"/>
        <v>0.5</v>
      </c>
      <c r="I77" s="672">
        <f t="shared" si="46"/>
        <v>0.6363636364</v>
      </c>
      <c r="J77" s="672">
        <f t="shared" si="46"/>
        <v>0.4666666667</v>
      </c>
      <c r="K77" s="672">
        <f t="shared" si="46"/>
        <v>0.2666666667</v>
      </c>
      <c r="L77" s="672">
        <f t="shared" si="46"/>
        <v>0.4285714286</v>
      </c>
      <c r="M77" s="672">
        <f t="shared" si="46"/>
        <v>0.5454545455</v>
      </c>
      <c r="N77" s="672">
        <f t="shared" si="46"/>
        <v>0.5714285714</v>
      </c>
      <c r="O77" s="672">
        <f t="shared" si="46"/>
        <v>0.2857142857</v>
      </c>
      <c r="P77" s="672">
        <f t="shared" si="46"/>
        <v>0.5714285714</v>
      </c>
      <c r="Q77" s="672">
        <f t="shared" si="46"/>
        <v>0.2222222222</v>
      </c>
      <c r="R77" s="672">
        <f t="shared" si="46"/>
        <v>0.2941176471</v>
      </c>
      <c r="S77" s="672">
        <f t="shared" si="46"/>
        <v>0.4</v>
      </c>
      <c r="T77" s="672">
        <f t="shared" si="46"/>
        <v>0.5454545455</v>
      </c>
      <c r="U77" s="672">
        <f t="shared" si="46"/>
        <v>0.3888888889</v>
      </c>
      <c r="V77" s="672">
        <f t="shared" si="46"/>
        <v>0.4545454545</v>
      </c>
      <c r="W77" s="672">
        <f t="shared" si="46"/>
        <v>0.4285714286</v>
      </c>
      <c r="X77" s="672">
        <f t="shared" si="46"/>
        <v>0.4285714286</v>
      </c>
      <c r="Y77" s="672">
        <f t="shared" si="46"/>
        <v>0.5384615385</v>
      </c>
      <c r="Z77" s="672">
        <f t="shared" si="46"/>
        <v>0.3529411765</v>
      </c>
      <c r="AA77" s="672">
        <f t="shared" si="46"/>
        <v>0.3333333333</v>
      </c>
      <c r="AB77" s="672">
        <f t="shared" si="46"/>
        <v>0.25</v>
      </c>
      <c r="AC77" s="672">
        <f t="shared" si="46"/>
        <v>0.625</v>
      </c>
      <c r="AD77" s="672">
        <f t="shared" si="46"/>
        <v>0.3333333333</v>
      </c>
      <c r="AE77" s="672">
        <f t="shared" si="46"/>
        <v>0.4444444444</v>
      </c>
      <c r="AF77" s="723">
        <f t="shared" si="46"/>
        <v>0.2</v>
      </c>
      <c r="AG77" s="674"/>
      <c r="AH77" s="721"/>
    </row>
    <row r="78" hidden="1" outlineLevel="1">
      <c r="A78" s="496" t="s">
        <v>1098</v>
      </c>
      <c r="B78" s="672">
        <f t="shared" ref="B78:AF78" si="47">iferror(B52/B$53,"")</f>
        <v>0.04761904762</v>
      </c>
      <c r="C78" s="672">
        <f t="shared" si="47"/>
        <v>0.1904761905</v>
      </c>
      <c r="D78" s="672">
        <f t="shared" si="47"/>
        <v>0.09090909091</v>
      </c>
      <c r="E78" s="672">
        <f t="shared" si="47"/>
        <v>0.2380952381</v>
      </c>
      <c r="F78" s="672">
        <f t="shared" si="47"/>
        <v>0.1904761905</v>
      </c>
      <c r="G78" s="672">
        <f t="shared" si="47"/>
        <v>0.2857142857</v>
      </c>
      <c r="H78" s="672">
        <f t="shared" si="47"/>
        <v>0.1666666667</v>
      </c>
      <c r="I78" s="672">
        <f t="shared" si="47"/>
        <v>0</v>
      </c>
      <c r="J78" s="672">
        <f t="shared" si="47"/>
        <v>0</v>
      </c>
      <c r="K78" s="672">
        <f t="shared" si="47"/>
        <v>0.3333333333</v>
      </c>
      <c r="L78" s="672">
        <f t="shared" si="47"/>
        <v>0.09523809524</v>
      </c>
      <c r="M78" s="672">
        <f t="shared" si="47"/>
        <v>0.2727272727</v>
      </c>
      <c r="N78" s="672">
        <f t="shared" si="47"/>
        <v>0.1428571429</v>
      </c>
      <c r="O78" s="672">
        <f t="shared" si="47"/>
        <v>0</v>
      </c>
      <c r="P78" s="672">
        <f t="shared" si="47"/>
        <v>0.1428571429</v>
      </c>
      <c r="Q78" s="672">
        <f t="shared" si="47"/>
        <v>0.2222222222</v>
      </c>
      <c r="R78" s="672">
        <f t="shared" si="47"/>
        <v>0.2352941176</v>
      </c>
      <c r="S78" s="672">
        <f t="shared" si="47"/>
        <v>0.2666666667</v>
      </c>
      <c r="T78" s="672">
        <f t="shared" si="47"/>
        <v>0.09090909091</v>
      </c>
      <c r="U78" s="672">
        <f t="shared" si="47"/>
        <v>0.1111111111</v>
      </c>
      <c r="V78" s="672">
        <f t="shared" si="47"/>
        <v>0.1818181818</v>
      </c>
      <c r="W78" s="672">
        <f t="shared" si="47"/>
        <v>0.2857142857</v>
      </c>
      <c r="X78" s="672">
        <f t="shared" si="47"/>
        <v>0</v>
      </c>
      <c r="Y78" s="672">
        <f t="shared" si="47"/>
        <v>0.2307692308</v>
      </c>
      <c r="Z78" s="672">
        <f t="shared" si="47"/>
        <v>0.2352941176</v>
      </c>
      <c r="AA78" s="672">
        <f t="shared" si="47"/>
        <v>0.1111111111</v>
      </c>
      <c r="AB78" s="672">
        <f t="shared" si="47"/>
        <v>0.0625</v>
      </c>
      <c r="AC78" s="672">
        <f t="shared" si="47"/>
        <v>0.125</v>
      </c>
      <c r="AD78" s="672">
        <f t="shared" si="47"/>
        <v>0.08333333333</v>
      </c>
      <c r="AE78" s="672">
        <f t="shared" si="47"/>
        <v>0.3333333333</v>
      </c>
      <c r="AF78" s="723">
        <f t="shared" si="47"/>
        <v>0</v>
      </c>
      <c r="AG78" s="674"/>
      <c r="AH78" s="721"/>
    </row>
    <row r="79" hidden="1" outlineLevel="1">
      <c r="A79" s="722"/>
      <c r="B79" s="672"/>
      <c r="C79" s="672"/>
      <c r="D79" s="672"/>
      <c r="E79" s="672"/>
      <c r="F79" s="672"/>
      <c r="G79" s="672"/>
      <c r="H79" s="672"/>
      <c r="I79" s="672"/>
      <c r="J79" s="672"/>
      <c r="K79" s="672"/>
      <c r="L79" s="672"/>
      <c r="M79" s="672"/>
      <c r="N79" s="672"/>
      <c r="O79" s="672"/>
      <c r="P79" s="672"/>
      <c r="Q79" s="672"/>
      <c r="R79" s="672"/>
      <c r="S79" s="672"/>
      <c r="T79" s="672"/>
      <c r="U79" s="672"/>
      <c r="V79" s="672"/>
      <c r="W79" s="672"/>
      <c r="X79" s="672"/>
      <c r="Y79" s="672"/>
      <c r="Z79" s="672"/>
      <c r="AA79" s="672"/>
      <c r="AB79" s="672"/>
      <c r="AC79" s="672"/>
      <c r="AD79" s="672"/>
      <c r="AE79" s="672"/>
      <c r="AF79" s="723"/>
      <c r="AG79" s="674"/>
      <c r="AH79" s="721"/>
    </row>
    <row r="80" collapsed="1">
      <c r="A80" s="496" t="s">
        <v>724</v>
      </c>
      <c r="B80" s="672">
        <f t="shared" ref="B80:AF80" si="48">iferror(B54/B$60,"")</f>
        <v>0.1826086957</v>
      </c>
      <c r="C80" s="672">
        <f t="shared" si="48"/>
        <v>0.2</v>
      </c>
      <c r="D80" s="672">
        <f t="shared" si="48"/>
        <v>0.2252252252</v>
      </c>
      <c r="E80" s="672">
        <f t="shared" si="48"/>
        <v>0.2526315789</v>
      </c>
      <c r="F80" s="672">
        <f t="shared" si="48"/>
        <v>0.2051282051</v>
      </c>
      <c r="G80" s="672">
        <f t="shared" si="48"/>
        <v>0.147826087</v>
      </c>
      <c r="H80" s="672">
        <f t="shared" si="48"/>
        <v>0.1893939394</v>
      </c>
      <c r="I80" s="672">
        <f t="shared" si="48"/>
        <v>0.2127659574</v>
      </c>
      <c r="J80" s="672">
        <f t="shared" si="48"/>
        <v>0.253164557</v>
      </c>
      <c r="K80" s="672">
        <f t="shared" si="48"/>
        <v>0.186440678</v>
      </c>
      <c r="L80" s="672">
        <f t="shared" si="48"/>
        <v>0.2051282051</v>
      </c>
      <c r="M80" s="672">
        <f t="shared" si="48"/>
        <v>0.2528735632</v>
      </c>
      <c r="N80" s="672">
        <f t="shared" si="48"/>
        <v>0.1460674157</v>
      </c>
      <c r="O80" s="672">
        <f t="shared" si="48"/>
        <v>0.1340206186</v>
      </c>
      <c r="P80" s="672">
        <f t="shared" si="48"/>
        <v>0.2179487179</v>
      </c>
      <c r="Q80" s="672">
        <f t="shared" si="48"/>
        <v>0.1571428571</v>
      </c>
      <c r="R80" s="672">
        <f t="shared" si="48"/>
        <v>0.2976190476</v>
      </c>
      <c r="S80" s="672">
        <f t="shared" si="48"/>
        <v>0.1791044776</v>
      </c>
      <c r="T80" s="672">
        <f t="shared" si="48"/>
        <v>0.2077922078</v>
      </c>
      <c r="U80" s="672">
        <f t="shared" si="48"/>
        <v>0.1956521739</v>
      </c>
      <c r="V80" s="672">
        <f t="shared" si="48"/>
        <v>0.2222222222</v>
      </c>
      <c r="W80" s="672">
        <f t="shared" si="48"/>
        <v>0.15</v>
      </c>
      <c r="X80" s="672">
        <f t="shared" si="48"/>
        <v>0.1525423729</v>
      </c>
      <c r="Y80" s="672">
        <f t="shared" si="48"/>
        <v>0.1818181818</v>
      </c>
      <c r="Z80" s="672">
        <f t="shared" si="48"/>
        <v>0.2033898305</v>
      </c>
      <c r="AA80" s="672">
        <f t="shared" si="48"/>
        <v>0.1607142857</v>
      </c>
      <c r="AB80" s="672">
        <f t="shared" si="48"/>
        <v>0.2419354839</v>
      </c>
      <c r="AC80" s="672">
        <f t="shared" si="48"/>
        <v>0.1692307692</v>
      </c>
      <c r="AD80" s="672">
        <f t="shared" si="48"/>
        <v>0.2941176471</v>
      </c>
      <c r="AE80" s="672">
        <f t="shared" si="48"/>
        <v>0.3953488372</v>
      </c>
      <c r="AF80" s="723">
        <f t="shared" si="48"/>
        <v>0.2647058824</v>
      </c>
      <c r="AG80" s="674"/>
      <c r="AH80" s="721"/>
    </row>
    <row r="81" hidden="1" outlineLevel="1">
      <c r="A81" s="722" t="s">
        <v>1095</v>
      </c>
      <c r="B81" s="724"/>
      <c r="C81" s="724"/>
      <c r="D81" s="724"/>
      <c r="E81" s="724"/>
      <c r="F81" s="724"/>
      <c r="G81" s="724"/>
      <c r="H81" s="724"/>
      <c r="I81" s="724"/>
      <c r="J81" s="724"/>
      <c r="K81" s="724"/>
      <c r="L81" s="724"/>
      <c r="M81" s="724"/>
      <c r="N81" s="724"/>
      <c r="O81" s="724"/>
      <c r="P81" s="672"/>
      <c r="Q81" s="672"/>
      <c r="R81" s="672"/>
      <c r="S81" s="672"/>
      <c r="T81" s="672"/>
      <c r="U81" s="672"/>
      <c r="V81" s="672"/>
      <c r="W81" s="672"/>
      <c r="X81" s="672"/>
      <c r="Y81" s="672"/>
      <c r="Z81" s="672"/>
      <c r="AA81" s="672"/>
      <c r="AB81" s="672"/>
      <c r="AC81" s="672"/>
      <c r="AD81" s="672"/>
      <c r="AE81" s="672"/>
      <c r="AF81" s="723"/>
      <c r="AG81" s="725"/>
      <c r="AH81" s="674"/>
    </row>
    <row r="82" hidden="1" outlineLevel="1">
      <c r="A82" s="496" t="s">
        <v>1096</v>
      </c>
      <c r="B82" s="672">
        <f t="shared" ref="B82:AF82" si="49">iferror(B56/B$59,"")</f>
        <v>0.2857142857</v>
      </c>
      <c r="C82" s="672">
        <f t="shared" si="49"/>
        <v>0.3</v>
      </c>
      <c r="D82" s="672">
        <f t="shared" si="49"/>
        <v>0.24</v>
      </c>
      <c r="E82" s="672">
        <f t="shared" si="49"/>
        <v>0.375</v>
      </c>
      <c r="F82" s="672">
        <f t="shared" si="49"/>
        <v>0.4166666667</v>
      </c>
      <c r="G82" s="672">
        <f t="shared" si="49"/>
        <v>0.6470588235</v>
      </c>
      <c r="H82" s="672">
        <f t="shared" si="49"/>
        <v>0.36</v>
      </c>
      <c r="I82" s="672">
        <f t="shared" si="49"/>
        <v>0.4</v>
      </c>
      <c r="J82" s="672">
        <f t="shared" si="49"/>
        <v>0.45</v>
      </c>
      <c r="K82" s="672">
        <f t="shared" si="49"/>
        <v>0.2727272727</v>
      </c>
      <c r="L82" s="672">
        <f t="shared" si="49"/>
        <v>0.6875</v>
      </c>
      <c r="M82" s="672">
        <f t="shared" si="49"/>
        <v>0.6363636364</v>
      </c>
      <c r="N82" s="672">
        <f t="shared" si="49"/>
        <v>0.8461538462</v>
      </c>
      <c r="O82" s="672">
        <f t="shared" si="49"/>
        <v>0.4615384615</v>
      </c>
      <c r="P82" s="672">
        <f t="shared" si="49"/>
        <v>0.5882352941</v>
      </c>
      <c r="Q82" s="672">
        <f t="shared" si="49"/>
        <v>0.5454545455</v>
      </c>
      <c r="R82" s="672">
        <f t="shared" si="49"/>
        <v>0.6</v>
      </c>
      <c r="S82" s="672">
        <f t="shared" si="49"/>
        <v>0.6666666667</v>
      </c>
      <c r="T82" s="672">
        <f t="shared" si="49"/>
        <v>0.5</v>
      </c>
      <c r="U82" s="672">
        <f t="shared" si="49"/>
        <v>0.3888888889</v>
      </c>
      <c r="V82" s="672">
        <f t="shared" si="49"/>
        <v>0.375</v>
      </c>
      <c r="W82" s="672">
        <f t="shared" si="49"/>
        <v>0.4444444444</v>
      </c>
      <c r="X82" s="672">
        <f t="shared" si="49"/>
        <v>0.3333333333</v>
      </c>
      <c r="Y82" s="672">
        <f t="shared" si="49"/>
        <v>0.3</v>
      </c>
      <c r="Z82" s="672">
        <f t="shared" si="49"/>
        <v>0.5833333333</v>
      </c>
      <c r="AA82" s="672">
        <f t="shared" si="49"/>
        <v>0.5555555556</v>
      </c>
      <c r="AB82" s="672">
        <f t="shared" si="49"/>
        <v>0.6</v>
      </c>
      <c r="AC82" s="672">
        <f t="shared" si="49"/>
        <v>0.6363636364</v>
      </c>
      <c r="AD82" s="672">
        <f t="shared" si="49"/>
        <v>0.4</v>
      </c>
      <c r="AE82" s="672">
        <f t="shared" si="49"/>
        <v>0.5882352941</v>
      </c>
      <c r="AF82" s="723">
        <f t="shared" si="49"/>
        <v>0.2222222222</v>
      </c>
      <c r="AG82" s="725"/>
      <c r="AH82" s="674"/>
    </row>
    <row r="83" hidden="1" outlineLevel="1">
      <c r="A83" s="496" t="s">
        <v>1097</v>
      </c>
      <c r="B83" s="672">
        <f t="shared" ref="B83:AF83" si="50">iferror(B57/B$59,"")</f>
        <v>0.5714285714</v>
      </c>
      <c r="C83" s="672">
        <f t="shared" si="50"/>
        <v>0.4</v>
      </c>
      <c r="D83" s="672">
        <f t="shared" si="50"/>
        <v>0.68</v>
      </c>
      <c r="E83" s="672">
        <f t="shared" si="50"/>
        <v>0.5</v>
      </c>
      <c r="F83" s="672">
        <f t="shared" si="50"/>
        <v>0.5416666667</v>
      </c>
      <c r="G83" s="672">
        <f t="shared" si="50"/>
        <v>0.2941176471</v>
      </c>
      <c r="H83" s="672">
        <f t="shared" si="50"/>
        <v>0.44</v>
      </c>
      <c r="I83" s="672">
        <f t="shared" si="50"/>
        <v>0.5</v>
      </c>
      <c r="J83" s="672">
        <f t="shared" si="50"/>
        <v>0.5</v>
      </c>
      <c r="K83" s="672">
        <f t="shared" si="50"/>
        <v>0.7272727273</v>
      </c>
      <c r="L83" s="672">
        <f t="shared" si="50"/>
        <v>0.1875</v>
      </c>
      <c r="M83" s="672">
        <f t="shared" si="50"/>
        <v>0.3181818182</v>
      </c>
      <c r="N83" s="672">
        <f t="shared" si="50"/>
        <v>0</v>
      </c>
      <c r="O83" s="672">
        <f t="shared" si="50"/>
        <v>0.4615384615</v>
      </c>
      <c r="P83" s="672">
        <f t="shared" si="50"/>
        <v>0.3529411765</v>
      </c>
      <c r="Q83" s="672">
        <f t="shared" si="50"/>
        <v>0.4545454545</v>
      </c>
      <c r="R83" s="672">
        <f t="shared" si="50"/>
        <v>0.36</v>
      </c>
      <c r="S83" s="672">
        <f t="shared" si="50"/>
        <v>0.3333333333</v>
      </c>
      <c r="T83" s="672">
        <f t="shared" si="50"/>
        <v>0.4375</v>
      </c>
      <c r="U83" s="672">
        <f t="shared" si="50"/>
        <v>0.5</v>
      </c>
      <c r="V83" s="672">
        <f t="shared" si="50"/>
        <v>0.625</v>
      </c>
      <c r="W83" s="672">
        <f t="shared" si="50"/>
        <v>0.5555555556</v>
      </c>
      <c r="X83" s="672">
        <f t="shared" si="50"/>
        <v>0.4444444444</v>
      </c>
      <c r="Y83" s="672">
        <f t="shared" si="50"/>
        <v>0.3</v>
      </c>
      <c r="Z83" s="672">
        <f t="shared" si="50"/>
        <v>0.25</v>
      </c>
      <c r="AA83" s="672">
        <f t="shared" si="50"/>
        <v>0.3333333333</v>
      </c>
      <c r="AB83" s="672">
        <f t="shared" si="50"/>
        <v>0.4</v>
      </c>
      <c r="AC83" s="672">
        <f t="shared" si="50"/>
        <v>0.2727272727</v>
      </c>
      <c r="AD83" s="672">
        <f t="shared" si="50"/>
        <v>0.4</v>
      </c>
      <c r="AE83" s="672">
        <f t="shared" si="50"/>
        <v>0.2352941176</v>
      </c>
      <c r="AF83" s="723">
        <f t="shared" si="50"/>
        <v>0.7777777778</v>
      </c>
      <c r="AG83" s="725"/>
      <c r="AH83" s="674"/>
    </row>
    <row r="84" hidden="1" outlineLevel="1">
      <c r="A84" s="496" t="s">
        <v>1098</v>
      </c>
      <c r="B84" s="672">
        <f t="shared" ref="B84:AF84" si="51">iferror(B58/B$59,"")</f>
        <v>0.1428571429</v>
      </c>
      <c r="C84" s="672">
        <f t="shared" si="51"/>
        <v>0.3</v>
      </c>
      <c r="D84" s="672">
        <f t="shared" si="51"/>
        <v>0.08</v>
      </c>
      <c r="E84" s="672">
        <f t="shared" si="51"/>
        <v>0.125</v>
      </c>
      <c r="F84" s="672">
        <f t="shared" si="51"/>
        <v>0.04166666667</v>
      </c>
      <c r="G84" s="672">
        <f t="shared" si="51"/>
        <v>0.05882352941</v>
      </c>
      <c r="H84" s="672">
        <f t="shared" si="51"/>
        <v>0.2</v>
      </c>
      <c r="I84" s="672">
        <f t="shared" si="51"/>
        <v>0.1</v>
      </c>
      <c r="J84" s="672">
        <f t="shared" si="51"/>
        <v>0.05</v>
      </c>
      <c r="K84" s="672">
        <f t="shared" si="51"/>
        <v>0</v>
      </c>
      <c r="L84" s="672">
        <f t="shared" si="51"/>
        <v>0.125</v>
      </c>
      <c r="M84" s="672">
        <f t="shared" si="51"/>
        <v>0.04545454545</v>
      </c>
      <c r="N84" s="672">
        <f t="shared" si="51"/>
        <v>0.1538461538</v>
      </c>
      <c r="O84" s="672">
        <f t="shared" si="51"/>
        <v>0.07692307692</v>
      </c>
      <c r="P84" s="672">
        <f t="shared" si="51"/>
        <v>0.05882352941</v>
      </c>
      <c r="Q84" s="672">
        <f t="shared" si="51"/>
        <v>0</v>
      </c>
      <c r="R84" s="672">
        <f t="shared" si="51"/>
        <v>0.04</v>
      </c>
      <c r="S84" s="672">
        <f t="shared" si="51"/>
        <v>0</v>
      </c>
      <c r="T84" s="672">
        <f t="shared" si="51"/>
        <v>0.0625</v>
      </c>
      <c r="U84" s="672">
        <f t="shared" si="51"/>
        <v>0.1111111111</v>
      </c>
      <c r="V84" s="672">
        <f t="shared" si="51"/>
        <v>0</v>
      </c>
      <c r="W84" s="672">
        <f t="shared" si="51"/>
        <v>0</v>
      </c>
      <c r="X84" s="672">
        <f t="shared" si="51"/>
        <v>0.2222222222</v>
      </c>
      <c r="Y84" s="672">
        <f t="shared" si="51"/>
        <v>0.4</v>
      </c>
      <c r="Z84" s="672">
        <f t="shared" si="51"/>
        <v>0.1666666667</v>
      </c>
      <c r="AA84" s="672">
        <f t="shared" si="51"/>
        <v>0.1111111111</v>
      </c>
      <c r="AB84" s="672">
        <f t="shared" si="51"/>
        <v>0</v>
      </c>
      <c r="AC84" s="672">
        <f t="shared" si="51"/>
        <v>0.09090909091</v>
      </c>
      <c r="AD84" s="672">
        <f t="shared" si="51"/>
        <v>0.2</v>
      </c>
      <c r="AE84" s="672">
        <f t="shared" si="51"/>
        <v>0.1764705882</v>
      </c>
      <c r="AF84" s="723">
        <f t="shared" si="51"/>
        <v>0</v>
      </c>
      <c r="AG84" s="673"/>
      <c r="AH84" s="674"/>
    </row>
    <row r="85" hidden="1" outlineLevel="1">
      <c r="A85" s="726"/>
      <c r="B85" s="727"/>
      <c r="C85" s="727"/>
      <c r="D85" s="727"/>
      <c r="E85" s="727"/>
      <c r="F85" s="727"/>
      <c r="G85" s="727"/>
      <c r="H85" s="727"/>
      <c r="I85" s="727"/>
      <c r="J85" s="727"/>
      <c r="K85" s="727"/>
      <c r="L85" s="727"/>
      <c r="M85" s="727"/>
      <c r="N85" s="727"/>
      <c r="O85" s="727"/>
      <c r="P85" s="689"/>
      <c r="Q85" s="689"/>
      <c r="R85" s="689"/>
      <c r="S85" s="689"/>
      <c r="T85" s="689"/>
      <c r="U85" s="689"/>
      <c r="V85" s="689"/>
      <c r="W85" s="689"/>
      <c r="X85" s="689"/>
      <c r="Y85" s="689"/>
      <c r="Z85" s="689"/>
      <c r="AA85" s="689"/>
      <c r="AB85" s="689"/>
      <c r="AC85" s="689"/>
      <c r="AD85" s="689"/>
      <c r="AE85" s="689"/>
      <c r="AF85" s="728"/>
      <c r="AG85" s="673"/>
      <c r="AH85" s="674"/>
    </row>
    <row r="86">
      <c r="B86" s="571"/>
      <c r="C86" s="571"/>
      <c r="D86" s="571"/>
      <c r="E86" s="571"/>
      <c r="F86" s="571"/>
      <c r="G86" s="571"/>
      <c r="H86" s="571"/>
      <c r="I86" s="571"/>
      <c r="J86" s="571"/>
      <c r="K86" s="571"/>
      <c r="L86" s="571"/>
      <c r="M86" s="571"/>
      <c r="N86" s="571"/>
      <c r="O86" s="571"/>
      <c r="P86" s="571"/>
      <c r="Q86" s="571"/>
      <c r="R86" s="571"/>
      <c r="S86" s="571"/>
      <c r="T86" s="571"/>
      <c r="U86" s="571"/>
      <c r="V86" s="571"/>
      <c r="W86" s="571"/>
      <c r="X86" s="571"/>
      <c r="Y86" s="571"/>
      <c r="Z86" s="571"/>
      <c r="AA86" s="571"/>
      <c r="AB86" s="571"/>
      <c r="AC86" s="571"/>
      <c r="AD86" s="571"/>
      <c r="AE86" s="571"/>
      <c r="AF86" s="571"/>
      <c r="AG86" s="690"/>
      <c r="AH86" s="691"/>
    </row>
    <row r="87">
      <c r="A87" s="510"/>
      <c r="B87" s="729"/>
      <c r="C87" s="729"/>
      <c r="D87" s="729"/>
      <c r="E87" s="729"/>
      <c r="F87" s="729"/>
      <c r="G87" s="729"/>
      <c r="H87" s="729"/>
      <c r="I87" s="729"/>
      <c r="J87" s="729"/>
      <c r="K87" s="729"/>
      <c r="L87" s="729"/>
      <c r="M87" s="729"/>
      <c r="N87" s="729"/>
      <c r="O87" s="729"/>
      <c r="P87" s="729"/>
      <c r="Q87" s="729"/>
      <c r="R87" s="729"/>
      <c r="S87" s="729"/>
      <c r="T87" s="729"/>
      <c r="U87" s="729"/>
      <c r="V87" s="729"/>
      <c r="W87" s="729"/>
      <c r="X87" s="729"/>
      <c r="Y87" s="729"/>
      <c r="Z87" s="729"/>
      <c r="AA87" s="729"/>
      <c r="AB87" s="729"/>
      <c r="AC87" s="729"/>
      <c r="AD87" s="729"/>
      <c r="AE87" s="729"/>
      <c r="AF87" s="729"/>
      <c r="AG87" s="690"/>
      <c r="AH87" s="691"/>
    </row>
    <row r="88">
      <c r="A88" s="510"/>
      <c r="B88" s="729"/>
      <c r="C88" s="729"/>
      <c r="D88" s="729"/>
      <c r="E88" s="729"/>
      <c r="F88" s="729"/>
      <c r="G88" s="729"/>
      <c r="H88" s="729"/>
      <c r="I88" s="729"/>
      <c r="J88" s="729"/>
      <c r="K88" s="729"/>
      <c r="L88" s="729"/>
      <c r="M88" s="729"/>
      <c r="N88" s="729"/>
      <c r="O88" s="729"/>
      <c r="P88" s="729"/>
      <c r="Q88" s="729"/>
      <c r="R88" s="729"/>
      <c r="S88" s="729"/>
      <c r="T88" s="729"/>
      <c r="U88" s="729"/>
      <c r="V88" s="729"/>
      <c r="W88" s="729"/>
      <c r="X88" s="729"/>
      <c r="Y88" s="729"/>
      <c r="Z88" s="729"/>
      <c r="AA88" s="729"/>
      <c r="AB88" s="729"/>
      <c r="AC88" s="729"/>
      <c r="AD88" s="729"/>
      <c r="AE88" s="729"/>
      <c r="AF88" s="729"/>
      <c r="AG88" s="690"/>
      <c r="AH88" s="691"/>
    </row>
    <row r="89">
      <c r="A89" s="510"/>
      <c r="B89" s="729"/>
      <c r="C89" s="729"/>
      <c r="D89" s="729"/>
      <c r="E89" s="729"/>
      <c r="F89" s="729"/>
      <c r="G89" s="729"/>
      <c r="H89" s="729"/>
      <c r="I89" s="729"/>
      <c r="J89" s="729"/>
      <c r="K89" s="729"/>
      <c r="L89" s="729"/>
      <c r="M89" s="729"/>
      <c r="N89" s="729"/>
      <c r="O89" s="729"/>
      <c r="P89" s="729"/>
      <c r="Q89" s="729"/>
      <c r="R89" s="729"/>
      <c r="S89" s="729"/>
      <c r="T89" s="729"/>
      <c r="U89" s="729"/>
      <c r="V89" s="729"/>
      <c r="W89" s="729"/>
      <c r="X89" s="729"/>
      <c r="Y89" s="729"/>
      <c r="Z89" s="729"/>
      <c r="AA89" s="729"/>
      <c r="AB89" s="729"/>
      <c r="AC89" s="729"/>
      <c r="AD89" s="729"/>
      <c r="AE89" s="729"/>
      <c r="AF89" s="729"/>
      <c r="AG89" s="690"/>
      <c r="AH89" s="691"/>
    </row>
    <row r="90">
      <c r="A90" s="510"/>
      <c r="B90" s="729"/>
      <c r="C90" s="729"/>
      <c r="D90" s="729"/>
      <c r="E90" s="729"/>
      <c r="F90" s="729"/>
      <c r="G90" s="729"/>
      <c r="H90" s="729"/>
      <c r="I90" s="729"/>
      <c r="J90" s="729"/>
      <c r="K90" s="729"/>
      <c r="L90" s="729"/>
      <c r="M90" s="729"/>
      <c r="N90" s="729"/>
      <c r="O90" s="729"/>
      <c r="P90" s="729"/>
      <c r="Q90" s="729"/>
      <c r="R90" s="729"/>
      <c r="S90" s="729"/>
      <c r="T90" s="729"/>
      <c r="U90" s="729"/>
      <c r="V90" s="729"/>
      <c r="W90" s="729"/>
      <c r="X90" s="729"/>
      <c r="Y90" s="729"/>
      <c r="Z90" s="729"/>
      <c r="AA90" s="729"/>
      <c r="AB90" s="729"/>
      <c r="AC90" s="729"/>
      <c r="AD90" s="729"/>
      <c r="AE90" s="729"/>
      <c r="AF90" s="729"/>
      <c r="AG90" s="690"/>
      <c r="AH90" s="691"/>
    </row>
    <row r="91">
      <c r="A91" s="510"/>
      <c r="B91" s="729"/>
      <c r="C91" s="729"/>
      <c r="D91" s="729"/>
      <c r="E91" s="729"/>
      <c r="F91" s="729"/>
      <c r="G91" s="729"/>
      <c r="H91" s="729"/>
      <c r="I91" s="729"/>
      <c r="J91" s="729"/>
      <c r="K91" s="729"/>
      <c r="L91" s="729"/>
      <c r="M91" s="729"/>
      <c r="N91" s="729"/>
      <c r="O91" s="729"/>
      <c r="P91" s="729"/>
      <c r="Q91" s="729"/>
      <c r="R91" s="729"/>
      <c r="S91" s="729"/>
      <c r="T91" s="729"/>
      <c r="U91" s="729"/>
      <c r="V91" s="729"/>
      <c r="W91" s="729"/>
      <c r="X91" s="729"/>
      <c r="Y91" s="729"/>
      <c r="Z91" s="729"/>
      <c r="AA91" s="729"/>
      <c r="AB91" s="729"/>
      <c r="AC91" s="729"/>
      <c r="AD91" s="729"/>
      <c r="AE91" s="729"/>
      <c r="AF91" s="729"/>
      <c r="AG91" s="690"/>
      <c r="AH91" s="691"/>
    </row>
    <row r="92">
      <c r="A92" s="510"/>
      <c r="B92" s="729"/>
      <c r="C92" s="729"/>
      <c r="D92" s="729"/>
      <c r="E92" s="729"/>
      <c r="F92" s="729"/>
      <c r="G92" s="729"/>
      <c r="H92" s="729"/>
      <c r="I92" s="729"/>
      <c r="J92" s="729"/>
      <c r="K92" s="729"/>
      <c r="L92" s="729"/>
      <c r="M92" s="729"/>
      <c r="N92" s="729"/>
      <c r="O92" s="729"/>
      <c r="P92" s="729"/>
      <c r="Q92" s="729"/>
      <c r="R92" s="729"/>
      <c r="S92" s="729"/>
      <c r="T92" s="729"/>
      <c r="U92" s="729"/>
      <c r="V92" s="729"/>
      <c r="W92" s="729"/>
      <c r="X92" s="729"/>
      <c r="Y92" s="729"/>
      <c r="Z92" s="729"/>
      <c r="AA92" s="729"/>
      <c r="AB92" s="729"/>
      <c r="AC92" s="729"/>
      <c r="AD92" s="729"/>
      <c r="AE92" s="729"/>
      <c r="AF92" s="729"/>
      <c r="AG92" s="690"/>
      <c r="AH92" s="691"/>
    </row>
    <row r="93">
      <c r="A93" s="510"/>
      <c r="B93" s="729"/>
      <c r="C93" s="729"/>
      <c r="D93" s="729"/>
      <c r="E93" s="729"/>
      <c r="F93" s="729"/>
      <c r="G93" s="729"/>
      <c r="H93" s="729"/>
      <c r="I93" s="729"/>
      <c r="J93" s="729"/>
      <c r="K93" s="729"/>
      <c r="L93" s="729"/>
      <c r="M93" s="729"/>
      <c r="N93" s="729"/>
      <c r="O93" s="729"/>
      <c r="P93" s="729"/>
      <c r="Q93" s="729"/>
      <c r="R93" s="729"/>
      <c r="S93" s="729"/>
      <c r="T93" s="729"/>
      <c r="U93" s="729"/>
      <c r="V93" s="729"/>
      <c r="W93" s="729"/>
      <c r="X93" s="729"/>
      <c r="Y93" s="729"/>
      <c r="Z93" s="729"/>
      <c r="AA93" s="729"/>
      <c r="AB93" s="729"/>
      <c r="AC93" s="729"/>
      <c r="AD93" s="729"/>
      <c r="AE93" s="729"/>
      <c r="AF93" s="729"/>
      <c r="AG93" s="690"/>
      <c r="AH93" s="691"/>
    </row>
    <row r="94">
      <c r="A94" s="510"/>
      <c r="B94" s="729"/>
      <c r="C94" s="729"/>
      <c r="D94" s="729"/>
      <c r="E94" s="729"/>
      <c r="F94" s="729"/>
      <c r="G94" s="729"/>
      <c r="H94" s="729"/>
      <c r="I94" s="729"/>
      <c r="J94" s="729"/>
      <c r="K94" s="729"/>
      <c r="L94" s="729"/>
      <c r="M94" s="729"/>
      <c r="N94" s="729"/>
      <c r="O94" s="729"/>
      <c r="P94" s="729"/>
      <c r="Q94" s="729"/>
      <c r="R94" s="729"/>
      <c r="S94" s="729"/>
      <c r="T94" s="729"/>
      <c r="U94" s="729"/>
      <c r="V94" s="729"/>
      <c r="W94" s="729"/>
      <c r="X94" s="729"/>
      <c r="Y94" s="729"/>
      <c r="Z94" s="729"/>
      <c r="AA94" s="729"/>
      <c r="AB94" s="729"/>
      <c r="AC94" s="729"/>
      <c r="AD94" s="729"/>
      <c r="AE94" s="729"/>
      <c r="AF94" s="729"/>
      <c r="AG94" s="690"/>
      <c r="AH94" s="691"/>
    </row>
    <row r="95">
      <c r="A95" s="510"/>
      <c r="B95" s="729"/>
      <c r="C95" s="729"/>
      <c r="D95" s="729"/>
      <c r="E95" s="729"/>
      <c r="F95" s="729"/>
      <c r="G95" s="729"/>
      <c r="H95" s="729"/>
      <c r="I95" s="729"/>
      <c r="J95" s="729"/>
      <c r="K95" s="729"/>
      <c r="L95" s="729"/>
      <c r="M95" s="729"/>
      <c r="N95" s="729"/>
      <c r="O95" s="729"/>
      <c r="P95" s="729"/>
      <c r="Q95" s="729"/>
      <c r="R95" s="729"/>
      <c r="S95" s="729"/>
      <c r="T95" s="729"/>
      <c r="U95" s="729"/>
      <c r="V95" s="729"/>
      <c r="W95" s="729"/>
      <c r="X95" s="729"/>
      <c r="Y95" s="729"/>
      <c r="Z95" s="729"/>
      <c r="AA95" s="729"/>
      <c r="AB95" s="729"/>
      <c r="AC95" s="729"/>
      <c r="AD95" s="729"/>
      <c r="AE95" s="729"/>
      <c r="AF95" s="729"/>
      <c r="AG95" s="690"/>
      <c r="AH95" s="691"/>
    </row>
    <row r="96">
      <c r="B96" s="571"/>
      <c r="C96" s="571"/>
      <c r="D96" s="571"/>
      <c r="E96" s="571"/>
      <c r="F96" s="571"/>
      <c r="G96" s="571"/>
      <c r="H96" s="571"/>
      <c r="I96" s="571"/>
      <c r="J96" s="571"/>
      <c r="K96" s="571"/>
      <c r="L96" s="571"/>
      <c r="M96" s="571"/>
      <c r="N96" s="571"/>
      <c r="O96" s="571"/>
      <c r="P96" s="571"/>
      <c r="Q96" s="571"/>
      <c r="R96" s="571"/>
      <c r="S96" s="571"/>
      <c r="T96" s="571"/>
      <c r="U96" s="571"/>
      <c r="V96" s="571"/>
      <c r="W96" s="571"/>
      <c r="X96" s="571"/>
      <c r="Y96" s="571"/>
      <c r="Z96" s="571"/>
      <c r="AA96" s="571"/>
      <c r="AB96" s="571"/>
      <c r="AC96" s="571"/>
      <c r="AD96" s="571"/>
      <c r="AE96" s="571"/>
      <c r="AF96" s="571"/>
      <c r="AG96" s="690"/>
      <c r="AH96" s="691"/>
    </row>
    <row r="97">
      <c r="A97" s="568"/>
      <c r="B97" s="730"/>
      <c r="C97" s="730"/>
      <c r="D97" s="730"/>
      <c r="E97" s="730"/>
      <c r="F97" s="730"/>
      <c r="G97" s="730"/>
      <c r="H97" s="730"/>
      <c r="I97" s="730"/>
      <c r="J97" s="730"/>
      <c r="K97" s="730"/>
      <c r="L97" s="730"/>
      <c r="M97" s="730"/>
      <c r="N97" s="571"/>
      <c r="O97" s="571"/>
      <c r="P97" s="571"/>
      <c r="Q97" s="571"/>
      <c r="R97" s="571"/>
      <c r="S97" s="571"/>
      <c r="T97" s="571"/>
      <c r="U97" s="571"/>
      <c r="V97" s="571"/>
      <c r="W97" s="571"/>
      <c r="X97" s="571"/>
      <c r="Y97" s="571"/>
      <c r="Z97" s="571"/>
      <c r="AA97" s="571"/>
      <c r="AB97" s="571"/>
      <c r="AC97" s="571"/>
      <c r="AD97" s="571"/>
      <c r="AE97" s="571"/>
      <c r="AF97" s="571"/>
      <c r="AG97" s="690"/>
      <c r="AH97" s="691"/>
    </row>
    <row r="98">
      <c r="A98" s="568"/>
      <c r="B98" s="730"/>
      <c r="C98" s="730"/>
      <c r="D98" s="730"/>
      <c r="E98" s="730"/>
      <c r="F98" s="730"/>
      <c r="G98" s="730"/>
      <c r="H98" s="730"/>
      <c r="I98" s="730"/>
      <c r="J98" s="730"/>
      <c r="K98" s="730"/>
      <c r="L98" s="730"/>
      <c r="M98" s="730"/>
      <c r="N98" s="571"/>
      <c r="O98" s="571"/>
      <c r="P98" s="571"/>
      <c r="Q98" s="571"/>
      <c r="R98" s="571"/>
      <c r="S98" s="571"/>
      <c r="T98" s="571"/>
      <c r="U98" s="571"/>
      <c r="V98" s="571"/>
      <c r="W98" s="571"/>
      <c r="X98" s="571"/>
      <c r="Y98" s="571"/>
      <c r="Z98" s="571"/>
      <c r="AA98" s="571"/>
      <c r="AB98" s="571"/>
      <c r="AC98" s="571"/>
      <c r="AD98" s="571"/>
      <c r="AE98" s="571"/>
      <c r="AF98" s="571"/>
      <c r="AG98" s="690"/>
      <c r="AH98" s="691"/>
    </row>
    <row r="99">
      <c r="A99" s="568"/>
      <c r="B99" s="730"/>
      <c r="C99" s="730"/>
      <c r="D99" s="730"/>
      <c r="E99" s="730"/>
      <c r="F99" s="730"/>
      <c r="G99" s="730"/>
      <c r="H99" s="730"/>
      <c r="I99" s="730"/>
      <c r="J99" s="730"/>
      <c r="K99" s="730"/>
      <c r="L99" s="730"/>
      <c r="M99" s="730"/>
      <c r="N99" s="571"/>
      <c r="O99" s="571"/>
      <c r="P99" s="571"/>
      <c r="Q99" s="571"/>
      <c r="R99" s="571"/>
      <c r="S99" s="571"/>
      <c r="T99" s="571"/>
      <c r="U99" s="571"/>
      <c r="V99" s="571"/>
      <c r="W99" s="571"/>
      <c r="X99" s="571"/>
      <c r="Y99" s="571"/>
      <c r="Z99" s="571"/>
      <c r="AA99" s="571"/>
      <c r="AB99" s="571"/>
      <c r="AC99" s="571"/>
      <c r="AD99" s="571"/>
      <c r="AE99" s="571"/>
      <c r="AF99" s="571"/>
      <c r="AG99" s="690"/>
      <c r="AH99" s="691"/>
    </row>
    <row r="100">
      <c r="A100" s="568"/>
      <c r="B100" s="730"/>
      <c r="C100" s="730"/>
      <c r="D100" s="730"/>
      <c r="E100" s="730"/>
      <c r="F100" s="730"/>
      <c r="G100" s="730"/>
      <c r="H100" s="730"/>
      <c r="I100" s="730"/>
      <c r="J100" s="730"/>
      <c r="K100" s="730"/>
      <c r="L100" s="730"/>
      <c r="M100" s="730"/>
      <c r="N100" s="571"/>
      <c r="O100" s="571"/>
      <c r="P100" s="571"/>
      <c r="Q100" s="571"/>
      <c r="R100" s="571"/>
      <c r="S100" s="571"/>
      <c r="T100" s="571"/>
      <c r="U100" s="571"/>
      <c r="V100" s="571"/>
      <c r="W100" s="571"/>
      <c r="X100" s="571"/>
      <c r="Y100" s="571"/>
      <c r="Z100" s="571"/>
      <c r="AA100" s="571"/>
      <c r="AB100" s="571"/>
      <c r="AC100" s="571"/>
      <c r="AD100" s="571"/>
      <c r="AE100" s="571"/>
      <c r="AF100" s="571"/>
      <c r="AG100" s="690"/>
      <c r="AH100" s="691"/>
    </row>
    <row r="101">
      <c r="A101" s="568"/>
      <c r="B101" s="730"/>
      <c r="C101" s="730"/>
      <c r="D101" s="730"/>
      <c r="E101" s="730"/>
      <c r="F101" s="730"/>
      <c r="G101" s="730"/>
      <c r="H101" s="730"/>
      <c r="I101" s="730"/>
      <c r="J101" s="730"/>
      <c r="K101" s="730"/>
      <c r="L101" s="730"/>
      <c r="M101" s="730"/>
      <c r="N101" s="571"/>
      <c r="O101" s="571"/>
      <c r="P101" s="571"/>
      <c r="Q101" s="571"/>
      <c r="R101" s="571"/>
      <c r="S101" s="571"/>
      <c r="T101" s="571"/>
      <c r="U101" s="571"/>
      <c r="V101" s="571"/>
      <c r="W101" s="571"/>
      <c r="X101" s="571"/>
      <c r="Y101" s="571"/>
      <c r="Z101" s="571"/>
      <c r="AA101" s="571"/>
      <c r="AB101" s="571"/>
      <c r="AC101" s="571"/>
      <c r="AD101" s="571"/>
      <c r="AE101" s="571"/>
      <c r="AF101" s="571"/>
      <c r="AG101" s="690"/>
      <c r="AH101" s="691"/>
    </row>
    <row r="102">
      <c r="A102" s="568"/>
      <c r="B102" s="730"/>
      <c r="C102" s="730"/>
      <c r="D102" s="730"/>
      <c r="E102" s="730"/>
      <c r="F102" s="730"/>
      <c r="G102" s="730"/>
      <c r="H102" s="730"/>
      <c r="I102" s="730"/>
      <c r="J102" s="730"/>
      <c r="K102" s="730"/>
      <c r="L102" s="730"/>
      <c r="M102" s="730"/>
      <c r="N102" s="571"/>
      <c r="O102" s="571"/>
      <c r="P102" s="571"/>
      <c r="Q102" s="571"/>
      <c r="R102" s="571"/>
      <c r="S102" s="571"/>
      <c r="T102" s="571"/>
      <c r="U102" s="571"/>
      <c r="V102" s="571"/>
      <c r="W102" s="571"/>
      <c r="X102" s="571"/>
      <c r="Y102" s="571"/>
      <c r="Z102" s="571"/>
      <c r="AA102" s="571"/>
      <c r="AB102" s="571"/>
      <c r="AC102" s="571"/>
      <c r="AD102" s="571"/>
      <c r="AE102" s="571"/>
      <c r="AF102" s="571"/>
      <c r="AG102" s="690"/>
      <c r="AH102" s="691"/>
    </row>
    <row r="103">
      <c r="A103" s="568"/>
      <c r="B103" s="730"/>
      <c r="C103" s="730"/>
      <c r="D103" s="730"/>
      <c r="E103" s="730"/>
      <c r="F103" s="730"/>
      <c r="G103" s="730"/>
      <c r="H103" s="730"/>
      <c r="I103" s="730"/>
      <c r="J103" s="730"/>
      <c r="K103" s="730"/>
      <c r="L103" s="730"/>
      <c r="M103" s="730"/>
      <c r="N103" s="571"/>
      <c r="O103" s="571"/>
      <c r="P103" s="571"/>
      <c r="Q103" s="571"/>
      <c r="R103" s="571"/>
      <c r="S103" s="571"/>
      <c r="T103" s="571"/>
      <c r="U103" s="571"/>
      <c r="V103" s="571"/>
      <c r="W103" s="571"/>
      <c r="X103" s="571"/>
      <c r="Y103" s="571"/>
      <c r="Z103" s="571"/>
      <c r="AA103" s="571"/>
      <c r="AB103" s="571"/>
      <c r="AC103" s="571"/>
      <c r="AD103" s="571"/>
      <c r="AE103" s="571"/>
      <c r="AF103" s="571"/>
      <c r="AG103" s="690"/>
      <c r="AH103" s="691"/>
    </row>
    <row r="104">
      <c r="A104" s="568"/>
      <c r="B104" s="730"/>
      <c r="C104" s="730"/>
      <c r="D104" s="730"/>
      <c r="E104" s="730"/>
      <c r="F104" s="730"/>
      <c r="G104" s="730"/>
      <c r="H104" s="730"/>
      <c r="I104" s="730"/>
      <c r="J104" s="730"/>
      <c r="K104" s="730"/>
      <c r="L104" s="730"/>
      <c r="M104" s="730"/>
      <c r="N104" s="571"/>
      <c r="O104" s="571"/>
      <c r="P104" s="571"/>
      <c r="Q104" s="571"/>
      <c r="R104" s="571"/>
      <c r="S104" s="571"/>
      <c r="T104" s="571"/>
      <c r="U104" s="571"/>
      <c r="V104" s="571"/>
      <c r="W104" s="571"/>
      <c r="X104" s="571"/>
      <c r="Y104" s="571"/>
      <c r="Z104" s="571"/>
      <c r="AA104" s="571"/>
      <c r="AB104" s="571"/>
      <c r="AC104" s="571"/>
      <c r="AD104" s="571"/>
      <c r="AE104" s="571"/>
      <c r="AF104" s="571"/>
      <c r="AG104" s="690"/>
      <c r="AH104" s="691"/>
    </row>
    <row r="105">
      <c r="A105" s="568"/>
      <c r="B105" s="730"/>
      <c r="C105" s="730"/>
      <c r="D105" s="730"/>
      <c r="E105" s="730"/>
      <c r="F105" s="730"/>
      <c r="G105" s="730"/>
      <c r="H105" s="730"/>
      <c r="I105" s="730"/>
      <c r="J105" s="730"/>
      <c r="K105" s="730"/>
      <c r="L105" s="730"/>
      <c r="M105" s="730"/>
      <c r="N105" s="571"/>
      <c r="O105" s="571"/>
      <c r="P105" s="571"/>
      <c r="Q105" s="571"/>
      <c r="R105" s="571"/>
      <c r="S105" s="571"/>
      <c r="T105" s="571"/>
      <c r="U105" s="571"/>
      <c r="V105" s="571"/>
      <c r="W105" s="571"/>
      <c r="X105" s="571"/>
      <c r="Y105" s="571"/>
      <c r="Z105" s="571"/>
      <c r="AA105" s="571"/>
      <c r="AB105" s="571"/>
      <c r="AC105" s="571"/>
      <c r="AD105" s="571"/>
      <c r="AE105" s="571"/>
      <c r="AF105" s="571"/>
      <c r="AG105" s="690"/>
      <c r="AH105" s="691"/>
    </row>
    <row r="106">
      <c r="A106" s="568"/>
      <c r="B106" s="730"/>
      <c r="C106" s="730"/>
      <c r="D106" s="730"/>
      <c r="E106" s="730"/>
      <c r="F106" s="730"/>
      <c r="G106" s="730"/>
      <c r="H106" s="730"/>
      <c r="I106" s="730"/>
      <c r="J106" s="730"/>
      <c r="K106" s="730"/>
      <c r="L106" s="730"/>
      <c r="M106" s="730"/>
      <c r="N106" s="571"/>
      <c r="O106" s="571"/>
      <c r="P106" s="571"/>
      <c r="Q106" s="571"/>
      <c r="R106" s="571"/>
      <c r="S106" s="571"/>
      <c r="T106" s="571"/>
      <c r="U106" s="571"/>
      <c r="V106" s="571"/>
      <c r="W106" s="571"/>
      <c r="X106" s="571"/>
      <c r="Y106" s="571"/>
      <c r="Z106" s="571"/>
      <c r="AA106" s="571"/>
      <c r="AB106" s="571"/>
      <c r="AC106" s="571"/>
      <c r="AD106" s="571"/>
      <c r="AE106" s="571"/>
      <c r="AF106" s="571"/>
      <c r="AG106" s="690"/>
      <c r="AH106" s="691"/>
    </row>
    <row r="107">
      <c r="A107" s="568"/>
      <c r="B107" s="730"/>
      <c r="C107" s="730"/>
      <c r="D107" s="730"/>
      <c r="E107" s="730"/>
      <c r="F107" s="730"/>
      <c r="G107" s="730"/>
      <c r="H107" s="730"/>
      <c r="I107" s="730"/>
      <c r="J107" s="730"/>
      <c r="K107" s="730"/>
      <c r="L107" s="730"/>
      <c r="M107" s="730"/>
      <c r="N107" s="571"/>
      <c r="O107" s="571"/>
      <c r="P107" s="571"/>
      <c r="Q107" s="571"/>
      <c r="R107" s="571"/>
      <c r="S107" s="571"/>
      <c r="T107" s="571"/>
      <c r="U107" s="571"/>
      <c r="V107" s="571"/>
      <c r="W107" s="571"/>
      <c r="X107" s="571"/>
      <c r="Y107" s="571"/>
      <c r="Z107" s="571"/>
      <c r="AA107" s="571"/>
      <c r="AB107" s="571"/>
      <c r="AC107" s="571"/>
      <c r="AD107" s="571"/>
      <c r="AE107" s="571"/>
      <c r="AF107" s="571"/>
      <c r="AG107" s="690"/>
      <c r="AH107" s="691"/>
    </row>
    <row r="108">
      <c r="A108" s="568"/>
      <c r="B108" s="730"/>
      <c r="C108" s="730"/>
      <c r="D108" s="730"/>
      <c r="E108" s="730"/>
      <c r="F108" s="730"/>
      <c r="G108" s="730"/>
      <c r="H108" s="730"/>
      <c r="I108" s="730"/>
      <c r="J108" s="730"/>
      <c r="K108" s="730"/>
      <c r="L108" s="730"/>
      <c r="M108" s="730"/>
      <c r="N108" s="571"/>
      <c r="O108" s="571"/>
      <c r="P108" s="571"/>
      <c r="Q108" s="571"/>
      <c r="R108" s="571"/>
      <c r="S108" s="571"/>
      <c r="T108" s="571"/>
      <c r="U108" s="571"/>
      <c r="V108" s="571"/>
      <c r="W108" s="571"/>
      <c r="X108" s="571"/>
      <c r="Y108" s="571"/>
      <c r="Z108" s="571"/>
      <c r="AA108" s="571"/>
      <c r="AB108" s="571"/>
      <c r="AC108" s="571"/>
      <c r="AD108" s="571"/>
      <c r="AE108" s="571"/>
      <c r="AF108" s="571"/>
      <c r="AG108" s="690"/>
      <c r="AH108" s="691"/>
    </row>
    <row r="109">
      <c r="A109" s="568"/>
      <c r="B109" s="730"/>
      <c r="C109" s="730"/>
      <c r="D109" s="730"/>
      <c r="E109" s="730"/>
      <c r="F109" s="730"/>
      <c r="G109" s="730"/>
      <c r="H109" s="730"/>
      <c r="I109" s="730"/>
      <c r="J109" s="730"/>
      <c r="K109" s="730"/>
      <c r="L109" s="730"/>
      <c r="M109" s="730"/>
      <c r="N109" s="571"/>
      <c r="O109" s="571"/>
      <c r="P109" s="571"/>
      <c r="Q109" s="571"/>
      <c r="R109" s="571"/>
      <c r="S109" s="571"/>
      <c r="T109" s="571"/>
      <c r="U109" s="571"/>
      <c r="V109" s="571"/>
      <c r="W109" s="571"/>
      <c r="X109" s="571"/>
      <c r="Y109" s="571"/>
      <c r="Z109" s="571"/>
      <c r="AA109" s="571"/>
      <c r="AB109" s="571"/>
      <c r="AC109" s="571"/>
      <c r="AD109" s="571"/>
      <c r="AE109" s="571"/>
      <c r="AF109" s="571"/>
      <c r="AG109" s="690"/>
      <c r="AH109" s="691"/>
    </row>
    <row r="110">
      <c r="A110" s="568"/>
      <c r="B110" s="730"/>
      <c r="C110" s="730"/>
      <c r="D110" s="730"/>
      <c r="E110" s="730"/>
      <c r="F110" s="730"/>
      <c r="G110" s="730"/>
      <c r="H110" s="730"/>
      <c r="I110" s="730"/>
      <c r="J110" s="730"/>
      <c r="K110" s="730"/>
      <c r="L110" s="730"/>
      <c r="M110" s="730"/>
      <c r="N110" s="571"/>
      <c r="O110" s="571"/>
      <c r="P110" s="571"/>
      <c r="Q110" s="571"/>
      <c r="R110" s="571"/>
      <c r="S110" s="571"/>
      <c r="T110" s="571"/>
      <c r="U110" s="571"/>
      <c r="V110" s="571"/>
      <c r="W110" s="571"/>
      <c r="X110" s="571"/>
      <c r="Y110" s="571"/>
      <c r="Z110" s="571"/>
      <c r="AA110" s="571"/>
      <c r="AB110" s="571"/>
      <c r="AC110" s="571"/>
      <c r="AD110" s="571"/>
      <c r="AE110" s="571"/>
      <c r="AF110" s="571"/>
      <c r="AG110" s="690"/>
      <c r="AH110" s="691"/>
    </row>
    <row r="111">
      <c r="A111" s="568"/>
      <c r="B111" s="730"/>
      <c r="C111" s="730"/>
      <c r="D111" s="730"/>
      <c r="E111" s="730"/>
      <c r="F111" s="730"/>
      <c r="G111" s="730"/>
      <c r="H111" s="730"/>
      <c r="I111" s="730"/>
      <c r="J111" s="730"/>
      <c r="K111" s="730"/>
      <c r="L111" s="730"/>
      <c r="M111" s="730"/>
      <c r="N111" s="571"/>
      <c r="O111" s="571"/>
      <c r="P111" s="571"/>
      <c r="Q111" s="571"/>
      <c r="R111" s="571"/>
      <c r="S111" s="571"/>
      <c r="T111" s="571"/>
      <c r="U111" s="571"/>
      <c r="V111" s="571"/>
      <c r="W111" s="571"/>
      <c r="X111" s="571"/>
      <c r="Y111" s="571"/>
      <c r="Z111" s="571"/>
      <c r="AA111" s="571"/>
      <c r="AB111" s="571"/>
      <c r="AC111" s="571"/>
      <c r="AD111" s="571"/>
      <c r="AE111" s="571"/>
      <c r="AF111" s="571"/>
      <c r="AG111" s="690"/>
      <c r="AH111" s="691"/>
    </row>
    <row r="112">
      <c r="A112" s="568"/>
      <c r="B112" s="730"/>
      <c r="C112" s="730"/>
      <c r="D112" s="730"/>
      <c r="E112" s="730"/>
      <c r="F112" s="730"/>
      <c r="G112" s="730"/>
      <c r="H112" s="730"/>
      <c r="I112" s="730"/>
      <c r="J112" s="730"/>
      <c r="K112" s="730"/>
      <c r="L112" s="730"/>
      <c r="M112" s="730"/>
      <c r="N112" s="571"/>
      <c r="O112" s="571"/>
      <c r="P112" s="571"/>
      <c r="Q112" s="571"/>
      <c r="R112" s="571"/>
      <c r="S112" s="571"/>
      <c r="T112" s="571"/>
      <c r="U112" s="571"/>
      <c r="V112" s="571"/>
      <c r="W112" s="571"/>
      <c r="X112" s="571"/>
      <c r="Y112" s="571"/>
      <c r="Z112" s="571"/>
      <c r="AA112" s="571"/>
      <c r="AB112" s="571"/>
      <c r="AC112" s="571"/>
      <c r="AD112" s="571"/>
      <c r="AE112" s="571"/>
      <c r="AF112" s="571"/>
      <c r="AG112" s="690"/>
      <c r="AH112" s="691"/>
    </row>
    <row r="113">
      <c r="A113" s="568"/>
      <c r="B113" s="730"/>
      <c r="C113" s="730"/>
      <c r="D113" s="730"/>
      <c r="E113" s="730"/>
      <c r="F113" s="730"/>
      <c r="G113" s="730"/>
      <c r="H113" s="730"/>
      <c r="I113" s="730"/>
      <c r="J113" s="730"/>
      <c r="K113" s="730"/>
      <c r="L113" s="730"/>
      <c r="M113" s="730"/>
      <c r="N113" s="571"/>
      <c r="O113" s="571"/>
      <c r="P113" s="571"/>
      <c r="Q113" s="571"/>
      <c r="R113" s="571"/>
      <c r="S113" s="571"/>
      <c r="T113" s="571"/>
      <c r="U113" s="571"/>
      <c r="V113" s="571"/>
      <c r="W113" s="571"/>
      <c r="X113" s="571"/>
      <c r="Y113" s="571"/>
      <c r="Z113" s="571"/>
      <c r="AA113" s="571"/>
      <c r="AB113" s="571"/>
      <c r="AC113" s="571"/>
      <c r="AD113" s="571"/>
      <c r="AE113" s="571"/>
      <c r="AF113" s="571"/>
      <c r="AG113" s="690"/>
      <c r="AH113" s="691"/>
    </row>
    <row r="114">
      <c r="A114" s="568"/>
      <c r="B114" s="730"/>
      <c r="C114" s="730"/>
      <c r="D114" s="730"/>
      <c r="E114" s="730"/>
      <c r="F114" s="730"/>
      <c r="G114" s="730"/>
      <c r="H114" s="730"/>
      <c r="I114" s="730"/>
      <c r="J114" s="730"/>
      <c r="K114" s="730"/>
      <c r="L114" s="730"/>
      <c r="M114" s="730"/>
      <c r="N114" s="571"/>
      <c r="O114" s="571"/>
      <c r="P114" s="571"/>
      <c r="Q114" s="571"/>
      <c r="R114" s="571"/>
      <c r="S114" s="571"/>
      <c r="T114" s="571"/>
      <c r="U114" s="571"/>
      <c r="V114" s="571"/>
      <c r="W114" s="571"/>
      <c r="X114" s="571"/>
      <c r="Y114" s="571"/>
      <c r="Z114" s="571"/>
      <c r="AA114" s="571"/>
      <c r="AB114" s="571"/>
      <c r="AC114" s="571"/>
      <c r="AD114" s="571"/>
      <c r="AE114" s="571"/>
      <c r="AF114" s="571"/>
      <c r="AG114" s="690"/>
      <c r="AH114" s="691"/>
    </row>
    <row r="115">
      <c r="A115" s="568"/>
      <c r="B115" s="730"/>
      <c r="C115" s="730"/>
      <c r="D115" s="730"/>
      <c r="E115" s="730"/>
      <c r="F115" s="730"/>
      <c r="G115" s="730"/>
      <c r="H115" s="730"/>
      <c r="I115" s="730"/>
      <c r="J115" s="730"/>
      <c r="K115" s="730"/>
      <c r="L115" s="730"/>
      <c r="M115" s="730"/>
      <c r="N115" s="571"/>
      <c r="O115" s="571"/>
      <c r="P115" s="571"/>
      <c r="Q115" s="571"/>
      <c r="R115" s="571"/>
      <c r="S115" s="571"/>
      <c r="T115" s="571"/>
      <c r="U115" s="571"/>
      <c r="V115" s="571"/>
      <c r="W115" s="571"/>
      <c r="X115" s="571"/>
      <c r="Y115" s="571"/>
      <c r="Z115" s="571"/>
      <c r="AA115" s="571"/>
      <c r="AB115" s="571"/>
      <c r="AC115" s="571"/>
      <c r="AD115" s="571"/>
      <c r="AE115" s="571"/>
      <c r="AF115" s="571"/>
      <c r="AG115" s="690"/>
      <c r="AH115" s="691"/>
    </row>
    <row r="116">
      <c r="A116" s="568"/>
      <c r="B116" s="730"/>
      <c r="C116" s="730"/>
      <c r="D116" s="730"/>
      <c r="E116" s="730"/>
      <c r="F116" s="730"/>
      <c r="G116" s="730"/>
      <c r="H116" s="730"/>
      <c r="I116" s="730"/>
      <c r="J116" s="730"/>
      <c r="K116" s="730"/>
      <c r="L116" s="730"/>
      <c r="M116" s="730"/>
      <c r="N116" s="571"/>
      <c r="O116" s="571"/>
      <c r="P116" s="571"/>
      <c r="Q116" s="571"/>
      <c r="R116" s="571"/>
      <c r="S116" s="571"/>
      <c r="T116" s="571"/>
      <c r="U116" s="571"/>
      <c r="V116" s="571"/>
      <c r="W116" s="571"/>
      <c r="X116" s="571"/>
      <c r="Y116" s="571"/>
      <c r="Z116" s="571"/>
      <c r="AA116" s="571"/>
      <c r="AB116" s="571"/>
      <c r="AC116" s="571"/>
      <c r="AD116" s="571"/>
      <c r="AE116" s="571"/>
      <c r="AF116" s="571"/>
      <c r="AG116" s="690"/>
      <c r="AH116" s="691"/>
    </row>
    <row r="117">
      <c r="A117" s="568"/>
      <c r="B117" s="730"/>
      <c r="C117" s="730"/>
      <c r="D117" s="730"/>
      <c r="E117" s="730"/>
      <c r="F117" s="730"/>
      <c r="G117" s="730"/>
      <c r="H117" s="730"/>
      <c r="I117" s="730"/>
      <c r="J117" s="730"/>
      <c r="K117" s="730"/>
      <c r="L117" s="730"/>
      <c r="M117" s="730"/>
      <c r="N117" s="571"/>
      <c r="O117" s="571"/>
      <c r="P117" s="571"/>
      <c r="Q117" s="571"/>
      <c r="R117" s="571"/>
      <c r="S117" s="571"/>
      <c r="T117" s="571"/>
      <c r="U117" s="571"/>
      <c r="V117" s="571"/>
      <c r="W117" s="571"/>
      <c r="X117" s="571"/>
      <c r="Y117" s="571"/>
      <c r="Z117" s="571"/>
      <c r="AA117" s="571"/>
      <c r="AB117" s="571"/>
      <c r="AC117" s="571"/>
      <c r="AD117" s="571"/>
      <c r="AE117" s="571"/>
      <c r="AF117" s="571"/>
      <c r="AG117" s="690"/>
      <c r="AH117" s="691"/>
    </row>
    <row r="118">
      <c r="A118" s="568"/>
      <c r="B118" s="730"/>
      <c r="C118" s="730"/>
      <c r="D118" s="730"/>
      <c r="E118" s="730"/>
      <c r="F118" s="730"/>
      <c r="G118" s="730"/>
      <c r="H118" s="730"/>
      <c r="I118" s="730"/>
      <c r="J118" s="730"/>
      <c r="K118" s="730"/>
      <c r="L118" s="730"/>
      <c r="M118" s="730"/>
      <c r="N118" s="571"/>
      <c r="O118" s="571"/>
      <c r="P118" s="571"/>
      <c r="Q118" s="571"/>
      <c r="R118" s="571"/>
      <c r="S118" s="571"/>
      <c r="T118" s="571"/>
      <c r="U118" s="571"/>
      <c r="V118" s="571"/>
      <c r="W118" s="571"/>
      <c r="X118" s="571"/>
      <c r="Y118" s="571"/>
      <c r="Z118" s="571"/>
      <c r="AA118" s="571"/>
      <c r="AB118" s="571"/>
      <c r="AC118" s="571"/>
      <c r="AD118" s="571"/>
      <c r="AE118" s="571"/>
      <c r="AF118" s="571"/>
      <c r="AG118" s="690"/>
      <c r="AH118" s="691"/>
    </row>
    <row r="119">
      <c r="A119" s="568"/>
      <c r="B119" s="730"/>
      <c r="C119" s="730"/>
      <c r="D119" s="730"/>
      <c r="E119" s="730"/>
      <c r="F119" s="730"/>
      <c r="G119" s="730"/>
      <c r="H119" s="730"/>
      <c r="I119" s="730"/>
      <c r="J119" s="730"/>
      <c r="K119" s="730"/>
      <c r="L119" s="730"/>
      <c r="M119" s="730"/>
      <c r="N119" s="571"/>
      <c r="O119" s="571"/>
      <c r="P119" s="571"/>
      <c r="Q119" s="571"/>
      <c r="R119" s="571"/>
      <c r="S119" s="571"/>
      <c r="T119" s="571"/>
      <c r="U119" s="571"/>
      <c r="V119" s="571"/>
      <c r="W119" s="571"/>
      <c r="X119" s="571"/>
      <c r="Y119" s="571"/>
      <c r="Z119" s="571"/>
      <c r="AA119" s="571"/>
      <c r="AB119" s="571"/>
      <c r="AC119" s="571"/>
      <c r="AD119" s="571"/>
      <c r="AE119" s="571"/>
      <c r="AF119" s="571"/>
      <c r="AG119" s="690"/>
      <c r="AH119" s="691"/>
    </row>
    <row r="120">
      <c r="A120" s="568"/>
      <c r="B120" s="730"/>
      <c r="C120" s="730"/>
      <c r="D120" s="730"/>
      <c r="E120" s="730"/>
      <c r="F120" s="730"/>
      <c r="G120" s="730"/>
      <c r="H120" s="730"/>
      <c r="I120" s="730"/>
      <c r="J120" s="730"/>
      <c r="K120" s="730"/>
      <c r="L120" s="730"/>
      <c r="M120" s="730"/>
      <c r="N120" s="571"/>
      <c r="O120" s="571"/>
      <c r="P120" s="571"/>
      <c r="Q120" s="571"/>
      <c r="R120" s="571"/>
      <c r="S120" s="571"/>
      <c r="T120" s="571"/>
      <c r="U120" s="571"/>
      <c r="V120" s="571"/>
      <c r="W120" s="571"/>
      <c r="X120" s="571"/>
      <c r="Y120" s="571"/>
      <c r="Z120" s="571"/>
      <c r="AA120" s="571"/>
      <c r="AB120" s="571"/>
      <c r="AC120" s="571"/>
      <c r="AD120" s="571"/>
      <c r="AE120" s="571"/>
      <c r="AF120" s="571"/>
      <c r="AG120" s="690"/>
      <c r="AH120" s="691"/>
    </row>
    <row r="121">
      <c r="A121" s="568"/>
      <c r="B121" s="730"/>
      <c r="C121" s="730"/>
      <c r="D121" s="730"/>
      <c r="E121" s="730"/>
      <c r="F121" s="730"/>
      <c r="G121" s="730"/>
      <c r="H121" s="730"/>
      <c r="I121" s="730"/>
      <c r="J121" s="730"/>
      <c r="K121" s="730"/>
      <c r="L121" s="730"/>
      <c r="M121" s="730"/>
      <c r="N121" s="571"/>
      <c r="O121" s="571"/>
      <c r="P121" s="571"/>
      <c r="Q121" s="571"/>
      <c r="R121" s="571"/>
      <c r="S121" s="571"/>
      <c r="T121" s="571"/>
      <c r="U121" s="571"/>
      <c r="V121" s="571"/>
      <c r="W121" s="571"/>
      <c r="X121" s="571"/>
      <c r="Y121" s="571"/>
      <c r="Z121" s="571"/>
      <c r="AA121" s="571"/>
      <c r="AB121" s="571"/>
      <c r="AC121" s="571"/>
      <c r="AD121" s="571"/>
      <c r="AE121" s="571"/>
      <c r="AF121" s="571"/>
      <c r="AG121" s="690"/>
      <c r="AH121" s="691"/>
    </row>
    <row r="122">
      <c r="A122" s="568"/>
      <c r="B122" s="730"/>
      <c r="C122" s="730"/>
      <c r="D122" s="730"/>
      <c r="E122" s="730"/>
      <c r="F122" s="730"/>
      <c r="G122" s="730"/>
      <c r="H122" s="730"/>
      <c r="I122" s="730"/>
      <c r="J122" s="730"/>
      <c r="K122" s="730"/>
      <c r="L122" s="730"/>
      <c r="M122" s="730"/>
      <c r="N122" s="571"/>
      <c r="O122" s="571"/>
      <c r="P122" s="571"/>
      <c r="Q122" s="571"/>
      <c r="R122" s="571"/>
      <c r="S122" s="571"/>
      <c r="T122" s="571"/>
      <c r="U122" s="571"/>
      <c r="V122" s="571"/>
      <c r="W122" s="571"/>
      <c r="X122" s="571"/>
      <c r="Y122" s="571"/>
      <c r="Z122" s="571"/>
      <c r="AA122" s="571"/>
      <c r="AB122" s="571"/>
      <c r="AC122" s="571"/>
      <c r="AD122" s="571"/>
      <c r="AE122" s="571"/>
      <c r="AF122" s="571"/>
      <c r="AG122" s="690"/>
      <c r="AH122" s="691"/>
    </row>
    <row r="123">
      <c r="A123" s="568"/>
      <c r="B123" s="730"/>
      <c r="C123" s="730"/>
      <c r="D123" s="730"/>
      <c r="E123" s="730"/>
      <c r="F123" s="730"/>
      <c r="G123" s="730"/>
      <c r="H123" s="730"/>
      <c r="I123" s="730"/>
      <c r="J123" s="730"/>
      <c r="K123" s="730"/>
      <c r="L123" s="730"/>
      <c r="M123" s="730"/>
      <c r="N123" s="571"/>
      <c r="O123" s="571"/>
      <c r="P123" s="571"/>
      <c r="Q123" s="571"/>
      <c r="R123" s="571"/>
      <c r="S123" s="571"/>
      <c r="T123" s="571"/>
      <c r="U123" s="571"/>
      <c r="V123" s="571"/>
      <c r="W123" s="571"/>
      <c r="X123" s="571"/>
      <c r="Y123" s="571"/>
      <c r="Z123" s="571"/>
      <c r="AA123" s="571"/>
      <c r="AB123" s="571"/>
      <c r="AC123" s="571"/>
      <c r="AD123" s="571"/>
      <c r="AE123" s="571"/>
      <c r="AF123" s="571"/>
      <c r="AG123" s="690"/>
      <c r="AH123" s="691"/>
    </row>
    <row r="124">
      <c r="A124" s="568"/>
      <c r="B124" s="730"/>
      <c r="C124" s="730"/>
      <c r="D124" s="730"/>
      <c r="E124" s="730"/>
      <c r="F124" s="730"/>
      <c r="G124" s="730"/>
      <c r="H124" s="730"/>
      <c r="I124" s="730"/>
      <c r="J124" s="730"/>
      <c r="K124" s="730"/>
      <c r="L124" s="730"/>
      <c r="M124" s="730"/>
      <c r="N124" s="571"/>
      <c r="O124" s="571"/>
      <c r="P124" s="571"/>
      <c r="Q124" s="571"/>
      <c r="R124" s="571"/>
      <c r="S124" s="571"/>
      <c r="T124" s="571"/>
      <c r="U124" s="571"/>
      <c r="V124" s="571"/>
      <c r="W124" s="571"/>
      <c r="X124" s="571"/>
      <c r="Y124" s="571"/>
      <c r="Z124" s="571"/>
      <c r="AA124" s="571"/>
      <c r="AB124" s="571"/>
      <c r="AC124" s="571"/>
      <c r="AD124" s="571"/>
      <c r="AE124" s="571"/>
      <c r="AF124" s="571"/>
      <c r="AG124" s="690"/>
      <c r="AH124" s="691"/>
    </row>
    <row r="125">
      <c r="A125" s="568"/>
      <c r="B125" s="730"/>
      <c r="C125" s="730"/>
      <c r="D125" s="730"/>
      <c r="E125" s="730"/>
      <c r="F125" s="730"/>
      <c r="G125" s="730"/>
      <c r="H125" s="730"/>
      <c r="I125" s="730"/>
      <c r="J125" s="730"/>
      <c r="K125" s="730"/>
      <c r="L125" s="730"/>
      <c r="M125" s="730"/>
      <c r="N125" s="571"/>
      <c r="O125" s="571"/>
      <c r="P125" s="571"/>
      <c r="Q125" s="571"/>
      <c r="R125" s="571"/>
      <c r="S125" s="571"/>
      <c r="T125" s="571"/>
      <c r="U125" s="571"/>
      <c r="V125" s="571"/>
      <c r="W125" s="571"/>
      <c r="X125" s="571"/>
      <c r="Y125" s="571"/>
      <c r="Z125" s="571"/>
      <c r="AA125" s="571"/>
      <c r="AB125" s="571"/>
      <c r="AC125" s="571"/>
      <c r="AD125" s="571"/>
      <c r="AE125" s="571"/>
      <c r="AF125" s="571"/>
      <c r="AG125" s="690"/>
      <c r="AH125" s="691"/>
    </row>
    <row r="126">
      <c r="A126" s="568"/>
      <c r="B126" s="730"/>
      <c r="C126" s="730"/>
      <c r="D126" s="730"/>
      <c r="E126" s="730"/>
      <c r="F126" s="730"/>
      <c r="G126" s="730"/>
      <c r="H126" s="730"/>
      <c r="I126" s="730"/>
      <c r="J126" s="730"/>
      <c r="K126" s="730"/>
      <c r="L126" s="730"/>
      <c r="M126" s="730"/>
      <c r="N126" s="571"/>
      <c r="O126" s="571"/>
      <c r="P126" s="571"/>
      <c r="Q126" s="571"/>
      <c r="R126" s="571"/>
      <c r="S126" s="571"/>
      <c r="T126" s="571"/>
      <c r="U126" s="571"/>
      <c r="V126" s="571"/>
      <c r="W126" s="571"/>
      <c r="X126" s="571"/>
      <c r="Y126" s="571"/>
      <c r="Z126" s="571"/>
      <c r="AA126" s="571"/>
      <c r="AB126" s="571"/>
      <c r="AC126" s="571"/>
      <c r="AD126" s="571"/>
      <c r="AE126" s="571"/>
      <c r="AF126" s="571"/>
      <c r="AG126" s="690"/>
      <c r="AH126" s="691"/>
    </row>
    <row r="127">
      <c r="A127" s="568"/>
      <c r="B127" s="730"/>
      <c r="C127" s="730"/>
      <c r="D127" s="730"/>
      <c r="E127" s="730"/>
      <c r="F127" s="730"/>
      <c r="G127" s="730"/>
      <c r="H127" s="730"/>
      <c r="I127" s="730"/>
      <c r="J127" s="730"/>
      <c r="K127" s="730"/>
      <c r="L127" s="730"/>
      <c r="M127" s="730"/>
      <c r="N127" s="571"/>
      <c r="O127" s="571"/>
      <c r="P127" s="571"/>
      <c r="Q127" s="571"/>
      <c r="R127" s="571"/>
      <c r="S127" s="571"/>
      <c r="T127" s="571"/>
      <c r="U127" s="571"/>
      <c r="V127" s="571"/>
      <c r="W127" s="571"/>
      <c r="X127" s="571"/>
      <c r="Y127" s="571"/>
      <c r="Z127" s="571"/>
      <c r="AA127" s="571"/>
      <c r="AB127" s="571"/>
      <c r="AC127" s="571"/>
      <c r="AD127" s="571"/>
      <c r="AE127" s="571"/>
      <c r="AF127" s="571"/>
      <c r="AG127" s="690"/>
      <c r="AH127" s="691"/>
    </row>
    <row r="128">
      <c r="A128" s="568"/>
      <c r="B128" s="730"/>
      <c r="C128" s="730"/>
      <c r="D128" s="730"/>
      <c r="E128" s="730"/>
      <c r="F128" s="730"/>
      <c r="G128" s="730"/>
      <c r="H128" s="730"/>
      <c r="I128" s="730"/>
      <c r="J128" s="730"/>
      <c r="K128" s="730"/>
      <c r="L128" s="730"/>
      <c r="M128" s="730"/>
      <c r="N128" s="571"/>
      <c r="O128" s="571"/>
      <c r="P128" s="571"/>
      <c r="Q128" s="571"/>
      <c r="R128" s="571"/>
      <c r="S128" s="571"/>
      <c r="T128" s="571"/>
      <c r="U128" s="571"/>
      <c r="V128" s="571"/>
      <c r="W128" s="571"/>
      <c r="X128" s="571"/>
      <c r="Y128" s="571"/>
      <c r="Z128" s="571"/>
      <c r="AA128" s="571"/>
      <c r="AB128" s="571"/>
      <c r="AC128" s="571"/>
      <c r="AD128" s="571"/>
      <c r="AE128" s="571"/>
      <c r="AF128" s="571"/>
      <c r="AG128" s="690"/>
      <c r="AH128" s="691"/>
    </row>
    <row r="129">
      <c r="A129" s="568"/>
      <c r="B129" s="730"/>
      <c r="C129" s="730"/>
      <c r="D129" s="730"/>
      <c r="E129" s="730"/>
      <c r="F129" s="730"/>
      <c r="G129" s="730"/>
      <c r="H129" s="730"/>
      <c r="I129" s="730"/>
      <c r="J129" s="730"/>
      <c r="K129" s="730"/>
      <c r="L129" s="730"/>
      <c r="M129" s="730"/>
      <c r="N129" s="571"/>
      <c r="O129" s="571"/>
      <c r="P129" s="571"/>
      <c r="Q129" s="571"/>
      <c r="R129" s="571"/>
      <c r="S129" s="571"/>
      <c r="T129" s="571"/>
      <c r="U129" s="571"/>
      <c r="V129" s="571"/>
      <c r="W129" s="571"/>
      <c r="X129" s="571"/>
      <c r="Y129" s="571"/>
      <c r="Z129" s="571"/>
      <c r="AA129" s="571"/>
      <c r="AB129" s="571"/>
      <c r="AC129" s="571"/>
      <c r="AD129" s="571"/>
      <c r="AE129" s="571"/>
      <c r="AF129" s="571"/>
      <c r="AG129" s="690"/>
      <c r="AH129" s="691"/>
    </row>
    <row r="130">
      <c r="A130" s="568"/>
      <c r="B130" s="730"/>
      <c r="C130" s="730"/>
      <c r="D130" s="730"/>
      <c r="E130" s="730"/>
      <c r="F130" s="730"/>
      <c r="G130" s="730"/>
      <c r="H130" s="730"/>
      <c r="I130" s="730"/>
      <c r="J130" s="730"/>
      <c r="K130" s="730"/>
      <c r="L130" s="730"/>
      <c r="M130" s="730"/>
      <c r="N130" s="571"/>
      <c r="O130" s="571"/>
      <c r="P130" s="571"/>
      <c r="Q130" s="571"/>
      <c r="R130" s="571"/>
      <c r="S130" s="571"/>
      <c r="T130" s="571"/>
      <c r="U130" s="571"/>
      <c r="V130" s="571"/>
      <c r="W130" s="571"/>
      <c r="X130" s="571"/>
      <c r="Y130" s="571"/>
      <c r="Z130" s="571"/>
      <c r="AA130" s="571"/>
      <c r="AB130" s="571"/>
      <c r="AC130" s="571"/>
      <c r="AD130" s="571"/>
      <c r="AE130" s="571"/>
      <c r="AF130" s="571"/>
      <c r="AG130" s="690"/>
      <c r="AH130" s="691"/>
    </row>
    <row r="131">
      <c r="A131" s="568"/>
      <c r="B131" s="730"/>
      <c r="C131" s="730"/>
      <c r="D131" s="730"/>
      <c r="E131" s="730"/>
      <c r="F131" s="730"/>
      <c r="G131" s="730"/>
      <c r="H131" s="730"/>
      <c r="I131" s="730"/>
      <c r="J131" s="730"/>
      <c r="K131" s="730"/>
      <c r="L131" s="730"/>
      <c r="M131" s="730"/>
      <c r="N131" s="571"/>
      <c r="O131" s="571"/>
      <c r="P131" s="571"/>
      <c r="Q131" s="571"/>
      <c r="R131" s="571"/>
      <c r="S131" s="571"/>
      <c r="T131" s="571"/>
      <c r="U131" s="571"/>
      <c r="V131" s="571"/>
      <c r="W131" s="571"/>
      <c r="X131" s="571"/>
      <c r="Y131" s="571"/>
      <c r="Z131" s="571"/>
      <c r="AA131" s="571"/>
      <c r="AB131" s="571"/>
      <c r="AC131" s="571"/>
      <c r="AD131" s="571"/>
      <c r="AE131" s="571"/>
      <c r="AF131" s="571"/>
      <c r="AG131" s="690"/>
      <c r="AH131" s="691"/>
    </row>
    <row r="132">
      <c r="A132" s="568"/>
      <c r="B132" s="730"/>
      <c r="C132" s="730"/>
      <c r="D132" s="730"/>
      <c r="E132" s="730"/>
      <c r="F132" s="730"/>
      <c r="G132" s="730"/>
      <c r="H132" s="730"/>
      <c r="I132" s="730"/>
      <c r="J132" s="730"/>
      <c r="K132" s="730"/>
      <c r="L132" s="730"/>
      <c r="M132" s="730"/>
      <c r="N132" s="571"/>
      <c r="O132" s="571"/>
      <c r="P132" s="571"/>
      <c r="Q132" s="571"/>
      <c r="R132" s="571"/>
      <c r="S132" s="571"/>
      <c r="T132" s="571"/>
      <c r="U132" s="571"/>
      <c r="V132" s="571"/>
      <c r="W132" s="571"/>
      <c r="X132" s="571"/>
      <c r="Y132" s="571"/>
      <c r="Z132" s="571"/>
      <c r="AA132" s="571"/>
      <c r="AB132" s="571"/>
      <c r="AC132" s="571"/>
      <c r="AD132" s="571"/>
      <c r="AE132" s="571"/>
      <c r="AF132" s="571"/>
      <c r="AG132" s="690"/>
      <c r="AH132" s="691"/>
    </row>
    <row r="133">
      <c r="A133" s="568"/>
      <c r="B133" s="730"/>
      <c r="C133" s="730"/>
      <c r="D133" s="730"/>
      <c r="E133" s="730"/>
      <c r="F133" s="730"/>
      <c r="G133" s="730"/>
      <c r="H133" s="730"/>
      <c r="I133" s="730"/>
      <c r="J133" s="730"/>
      <c r="K133" s="730"/>
      <c r="L133" s="730"/>
      <c r="M133" s="730"/>
      <c r="N133" s="571"/>
      <c r="O133" s="571"/>
      <c r="P133" s="571"/>
      <c r="Q133" s="571"/>
      <c r="R133" s="571"/>
      <c r="S133" s="571"/>
      <c r="T133" s="571"/>
      <c r="U133" s="571"/>
      <c r="V133" s="571"/>
      <c r="W133" s="571"/>
      <c r="X133" s="571"/>
      <c r="Y133" s="571"/>
      <c r="Z133" s="571"/>
      <c r="AA133" s="571"/>
      <c r="AB133" s="571"/>
      <c r="AC133" s="571"/>
      <c r="AD133" s="571"/>
      <c r="AE133" s="571"/>
      <c r="AF133" s="571"/>
      <c r="AG133" s="690"/>
      <c r="AH133" s="691"/>
    </row>
    <row r="134">
      <c r="A134" s="568"/>
      <c r="B134" s="730"/>
      <c r="C134" s="730"/>
      <c r="D134" s="730"/>
      <c r="E134" s="730"/>
      <c r="F134" s="730"/>
      <c r="G134" s="730"/>
      <c r="H134" s="730"/>
      <c r="I134" s="730"/>
      <c r="J134" s="730"/>
      <c r="K134" s="730"/>
      <c r="L134" s="730"/>
      <c r="M134" s="730"/>
      <c r="N134" s="571"/>
      <c r="O134" s="571"/>
      <c r="P134" s="571"/>
      <c r="Q134" s="571"/>
      <c r="R134" s="571"/>
      <c r="S134" s="571"/>
      <c r="T134" s="571"/>
      <c r="U134" s="571"/>
      <c r="V134" s="571"/>
      <c r="W134" s="571"/>
      <c r="X134" s="571"/>
      <c r="Y134" s="571"/>
      <c r="Z134" s="571"/>
      <c r="AA134" s="571"/>
      <c r="AB134" s="571"/>
      <c r="AC134" s="571"/>
      <c r="AD134" s="571"/>
      <c r="AE134" s="571"/>
      <c r="AF134" s="571"/>
      <c r="AG134" s="690"/>
      <c r="AH134" s="691"/>
    </row>
    <row r="135">
      <c r="A135" s="568"/>
      <c r="B135" s="730"/>
      <c r="C135" s="730"/>
      <c r="D135" s="730"/>
      <c r="E135" s="730"/>
      <c r="F135" s="730"/>
      <c r="G135" s="730"/>
      <c r="H135" s="730"/>
      <c r="I135" s="730"/>
      <c r="J135" s="730"/>
      <c r="K135" s="730"/>
      <c r="L135" s="730"/>
      <c r="M135" s="730"/>
      <c r="N135" s="571"/>
      <c r="O135" s="571"/>
      <c r="P135" s="571"/>
      <c r="Q135" s="571"/>
      <c r="R135" s="571"/>
      <c r="S135" s="571"/>
      <c r="T135" s="571"/>
      <c r="U135" s="571"/>
      <c r="V135" s="571"/>
      <c r="W135" s="571"/>
      <c r="X135" s="571"/>
      <c r="Y135" s="571"/>
      <c r="Z135" s="571"/>
      <c r="AA135" s="571"/>
      <c r="AB135" s="571"/>
      <c r="AC135" s="571"/>
      <c r="AD135" s="571"/>
      <c r="AE135" s="571"/>
      <c r="AF135" s="571"/>
      <c r="AG135" s="690"/>
      <c r="AH135" s="691"/>
    </row>
    <row r="136">
      <c r="A136" s="568"/>
      <c r="B136" s="730"/>
      <c r="C136" s="730"/>
      <c r="D136" s="730"/>
      <c r="E136" s="730"/>
      <c r="F136" s="730"/>
      <c r="G136" s="730"/>
      <c r="H136" s="730"/>
      <c r="I136" s="730"/>
      <c r="J136" s="730"/>
      <c r="K136" s="730"/>
      <c r="L136" s="730"/>
      <c r="M136" s="730"/>
      <c r="N136" s="571"/>
      <c r="O136" s="571"/>
      <c r="P136" s="571"/>
      <c r="Q136" s="571"/>
      <c r="R136" s="571"/>
      <c r="S136" s="571"/>
      <c r="T136" s="571"/>
      <c r="U136" s="571"/>
      <c r="V136" s="571"/>
      <c r="W136" s="571"/>
      <c r="X136" s="571"/>
      <c r="Y136" s="571"/>
      <c r="Z136" s="571"/>
      <c r="AA136" s="571"/>
      <c r="AB136" s="571"/>
      <c r="AC136" s="571"/>
      <c r="AD136" s="571"/>
      <c r="AE136" s="571"/>
      <c r="AF136" s="571"/>
      <c r="AG136" s="690"/>
      <c r="AH136" s="691"/>
    </row>
    <row r="137">
      <c r="A137" s="568"/>
      <c r="B137" s="730"/>
      <c r="C137" s="730"/>
      <c r="D137" s="730"/>
      <c r="E137" s="730"/>
      <c r="F137" s="730"/>
      <c r="G137" s="730"/>
      <c r="H137" s="730"/>
      <c r="I137" s="730"/>
      <c r="J137" s="730"/>
      <c r="K137" s="730"/>
      <c r="L137" s="730"/>
      <c r="M137" s="730"/>
      <c r="N137" s="571"/>
      <c r="O137" s="571"/>
      <c r="P137" s="571"/>
      <c r="Q137" s="571"/>
      <c r="R137" s="571"/>
      <c r="S137" s="571"/>
      <c r="T137" s="571"/>
      <c r="U137" s="571"/>
      <c r="V137" s="571"/>
      <c r="W137" s="571"/>
      <c r="X137" s="571"/>
      <c r="Y137" s="571"/>
      <c r="Z137" s="571"/>
      <c r="AA137" s="571"/>
      <c r="AB137" s="571"/>
      <c r="AC137" s="571"/>
      <c r="AD137" s="571"/>
      <c r="AE137" s="571"/>
      <c r="AF137" s="571"/>
      <c r="AG137" s="690"/>
      <c r="AH137" s="691"/>
    </row>
    <row r="138">
      <c r="A138" s="568"/>
      <c r="B138" s="730"/>
      <c r="C138" s="730"/>
      <c r="D138" s="730"/>
      <c r="E138" s="730"/>
      <c r="F138" s="730"/>
      <c r="G138" s="730"/>
      <c r="H138" s="730"/>
      <c r="I138" s="730"/>
      <c r="J138" s="730"/>
      <c r="K138" s="730"/>
      <c r="L138" s="730"/>
      <c r="M138" s="730"/>
      <c r="N138" s="571"/>
      <c r="O138" s="571"/>
      <c r="P138" s="571"/>
      <c r="Q138" s="571"/>
      <c r="R138" s="571"/>
      <c r="S138" s="571"/>
      <c r="T138" s="571"/>
      <c r="U138" s="571"/>
      <c r="V138" s="571"/>
      <c r="W138" s="571"/>
      <c r="X138" s="571"/>
      <c r="Y138" s="571"/>
      <c r="Z138" s="571"/>
      <c r="AA138" s="571"/>
      <c r="AB138" s="571"/>
      <c r="AC138" s="571"/>
      <c r="AD138" s="571"/>
      <c r="AE138" s="571"/>
      <c r="AF138" s="571"/>
      <c r="AG138" s="690"/>
      <c r="AH138" s="691"/>
    </row>
    <row r="139">
      <c r="A139" s="568"/>
      <c r="B139" s="730"/>
      <c r="C139" s="730"/>
      <c r="D139" s="730"/>
      <c r="E139" s="730"/>
      <c r="F139" s="730"/>
      <c r="G139" s="730"/>
      <c r="H139" s="730"/>
      <c r="I139" s="730"/>
      <c r="J139" s="730"/>
      <c r="K139" s="730"/>
      <c r="L139" s="730"/>
      <c r="M139" s="730"/>
      <c r="N139" s="571"/>
      <c r="O139" s="571"/>
      <c r="P139" s="571"/>
      <c r="Q139" s="571"/>
      <c r="R139" s="571"/>
      <c r="S139" s="571"/>
      <c r="T139" s="571"/>
      <c r="U139" s="571"/>
      <c r="V139" s="571"/>
      <c r="W139" s="571"/>
      <c r="X139" s="571"/>
      <c r="Y139" s="571"/>
      <c r="Z139" s="571"/>
      <c r="AA139" s="571"/>
      <c r="AB139" s="571"/>
      <c r="AC139" s="571"/>
      <c r="AD139" s="571"/>
      <c r="AE139" s="571"/>
      <c r="AF139" s="571"/>
      <c r="AG139" s="690"/>
      <c r="AH139" s="691"/>
    </row>
    <row r="140">
      <c r="A140" s="568"/>
      <c r="B140" s="730"/>
      <c r="C140" s="730"/>
      <c r="D140" s="730"/>
      <c r="E140" s="730"/>
      <c r="F140" s="730"/>
      <c r="G140" s="730"/>
      <c r="H140" s="730"/>
      <c r="I140" s="730"/>
      <c r="J140" s="730"/>
      <c r="K140" s="730"/>
      <c r="L140" s="730"/>
      <c r="M140" s="730"/>
      <c r="N140" s="571"/>
      <c r="O140" s="571"/>
      <c r="P140" s="571"/>
      <c r="Q140" s="571"/>
      <c r="R140" s="571"/>
      <c r="S140" s="571"/>
      <c r="T140" s="571"/>
      <c r="U140" s="571"/>
      <c r="V140" s="571"/>
      <c r="W140" s="571"/>
      <c r="X140" s="571"/>
      <c r="Y140" s="571"/>
      <c r="Z140" s="571"/>
      <c r="AA140" s="571"/>
      <c r="AB140" s="571"/>
      <c r="AC140" s="571"/>
      <c r="AD140" s="571"/>
      <c r="AE140" s="571"/>
      <c r="AF140" s="571"/>
      <c r="AG140" s="690"/>
      <c r="AH140" s="691"/>
    </row>
    <row r="141">
      <c r="A141" s="568"/>
      <c r="B141" s="730"/>
      <c r="C141" s="730"/>
      <c r="D141" s="730"/>
      <c r="E141" s="730"/>
      <c r="F141" s="730"/>
      <c r="G141" s="730"/>
      <c r="H141" s="730"/>
      <c r="I141" s="730"/>
      <c r="J141" s="730"/>
      <c r="K141" s="730"/>
      <c r="L141" s="730"/>
      <c r="M141" s="730"/>
      <c r="N141" s="571"/>
      <c r="O141" s="571"/>
      <c r="P141" s="571"/>
      <c r="Q141" s="571"/>
      <c r="R141" s="571"/>
      <c r="S141" s="571"/>
      <c r="T141" s="571"/>
      <c r="U141" s="571"/>
      <c r="V141" s="571"/>
      <c r="W141" s="571"/>
      <c r="X141" s="571"/>
      <c r="Y141" s="571"/>
      <c r="Z141" s="571"/>
      <c r="AA141" s="571"/>
      <c r="AB141" s="571"/>
      <c r="AC141" s="571"/>
      <c r="AD141" s="571"/>
      <c r="AE141" s="571"/>
      <c r="AF141" s="571"/>
      <c r="AG141" s="690"/>
      <c r="AH141" s="691"/>
    </row>
    <row r="142">
      <c r="A142" s="568"/>
      <c r="B142" s="730"/>
      <c r="C142" s="730"/>
      <c r="D142" s="730"/>
      <c r="E142" s="730"/>
      <c r="F142" s="730"/>
      <c r="G142" s="730"/>
      <c r="H142" s="730"/>
      <c r="I142" s="730"/>
      <c r="J142" s="730"/>
      <c r="K142" s="730"/>
      <c r="L142" s="730"/>
      <c r="M142" s="730"/>
      <c r="N142" s="571"/>
      <c r="O142" s="571"/>
      <c r="P142" s="571"/>
      <c r="Q142" s="571"/>
      <c r="R142" s="571"/>
      <c r="S142" s="571"/>
      <c r="T142" s="571"/>
      <c r="U142" s="571"/>
      <c r="V142" s="571"/>
      <c r="W142" s="571"/>
      <c r="X142" s="571"/>
      <c r="Y142" s="571"/>
      <c r="Z142" s="571"/>
      <c r="AA142" s="571"/>
      <c r="AB142" s="571"/>
      <c r="AC142" s="571"/>
      <c r="AD142" s="571"/>
      <c r="AE142" s="571"/>
      <c r="AF142" s="571"/>
      <c r="AG142" s="690"/>
      <c r="AH142" s="691"/>
    </row>
    <row r="143">
      <c r="A143" s="568"/>
      <c r="B143" s="730"/>
      <c r="C143" s="730"/>
      <c r="D143" s="730"/>
      <c r="E143" s="730"/>
      <c r="F143" s="730"/>
      <c r="G143" s="730"/>
      <c r="H143" s="730"/>
      <c r="I143" s="730"/>
      <c r="J143" s="730"/>
      <c r="K143" s="730"/>
      <c r="L143" s="730"/>
      <c r="M143" s="730"/>
      <c r="N143" s="571"/>
      <c r="O143" s="571"/>
      <c r="P143" s="571"/>
      <c r="Q143" s="571"/>
      <c r="R143" s="571"/>
      <c r="S143" s="571"/>
      <c r="T143" s="571"/>
      <c r="U143" s="571"/>
      <c r="V143" s="571"/>
      <c r="W143" s="571"/>
      <c r="X143" s="571"/>
      <c r="Y143" s="571"/>
      <c r="Z143" s="571"/>
      <c r="AA143" s="571"/>
      <c r="AB143" s="571"/>
      <c r="AC143" s="571"/>
      <c r="AD143" s="571"/>
      <c r="AE143" s="571"/>
      <c r="AF143" s="571"/>
      <c r="AG143" s="690"/>
      <c r="AH143" s="691"/>
    </row>
    <row r="144">
      <c r="A144" s="568"/>
      <c r="B144" s="730"/>
      <c r="C144" s="730"/>
      <c r="D144" s="730"/>
      <c r="E144" s="730"/>
      <c r="F144" s="730"/>
      <c r="G144" s="730"/>
      <c r="H144" s="730"/>
      <c r="I144" s="730"/>
      <c r="J144" s="730"/>
      <c r="K144" s="730"/>
      <c r="L144" s="730"/>
      <c r="M144" s="730"/>
      <c r="N144" s="571"/>
      <c r="O144" s="571"/>
      <c r="P144" s="571"/>
      <c r="Q144" s="571"/>
      <c r="R144" s="571"/>
      <c r="S144" s="571"/>
      <c r="T144" s="571"/>
      <c r="U144" s="571"/>
      <c r="V144" s="571"/>
      <c r="W144" s="571"/>
      <c r="X144" s="571"/>
      <c r="Y144" s="571"/>
      <c r="Z144" s="571"/>
      <c r="AA144" s="571"/>
      <c r="AB144" s="571"/>
      <c r="AC144" s="571"/>
      <c r="AD144" s="571"/>
      <c r="AE144" s="571"/>
      <c r="AF144" s="571"/>
      <c r="AG144" s="690"/>
      <c r="AH144" s="691"/>
    </row>
    <row r="145">
      <c r="A145" s="568"/>
      <c r="B145" s="730"/>
      <c r="C145" s="730"/>
      <c r="D145" s="730"/>
      <c r="E145" s="730"/>
      <c r="F145" s="730"/>
      <c r="G145" s="730"/>
      <c r="H145" s="730"/>
      <c r="I145" s="730"/>
      <c r="J145" s="730"/>
      <c r="K145" s="730"/>
      <c r="L145" s="730"/>
      <c r="M145" s="730"/>
      <c r="N145" s="571"/>
      <c r="O145" s="571"/>
      <c r="P145" s="571"/>
      <c r="Q145" s="571"/>
      <c r="R145" s="571"/>
      <c r="S145" s="571"/>
      <c r="T145" s="571"/>
      <c r="U145" s="571"/>
      <c r="V145" s="571"/>
      <c r="W145" s="571"/>
      <c r="X145" s="571"/>
      <c r="Y145" s="571"/>
      <c r="Z145" s="571"/>
      <c r="AA145" s="571"/>
      <c r="AB145" s="571"/>
      <c r="AC145" s="571"/>
      <c r="AD145" s="571"/>
      <c r="AE145" s="571"/>
      <c r="AF145" s="571"/>
      <c r="AG145" s="690"/>
      <c r="AH145" s="691"/>
    </row>
    <row r="146">
      <c r="A146" s="568"/>
      <c r="B146" s="730"/>
      <c r="C146" s="730"/>
      <c r="D146" s="730"/>
      <c r="E146" s="730"/>
      <c r="F146" s="730"/>
      <c r="G146" s="730"/>
      <c r="H146" s="730"/>
      <c r="I146" s="730"/>
      <c r="J146" s="730"/>
      <c r="K146" s="730"/>
      <c r="L146" s="730"/>
      <c r="M146" s="730"/>
      <c r="N146" s="571"/>
      <c r="O146" s="571"/>
      <c r="P146" s="571"/>
      <c r="Q146" s="571"/>
      <c r="R146" s="571"/>
      <c r="S146" s="571"/>
      <c r="T146" s="571"/>
      <c r="U146" s="571"/>
      <c r="V146" s="571"/>
      <c r="W146" s="571"/>
      <c r="X146" s="571"/>
      <c r="Y146" s="571"/>
      <c r="Z146" s="571"/>
      <c r="AA146" s="571"/>
      <c r="AB146" s="571"/>
      <c r="AC146" s="571"/>
      <c r="AD146" s="571"/>
      <c r="AE146" s="571"/>
      <c r="AF146" s="571"/>
      <c r="AG146" s="690"/>
      <c r="AH146" s="691"/>
    </row>
    <row r="147">
      <c r="A147" s="568"/>
      <c r="B147" s="730"/>
      <c r="C147" s="730"/>
      <c r="D147" s="730"/>
      <c r="E147" s="730"/>
      <c r="F147" s="730"/>
      <c r="G147" s="730"/>
      <c r="H147" s="730"/>
      <c r="I147" s="730"/>
      <c r="J147" s="730"/>
      <c r="K147" s="730"/>
      <c r="L147" s="730"/>
      <c r="M147" s="730"/>
      <c r="N147" s="571"/>
      <c r="O147" s="571"/>
      <c r="P147" s="571"/>
      <c r="Q147" s="571"/>
      <c r="R147" s="571"/>
      <c r="S147" s="571"/>
      <c r="T147" s="571"/>
      <c r="U147" s="571"/>
      <c r="V147" s="571"/>
      <c r="W147" s="571"/>
      <c r="X147" s="571"/>
      <c r="Y147" s="571"/>
      <c r="Z147" s="571"/>
      <c r="AA147" s="571"/>
      <c r="AB147" s="571"/>
      <c r="AC147" s="571"/>
      <c r="AD147" s="571"/>
      <c r="AE147" s="571"/>
      <c r="AF147" s="571"/>
      <c r="AG147" s="690"/>
      <c r="AH147" s="691"/>
    </row>
    <row r="148">
      <c r="A148" s="568"/>
      <c r="B148" s="730"/>
      <c r="C148" s="730"/>
      <c r="D148" s="730"/>
      <c r="E148" s="730"/>
      <c r="F148" s="730"/>
      <c r="G148" s="730"/>
      <c r="H148" s="730"/>
      <c r="I148" s="730"/>
      <c r="J148" s="730"/>
      <c r="K148" s="730"/>
      <c r="L148" s="730"/>
      <c r="M148" s="730"/>
      <c r="N148" s="571"/>
      <c r="O148" s="571"/>
      <c r="P148" s="571"/>
      <c r="Q148" s="571"/>
      <c r="R148" s="571"/>
      <c r="S148" s="571"/>
      <c r="T148" s="571"/>
      <c r="U148" s="571"/>
      <c r="V148" s="571"/>
      <c r="W148" s="571"/>
      <c r="X148" s="571"/>
      <c r="Y148" s="571"/>
      <c r="Z148" s="571"/>
      <c r="AA148" s="571"/>
      <c r="AB148" s="571"/>
      <c r="AC148" s="571"/>
      <c r="AD148" s="571"/>
      <c r="AE148" s="571"/>
      <c r="AF148" s="571"/>
      <c r="AG148" s="690"/>
      <c r="AH148" s="691"/>
    </row>
    <row r="149">
      <c r="A149" s="568"/>
      <c r="B149" s="730"/>
      <c r="C149" s="730"/>
      <c r="D149" s="730"/>
      <c r="E149" s="730"/>
      <c r="F149" s="730"/>
      <c r="G149" s="730"/>
      <c r="H149" s="730"/>
      <c r="I149" s="730"/>
      <c r="J149" s="730"/>
      <c r="K149" s="730"/>
      <c r="L149" s="730"/>
      <c r="M149" s="730"/>
      <c r="N149" s="571"/>
      <c r="O149" s="571"/>
      <c r="P149" s="571"/>
      <c r="Q149" s="571"/>
      <c r="R149" s="571"/>
      <c r="S149" s="571"/>
      <c r="T149" s="571"/>
      <c r="U149" s="571"/>
      <c r="V149" s="571"/>
      <c r="W149" s="571"/>
      <c r="X149" s="571"/>
      <c r="Y149" s="571"/>
      <c r="Z149" s="571"/>
      <c r="AA149" s="571"/>
      <c r="AB149" s="571"/>
      <c r="AC149" s="571"/>
      <c r="AD149" s="571"/>
      <c r="AE149" s="571"/>
      <c r="AF149" s="571"/>
      <c r="AG149" s="690"/>
      <c r="AH149" s="691"/>
    </row>
    <row r="150">
      <c r="A150" s="568"/>
      <c r="B150" s="730"/>
      <c r="C150" s="730"/>
      <c r="D150" s="730"/>
      <c r="E150" s="730"/>
      <c r="F150" s="730"/>
      <c r="G150" s="730"/>
      <c r="H150" s="730"/>
      <c r="I150" s="730"/>
      <c r="J150" s="730"/>
      <c r="K150" s="730"/>
      <c r="L150" s="730"/>
      <c r="M150" s="730"/>
      <c r="N150" s="571"/>
      <c r="O150" s="571"/>
      <c r="P150" s="571"/>
      <c r="Q150" s="571"/>
      <c r="R150" s="571"/>
      <c r="S150" s="571"/>
      <c r="T150" s="571"/>
      <c r="U150" s="571"/>
      <c r="V150" s="571"/>
      <c r="W150" s="571"/>
      <c r="X150" s="571"/>
      <c r="Y150" s="571"/>
      <c r="Z150" s="571"/>
      <c r="AA150" s="571"/>
      <c r="AB150" s="571"/>
      <c r="AC150" s="571"/>
      <c r="AD150" s="571"/>
      <c r="AE150" s="571"/>
      <c r="AF150" s="571"/>
      <c r="AG150" s="690"/>
      <c r="AH150" s="691"/>
    </row>
    <row r="151">
      <c r="A151" s="568"/>
      <c r="B151" s="730"/>
      <c r="C151" s="730"/>
      <c r="D151" s="730"/>
      <c r="E151" s="730"/>
      <c r="F151" s="730"/>
      <c r="G151" s="730"/>
      <c r="H151" s="730"/>
      <c r="I151" s="730"/>
      <c r="J151" s="730"/>
      <c r="K151" s="730"/>
      <c r="L151" s="730"/>
      <c r="M151" s="730"/>
      <c r="N151" s="571"/>
      <c r="O151" s="571"/>
      <c r="P151" s="571"/>
      <c r="Q151" s="571"/>
      <c r="R151" s="571"/>
      <c r="S151" s="571"/>
      <c r="T151" s="571"/>
      <c r="U151" s="571"/>
      <c r="V151" s="571"/>
      <c r="W151" s="571"/>
      <c r="X151" s="571"/>
      <c r="Y151" s="571"/>
      <c r="Z151" s="571"/>
      <c r="AA151" s="571"/>
      <c r="AB151" s="571"/>
      <c r="AC151" s="571"/>
      <c r="AD151" s="571"/>
      <c r="AE151" s="571"/>
      <c r="AF151" s="571"/>
      <c r="AG151" s="690"/>
      <c r="AH151" s="691"/>
    </row>
    <row r="152">
      <c r="A152" s="568"/>
      <c r="B152" s="730"/>
      <c r="C152" s="730"/>
      <c r="D152" s="730"/>
      <c r="E152" s="730"/>
      <c r="F152" s="730"/>
      <c r="G152" s="730"/>
      <c r="H152" s="730"/>
      <c r="I152" s="730"/>
      <c r="J152" s="730"/>
      <c r="K152" s="730"/>
      <c r="L152" s="730"/>
      <c r="M152" s="730"/>
      <c r="N152" s="571"/>
      <c r="O152" s="571"/>
      <c r="P152" s="571"/>
      <c r="Q152" s="571"/>
      <c r="R152" s="571"/>
      <c r="S152" s="571"/>
      <c r="T152" s="571"/>
      <c r="U152" s="571"/>
      <c r="V152" s="571"/>
      <c r="W152" s="571"/>
      <c r="X152" s="571"/>
      <c r="Y152" s="571"/>
      <c r="Z152" s="571"/>
      <c r="AA152" s="571"/>
      <c r="AB152" s="571"/>
      <c r="AC152" s="571"/>
      <c r="AD152" s="571"/>
      <c r="AE152" s="571"/>
      <c r="AF152" s="571"/>
      <c r="AG152" s="690"/>
      <c r="AH152" s="691"/>
    </row>
    <row r="153">
      <c r="A153" s="568"/>
      <c r="B153" s="730"/>
      <c r="C153" s="730"/>
      <c r="D153" s="730"/>
      <c r="E153" s="730"/>
      <c r="F153" s="730"/>
      <c r="G153" s="730"/>
      <c r="H153" s="730"/>
      <c r="I153" s="730"/>
      <c r="J153" s="730"/>
      <c r="K153" s="730"/>
      <c r="L153" s="730"/>
      <c r="M153" s="730"/>
      <c r="N153" s="571"/>
      <c r="O153" s="571"/>
      <c r="P153" s="571"/>
      <c r="Q153" s="571"/>
      <c r="R153" s="571"/>
      <c r="S153" s="571"/>
      <c r="T153" s="571"/>
      <c r="U153" s="571"/>
      <c r="V153" s="571"/>
      <c r="W153" s="571"/>
      <c r="X153" s="571"/>
      <c r="Y153" s="571"/>
      <c r="Z153" s="571"/>
      <c r="AA153" s="571"/>
      <c r="AB153" s="571"/>
      <c r="AC153" s="571"/>
      <c r="AD153" s="571"/>
      <c r="AE153" s="571"/>
      <c r="AF153" s="571"/>
      <c r="AG153" s="690"/>
      <c r="AH153" s="691"/>
    </row>
    <row r="154">
      <c r="A154" s="568"/>
      <c r="B154" s="730"/>
      <c r="C154" s="730"/>
      <c r="D154" s="730"/>
      <c r="E154" s="730"/>
      <c r="F154" s="730"/>
      <c r="G154" s="730"/>
      <c r="H154" s="730"/>
      <c r="I154" s="730"/>
      <c r="J154" s="730"/>
      <c r="K154" s="730"/>
      <c r="L154" s="730"/>
      <c r="M154" s="730"/>
      <c r="N154" s="571"/>
      <c r="O154" s="571"/>
      <c r="P154" s="571"/>
      <c r="Q154" s="571"/>
      <c r="R154" s="571"/>
      <c r="S154" s="571"/>
      <c r="T154" s="571"/>
      <c r="U154" s="571"/>
      <c r="V154" s="571"/>
      <c r="W154" s="571"/>
      <c r="X154" s="571"/>
      <c r="Y154" s="571"/>
      <c r="Z154" s="571"/>
      <c r="AA154" s="571"/>
      <c r="AB154" s="571"/>
      <c r="AC154" s="571"/>
      <c r="AD154" s="571"/>
      <c r="AE154" s="571"/>
      <c r="AF154" s="571"/>
      <c r="AG154" s="690"/>
      <c r="AH154" s="691"/>
    </row>
    <row r="155">
      <c r="A155" s="568"/>
      <c r="B155" s="730"/>
      <c r="C155" s="730"/>
      <c r="D155" s="730"/>
      <c r="E155" s="730"/>
      <c r="F155" s="730"/>
      <c r="G155" s="730"/>
      <c r="H155" s="730"/>
      <c r="I155" s="730"/>
      <c r="J155" s="730"/>
      <c r="K155" s="730"/>
      <c r="L155" s="730"/>
      <c r="M155" s="730"/>
      <c r="N155" s="571"/>
      <c r="O155" s="571"/>
      <c r="P155" s="571"/>
      <c r="Q155" s="571"/>
      <c r="R155" s="571"/>
      <c r="S155" s="571"/>
      <c r="T155" s="571"/>
      <c r="U155" s="571"/>
      <c r="V155" s="571"/>
      <c r="W155" s="571"/>
      <c r="X155" s="571"/>
      <c r="Y155" s="571"/>
      <c r="Z155" s="571"/>
      <c r="AA155" s="571"/>
      <c r="AB155" s="571"/>
      <c r="AC155" s="571"/>
      <c r="AD155" s="571"/>
      <c r="AE155" s="571"/>
      <c r="AF155" s="571"/>
      <c r="AG155" s="690"/>
      <c r="AH155" s="691"/>
    </row>
    <row r="156">
      <c r="A156" s="568"/>
      <c r="B156" s="730"/>
      <c r="C156" s="730"/>
      <c r="D156" s="730"/>
      <c r="E156" s="730"/>
      <c r="F156" s="730"/>
      <c r="G156" s="730"/>
      <c r="H156" s="730"/>
      <c r="I156" s="730"/>
      <c r="J156" s="730"/>
      <c r="K156" s="730"/>
      <c r="L156" s="730"/>
      <c r="M156" s="730"/>
      <c r="N156" s="571"/>
      <c r="O156" s="571"/>
      <c r="P156" s="571"/>
      <c r="Q156" s="571"/>
      <c r="R156" s="571"/>
      <c r="S156" s="571"/>
      <c r="T156" s="571"/>
      <c r="U156" s="571"/>
      <c r="V156" s="571"/>
      <c r="W156" s="571"/>
      <c r="X156" s="571"/>
      <c r="Y156" s="571"/>
      <c r="Z156" s="571"/>
      <c r="AA156" s="571"/>
      <c r="AB156" s="571"/>
      <c r="AC156" s="571"/>
      <c r="AD156" s="571"/>
      <c r="AE156" s="571"/>
      <c r="AF156" s="571"/>
      <c r="AG156" s="690"/>
      <c r="AH156" s="691"/>
    </row>
    <row r="157">
      <c r="A157" s="568"/>
      <c r="B157" s="730"/>
      <c r="C157" s="730"/>
      <c r="D157" s="730"/>
      <c r="E157" s="730"/>
      <c r="F157" s="730"/>
      <c r="G157" s="730"/>
      <c r="H157" s="730"/>
      <c r="I157" s="730"/>
      <c r="J157" s="730"/>
      <c r="K157" s="730"/>
      <c r="L157" s="730"/>
      <c r="M157" s="730"/>
      <c r="N157" s="571"/>
      <c r="O157" s="571"/>
      <c r="P157" s="571"/>
      <c r="Q157" s="571"/>
      <c r="R157" s="571"/>
      <c r="S157" s="571"/>
      <c r="T157" s="571"/>
      <c r="U157" s="571"/>
      <c r="V157" s="571"/>
      <c r="W157" s="571"/>
      <c r="X157" s="571"/>
      <c r="Y157" s="571"/>
      <c r="Z157" s="571"/>
      <c r="AA157" s="571"/>
      <c r="AB157" s="571"/>
      <c r="AC157" s="571"/>
      <c r="AD157" s="571"/>
      <c r="AE157" s="571"/>
      <c r="AF157" s="571"/>
      <c r="AG157" s="690"/>
      <c r="AH157" s="691"/>
    </row>
    <row r="158">
      <c r="A158" s="568"/>
      <c r="B158" s="730"/>
      <c r="C158" s="730"/>
      <c r="D158" s="730"/>
      <c r="E158" s="730"/>
      <c r="F158" s="730"/>
      <c r="G158" s="730"/>
      <c r="H158" s="730"/>
      <c r="I158" s="730"/>
      <c r="J158" s="730"/>
      <c r="K158" s="730"/>
      <c r="L158" s="730"/>
      <c r="M158" s="730"/>
      <c r="N158" s="571"/>
      <c r="O158" s="571"/>
      <c r="P158" s="571"/>
      <c r="Q158" s="571"/>
      <c r="R158" s="571"/>
      <c r="S158" s="571"/>
      <c r="T158" s="571"/>
      <c r="U158" s="571"/>
      <c r="V158" s="571"/>
      <c r="W158" s="571"/>
      <c r="X158" s="571"/>
      <c r="Y158" s="571"/>
      <c r="Z158" s="571"/>
      <c r="AA158" s="571"/>
      <c r="AB158" s="571"/>
      <c r="AC158" s="571"/>
      <c r="AD158" s="571"/>
      <c r="AE158" s="571"/>
      <c r="AF158" s="571"/>
      <c r="AG158" s="690"/>
      <c r="AH158" s="691"/>
    </row>
    <row r="159">
      <c r="A159" s="568"/>
      <c r="B159" s="730"/>
      <c r="C159" s="730"/>
      <c r="D159" s="730"/>
      <c r="E159" s="730"/>
      <c r="F159" s="730"/>
      <c r="G159" s="730"/>
      <c r="H159" s="730"/>
      <c r="I159" s="730"/>
      <c r="J159" s="730"/>
      <c r="K159" s="730"/>
      <c r="L159" s="730"/>
      <c r="M159" s="730"/>
      <c r="N159" s="571"/>
      <c r="O159" s="571"/>
      <c r="P159" s="571"/>
      <c r="Q159" s="571"/>
      <c r="R159" s="571"/>
      <c r="S159" s="571"/>
      <c r="T159" s="571"/>
      <c r="U159" s="571"/>
      <c r="V159" s="571"/>
      <c r="W159" s="571"/>
      <c r="X159" s="571"/>
      <c r="Y159" s="571"/>
      <c r="Z159" s="571"/>
      <c r="AA159" s="571"/>
      <c r="AB159" s="571"/>
      <c r="AC159" s="571"/>
      <c r="AD159" s="571"/>
      <c r="AE159" s="571"/>
      <c r="AF159" s="571"/>
      <c r="AG159" s="690"/>
      <c r="AH159" s="691"/>
    </row>
    <row r="160">
      <c r="A160" s="568"/>
      <c r="B160" s="730"/>
      <c r="C160" s="730"/>
      <c r="D160" s="730"/>
      <c r="E160" s="730"/>
      <c r="F160" s="730"/>
      <c r="G160" s="730"/>
      <c r="H160" s="730"/>
      <c r="I160" s="730"/>
      <c r="J160" s="730"/>
      <c r="K160" s="730"/>
      <c r="L160" s="730"/>
      <c r="M160" s="730"/>
      <c r="N160" s="571"/>
      <c r="O160" s="571"/>
      <c r="P160" s="571"/>
      <c r="Q160" s="571"/>
      <c r="R160" s="571"/>
      <c r="S160" s="571"/>
      <c r="T160" s="571"/>
      <c r="U160" s="571"/>
      <c r="V160" s="571"/>
      <c r="W160" s="571"/>
      <c r="X160" s="571"/>
      <c r="Y160" s="571"/>
      <c r="Z160" s="571"/>
      <c r="AA160" s="571"/>
      <c r="AB160" s="571"/>
      <c r="AC160" s="571"/>
      <c r="AD160" s="571"/>
      <c r="AE160" s="571"/>
      <c r="AF160" s="571"/>
      <c r="AG160" s="690"/>
      <c r="AH160" s="691"/>
    </row>
    <row r="161">
      <c r="A161" s="568"/>
      <c r="B161" s="730"/>
      <c r="C161" s="730"/>
      <c r="D161" s="730"/>
      <c r="E161" s="730"/>
      <c r="F161" s="730"/>
      <c r="G161" s="730"/>
      <c r="H161" s="730"/>
      <c r="I161" s="730"/>
      <c r="J161" s="730"/>
      <c r="K161" s="730"/>
      <c r="L161" s="730"/>
      <c r="M161" s="730"/>
      <c r="N161" s="571"/>
      <c r="O161" s="571"/>
      <c r="P161" s="571"/>
      <c r="Q161" s="571"/>
      <c r="R161" s="571"/>
      <c r="S161" s="571"/>
      <c r="T161" s="571"/>
      <c r="U161" s="571"/>
      <c r="V161" s="571"/>
      <c r="W161" s="571"/>
      <c r="X161" s="571"/>
      <c r="Y161" s="571"/>
      <c r="Z161" s="571"/>
      <c r="AA161" s="571"/>
      <c r="AB161" s="571"/>
      <c r="AC161" s="571"/>
      <c r="AD161" s="571"/>
      <c r="AE161" s="571"/>
      <c r="AF161" s="571"/>
      <c r="AG161" s="690"/>
      <c r="AH161" s="691"/>
    </row>
    <row r="162">
      <c r="A162" s="568"/>
      <c r="B162" s="730"/>
      <c r="C162" s="730"/>
      <c r="D162" s="730"/>
      <c r="E162" s="730"/>
      <c r="F162" s="730"/>
      <c r="G162" s="730"/>
      <c r="H162" s="730"/>
      <c r="I162" s="730"/>
      <c r="J162" s="730"/>
      <c r="K162" s="730"/>
      <c r="L162" s="730"/>
      <c r="M162" s="730"/>
      <c r="N162" s="571"/>
      <c r="O162" s="571"/>
      <c r="P162" s="571"/>
      <c r="Q162" s="571"/>
      <c r="R162" s="571"/>
      <c r="S162" s="571"/>
      <c r="T162" s="571"/>
      <c r="U162" s="571"/>
      <c r="V162" s="571"/>
      <c r="W162" s="571"/>
      <c r="X162" s="571"/>
      <c r="Y162" s="571"/>
      <c r="Z162" s="571"/>
      <c r="AA162" s="571"/>
      <c r="AB162" s="571"/>
      <c r="AC162" s="571"/>
      <c r="AD162" s="571"/>
      <c r="AE162" s="571"/>
      <c r="AF162" s="571"/>
      <c r="AG162" s="690"/>
      <c r="AH162" s="691"/>
    </row>
    <row r="163">
      <c r="A163" s="568"/>
      <c r="B163" s="730"/>
      <c r="C163" s="730"/>
      <c r="D163" s="730"/>
      <c r="E163" s="730"/>
      <c r="F163" s="730"/>
      <c r="G163" s="730"/>
      <c r="H163" s="730"/>
      <c r="I163" s="730"/>
      <c r="J163" s="730"/>
      <c r="K163" s="730"/>
      <c r="L163" s="730"/>
      <c r="M163" s="730"/>
      <c r="N163" s="571"/>
      <c r="O163" s="571"/>
      <c r="P163" s="571"/>
      <c r="Q163" s="571"/>
      <c r="R163" s="571"/>
      <c r="S163" s="571"/>
      <c r="T163" s="571"/>
      <c r="U163" s="571"/>
      <c r="V163" s="571"/>
      <c r="W163" s="571"/>
      <c r="X163" s="571"/>
      <c r="Y163" s="571"/>
      <c r="Z163" s="571"/>
      <c r="AA163" s="571"/>
      <c r="AB163" s="571"/>
      <c r="AC163" s="571"/>
      <c r="AD163" s="571"/>
      <c r="AE163" s="571"/>
      <c r="AF163" s="571"/>
      <c r="AG163" s="690"/>
      <c r="AH163" s="691"/>
    </row>
    <row r="164">
      <c r="A164" s="568"/>
      <c r="B164" s="730"/>
      <c r="C164" s="730"/>
      <c r="D164" s="730"/>
      <c r="E164" s="730"/>
      <c r="F164" s="730"/>
      <c r="G164" s="730"/>
      <c r="H164" s="730"/>
      <c r="I164" s="730"/>
      <c r="J164" s="730"/>
      <c r="K164" s="730"/>
      <c r="L164" s="730"/>
      <c r="M164" s="730"/>
      <c r="N164" s="571"/>
      <c r="O164" s="571"/>
      <c r="P164" s="571"/>
      <c r="Q164" s="571"/>
      <c r="R164" s="571"/>
      <c r="S164" s="571"/>
      <c r="T164" s="571"/>
      <c r="U164" s="571"/>
      <c r="V164" s="571"/>
      <c r="W164" s="571"/>
      <c r="X164" s="571"/>
      <c r="Y164" s="571"/>
      <c r="Z164" s="571"/>
      <c r="AA164" s="571"/>
      <c r="AB164" s="571"/>
      <c r="AC164" s="571"/>
      <c r="AD164" s="571"/>
      <c r="AE164" s="571"/>
      <c r="AF164" s="571"/>
      <c r="AG164" s="690"/>
      <c r="AH164" s="691"/>
    </row>
    <row r="165">
      <c r="A165" s="568"/>
      <c r="B165" s="730"/>
      <c r="C165" s="730"/>
      <c r="D165" s="730"/>
      <c r="E165" s="730"/>
      <c r="F165" s="730"/>
      <c r="G165" s="730"/>
      <c r="H165" s="730"/>
      <c r="I165" s="730"/>
      <c r="J165" s="730"/>
      <c r="K165" s="730"/>
      <c r="L165" s="730"/>
      <c r="M165" s="730"/>
      <c r="N165" s="571"/>
      <c r="O165" s="571"/>
      <c r="P165" s="571"/>
      <c r="Q165" s="571"/>
      <c r="R165" s="571"/>
      <c r="S165" s="571"/>
      <c r="T165" s="571"/>
      <c r="U165" s="571"/>
      <c r="V165" s="571"/>
      <c r="W165" s="571"/>
      <c r="X165" s="571"/>
      <c r="Y165" s="571"/>
      <c r="Z165" s="571"/>
      <c r="AA165" s="571"/>
      <c r="AB165" s="571"/>
      <c r="AC165" s="571"/>
      <c r="AD165" s="571"/>
      <c r="AE165" s="571"/>
      <c r="AF165" s="571"/>
      <c r="AG165" s="690"/>
      <c r="AH165" s="691"/>
    </row>
    <row r="166">
      <c r="A166" s="568"/>
      <c r="B166" s="730"/>
      <c r="C166" s="730"/>
      <c r="D166" s="730"/>
      <c r="E166" s="730"/>
      <c r="F166" s="730"/>
      <c r="G166" s="730"/>
      <c r="H166" s="730"/>
      <c r="I166" s="730"/>
      <c r="J166" s="730"/>
      <c r="K166" s="730"/>
      <c r="L166" s="730"/>
      <c r="M166" s="730"/>
      <c r="N166" s="571"/>
      <c r="O166" s="571"/>
      <c r="P166" s="571"/>
      <c r="Q166" s="571"/>
      <c r="R166" s="571"/>
      <c r="S166" s="571"/>
      <c r="T166" s="571"/>
      <c r="U166" s="571"/>
      <c r="V166" s="571"/>
      <c r="W166" s="571"/>
      <c r="X166" s="571"/>
      <c r="Y166" s="571"/>
      <c r="Z166" s="571"/>
      <c r="AA166" s="571"/>
      <c r="AB166" s="571"/>
      <c r="AC166" s="571"/>
      <c r="AD166" s="571"/>
      <c r="AE166" s="571"/>
      <c r="AF166" s="571"/>
      <c r="AG166" s="690"/>
      <c r="AH166" s="691"/>
    </row>
    <row r="167">
      <c r="A167" s="568"/>
      <c r="B167" s="730"/>
      <c r="C167" s="730"/>
      <c r="D167" s="730"/>
      <c r="E167" s="730"/>
      <c r="F167" s="730"/>
      <c r="G167" s="730"/>
      <c r="H167" s="730"/>
      <c r="I167" s="730"/>
      <c r="J167" s="730"/>
      <c r="K167" s="730"/>
      <c r="L167" s="730"/>
      <c r="M167" s="730"/>
      <c r="N167" s="571"/>
      <c r="O167" s="571"/>
      <c r="P167" s="571"/>
      <c r="Q167" s="571"/>
      <c r="R167" s="571"/>
      <c r="S167" s="571"/>
      <c r="T167" s="571"/>
      <c r="U167" s="571"/>
      <c r="V167" s="571"/>
      <c r="W167" s="571"/>
      <c r="X167" s="571"/>
      <c r="Y167" s="571"/>
      <c r="Z167" s="571"/>
      <c r="AA167" s="571"/>
      <c r="AB167" s="571"/>
      <c r="AC167" s="571"/>
      <c r="AD167" s="571"/>
      <c r="AE167" s="571"/>
      <c r="AF167" s="571"/>
      <c r="AG167" s="690"/>
      <c r="AH167" s="691"/>
    </row>
    <row r="168">
      <c r="A168" s="568"/>
      <c r="B168" s="730"/>
      <c r="C168" s="730"/>
      <c r="D168" s="730"/>
      <c r="E168" s="730"/>
      <c r="F168" s="730"/>
      <c r="G168" s="730"/>
      <c r="H168" s="730"/>
      <c r="I168" s="730"/>
      <c r="J168" s="730"/>
      <c r="K168" s="730"/>
      <c r="L168" s="730"/>
      <c r="M168" s="730"/>
      <c r="N168" s="571"/>
      <c r="O168" s="571"/>
      <c r="P168" s="571"/>
      <c r="Q168" s="571"/>
      <c r="R168" s="571"/>
      <c r="S168" s="571"/>
      <c r="T168" s="571"/>
      <c r="U168" s="571"/>
      <c r="V168" s="571"/>
      <c r="W168" s="571"/>
      <c r="X168" s="571"/>
      <c r="Y168" s="571"/>
      <c r="Z168" s="571"/>
      <c r="AA168" s="571"/>
      <c r="AB168" s="571"/>
      <c r="AC168" s="571"/>
      <c r="AD168" s="571"/>
      <c r="AE168" s="571"/>
      <c r="AF168" s="571"/>
      <c r="AG168" s="690"/>
      <c r="AH168" s="691"/>
    </row>
    <row r="169">
      <c r="A169" s="568"/>
      <c r="B169" s="730"/>
      <c r="C169" s="730"/>
      <c r="D169" s="730"/>
      <c r="E169" s="730"/>
      <c r="F169" s="730"/>
      <c r="G169" s="730"/>
      <c r="H169" s="730"/>
      <c r="I169" s="730"/>
      <c r="J169" s="730"/>
      <c r="K169" s="730"/>
      <c r="L169" s="730"/>
      <c r="M169" s="730"/>
      <c r="N169" s="571"/>
      <c r="O169" s="571"/>
      <c r="P169" s="571"/>
      <c r="Q169" s="571"/>
      <c r="R169" s="571"/>
      <c r="S169" s="571"/>
      <c r="T169" s="571"/>
      <c r="U169" s="571"/>
      <c r="V169" s="571"/>
      <c r="W169" s="571"/>
      <c r="X169" s="571"/>
      <c r="Y169" s="571"/>
      <c r="Z169" s="571"/>
      <c r="AA169" s="571"/>
      <c r="AB169" s="571"/>
      <c r="AC169" s="571"/>
      <c r="AD169" s="571"/>
      <c r="AE169" s="571"/>
      <c r="AF169" s="571"/>
      <c r="AG169" s="690"/>
      <c r="AH169" s="691"/>
    </row>
    <row r="170">
      <c r="A170" s="568"/>
      <c r="B170" s="730"/>
      <c r="C170" s="730"/>
      <c r="D170" s="730"/>
      <c r="E170" s="730"/>
      <c r="F170" s="730"/>
      <c r="G170" s="730"/>
      <c r="H170" s="730"/>
      <c r="I170" s="730"/>
      <c r="J170" s="730"/>
      <c r="K170" s="730"/>
      <c r="L170" s="730"/>
      <c r="M170" s="730"/>
      <c r="N170" s="571"/>
      <c r="O170" s="571"/>
      <c r="P170" s="571"/>
      <c r="Q170" s="571"/>
      <c r="R170" s="571"/>
      <c r="S170" s="571"/>
      <c r="T170" s="571"/>
      <c r="U170" s="571"/>
      <c r="V170" s="571"/>
      <c r="W170" s="571"/>
      <c r="X170" s="571"/>
      <c r="Y170" s="571"/>
      <c r="Z170" s="571"/>
      <c r="AA170" s="571"/>
      <c r="AB170" s="571"/>
      <c r="AC170" s="571"/>
      <c r="AD170" s="571"/>
      <c r="AE170" s="571"/>
      <c r="AF170" s="571"/>
      <c r="AG170" s="690"/>
      <c r="AH170" s="691"/>
    </row>
    <row r="171">
      <c r="A171" s="568"/>
      <c r="B171" s="730"/>
      <c r="C171" s="730"/>
      <c r="D171" s="730"/>
      <c r="E171" s="730"/>
      <c r="F171" s="730"/>
      <c r="G171" s="730"/>
      <c r="H171" s="730"/>
      <c r="I171" s="730"/>
      <c r="J171" s="730"/>
      <c r="K171" s="730"/>
      <c r="L171" s="730"/>
      <c r="M171" s="730"/>
      <c r="N171" s="571"/>
      <c r="O171" s="571"/>
      <c r="P171" s="571"/>
      <c r="Q171" s="571"/>
      <c r="R171" s="571"/>
      <c r="S171" s="571"/>
      <c r="T171" s="571"/>
      <c r="U171" s="571"/>
      <c r="V171" s="571"/>
      <c r="W171" s="571"/>
      <c r="X171" s="571"/>
      <c r="Y171" s="571"/>
      <c r="Z171" s="571"/>
      <c r="AA171" s="571"/>
      <c r="AB171" s="571"/>
      <c r="AC171" s="571"/>
      <c r="AD171" s="571"/>
      <c r="AE171" s="571"/>
      <c r="AF171" s="571"/>
      <c r="AG171" s="690"/>
      <c r="AH171" s="691"/>
    </row>
    <row r="172">
      <c r="A172" s="568"/>
      <c r="B172" s="730"/>
      <c r="C172" s="730"/>
      <c r="D172" s="730"/>
      <c r="E172" s="730"/>
      <c r="F172" s="730"/>
      <c r="G172" s="730"/>
      <c r="H172" s="730"/>
      <c r="I172" s="730"/>
      <c r="J172" s="730"/>
      <c r="K172" s="730"/>
      <c r="L172" s="730"/>
      <c r="M172" s="730"/>
      <c r="N172" s="571"/>
      <c r="O172" s="571"/>
      <c r="P172" s="571"/>
      <c r="Q172" s="571"/>
      <c r="R172" s="571"/>
      <c r="S172" s="571"/>
      <c r="T172" s="571"/>
      <c r="U172" s="571"/>
      <c r="V172" s="571"/>
      <c r="W172" s="571"/>
      <c r="X172" s="571"/>
      <c r="Y172" s="571"/>
      <c r="Z172" s="571"/>
      <c r="AA172" s="571"/>
      <c r="AB172" s="571"/>
      <c r="AC172" s="571"/>
      <c r="AD172" s="571"/>
      <c r="AE172" s="571"/>
      <c r="AF172" s="571"/>
      <c r="AG172" s="690"/>
      <c r="AH172" s="691"/>
    </row>
    <row r="173">
      <c r="A173" s="568"/>
      <c r="B173" s="730"/>
      <c r="C173" s="730"/>
      <c r="D173" s="730"/>
      <c r="E173" s="730"/>
      <c r="F173" s="730"/>
      <c r="G173" s="730"/>
      <c r="H173" s="730"/>
      <c r="I173" s="730"/>
      <c r="J173" s="730"/>
      <c r="K173" s="730"/>
      <c r="L173" s="730"/>
      <c r="M173" s="730"/>
      <c r="N173" s="571"/>
      <c r="O173" s="571"/>
      <c r="P173" s="571"/>
      <c r="Q173" s="571"/>
      <c r="R173" s="571"/>
      <c r="S173" s="571"/>
      <c r="T173" s="571"/>
      <c r="U173" s="571"/>
      <c r="V173" s="571"/>
      <c r="W173" s="571"/>
      <c r="X173" s="571"/>
      <c r="Y173" s="571"/>
      <c r="Z173" s="571"/>
      <c r="AA173" s="571"/>
      <c r="AB173" s="571"/>
      <c r="AC173" s="571"/>
      <c r="AD173" s="571"/>
      <c r="AE173" s="571"/>
      <c r="AF173" s="571"/>
      <c r="AG173" s="690"/>
      <c r="AH173" s="691"/>
    </row>
    <row r="174">
      <c r="A174" s="568"/>
      <c r="B174" s="730"/>
      <c r="C174" s="730"/>
      <c r="D174" s="730"/>
      <c r="E174" s="730"/>
      <c r="F174" s="730"/>
      <c r="G174" s="730"/>
      <c r="H174" s="730"/>
      <c r="I174" s="730"/>
      <c r="J174" s="730"/>
      <c r="K174" s="730"/>
      <c r="L174" s="730"/>
      <c r="M174" s="730"/>
      <c r="N174" s="571"/>
      <c r="O174" s="571"/>
      <c r="P174" s="571"/>
      <c r="Q174" s="571"/>
      <c r="R174" s="571"/>
      <c r="S174" s="571"/>
      <c r="T174" s="571"/>
      <c r="U174" s="571"/>
      <c r="V174" s="571"/>
      <c r="W174" s="571"/>
      <c r="X174" s="571"/>
      <c r="Y174" s="571"/>
      <c r="Z174" s="571"/>
      <c r="AA174" s="571"/>
      <c r="AB174" s="571"/>
      <c r="AC174" s="571"/>
      <c r="AD174" s="571"/>
      <c r="AE174" s="571"/>
      <c r="AF174" s="571"/>
      <c r="AG174" s="690"/>
      <c r="AH174" s="691"/>
    </row>
    <row r="175">
      <c r="A175" s="568"/>
      <c r="B175" s="730"/>
      <c r="C175" s="730"/>
      <c r="D175" s="730"/>
      <c r="E175" s="730"/>
      <c r="F175" s="730"/>
      <c r="G175" s="730"/>
      <c r="H175" s="730"/>
      <c r="I175" s="730"/>
      <c r="J175" s="730"/>
      <c r="K175" s="730"/>
      <c r="L175" s="730"/>
      <c r="M175" s="730"/>
      <c r="N175" s="571"/>
      <c r="O175" s="571"/>
      <c r="P175" s="571"/>
      <c r="Q175" s="571"/>
      <c r="R175" s="571"/>
      <c r="S175" s="571"/>
      <c r="T175" s="571"/>
      <c r="U175" s="571"/>
      <c r="V175" s="571"/>
      <c r="W175" s="571"/>
      <c r="X175" s="571"/>
      <c r="Y175" s="571"/>
      <c r="Z175" s="571"/>
      <c r="AA175" s="571"/>
      <c r="AB175" s="571"/>
      <c r="AC175" s="571"/>
      <c r="AD175" s="571"/>
      <c r="AE175" s="571"/>
      <c r="AF175" s="571"/>
      <c r="AG175" s="690"/>
      <c r="AH175" s="691"/>
    </row>
    <row r="176">
      <c r="A176" s="568"/>
      <c r="B176" s="730"/>
      <c r="C176" s="730"/>
      <c r="D176" s="730"/>
      <c r="E176" s="730"/>
      <c r="F176" s="730"/>
      <c r="G176" s="730"/>
      <c r="H176" s="730"/>
      <c r="I176" s="730"/>
      <c r="J176" s="730"/>
      <c r="K176" s="730"/>
      <c r="L176" s="730"/>
      <c r="M176" s="730"/>
      <c r="N176" s="571"/>
      <c r="O176" s="571"/>
      <c r="P176" s="571"/>
      <c r="Q176" s="571"/>
      <c r="R176" s="571"/>
      <c r="S176" s="571"/>
      <c r="T176" s="571"/>
      <c r="U176" s="571"/>
      <c r="V176" s="571"/>
      <c r="W176" s="571"/>
      <c r="X176" s="571"/>
      <c r="Y176" s="571"/>
      <c r="Z176" s="571"/>
      <c r="AA176" s="571"/>
      <c r="AB176" s="571"/>
      <c r="AC176" s="571"/>
      <c r="AD176" s="571"/>
      <c r="AE176" s="571"/>
      <c r="AF176" s="571"/>
      <c r="AG176" s="690"/>
      <c r="AH176" s="691"/>
    </row>
    <row r="177">
      <c r="A177" s="568"/>
      <c r="B177" s="730"/>
      <c r="C177" s="730"/>
      <c r="D177" s="730"/>
      <c r="E177" s="730"/>
      <c r="F177" s="730"/>
      <c r="G177" s="730"/>
      <c r="H177" s="730"/>
      <c r="I177" s="730"/>
      <c r="J177" s="730"/>
      <c r="K177" s="730"/>
      <c r="L177" s="730"/>
      <c r="M177" s="730"/>
      <c r="N177" s="571"/>
      <c r="O177" s="571"/>
      <c r="P177" s="571"/>
      <c r="Q177" s="571"/>
      <c r="R177" s="571"/>
      <c r="S177" s="571"/>
      <c r="T177" s="571"/>
      <c r="U177" s="571"/>
      <c r="V177" s="571"/>
      <c r="W177" s="571"/>
      <c r="X177" s="571"/>
      <c r="Y177" s="571"/>
      <c r="Z177" s="571"/>
      <c r="AA177" s="571"/>
      <c r="AB177" s="571"/>
      <c r="AC177" s="571"/>
      <c r="AD177" s="571"/>
      <c r="AE177" s="571"/>
      <c r="AF177" s="571"/>
      <c r="AG177" s="690"/>
      <c r="AH177" s="691"/>
    </row>
    <row r="178">
      <c r="A178" s="568"/>
      <c r="B178" s="730"/>
      <c r="C178" s="730"/>
      <c r="D178" s="730"/>
      <c r="E178" s="730"/>
      <c r="F178" s="730"/>
      <c r="G178" s="730"/>
      <c r="H178" s="730"/>
      <c r="I178" s="730"/>
      <c r="J178" s="730"/>
      <c r="K178" s="730"/>
      <c r="L178" s="730"/>
      <c r="M178" s="730"/>
      <c r="N178" s="571"/>
      <c r="O178" s="571"/>
      <c r="P178" s="571"/>
      <c r="Q178" s="571"/>
      <c r="R178" s="571"/>
      <c r="S178" s="571"/>
      <c r="T178" s="571"/>
      <c r="U178" s="571"/>
      <c r="V178" s="571"/>
      <c r="W178" s="571"/>
      <c r="X178" s="571"/>
      <c r="Y178" s="571"/>
      <c r="Z178" s="571"/>
      <c r="AA178" s="571"/>
      <c r="AB178" s="571"/>
      <c r="AC178" s="571"/>
      <c r="AD178" s="571"/>
      <c r="AE178" s="571"/>
      <c r="AF178" s="571"/>
      <c r="AG178" s="690"/>
      <c r="AH178" s="691"/>
    </row>
    <row r="179">
      <c r="A179" s="568"/>
      <c r="B179" s="730"/>
      <c r="C179" s="730"/>
      <c r="D179" s="730"/>
      <c r="E179" s="730"/>
      <c r="F179" s="730"/>
      <c r="G179" s="730"/>
      <c r="H179" s="730"/>
      <c r="I179" s="730"/>
      <c r="J179" s="730"/>
      <c r="K179" s="730"/>
      <c r="L179" s="730"/>
      <c r="M179" s="730"/>
      <c r="N179" s="571"/>
      <c r="O179" s="571"/>
      <c r="P179" s="571"/>
      <c r="Q179" s="571"/>
      <c r="R179" s="571"/>
      <c r="S179" s="571"/>
      <c r="T179" s="571"/>
      <c r="U179" s="571"/>
      <c r="V179" s="571"/>
      <c r="W179" s="571"/>
      <c r="X179" s="571"/>
      <c r="Y179" s="571"/>
      <c r="Z179" s="571"/>
      <c r="AA179" s="571"/>
      <c r="AB179" s="571"/>
      <c r="AC179" s="571"/>
      <c r="AD179" s="571"/>
      <c r="AE179" s="571"/>
      <c r="AF179" s="571"/>
      <c r="AG179" s="690"/>
      <c r="AH179" s="691"/>
    </row>
    <row r="180">
      <c r="A180" s="568"/>
      <c r="B180" s="730"/>
      <c r="C180" s="730"/>
      <c r="D180" s="730"/>
      <c r="E180" s="730"/>
      <c r="F180" s="730"/>
      <c r="G180" s="730"/>
      <c r="H180" s="730"/>
      <c r="I180" s="730"/>
      <c r="J180" s="730"/>
      <c r="K180" s="730"/>
      <c r="L180" s="730"/>
      <c r="M180" s="730"/>
      <c r="N180" s="571"/>
      <c r="O180" s="571"/>
      <c r="P180" s="571"/>
      <c r="Q180" s="571"/>
      <c r="R180" s="571"/>
      <c r="S180" s="571"/>
      <c r="T180" s="571"/>
      <c r="U180" s="571"/>
      <c r="V180" s="571"/>
      <c r="W180" s="571"/>
      <c r="X180" s="571"/>
      <c r="Y180" s="571"/>
      <c r="Z180" s="571"/>
      <c r="AA180" s="571"/>
      <c r="AB180" s="571"/>
      <c r="AC180" s="571"/>
      <c r="AD180" s="571"/>
      <c r="AE180" s="571"/>
      <c r="AF180" s="571"/>
      <c r="AG180" s="690"/>
      <c r="AH180" s="691"/>
    </row>
    <row r="181">
      <c r="A181" s="568"/>
      <c r="B181" s="730"/>
      <c r="C181" s="730"/>
      <c r="D181" s="730"/>
      <c r="E181" s="730"/>
      <c r="F181" s="730"/>
      <c r="G181" s="730"/>
      <c r="H181" s="730"/>
      <c r="I181" s="730"/>
      <c r="J181" s="730"/>
      <c r="K181" s="730"/>
      <c r="L181" s="730"/>
      <c r="M181" s="730"/>
      <c r="N181" s="571"/>
      <c r="O181" s="571"/>
      <c r="P181" s="571"/>
      <c r="Q181" s="571"/>
      <c r="R181" s="571"/>
      <c r="S181" s="571"/>
      <c r="T181" s="571"/>
      <c r="U181" s="571"/>
      <c r="V181" s="571"/>
      <c r="W181" s="571"/>
      <c r="X181" s="571"/>
      <c r="Y181" s="571"/>
      <c r="Z181" s="571"/>
      <c r="AA181" s="571"/>
      <c r="AB181" s="571"/>
      <c r="AC181" s="571"/>
      <c r="AD181" s="571"/>
      <c r="AE181" s="571"/>
      <c r="AF181" s="571"/>
      <c r="AG181" s="690"/>
      <c r="AH181" s="691"/>
    </row>
    <row r="182">
      <c r="A182" s="568"/>
      <c r="B182" s="730"/>
      <c r="C182" s="730"/>
      <c r="D182" s="730"/>
      <c r="E182" s="730"/>
      <c r="F182" s="730"/>
      <c r="G182" s="730"/>
      <c r="H182" s="730"/>
      <c r="I182" s="730"/>
      <c r="J182" s="730"/>
      <c r="K182" s="730"/>
      <c r="L182" s="730"/>
      <c r="M182" s="730"/>
      <c r="N182" s="571"/>
      <c r="O182" s="571"/>
      <c r="P182" s="571"/>
      <c r="Q182" s="571"/>
      <c r="R182" s="571"/>
      <c r="S182" s="571"/>
      <c r="T182" s="571"/>
      <c r="U182" s="571"/>
      <c r="V182" s="571"/>
      <c r="W182" s="571"/>
      <c r="X182" s="571"/>
      <c r="Y182" s="571"/>
      <c r="Z182" s="571"/>
      <c r="AA182" s="571"/>
      <c r="AB182" s="571"/>
      <c r="AC182" s="571"/>
      <c r="AD182" s="571"/>
      <c r="AE182" s="571"/>
      <c r="AF182" s="571"/>
      <c r="AG182" s="690"/>
      <c r="AH182" s="691"/>
    </row>
    <row r="183">
      <c r="A183" s="568"/>
      <c r="B183" s="730"/>
      <c r="C183" s="730"/>
      <c r="D183" s="730"/>
      <c r="E183" s="730"/>
      <c r="F183" s="730"/>
      <c r="G183" s="730"/>
      <c r="H183" s="730"/>
      <c r="I183" s="730"/>
      <c r="J183" s="730"/>
      <c r="K183" s="730"/>
      <c r="L183" s="730"/>
      <c r="M183" s="730"/>
      <c r="N183" s="571"/>
      <c r="O183" s="571"/>
      <c r="P183" s="571"/>
      <c r="Q183" s="571"/>
      <c r="R183" s="571"/>
      <c r="S183" s="571"/>
      <c r="T183" s="571"/>
      <c r="U183" s="571"/>
      <c r="V183" s="571"/>
      <c r="W183" s="571"/>
      <c r="X183" s="571"/>
      <c r="Y183" s="571"/>
      <c r="Z183" s="571"/>
      <c r="AA183" s="571"/>
      <c r="AB183" s="571"/>
      <c r="AC183" s="571"/>
      <c r="AD183" s="571"/>
      <c r="AE183" s="571"/>
      <c r="AF183" s="571"/>
      <c r="AG183" s="690"/>
      <c r="AH183" s="691"/>
    </row>
    <row r="184">
      <c r="A184" s="568"/>
      <c r="B184" s="730"/>
      <c r="C184" s="730"/>
      <c r="D184" s="730"/>
      <c r="E184" s="730"/>
      <c r="F184" s="730"/>
      <c r="G184" s="730"/>
      <c r="H184" s="730"/>
      <c r="I184" s="730"/>
      <c r="J184" s="730"/>
      <c r="K184" s="730"/>
      <c r="L184" s="730"/>
      <c r="M184" s="730"/>
      <c r="N184" s="571"/>
      <c r="O184" s="571"/>
      <c r="P184" s="571"/>
      <c r="Q184" s="571"/>
      <c r="R184" s="571"/>
      <c r="S184" s="571"/>
      <c r="T184" s="571"/>
      <c r="U184" s="571"/>
      <c r="V184" s="571"/>
      <c r="W184" s="571"/>
      <c r="X184" s="571"/>
      <c r="Y184" s="571"/>
      <c r="Z184" s="571"/>
      <c r="AA184" s="571"/>
      <c r="AB184" s="571"/>
      <c r="AC184" s="571"/>
      <c r="AD184" s="571"/>
      <c r="AE184" s="571"/>
      <c r="AF184" s="571"/>
      <c r="AG184" s="690"/>
      <c r="AH184" s="691"/>
    </row>
    <row r="185">
      <c r="A185" s="568"/>
      <c r="B185" s="730"/>
      <c r="C185" s="730"/>
      <c r="D185" s="730"/>
      <c r="E185" s="730"/>
      <c r="F185" s="730"/>
      <c r="G185" s="730"/>
      <c r="H185" s="730"/>
      <c r="I185" s="730"/>
      <c r="J185" s="730"/>
      <c r="K185" s="730"/>
      <c r="L185" s="730"/>
      <c r="M185" s="730"/>
      <c r="N185" s="571"/>
      <c r="O185" s="571"/>
      <c r="P185" s="571"/>
      <c r="Q185" s="571"/>
      <c r="R185" s="571"/>
      <c r="S185" s="571"/>
      <c r="T185" s="571"/>
      <c r="U185" s="571"/>
      <c r="V185" s="571"/>
      <c r="W185" s="571"/>
      <c r="X185" s="571"/>
      <c r="Y185" s="571"/>
      <c r="Z185" s="571"/>
      <c r="AA185" s="571"/>
      <c r="AB185" s="571"/>
      <c r="AC185" s="571"/>
      <c r="AD185" s="571"/>
      <c r="AE185" s="571"/>
      <c r="AF185" s="571"/>
      <c r="AG185" s="690"/>
      <c r="AH185" s="691"/>
    </row>
    <row r="186">
      <c r="A186" s="568"/>
      <c r="B186" s="730"/>
      <c r="C186" s="730"/>
      <c r="D186" s="730"/>
      <c r="E186" s="730"/>
      <c r="F186" s="730"/>
      <c r="G186" s="730"/>
      <c r="H186" s="730"/>
      <c r="I186" s="730"/>
      <c r="J186" s="730"/>
      <c r="K186" s="730"/>
      <c r="L186" s="730"/>
      <c r="M186" s="730"/>
      <c r="N186" s="571"/>
      <c r="O186" s="571"/>
      <c r="P186" s="571"/>
      <c r="Q186" s="571"/>
      <c r="R186" s="571"/>
      <c r="S186" s="571"/>
      <c r="T186" s="571"/>
      <c r="U186" s="571"/>
      <c r="V186" s="571"/>
      <c r="W186" s="571"/>
      <c r="X186" s="571"/>
      <c r="Y186" s="571"/>
      <c r="Z186" s="571"/>
      <c r="AA186" s="571"/>
      <c r="AB186" s="571"/>
      <c r="AC186" s="571"/>
      <c r="AD186" s="571"/>
      <c r="AE186" s="571"/>
      <c r="AF186" s="571"/>
      <c r="AG186" s="690"/>
      <c r="AH186" s="691"/>
    </row>
    <row r="187">
      <c r="A187" s="568"/>
      <c r="B187" s="730"/>
      <c r="C187" s="730"/>
      <c r="D187" s="730"/>
      <c r="E187" s="730"/>
      <c r="F187" s="730"/>
      <c r="G187" s="730"/>
      <c r="H187" s="730"/>
      <c r="I187" s="730"/>
      <c r="J187" s="730"/>
      <c r="K187" s="730"/>
      <c r="L187" s="730"/>
      <c r="M187" s="730"/>
      <c r="N187" s="571"/>
      <c r="O187" s="571"/>
      <c r="P187" s="571"/>
      <c r="Q187" s="571"/>
      <c r="R187" s="571"/>
      <c r="S187" s="571"/>
      <c r="T187" s="571"/>
      <c r="U187" s="571"/>
      <c r="V187" s="571"/>
      <c r="W187" s="571"/>
      <c r="X187" s="571"/>
      <c r="Y187" s="571"/>
      <c r="Z187" s="571"/>
      <c r="AA187" s="571"/>
      <c r="AB187" s="571"/>
      <c r="AC187" s="571"/>
      <c r="AD187" s="571"/>
      <c r="AE187" s="571"/>
      <c r="AF187" s="571"/>
      <c r="AG187" s="690"/>
      <c r="AH187" s="691"/>
    </row>
    <row r="188">
      <c r="A188" s="568"/>
      <c r="B188" s="730"/>
      <c r="C188" s="730"/>
      <c r="D188" s="730"/>
      <c r="E188" s="730"/>
      <c r="F188" s="730"/>
      <c r="G188" s="730"/>
      <c r="H188" s="730"/>
      <c r="I188" s="730"/>
      <c r="J188" s="730"/>
      <c r="K188" s="730"/>
      <c r="L188" s="730"/>
      <c r="M188" s="730"/>
      <c r="N188" s="571"/>
      <c r="O188" s="571"/>
      <c r="P188" s="571"/>
      <c r="Q188" s="571"/>
      <c r="R188" s="571"/>
      <c r="S188" s="571"/>
      <c r="T188" s="571"/>
      <c r="U188" s="571"/>
      <c r="V188" s="571"/>
      <c r="W188" s="571"/>
      <c r="X188" s="571"/>
      <c r="Y188" s="571"/>
      <c r="Z188" s="571"/>
      <c r="AA188" s="571"/>
      <c r="AB188" s="571"/>
      <c r="AC188" s="571"/>
      <c r="AD188" s="571"/>
      <c r="AE188" s="571"/>
      <c r="AF188" s="571"/>
      <c r="AG188" s="690"/>
      <c r="AH188" s="691"/>
    </row>
    <row r="189">
      <c r="A189" s="568"/>
      <c r="B189" s="730"/>
      <c r="C189" s="730"/>
      <c r="D189" s="730"/>
      <c r="E189" s="730"/>
      <c r="F189" s="730"/>
      <c r="G189" s="730"/>
      <c r="H189" s="730"/>
      <c r="I189" s="730"/>
      <c r="J189" s="730"/>
      <c r="K189" s="730"/>
      <c r="L189" s="730"/>
      <c r="M189" s="730"/>
      <c r="N189" s="571"/>
      <c r="O189" s="571"/>
      <c r="P189" s="571"/>
      <c r="Q189" s="571"/>
      <c r="R189" s="571"/>
      <c r="S189" s="571"/>
      <c r="T189" s="571"/>
      <c r="U189" s="571"/>
      <c r="V189" s="571"/>
      <c r="W189" s="571"/>
      <c r="X189" s="571"/>
      <c r="Y189" s="571"/>
      <c r="Z189" s="571"/>
      <c r="AA189" s="571"/>
      <c r="AB189" s="571"/>
      <c r="AC189" s="571"/>
      <c r="AD189" s="571"/>
      <c r="AE189" s="571"/>
      <c r="AF189" s="571"/>
      <c r="AG189" s="690"/>
      <c r="AH189" s="691"/>
    </row>
    <row r="190">
      <c r="A190" s="568"/>
      <c r="B190" s="730"/>
      <c r="C190" s="730"/>
      <c r="D190" s="730"/>
      <c r="E190" s="730"/>
      <c r="F190" s="730"/>
      <c r="G190" s="730"/>
      <c r="H190" s="730"/>
      <c r="I190" s="730"/>
      <c r="J190" s="730"/>
      <c r="K190" s="730"/>
      <c r="L190" s="730"/>
      <c r="M190" s="730"/>
      <c r="N190" s="571"/>
      <c r="O190" s="571"/>
      <c r="P190" s="571"/>
      <c r="Q190" s="571"/>
      <c r="R190" s="571"/>
      <c r="S190" s="571"/>
      <c r="T190" s="571"/>
      <c r="U190" s="571"/>
      <c r="V190" s="571"/>
      <c r="W190" s="571"/>
      <c r="X190" s="571"/>
      <c r="Y190" s="571"/>
      <c r="Z190" s="571"/>
      <c r="AA190" s="571"/>
      <c r="AB190" s="571"/>
      <c r="AC190" s="571"/>
      <c r="AD190" s="571"/>
      <c r="AE190" s="571"/>
      <c r="AF190" s="571"/>
      <c r="AG190" s="690"/>
      <c r="AH190" s="691"/>
    </row>
    <row r="191">
      <c r="A191" s="568"/>
      <c r="B191" s="730"/>
      <c r="C191" s="730"/>
      <c r="D191" s="730"/>
      <c r="E191" s="730"/>
      <c r="F191" s="730"/>
      <c r="G191" s="730"/>
      <c r="H191" s="730"/>
      <c r="I191" s="730"/>
      <c r="J191" s="730"/>
      <c r="K191" s="730"/>
      <c r="L191" s="730"/>
      <c r="M191" s="730"/>
      <c r="N191" s="571"/>
      <c r="O191" s="571"/>
      <c r="P191" s="571"/>
      <c r="Q191" s="571"/>
      <c r="R191" s="571"/>
      <c r="S191" s="571"/>
      <c r="T191" s="571"/>
      <c r="U191" s="571"/>
      <c r="V191" s="571"/>
      <c r="W191" s="571"/>
      <c r="X191" s="571"/>
      <c r="Y191" s="571"/>
      <c r="Z191" s="571"/>
      <c r="AA191" s="571"/>
      <c r="AB191" s="571"/>
      <c r="AC191" s="571"/>
      <c r="AD191" s="571"/>
      <c r="AE191" s="571"/>
      <c r="AF191" s="571"/>
      <c r="AG191" s="690"/>
      <c r="AH191" s="691"/>
    </row>
    <row r="192">
      <c r="A192" s="568"/>
      <c r="B192" s="730"/>
      <c r="C192" s="730"/>
      <c r="D192" s="730"/>
      <c r="E192" s="730"/>
      <c r="F192" s="730"/>
      <c r="G192" s="730"/>
      <c r="H192" s="730"/>
      <c r="I192" s="730"/>
      <c r="J192" s="730"/>
      <c r="K192" s="730"/>
      <c r="L192" s="730"/>
      <c r="M192" s="730"/>
      <c r="N192" s="571"/>
      <c r="O192" s="571"/>
      <c r="P192" s="571"/>
      <c r="Q192" s="571"/>
      <c r="R192" s="571"/>
      <c r="S192" s="571"/>
      <c r="T192" s="571"/>
      <c r="U192" s="571"/>
      <c r="V192" s="571"/>
      <c r="W192" s="571"/>
      <c r="X192" s="571"/>
      <c r="Y192" s="571"/>
      <c r="Z192" s="571"/>
      <c r="AA192" s="571"/>
      <c r="AB192" s="571"/>
      <c r="AC192" s="571"/>
      <c r="AD192" s="571"/>
      <c r="AE192" s="571"/>
      <c r="AF192" s="571"/>
      <c r="AG192" s="690"/>
      <c r="AH192" s="691"/>
    </row>
    <row r="193">
      <c r="A193" s="568"/>
      <c r="B193" s="730"/>
      <c r="C193" s="730"/>
      <c r="D193" s="730"/>
      <c r="E193" s="730"/>
      <c r="F193" s="730"/>
      <c r="G193" s="730"/>
      <c r="H193" s="730"/>
      <c r="I193" s="730"/>
      <c r="J193" s="730"/>
      <c r="K193" s="730"/>
      <c r="L193" s="730"/>
      <c r="M193" s="730"/>
      <c r="N193" s="571"/>
      <c r="O193" s="571"/>
      <c r="P193" s="571"/>
      <c r="Q193" s="571"/>
      <c r="R193" s="571"/>
      <c r="S193" s="571"/>
      <c r="T193" s="571"/>
      <c r="U193" s="571"/>
      <c r="V193" s="571"/>
      <c r="W193" s="571"/>
      <c r="X193" s="571"/>
      <c r="Y193" s="571"/>
      <c r="Z193" s="571"/>
      <c r="AA193" s="571"/>
      <c r="AB193" s="571"/>
      <c r="AC193" s="571"/>
      <c r="AD193" s="571"/>
      <c r="AE193" s="571"/>
      <c r="AF193" s="571"/>
      <c r="AG193" s="690"/>
      <c r="AH193" s="691"/>
    </row>
    <row r="194">
      <c r="A194" s="568"/>
      <c r="B194" s="730"/>
      <c r="C194" s="730"/>
      <c r="D194" s="730"/>
      <c r="E194" s="730"/>
      <c r="F194" s="730"/>
      <c r="G194" s="730"/>
      <c r="H194" s="730"/>
      <c r="I194" s="730"/>
      <c r="J194" s="730"/>
      <c r="K194" s="730"/>
      <c r="L194" s="730"/>
      <c r="M194" s="730"/>
      <c r="N194" s="571"/>
      <c r="O194" s="571"/>
      <c r="P194" s="571"/>
      <c r="Q194" s="571"/>
      <c r="R194" s="571"/>
      <c r="S194" s="571"/>
      <c r="T194" s="571"/>
      <c r="U194" s="571"/>
      <c r="V194" s="571"/>
      <c r="W194" s="571"/>
      <c r="X194" s="571"/>
      <c r="Y194" s="571"/>
      <c r="Z194" s="571"/>
      <c r="AA194" s="571"/>
      <c r="AB194" s="571"/>
      <c r="AC194" s="571"/>
      <c r="AD194" s="571"/>
      <c r="AE194" s="571"/>
      <c r="AF194" s="571"/>
      <c r="AG194" s="690"/>
      <c r="AH194" s="691"/>
    </row>
    <row r="195">
      <c r="A195" s="568"/>
      <c r="B195" s="730"/>
      <c r="C195" s="730"/>
      <c r="D195" s="730"/>
      <c r="E195" s="730"/>
      <c r="F195" s="730"/>
      <c r="G195" s="730"/>
      <c r="H195" s="730"/>
      <c r="I195" s="730"/>
      <c r="J195" s="730"/>
      <c r="K195" s="730"/>
      <c r="L195" s="730"/>
      <c r="M195" s="730"/>
      <c r="N195" s="571"/>
      <c r="O195" s="571"/>
      <c r="P195" s="571"/>
      <c r="Q195" s="571"/>
      <c r="R195" s="571"/>
      <c r="S195" s="571"/>
      <c r="T195" s="571"/>
      <c r="U195" s="571"/>
      <c r="V195" s="571"/>
      <c r="W195" s="571"/>
      <c r="X195" s="571"/>
      <c r="Y195" s="571"/>
      <c r="Z195" s="571"/>
      <c r="AA195" s="571"/>
      <c r="AB195" s="571"/>
      <c r="AC195" s="571"/>
      <c r="AD195" s="571"/>
      <c r="AE195" s="571"/>
      <c r="AF195" s="571"/>
      <c r="AG195" s="690"/>
      <c r="AH195" s="691"/>
    </row>
    <row r="196">
      <c r="A196" s="568"/>
      <c r="B196" s="730"/>
      <c r="C196" s="730"/>
      <c r="D196" s="730"/>
      <c r="E196" s="730"/>
      <c r="F196" s="730"/>
      <c r="G196" s="730"/>
      <c r="H196" s="730"/>
      <c r="I196" s="730"/>
      <c r="J196" s="730"/>
      <c r="K196" s="730"/>
      <c r="L196" s="730"/>
      <c r="M196" s="730"/>
      <c r="N196" s="571"/>
      <c r="O196" s="571"/>
      <c r="P196" s="571"/>
      <c r="Q196" s="571"/>
      <c r="R196" s="571"/>
      <c r="S196" s="571"/>
      <c r="T196" s="571"/>
      <c r="U196" s="571"/>
      <c r="V196" s="571"/>
      <c r="W196" s="571"/>
      <c r="X196" s="571"/>
      <c r="Y196" s="571"/>
      <c r="Z196" s="571"/>
      <c r="AA196" s="571"/>
      <c r="AB196" s="571"/>
      <c r="AC196" s="571"/>
      <c r="AD196" s="571"/>
      <c r="AE196" s="571"/>
      <c r="AF196" s="571"/>
      <c r="AG196" s="690"/>
      <c r="AH196" s="691"/>
    </row>
    <row r="197">
      <c r="A197" s="568"/>
      <c r="B197" s="730"/>
      <c r="C197" s="730"/>
      <c r="D197" s="730"/>
      <c r="E197" s="730"/>
      <c r="F197" s="730"/>
      <c r="G197" s="730"/>
      <c r="H197" s="730"/>
      <c r="I197" s="730"/>
      <c r="J197" s="730"/>
      <c r="K197" s="730"/>
      <c r="L197" s="730"/>
      <c r="M197" s="730"/>
      <c r="N197" s="571"/>
      <c r="O197" s="571"/>
      <c r="P197" s="571"/>
      <c r="Q197" s="571"/>
      <c r="R197" s="571"/>
      <c r="S197" s="571"/>
      <c r="T197" s="571"/>
      <c r="U197" s="571"/>
      <c r="V197" s="571"/>
      <c r="W197" s="571"/>
      <c r="X197" s="571"/>
      <c r="Y197" s="571"/>
      <c r="Z197" s="571"/>
      <c r="AA197" s="571"/>
      <c r="AB197" s="571"/>
      <c r="AC197" s="571"/>
      <c r="AD197" s="571"/>
      <c r="AE197" s="571"/>
      <c r="AF197" s="571"/>
      <c r="AG197" s="690"/>
      <c r="AH197" s="691"/>
    </row>
    <row r="198">
      <c r="A198" s="568"/>
      <c r="B198" s="730"/>
      <c r="C198" s="730"/>
      <c r="D198" s="730"/>
      <c r="E198" s="730"/>
      <c r="F198" s="730"/>
      <c r="G198" s="730"/>
      <c r="H198" s="730"/>
      <c r="I198" s="730"/>
      <c r="J198" s="730"/>
      <c r="K198" s="730"/>
      <c r="L198" s="730"/>
      <c r="M198" s="730"/>
      <c r="N198" s="571"/>
      <c r="O198" s="571"/>
      <c r="P198" s="571"/>
      <c r="Q198" s="571"/>
      <c r="R198" s="571"/>
      <c r="S198" s="571"/>
      <c r="T198" s="571"/>
      <c r="U198" s="571"/>
      <c r="V198" s="571"/>
      <c r="W198" s="571"/>
      <c r="X198" s="571"/>
      <c r="Y198" s="571"/>
      <c r="Z198" s="571"/>
      <c r="AA198" s="571"/>
      <c r="AB198" s="571"/>
      <c r="AC198" s="571"/>
      <c r="AD198" s="571"/>
      <c r="AE198" s="571"/>
      <c r="AF198" s="571"/>
      <c r="AG198" s="690"/>
      <c r="AH198" s="691"/>
    </row>
    <row r="199">
      <c r="A199" s="568"/>
      <c r="B199" s="730"/>
      <c r="C199" s="730"/>
      <c r="D199" s="730"/>
      <c r="E199" s="730"/>
      <c r="F199" s="730"/>
      <c r="G199" s="730"/>
      <c r="H199" s="730"/>
      <c r="I199" s="730"/>
      <c r="J199" s="730"/>
      <c r="K199" s="730"/>
      <c r="L199" s="730"/>
      <c r="M199" s="730"/>
      <c r="N199" s="571"/>
      <c r="O199" s="571"/>
      <c r="P199" s="571"/>
      <c r="Q199" s="571"/>
      <c r="R199" s="571"/>
      <c r="S199" s="571"/>
      <c r="T199" s="571"/>
      <c r="U199" s="571"/>
      <c r="V199" s="571"/>
      <c r="W199" s="571"/>
      <c r="X199" s="571"/>
      <c r="Y199" s="571"/>
      <c r="Z199" s="571"/>
      <c r="AA199" s="571"/>
      <c r="AB199" s="571"/>
      <c r="AC199" s="571"/>
      <c r="AD199" s="571"/>
      <c r="AE199" s="571"/>
      <c r="AF199" s="571"/>
      <c r="AG199" s="690"/>
      <c r="AH199" s="691"/>
    </row>
    <row r="200">
      <c r="A200" s="568"/>
      <c r="B200" s="730"/>
      <c r="C200" s="730"/>
      <c r="D200" s="730"/>
      <c r="E200" s="730"/>
      <c r="F200" s="730"/>
      <c r="G200" s="730"/>
      <c r="H200" s="730"/>
      <c r="I200" s="730"/>
      <c r="J200" s="730"/>
      <c r="K200" s="730"/>
      <c r="L200" s="730"/>
      <c r="M200" s="730"/>
      <c r="N200" s="571"/>
      <c r="O200" s="571"/>
      <c r="P200" s="571"/>
      <c r="Q200" s="571"/>
      <c r="R200" s="571"/>
      <c r="S200" s="571"/>
      <c r="T200" s="571"/>
      <c r="U200" s="571"/>
      <c r="V200" s="571"/>
      <c r="W200" s="571"/>
      <c r="X200" s="571"/>
      <c r="Y200" s="571"/>
      <c r="Z200" s="571"/>
      <c r="AA200" s="571"/>
      <c r="AB200" s="571"/>
      <c r="AC200" s="571"/>
      <c r="AD200" s="571"/>
      <c r="AE200" s="571"/>
      <c r="AF200" s="571"/>
      <c r="AG200" s="690"/>
      <c r="AH200" s="691"/>
    </row>
    <row r="201">
      <c r="A201" s="568"/>
      <c r="B201" s="730"/>
      <c r="C201" s="730"/>
      <c r="D201" s="730"/>
      <c r="E201" s="730"/>
      <c r="F201" s="730"/>
      <c r="G201" s="730"/>
      <c r="H201" s="730"/>
      <c r="I201" s="730"/>
      <c r="J201" s="730"/>
      <c r="K201" s="730"/>
      <c r="L201" s="730"/>
      <c r="M201" s="730"/>
      <c r="N201" s="571"/>
      <c r="O201" s="571"/>
      <c r="P201" s="571"/>
      <c r="Q201" s="571"/>
      <c r="R201" s="571"/>
      <c r="S201" s="571"/>
      <c r="T201" s="571"/>
      <c r="U201" s="571"/>
      <c r="V201" s="571"/>
      <c r="W201" s="571"/>
      <c r="X201" s="571"/>
      <c r="Y201" s="571"/>
      <c r="Z201" s="571"/>
      <c r="AA201" s="571"/>
      <c r="AB201" s="571"/>
      <c r="AC201" s="571"/>
      <c r="AD201" s="571"/>
      <c r="AE201" s="571"/>
      <c r="AF201" s="571"/>
      <c r="AG201" s="690"/>
      <c r="AH201" s="691"/>
    </row>
    <row r="202">
      <c r="A202" s="568"/>
      <c r="B202" s="730"/>
      <c r="C202" s="730"/>
      <c r="D202" s="730"/>
      <c r="E202" s="730"/>
      <c r="F202" s="730"/>
      <c r="G202" s="730"/>
      <c r="H202" s="730"/>
      <c r="I202" s="730"/>
      <c r="J202" s="730"/>
      <c r="K202" s="730"/>
      <c r="L202" s="730"/>
      <c r="M202" s="730"/>
      <c r="N202" s="571"/>
      <c r="O202" s="571"/>
      <c r="P202" s="571"/>
      <c r="Q202" s="571"/>
      <c r="R202" s="571"/>
      <c r="S202" s="571"/>
      <c r="T202" s="571"/>
      <c r="U202" s="571"/>
      <c r="V202" s="571"/>
      <c r="W202" s="571"/>
      <c r="X202" s="571"/>
      <c r="Y202" s="571"/>
      <c r="Z202" s="571"/>
      <c r="AA202" s="571"/>
      <c r="AB202" s="571"/>
      <c r="AC202" s="571"/>
      <c r="AD202" s="571"/>
      <c r="AE202" s="571"/>
      <c r="AF202" s="571"/>
      <c r="AG202" s="690"/>
      <c r="AH202" s="691"/>
    </row>
    <row r="203">
      <c r="A203" s="568"/>
      <c r="B203" s="730"/>
      <c r="C203" s="730"/>
      <c r="D203" s="730"/>
      <c r="E203" s="730"/>
      <c r="F203" s="730"/>
      <c r="G203" s="730"/>
      <c r="H203" s="730"/>
      <c r="I203" s="730"/>
      <c r="J203" s="730"/>
      <c r="K203" s="730"/>
      <c r="L203" s="730"/>
      <c r="M203" s="730"/>
      <c r="N203" s="571"/>
      <c r="O203" s="571"/>
      <c r="P203" s="571"/>
      <c r="Q203" s="571"/>
      <c r="R203" s="571"/>
      <c r="S203" s="571"/>
      <c r="T203" s="571"/>
      <c r="U203" s="571"/>
      <c r="V203" s="571"/>
      <c r="W203" s="571"/>
      <c r="X203" s="571"/>
      <c r="Y203" s="571"/>
      <c r="Z203" s="571"/>
      <c r="AA203" s="571"/>
      <c r="AB203" s="571"/>
      <c r="AC203" s="571"/>
      <c r="AD203" s="571"/>
      <c r="AE203" s="571"/>
      <c r="AF203" s="571"/>
      <c r="AG203" s="690"/>
      <c r="AH203" s="691"/>
    </row>
    <row r="204">
      <c r="A204" s="568"/>
      <c r="B204" s="730"/>
      <c r="C204" s="730"/>
      <c r="D204" s="730"/>
      <c r="E204" s="730"/>
      <c r="F204" s="730"/>
      <c r="G204" s="730"/>
      <c r="H204" s="730"/>
      <c r="I204" s="730"/>
      <c r="J204" s="730"/>
      <c r="K204" s="730"/>
      <c r="L204" s="730"/>
      <c r="M204" s="730"/>
      <c r="N204" s="571"/>
      <c r="O204" s="571"/>
      <c r="P204" s="571"/>
      <c r="Q204" s="571"/>
      <c r="R204" s="571"/>
      <c r="S204" s="571"/>
      <c r="T204" s="571"/>
      <c r="U204" s="571"/>
      <c r="V204" s="571"/>
      <c r="W204" s="571"/>
      <c r="X204" s="571"/>
      <c r="Y204" s="571"/>
      <c r="Z204" s="571"/>
      <c r="AA204" s="571"/>
      <c r="AB204" s="571"/>
      <c r="AC204" s="571"/>
      <c r="AD204" s="571"/>
      <c r="AE204" s="571"/>
      <c r="AF204" s="571"/>
      <c r="AG204" s="690"/>
      <c r="AH204" s="691"/>
    </row>
    <row r="205">
      <c r="A205" s="568"/>
      <c r="B205" s="730"/>
      <c r="C205" s="730"/>
      <c r="D205" s="730"/>
      <c r="E205" s="730"/>
      <c r="F205" s="730"/>
      <c r="G205" s="730"/>
      <c r="H205" s="730"/>
      <c r="I205" s="730"/>
      <c r="J205" s="730"/>
      <c r="K205" s="730"/>
      <c r="L205" s="730"/>
      <c r="M205" s="730"/>
      <c r="N205" s="571"/>
      <c r="O205" s="571"/>
      <c r="P205" s="571"/>
      <c r="Q205" s="571"/>
      <c r="R205" s="571"/>
      <c r="S205" s="571"/>
      <c r="T205" s="571"/>
      <c r="U205" s="571"/>
      <c r="V205" s="571"/>
      <c r="W205" s="571"/>
      <c r="X205" s="571"/>
      <c r="Y205" s="571"/>
      <c r="Z205" s="571"/>
      <c r="AA205" s="571"/>
      <c r="AB205" s="571"/>
      <c r="AC205" s="571"/>
      <c r="AD205" s="571"/>
      <c r="AE205" s="571"/>
      <c r="AF205" s="571"/>
      <c r="AG205" s="690"/>
      <c r="AH205" s="691"/>
    </row>
    <row r="206">
      <c r="A206" s="568"/>
      <c r="B206" s="730"/>
      <c r="C206" s="730"/>
      <c r="D206" s="730"/>
      <c r="E206" s="730"/>
      <c r="F206" s="730"/>
      <c r="G206" s="730"/>
      <c r="H206" s="730"/>
      <c r="I206" s="730"/>
      <c r="J206" s="730"/>
      <c r="K206" s="730"/>
      <c r="L206" s="730"/>
      <c r="M206" s="730"/>
      <c r="N206" s="571"/>
      <c r="O206" s="571"/>
      <c r="P206" s="571"/>
      <c r="Q206" s="571"/>
      <c r="R206" s="571"/>
      <c r="S206" s="571"/>
      <c r="T206" s="571"/>
      <c r="U206" s="571"/>
      <c r="V206" s="571"/>
      <c r="W206" s="571"/>
      <c r="X206" s="571"/>
      <c r="Y206" s="571"/>
      <c r="Z206" s="571"/>
      <c r="AA206" s="571"/>
      <c r="AB206" s="571"/>
      <c r="AC206" s="571"/>
      <c r="AD206" s="571"/>
      <c r="AE206" s="571"/>
      <c r="AF206" s="571"/>
      <c r="AG206" s="690"/>
      <c r="AH206" s="691"/>
    </row>
    <row r="207">
      <c r="A207" s="568"/>
      <c r="B207" s="730"/>
      <c r="C207" s="730"/>
      <c r="D207" s="730"/>
      <c r="E207" s="730"/>
      <c r="F207" s="730"/>
      <c r="G207" s="730"/>
      <c r="H207" s="730"/>
      <c r="I207" s="730"/>
      <c r="J207" s="730"/>
      <c r="K207" s="730"/>
      <c r="L207" s="730"/>
      <c r="M207" s="730"/>
      <c r="N207" s="571"/>
      <c r="O207" s="571"/>
      <c r="P207" s="571"/>
      <c r="Q207" s="571"/>
      <c r="R207" s="571"/>
      <c r="S207" s="571"/>
      <c r="T207" s="571"/>
      <c r="U207" s="571"/>
      <c r="V207" s="571"/>
      <c r="W207" s="571"/>
      <c r="X207" s="571"/>
      <c r="Y207" s="571"/>
      <c r="Z207" s="571"/>
      <c r="AA207" s="571"/>
      <c r="AB207" s="571"/>
      <c r="AC207" s="571"/>
      <c r="AD207" s="571"/>
      <c r="AE207" s="571"/>
      <c r="AF207" s="571"/>
      <c r="AG207" s="690"/>
      <c r="AH207" s="691"/>
    </row>
    <row r="208">
      <c r="A208" s="568"/>
      <c r="B208" s="730"/>
      <c r="C208" s="730"/>
      <c r="D208" s="730"/>
      <c r="E208" s="730"/>
      <c r="F208" s="730"/>
      <c r="G208" s="730"/>
      <c r="H208" s="730"/>
      <c r="I208" s="730"/>
      <c r="J208" s="730"/>
      <c r="K208" s="730"/>
      <c r="L208" s="730"/>
      <c r="M208" s="730"/>
      <c r="N208" s="571"/>
      <c r="O208" s="571"/>
      <c r="P208" s="571"/>
      <c r="Q208" s="571"/>
      <c r="R208" s="571"/>
      <c r="S208" s="571"/>
      <c r="T208" s="571"/>
      <c r="U208" s="571"/>
      <c r="V208" s="571"/>
      <c r="W208" s="571"/>
      <c r="X208" s="571"/>
      <c r="Y208" s="571"/>
      <c r="Z208" s="571"/>
      <c r="AA208" s="571"/>
      <c r="AB208" s="571"/>
      <c r="AC208" s="571"/>
      <c r="AD208" s="571"/>
      <c r="AE208" s="571"/>
      <c r="AF208" s="571"/>
      <c r="AG208" s="690"/>
      <c r="AH208" s="691"/>
    </row>
    <row r="209">
      <c r="A209" s="568"/>
      <c r="B209" s="730"/>
      <c r="C209" s="730"/>
      <c r="D209" s="730"/>
      <c r="E209" s="730"/>
      <c r="F209" s="730"/>
      <c r="G209" s="730"/>
      <c r="H209" s="730"/>
      <c r="I209" s="730"/>
      <c r="J209" s="730"/>
      <c r="K209" s="730"/>
      <c r="L209" s="730"/>
      <c r="M209" s="730"/>
      <c r="N209" s="571"/>
      <c r="O209" s="571"/>
      <c r="P209" s="571"/>
      <c r="Q209" s="571"/>
      <c r="R209" s="571"/>
      <c r="S209" s="571"/>
      <c r="T209" s="571"/>
      <c r="U209" s="571"/>
      <c r="V209" s="571"/>
      <c r="W209" s="571"/>
      <c r="X209" s="571"/>
      <c r="Y209" s="571"/>
      <c r="Z209" s="571"/>
      <c r="AA209" s="571"/>
      <c r="AB209" s="571"/>
      <c r="AC209" s="571"/>
      <c r="AD209" s="571"/>
      <c r="AE209" s="571"/>
      <c r="AF209" s="571"/>
      <c r="AG209" s="690"/>
      <c r="AH209" s="691"/>
    </row>
    <row r="210">
      <c r="A210" s="568"/>
      <c r="B210" s="730"/>
      <c r="C210" s="730"/>
      <c r="D210" s="730"/>
      <c r="E210" s="730"/>
      <c r="F210" s="730"/>
      <c r="G210" s="730"/>
      <c r="H210" s="730"/>
      <c r="I210" s="730"/>
      <c r="J210" s="730"/>
      <c r="K210" s="730"/>
      <c r="L210" s="730"/>
      <c r="M210" s="730"/>
      <c r="N210" s="571"/>
      <c r="O210" s="571"/>
      <c r="P210" s="571"/>
      <c r="Q210" s="571"/>
      <c r="R210" s="571"/>
      <c r="S210" s="571"/>
      <c r="T210" s="571"/>
      <c r="U210" s="571"/>
      <c r="V210" s="571"/>
      <c r="W210" s="571"/>
      <c r="X210" s="571"/>
      <c r="Y210" s="571"/>
      <c r="Z210" s="571"/>
      <c r="AA210" s="571"/>
      <c r="AB210" s="571"/>
      <c r="AC210" s="571"/>
      <c r="AD210" s="571"/>
      <c r="AE210" s="571"/>
      <c r="AF210" s="571"/>
      <c r="AG210" s="690"/>
      <c r="AH210" s="691"/>
    </row>
    <row r="211">
      <c r="A211" s="568"/>
      <c r="B211" s="730"/>
      <c r="C211" s="730"/>
      <c r="D211" s="730"/>
      <c r="E211" s="730"/>
      <c r="F211" s="730"/>
      <c r="G211" s="730"/>
      <c r="H211" s="730"/>
      <c r="I211" s="730"/>
      <c r="J211" s="730"/>
      <c r="K211" s="730"/>
      <c r="L211" s="730"/>
      <c r="M211" s="730"/>
      <c r="N211" s="571"/>
      <c r="O211" s="571"/>
      <c r="P211" s="571"/>
      <c r="Q211" s="571"/>
      <c r="R211" s="571"/>
      <c r="S211" s="571"/>
      <c r="T211" s="571"/>
      <c r="U211" s="571"/>
      <c r="V211" s="571"/>
      <c r="W211" s="571"/>
      <c r="X211" s="571"/>
      <c r="Y211" s="571"/>
      <c r="Z211" s="571"/>
      <c r="AA211" s="571"/>
      <c r="AB211" s="571"/>
      <c r="AC211" s="571"/>
      <c r="AD211" s="571"/>
      <c r="AE211" s="571"/>
      <c r="AF211" s="571"/>
      <c r="AG211" s="690"/>
      <c r="AH211" s="691"/>
    </row>
    <row r="212">
      <c r="A212" s="568"/>
      <c r="B212" s="730"/>
      <c r="C212" s="730"/>
      <c r="D212" s="730"/>
      <c r="E212" s="730"/>
      <c r="F212" s="730"/>
      <c r="G212" s="730"/>
      <c r="H212" s="730"/>
      <c r="I212" s="730"/>
      <c r="J212" s="730"/>
      <c r="K212" s="730"/>
      <c r="L212" s="730"/>
      <c r="M212" s="730"/>
      <c r="N212" s="571"/>
      <c r="O212" s="571"/>
      <c r="P212" s="571"/>
      <c r="Q212" s="571"/>
      <c r="R212" s="571"/>
      <c r="S212" s="571"/>
      <c r="T212" s="571"/>
      <c r="U212" s="571"/>
      <c r="V212" s="571"/>
      <c r="W212" s="571"/>
      <c r="X212" s="571"/>
      <c r="Y212" s="571"/>
      <c r="Z212" s="571"/>
      <c r="AA212" s="571"/>
      <c r="AB212" s="571"/>
      <c r="AC212" s="571"/>
      <c r="AD212" s="571"/>
      <c r="AE212" s="571"/>
      <c r="AF212" s="571"/>
      <c r="AG212" s="690"/>
      <c r="AH212" s="691"/>
    </row>
    <row r="213">
      <c r="A213" s="568"/>
      <c r="B213" s="730"/>
      <c r="C213" s="730"/>
      <c r="D213" s="730"/>
      <c r="E213" s="730"/>
      <c r="F213" s="730"/>
      <c r="G213" s="730"/>
      <c r="H213" s="730"/>
      <c r="I213" s="730"/>
      <c r="J213" s="730"/>
      <c r="K213" s="730"/>
      <c r="L213" s="730"/>
      <c r="M213" s="730"/>
      <c r="N213" s="571"/>
      <c r="O213" s="571"/>
      <c r="P213" s="571"/>
      <c r="Q213" s="571"/>
      <c r="R213" s="571"/>
      <c r="S213" s="571"/>
      <c r="T213" s="571"/>
      <c r="U213" s="571"/>
      <c r="V213" s="571"/>
      <c r="W213" s="571"/>
      <c r="X213" s="571"/>
      <c r="Y213" s="571"/>
      <c r="Z213" s="571"/>
      <c r="AA213" s="571"/>
      <c r="AB213" s="571"/>
      <c r="AC213" s="571"/>
      <c r="AD213" s="571"/>
      <c r="AE213" s="571"/>
      <c r="AF213" s="571"/>
      <c r="AG213" s="690"/>
      <c r="AH213" s="691"/>
    </row>
    <row r="214">
      <c r="A214" s="568"/>
      <c r="B214" s="730"/>
      <c r="C214" s="730"/>
      <c r="D214" s="730"/>
      <c r="E214" s="730"/>
      <c r="F214" s="730"/>
      <c r="G214" s="730"/>
      <c r="H214" s="730"/>
      <c r="I214" s="730"/>
      <c r="J214" s="730"/>
      <c r="K214" s="730"/>
      <c r="L214" s="730"/>
      <c r="M214" s="730"/>
      <c r="N214" s="571"/>
      <c r="O214" s="571"/>
      <c r="P214" s="571"/>
      <c r="Q214" s="571"/>
      <c r="R214" s="571"/>
      <c r="S214" s="571"/>
      <c r="T214" s="571"/>
      <c r="U214" s="571"/>
      <c r="V214" s="571"/>
      <c r="W214" s="571"/>
      <c r="X214" s="571"/>
      <c r="Y214" s="571"/>
      <c r="Z214" s="571"/>
      <c r="AA214" s="571"/>
      <c r="AB214" s="571"/>
      <c r="AC214" s="571"/>
      <c r="AD214" s="571"/>
      <c r="AE214" s="571"/>
      <c r="AF214" s="571"/>
      <c r="AG214" s="690"/>
      <c r="AH214" s="691"/>
    </row>
    <row r="215">
      <c r="A215" s="568"/>
      <c r="B215" s="730"/>
      <c r="C215" s="730"/>
      <c r="D215" s="730"/>
      <c r="E215" s="730"/>
      <c r="F215" s="730"/>
      <c r="G215" s="730"/>
      <c r="H215" s="730"/>
      <c r="I215" s="730"/>
      <c r="J215" s="730"/>
      <c r="K215" s="730"/>
      <c r="L215" s="730"/>
      <c r="M215" s="730"/>
      <c r="N215" s="571"/>
      <c r="O215" s="571"/>
      <c r="P215" s="571"/>
      <c r="Q215" s="571"/>
      <c r="R215" s="571"/>
      <c r="S215" s="571"/>
      <c r="T215" s="571"/>
      <c r="U215" s="571"/>
      <c r="V215" s="571"/>
      <c r="W215" s="571"/>
      <c r="X215" s="571"/>
      <c r="Y215" s="571"/>
      <c r="Z215" s="571"/>
      <c r="AA215" s="571"/>
      <c r="AB215" s="571"/>
      <c r="AC215" s="571"/>
      <c r="AD215" s="571"/>
      <c r="AE215" s="571"/>
      <c r="AF215" s="571"/>
      <c r="AG215" s="690"/>
      <c r="AH215" s="691"/>
    </row>
    <row r="216">
      <c r="A216" s="568"/>
      <c r="B216" s="730"/>
      <c r="C216" s="730"/>
      <c r="D216" s="730"/>
      <c r="E216" s="730"/>
      <c r="F216" s="730"/>
      <c r="G216" s="730"/>
      <c r="H216" s="730"/>
      <c r="I216" s="730"/>
      <c r="J216" s="730"/>
      <c r="K216" s="730"/>
      <c r="L216" s="730"/>
      <c r="M216" s="730"/>
      <c r="N216" s="571"/>
      <c r="O216" s="571"/>
      <c r="P216" s="571"/>
      <c r="Q216" s="571"/>
      <c r="R216" s="571"/>
      <c r="S216" s="571"/>
      <c r="T216" s="571"/>
      <c r="U216" s="571"/>
      <c r="V216" s="571"/>
      <c r="W216" s="571"/>
      <c r="X216" s="571"/>
      <c r="Y216" s="571"/>
      <c r="Z216" s="571"/>
      <c r="AA216" s="571"/>
      <c r="AB216" s="571"/>
      <c r="AC216" s="571"/>
      <c r="AD216" s="571"/>
      <c r="AE216" s="571"/>
      <c r="AF216" s="571"/>
      <c r="AG216" s="690"/>
      <c r="AH216" s="691"/>
    </row>
    <row r="217">
      <c r="A217" s="568"/>
      <c r="B217" s="730"/>
      <c r="C217" s="730"/>
      <c r="D217" s="730"/>
      <c r="E217" s="730"/>
      <c r="F217" s="730"/>
      <c r="G217" s="730"/>
      <c r="H217" s="730"/>
      <c r="I217" s="730"/>
      <c r="J217" s="730"/>
      <c r="K217" s="730"/>
      <c r="L217" s="730"/>
      <c r="M217" s="730"/>
      <c r="N217" s="571"/>
      <c r="O217" s="571"/>
      <c r="P217" s="571"/>
      <c r="Q217" s="571"/>
      <c r="R217" s="571"/>
      <c r="S217" s="571"/>
      <c r="T217" s="571"/>
      <c r="U217" s="571"/>
      <c r="V217" s="571"/>
      <c r="W217" s="571"/>
      <c r="X217" s="571"/>
      <c r="Y217" s="571"/>
      <c r="Z217" s="571"/>
      <c r="AA217" s="571"/>
      <c r="AB217" s="571"/>
      <c r="AC217" s="571"/>
      <c r="AD217" s="571"/>
      <c r="AE217" s="571"/>
      <c r="AF217" s="571"/>
      <c r="AG217" s="690"/>
      <c r="AH217" s="691"/>
    </row>
    <row r="218">
      <c r="A218" s="568"/>
      <c r="B218" s="730"/>
      <c r="C218" s="730"/>
      <c r="D218" s="730"/>
      <c r="E218" s="730"/>
      <c r="F218" s="730"/>
      <c r="G218" s="730"/>
      <c r="H218" s="730"/>
      <c r="I218" s="730"/>
      <c r="J218" s="730"/>
      <c r="K218" s="730"/>
      <c r="L218" s="730"/>
      <c r="M218" s="730"/>
      <c r="N218" s="571"/>
      <c r="O218" s="571"/>
      <c r="P218" s="571"/>
      <c r="Q218" s="571"/>
      <c r="R218" s="571"/>
      <c r="S218" s="571"/>
      <c r="T218" s="571"/>
      <c r="U218" s="571"/>
      <c r="V218" s="571"/>
      <c r="W218" s="571"/>
      <c r="X218" s="571"/>
      <c r="Y218" s="571"/>
      <c r="Z218" s="571"/>
      <c r="AA218" s="571"/>
      <c r="AB218" s="571"/>
      <c r="AC218" s="571"/>
      <c r="AD218" s="571"/>
      <c r="AE218" s="571"/>
      <c r="AF218" s="571"/>
      <c r="AG218" s="690"/>
      <c r="AH218" s="691"/>
    </row>
    <row r="219">
      <c r="A219" s="568"/>
      <c r="B219" s="730"/>
      <c r="C219" s="730"/>
      <c r="D219" s="730"/>
      <c r="E219" s="730"/>
      <c r="F219" s="730"/>
      <c r="G219" s="730"/>
      <c r="H219" s="730"/>
      <c r="I219" s="730"/>
      <c r="J219" s="730"/>
      <c r="K219" s="730"/>
      <c r="L219" s="730"/>
      <c r="M219" s="730"/>
      <c r="N219" s="571"/>
      <c r="O219" s="571"/>
      <c r="P219" s="571"/>
      <c r="Q219" s="571"/>
      <c r="R219" s="571"/>
      <c r="S219" s="571"/>
      <c r="T219" s="571"/>
      <c r="U219" s="571"/>
      <c r="V219" s="571"/>
      <c r="W219" s="571"/>
      <c r="X219" s="571"/>
      <c r="Y219" s="571"/>
      <c r="Z219" s="571"/>
      <c r="AA219" s="571"/>
      <c r="AB219" s="571"/>
      <c r="AC219" s="571"/>
      <c r="AD219" s="571"/>
      <c r="AE219" s="571"/>
      <c r="AF219" s="571"/>
      <c r="AG219" s="690"/>
      <c r="AH219" s="691"/>
    </row>
    <row r="220">
      <c r="A220" s="568"/>
      <c r="B220" s="730"/>
      <c r="C220" s="730"/>
      <c r="D220" s="730"/>
      <c r="E220" s="730"/>
      <c r="F220" s="730"/>
      <c r="G220" s="730"/>
      <c r="H220" s="730"/>
      <c r="I220" s="730"/>
      <c r="J220" s="730"/>
      <c r="K220" s="730"/>
      <c r="L220" s="730"/>
      <c r="M220" s="730"/>
      <c r="N220" s="571"/>
      <c r="O220" s="571"/>
      <c r="P220" s="571"/>
      <c r="Q220" s="571"/>
      <c r="R220" s="571"/>
      <c r="S220" s="571"/>
      <c r="T220" s="571"/>
      <c r="U220" s="571"/>
      <c r="V220" s="571"/>
      <c r="W220" s="571"/>
      <c r="X220" s="571"/>
      <c r="Y220" s="571"/>
      <c r="Z220" s="571"/>
      <c r="AA220" s="571"/>
      <c r="AB220" s="571"/>
      <c r="AC220" s="571"/>
      <c r="AD220" s="571"/>
      <c r="AE220" s="571"/>
      <c r="AF220" s="571"/>
      <c r="AG220" s="690"/>
      <c r="AH220" s="691"/>
    </row>
    <row r="221">
      <c r="A221" s="568"/>
      <c r="B221" s="730"/>
      <c r="C221" s="730"/>
      <c r="D221" s="730"/>
      <c r="E221" s="730"/>
      <c r="F221" s="730"/>
      <c r="G221" s="730"/>
      <c r="H221" s="730"/>
      <c r="I221" s="730"/>
      <c r="J221" s="730"/>
      <c r="K221" s="730"/>
      <c r="L221" s="730"/>
      <c r="M221" s="730"/>
      <c r="N221" s="571"/>
      <c r="O221" s="571"/>
      <c r="P221" s="571"/>
      <c r="Q221" s="571"/>
      <c r="R221" s="571"/>
      <c r="S221" s="571"/>
      <c r="T221" s="571"/>
      <c r="U221" s="571"/>
      <c r="V221" s="571"/>
      <c r="W221" s="571"/>
      <c r="X221" s="571"/>
      <c r="Y221" s="571"/>
      <c r="Z221" s="571"/>
      <c r="AA221" s="571"/>
      <c r="AB221" s="571"/>
      <c r="AC221" s="571"/>
      <c r="AD221" s="571"/>
      <c r="AE221" s="571"/>
      <c r="AF221" s="571"/>
      <c r="AG221" s="690"/>
      <c r="AH221" s="691"/>
    </row>
    <row r="222">
      <c r="A222" s="568"/>
      <c r="B222" s="730"/>
      <c r="C222" s="730"/>
      <c r="D222" s="730"/>
      <c r="E222" s="730"/>
      <c r="F222" s="730"/>
      <c r="G222" s="730"/>
      <c r="H222" s="730"/>
      <c r="I222" s="730"/>
      <c r="J222" s="730"/>
      <c r="K222" s="730"/>
      <c r="L222" s="730"/>
      <c r="M222" s="730"/>
      <c r="N222" s="571"/>
      <c r="O222" s="571"/>
      <c r="P222" s="571"/>
      <c r="Q222" s="571"/>
      <c r="R222" s="571"/>
      <c r="S222" s="571"/>
      <c r="T222" s="571"/>
      <c r="U222" s="571"/>
      <c r="V222" s="571"/>
      <c r="W222" s="571"/>
      <c r="X222" s="571"/>
      <c r="Y222" s="571"/>
      <c r="Z222" s="571"/>
      <c r="AA222" s="571"/>
      <c r="AB222" s="571"/>
      <c r="AC222" s="571"/>
      <c r="AD222" s="571"/>
      <c r="AE222" s="571"/>
      <c r="AF222" s="571"/>
      <c r="AG222" s="690"/>
      <c r="AH222" s="691"/>
    </row>
    <row r="223">
      <c r="A223" s="568"/>
      <c r="B223" s="730"/>
      <c r="C223" s="730"/>
      <c r="D223" s="730"/>
      <c r="E223" s="730"/>
      <c r="F223" s="730"/>
      <c r="G223" s="730"/>
      <c r="H223" s="730"/>
      <c r="I223" s="730"/>
      <c r="J223" s="730"/>
      <c r="K223" s="730"/>
      <c r="L223" s="730"/>
      <c r="M223" s="730"/>
      <c r="N223" s="571"/>
      <c r="O223" s="571"/>
      <c r="P223" s="571"/>
      <c r="Q223" s="571"/>
      <c r="R223" s="571"/>
      <c r="S223" s="571"/>
      <c r="T223" s="571"/>
      <c r="U223" s="571"/>
      <c r="V223" s="571"/>
      <c r="W223" s="571"/>
      <c r="X223" s="571"/>
      <c r="Y223" s="571"/>
      <c r="Z223" s="571"/>
      <c r="AA223" s="571"/>
      <c r="AB223" s="571"/>
      <c r="AC223" s="571"/>
      <c r="AD223" s="571"/>
      <c r="AE223" s="571"/>
      <c r="AF223" s="571"/>
      <c r="AG223" s="690"/>
      <c r="AH223" s="691"/>
    </row>
    <row r="224">
      <c r="A224" s="568"/>
      <c r="B224" s="730"/>
      <c r="C224" s="730"/>
      <c r="D224" s="730"/>
      <c r="E224" s="730"/>
      <c r="F224" s="730"/>
      <c r="G224" s="730"/>
      <c r="H224" s="730"/>
      <c r="I224" s="730"/>
      <c r="J224" s="730"/>
      <c r="K224" s="730"/>
      <c r="L224" s="730"/>
      <c r="M224" s="730"/>
      <c r="N224" s="571"/>
      <c r="O224" s="571"/>
      <c r="P224" s="571"/>
      <c r="Q224" s="571"/>
      <c r="R224" s="571"/>
      <c r="S224" s="571"/>
      <c r="T224" s="571"/>
      <c r="U224" s="571"/>
      <c r="V224" s="571"/>
      <c r="W224" s="571"/>
      <c r="X224" s="571"/>
      <c r="Y224" s="571"/>
      <c r="Z224" s="571"/>
      <c r="AA224" s="571"/>
      <c r="AB224" s="571"/>
      <c r="AC224" s="571"/>
      <c r="AD224" s="571"/>
      <c r="AE224" s="571"/>
      <c r="AF224" s="571"/>
      <c r="AG224" s="690"/>
      <c r="AH224" s="691"/>
    </row>
    <row r="225">
      <c r="A225" s="568"/>
      <c r="B225" s="730"/>
      <c r="C225" s="730"/>
      <c r="D225" s="730"/>
      <c r="E225" s="730"/>
      <c r="F225" s="730"/>
      <c r="G225" s="730"/>
      <c r="H225" s="730"/>
      <c r="I225" s="730"/>
      <c r="J225" s="730"/>
      <c r="K225" s="730"/>
      <c r="L225" s="730"/>
      <c r="M225" s="730"/>
      <c r="N225" s="571"/>
      <c r="O225" s="571"/>
      <c r="P225" s="571"/>
      <c r="Q225" s="571"/>
      <c r="R225" s="571"/>
      <c r="S225" s="571"/>
      <c r="T225" s="571"/>
      <c r="U225" s="571"/>
      <c r="V225" s="571"/>
      <c r="W225" s="571"/>
      <c r="X225" s="571"/>
      <c r="Y225" s="571"/>
      <c r="Z225" s="571"/>
      <c r="AA225" s="571"/>
      <c r="AB225" s="571"/>
      <c r="AC225" s="571"/>
      <c r="AD225" s="571"/>
      <c r="AE225" s="571"/>
      <c r="AF225" s="571"/>
      <c r="AG225" s="690"/>
      <c r="AH225" s="691"/>
    </row>
    <row r="226">
      <c r="A226" s="568"/>
      <c r="B226" s="730"/>
      <c r="C226" s="730"/>
      <c r="D226" s="730"/>
      <c r="E226" s="730"/>
      <c r="F226" s="730"/>
      <c r="G226" s="730"/>
      <c r="H226" s="730"/>
      <c r="I226" s="730"/>
      <c r="J226" s="730"/>
      <c r="K226" s="730"/>
      <c r="L226" s="730"/>
      <c r="M226" s="730"/>
      <c r="N226" s="571"/>
      <c r="O226" s="571"/>
      <c r="P226" s="571"/>
      <c r="Q226" s="571"/>
      <c r="R226" s="571"/>
      <c r="S226" s="571"/>
      <c r="T226" s="571"/>
      <c r="U226" s="571"/>
      <c r="V226" s="571"/>
      <c r="W226" s="571"/>
      <c r="X226" s="571"/>
      <c r="Y226" s="571"/>
      <c r="Z226" s="571"/>
      <c r="AA226" s="571"/>
      <c r="AB226" s="571"/>
      <c r="AC226" s="571"/>
      <c r="AD226" s="571"/>
      <c r="AE226" s="571"/>
      <c r="AF226" s="571"/>
      <c r="AG226" s="690"/>
      <c r="AH226" s="691"/>
    </row>
    <row r="227">
      <c r="A227" s="568"/>
      <c r="B227" s="730"/>
      <c r="C227" s="730"/>
      <c r="D227" s="730"/>
      <c r="E227" s="730"/>
      <c r="F227" s="730"/>
      <c r="G227" s="730"/>
      <c r="H227" s="730"/>
      <c r="I227" s="730"/>
      <c r="J227" s="730"/>
      <c r="K227" s="730"/>
      <c r="L227" s="730"/>
      <c r="M227" s="730"/>
      <c r="N227" s="571"/>
      <c r="O227" s="571"/>
      <c r="P227" s="571"/>
      <c r="Q227" s="571"/>
      <c r="R227" s="571"/>
      <c r="S227" s="571"/>
      <c r="T227" s="571"/>
      <c r="U227" s="571"/>
      <c r="V227" s="571"/>
      <c r="W227" s="571"/>
      <c r="X227" s="571"/>
      <c r="Y227" s="571"/>
      <c r="Z227" s="571"/>
      <c r="AA227" s="571"/>
      <c r="AB227" s="571"/>
      <c r="AC227" s="571"/>
      <c r="AD227" s="571"/>
      <c r="AE227" s="571"/>
      <c r="AF227" s="571"/>
      <c r="AG227" s="690"/>
      <c r="AH227" s="691"/>
    </row>
    <row r="228">
      <c r="A228" s="568"/>
      <c r="B228" s="730"/>
      <c r="C228" s="730"/>
      <c r="D228" s="730"/>
      <c r="E228" s="730"/>
      <c r="F228" s="730"/>
      <c r="G228" s="730"/>
      <c r="H228" s="730"/>
      <c r="I228" s="730"/>
      <c r="J228" s="730"/>
      <c r="K228" s="730"/>
      <c r="L228" s="730"/>
      <c r="M228" s="730"/>
      <c r="N228" s="571"/>
      <c r="O228" s="571"/>
      <c r="P228" s="571"/>
      <c r="Q228" s="571"/>
      <c r="R228" s="571"/>
      <c r="S228" s="571"/>
      <c r="T228" s="571"/>
      <c r="U228" s="571"/>
      <c r="V228" s="571"/>
      <c r="W228" s="571"/>
      <c r="X228" s="571"/>
      <c r="Y228" s="571"/>
      <c r="Z228" s="571"/>
      <c r="AA228" s="571"/>
      <c r="AB228" s="571"/>
      <c r="AC228" s="571"/>
      <c r="AD228" s="571"/>
      <c r="AE228" s="571"/>
      <c r="AF228" s="571"/>
      <c r="AG228" s="690"/>
      <c r="AH228" s="691"/>
    </row>
    <row r="229">
      <c r="A229" s="568"/>
      <c r="B229" s="730"/>
      <c r="C229" s="730"/>
      <c r="D229" s="730"/>
      <c r="E229" s="730"/>
      <c r="F229" s="730"/>
      <c r="G229" s="730"/>
      <c r="H229" s="730"/>
      <c r="I229" s="730"/>
      <c r="J229" s="730"/>
      <c r="K229" s="730"/>
      <c r="L229" s="730"/>
      <c r="M229" s="730"/>
      <c r="N229" s="571"/>
      <c r="O229" s="571"/>
      <c r="P229" s="571"/>
      <c r="Q229" s="571"/>
      <c r="R229" s="571"/>
      <c r="S229" s="571"/>
      <c r="T229" s="571"/>
      <c r="U229" s="571"/>
      <c r="V229" s="571"/>
      <c r="W229" s="571"/>
      <c r="X229" s="571"/>
      <c r="Y229" s="571"/>
      <c r="Z229" s="571"/>
      <c r="AA229" s="571"/>
      <c r="AB229" s="571"/>
      <c r="AC229" s="571"/>
      <c r="AD229" s="571"/>
      <c r="AE229" s="571"/>
      <c r="AF229" s="571"/>
      <c r="AG229" s="690"/>
      <c r="AH229" s="691"/>
    </row>
    <row r="230">
      <c r="A230" s="568"/>
      <c r="B230" s="730"/>
      <c r="C230" s="730"/>
      <c r="D230" s="730"/>
      <c r="E230" s="730"/>
      <c r="F230" s="730"/>
      <c r="G230" s="730"/>
      <c r="H230" s="730"/>
      <c r="I230" s="730"/>
      <c r="J230" s="730"/>
      <c r="K230" s="730"/>
      <c r="L230" s="730"/>
      <c r="M230" s="730"/>
      <c r="N230" s="571"/>
      <c r="O230" s="571"/>
      <c r="P230" s="571"/>
      <c r="Q230" s="571"/>
      <c r="R230" s="571"/>
      <c r="S230" s="571"/>
      <c r="T230" s="571"/>
      <c r="U230" s="571"/>
      <c r="V230" s="571"/>
      <c r="W230" s="571"/>
      <c r="X230" s="571"/>
      <c r="Y230" s="571"/>
      <c r="Z230" s="571"/>
      <c r="AA230" s="571"/>
      <c r="AB230" s="571"/>
      <c r="AC230" s="571"/>
      <c r="AD230" s="571"/>
      <c r="AE230" s="571"/>
      <c r="AF230" s="571"/>
      <c r="AG230" s="690"/>
      <c r="AH230" s="691"/>
    </row>
    <row r="231">
      <c r="A231" s="568"/>
      <c r="B231" s="730"/>
      <c r="C231" s="730"/>
      <c r="D231" s="730"/>
      <c r="E231" s="730"/>
      <c r="F231" s="730"/>
      <c r="G231" s="730"/>
      <c r="H231" s="730"/>
      <c r="I231" s="730"/>
      <c r="J231" s="730"/>
      <c r="K231" s="730"/>
      <c r="L231" s="730"/>
      <c r="M231" s="730"/>
      <c r="N231" s="571"/>
      <c r="O231" s="571"/>
      <c r="P231" s="571"/>
      <c r="Q231" s="571"/>
      <c r="R231" s="571"/>
      <c r="S231" s="571"/>
      <c r="T231" s="571"/>
      <c r="U231" s="571"/>
      <c r="V231" s="571"/>
      <c r="W231" s="571"/>
      <c r="X231" s="571"/>
      <c r="Y231" s="571"/>
      <c r="Z231" s="571"/>
      <c r="AA231" s="571"/>
      <c r="AB231" s="571"/>
      <c r="AC231" s="571"/>
      <c r="AD231" s="571"/>
      <c r="AE231" s="571"/>
      <c r="AF231" s="571"/>
      <c r="AG231" s="690"/>
      <c r="AH231" s="691"/>
    </row>
    <row r="232">
      <c r="A232" s="568"/>
      <c r="B232" s="730"/>
      <c r="C232" s="730"/>
      <c r="D232" s="730"/>
      <c r="E232" s="730"/>
      <c r="F232" s="730"/>
      <c r="G232" s="730"/>
      <c r="H232" s="730"/>
      <c r="I232" s="730"/>
      <c r="J232" s="730"/>
      <c r="K232" s="730"/>
      <c r="L232" s="730"/>
      <c r="M232" s="730"/>
      <c r="N232" s="571"/>
      <c r="O232" s="571"/>
      <c r="P232" s="571"/>
      <c r="Q232" s="571"/>
      <c r="R232" s="571"/>
      <c r="S232" s="571"/>
      <c r="T232" s="571"/>
      <c r="U232" s="571"/>
      <c r="V232" s="571"/>
      <c r="W232" s="571"/>
      <c r="X232" s="571"/>
      <c r="Y232" s="571"/>
      <c r="Z232" s="571"/>
      <c r="AA232" s="571"/>
      <c r="AB232" s="571"/>
      <c r="AC232" s="571"/>
      <c r="AD232" s="571"/>
      <c r="AE232" s="571"/>
      <c r="AF232" s="571"/>
      <c r="AG232" s="690"/>
      <c r="AH232" s="691"/>
    </row>
    <row r="233">
      <c r="A233" s="568"/>
      <c r="B233" s="730"/>
      <c r="C233" s="730"/>
      <c r="D233" s="730"/>
      <c r="E233" s="730"/>
      <c r="F233" s="730"/>
      <c r="G233" s="730"/>
      <c r="H233" s="730"/>
      <c r="I233" s="730"/>
      <c r="J233" s="730"/>
      <c r="K233" s="730"/>
      <c r="L233" s="730"/>
      <c r="M233" s="730"/>
      <c r="N233" s="571"/>
      <c r="O233" s="571"/>
      <c r="P233" s="571"/>
      <c r="Q233" s="571"/>
      <c r="R233" s="571"/>
      <c r="S233" s="571"/>
      <c r="T233" s="571"/>
      <c r="U233" s="571"/>
      <c r="V233" s="571"/>
      <c r="W233" s="571"/>
      <c r="X233" s="571"/>
      <c r="Y233" s="571"/>
      <c r="Z233" s="571"/>
      <c r="AA233" s="571"/>
      <c r="AB233" s="571"/>
      <c r="AC233" s="571"/>
      <c r="AD233" s="571"/>
      <c r="AE233" s="571"/>
      <c r="AF233" s="571"/>
      <c r="AG233" s="690"/>
      <c r="AH233" s="691"/>
    </row>
    <row r="234">
      <c r="A234" s="568"/>
      <c r="B234" s="730"/>
      <c r="C234" s="730"/>
      <c r="D234" s="730"/>
      <c r="E234" s="730"/>
      <c r="F234" s="730"/>
      <c r="G234" s="730"/>
      <c r="H234" s="730"/>
      <c r="I234" s="730"/>
      <c r="J234" s="730"/>
      <c r="K234" s="730"/>
      <c r="L234" s="730"/>
      <c r="M234" s="730"/>
      <c r="N234" s="571"/>
      <c r="O234" s="571"/>
      <c r="P234" s="571"/>
      <c r="Q234" s="571"/>
      <c r="R234" s="571"/>
      <c r="S234" s="571"/>
      <c r="T234" s="571"/>
      <c r="U234" s="571"/>
      <c r="V234" s="571"/>
      <c r="W234" s="571"/>
      <c r="X234" s="571"/>
      <c r="Y234" s="571"/>
      <c r="Z234" s="571"/>
      <c r="AA234" s="571"/>
      <c r="AB234" s="571"/>
      <c r="AC234" s="571"/>
      <c r="AD234" s="571"/>
      <c r="AE234" s="571"/>
      <c r="AF234" s="571"/>
      <c r="AG234" s="690"/>
      <c r="AH234" s="691"/>
    </row>
    <row r="235">
      <c r="A235" s="568"/>
      <c r="B235" s="730"/>
      <c r="C235" s="730"/>
      <c r="D235" s="730"/>
      <c r="E235" s="730"/>
      <c r="F235" s="730"/>
      <c r="G235" s="730"/>
      <c r="H235" s="730"/>
      <c r="I235" s="730"/>
      <c r="J235" s="730"/>
      <c r="K235" s="730"/>
      <c r="L235" s="730"/>
      <c r="M235" s="730"/>
      <c r="N235" s="571"/>
      <c r="O235" s="571"/>
      <c r="P235" s="571"/>
      <c r="Q235" s="571"/>
      <c r="R235" s="571"/>
      <c r="S235" s="571"/>
      <c r="T235" s="571"/>
      <c r="U235" s="571"/>
      <c r="V235" s="571"/>
      <c r="W235" s="571"/>
      <c r="X235" s="571"/>
      <c r="Y235" s="571"/>
      <c r="Z235" s="571"/>
      <c r="AA235" s="571"/>
      <c r="AB235" s="571"/>
      <c r="AC235" s="571"/>
      <c r="AD235" s="571"/>
      <c r="AE235" s="571"/>
      <c r="AF235" s="571"/>
      <c r="AG235" s="690"/>
      <c r="AH235" s="691"/>
    </row>
    <row r="236">
      <c r="A236" s="568"/>
      <c r="B236" s="730"/>
      <c r="C236" s="730"/>
      <c r="D236" s="730"/>
      <c r="E236" s="730"/>
      <c r="F236" s="730"/>
      <c r="G236" s="730"/>
      <c r="H236" s="730"/>
      <c r="I236" s="730"/>
      <c r="J236" s="730"/>
      <c r="K236" s="730"/>
      <c r="L236" s="730"/>
      <c r="M236" s="730"/>
      <c r="N236" s="571"/>
      <c r="O236" s="571"/>
      <c r="P236" s="571"/>
      <c r="Q236" s="571"/>
      <c r="R236" s="571"/>
      <c r="S236" s="571"/>
      <c r="T236" s="571"/>
      <c r="U236" s="571"/>
      <c r="V236" s="571"/>
      <c r="W236" s="571"/>
      <c r="X236" s="571"/>
      <c r="Y236" s="571"/>
      <c r="Z236" s="571"/>
      <c r="AA236" s="571"/>
      <c r="AB236" s="571"/>
      <c r="AC236" s="571"/>
      <c r="AD236" s="571"/>
      <c r="AE236" s="571"/>
      <c r="AF236" s="571"/>
      <c r="AG236" s="690"/>
      <c r="AH236" s="691"/>
    </row>
    <row r="237">
      <c r="A237" s="568"/>
      <c r="B237" s="730"/>
      <c r="C237" s="730"/>
      <c r="D237" s="730"/>
      <c r="E237" s="730"/>
      <c r="F237" s="730"/>
      <c r="G237" s="730"/>
      <c r="H237" s="730"/>
      <c r="I237" s="730"/>
      <c r="J237" s="730"/>
      <c r="K237" s="730"/>
      <c r="L237" s="730"/>
      <c r="M237" s="730"/>
      <c r="N237" s="571"/>
      <c r="O237" s="571"/>
      <c r="P237" s="571"/>
      <c r="Q237" s="571"/>
      <c r="R237" s="571"/>
      <c r="S237" s="571"/>
      <c r="T237" s="571"/>
      <c r="U237" s="571"/>
      <c r="V237" s="571"/>
      <c r="W237" s="571"/>
      <c r="X237" s="571"/>
      <c r="Y237" s="571"/>
      <c r="Z237" s="571"/>
      <c r="AA237" s="571"/>
      <c r="AB237" s="571"/>
      <c r="AC237" s="571"/>
      <c r="AD237" s="571"/>
      <c r="AE237" s="571"/>
      <c r="AF237" s="571"/>
      <c r="AG237" s="690"/>
      <c r="AH237" s="691"/>
    </row>
    <row r="238">
      <c r="A238" s="568"/>
      <c r="B238" s="730"/>
      <c r="C238" s="730"/>
      <c r="D238" s="730"/>
      <c r="E238" s="730"/>
      <c r="F238" s="730"/>
      <c r="G238" s="730"/>
      <c r="H238" s="730"/>
      <c r="I238" s="730"/>
      <c r="J238" s="730"/>
      <c r="K238" s="730"/>
      <c r="L238" s="730"/>
      <c r="M238" s="730"/>
      <c r="N238" s="571"/>
      <c r="O238" s="571"/>
      <c r="P238" s="571"/>
      <c r="Q238" s="571"/>
      <c r="R238" s="571"/>
      <c r="S238" s="571"/>
      <c r="T238" s="571"/>
      <c r="U238" s="571"/>
      <c r="V238" s="571"/>
      <c r="W238" s="571"/>
      <c r="X238" s="571"/>
      <c r="Y238" s="571"/>
      <c r="Z238" s="571"/>
      <c r="AA238" s="571"/>
      <c r="AB238" s="571"/>
      <c r="AC238" s="571"/>
      <c r="AD238" s="571"/>
      <c r="AE238" s="571"/>
      <c r="AF238" s="571"/>
      <c r="AG238" s="690"/>
      <c r="AH238" s="691"/>
    </row>
    <row r="239">
      <c r="A239" s="568"/>
      <c r="B239" s="730"/>
      <c r="C239" s="730"/>
      <c r="D239" s="730"/>
      <c r="E239" s="730"/>
      <c r="F239" s="730"/>
      <c r="G239" s="730"/>
      <c r="H239" s="730"/>
      <c r="I239" s="730"/>
      <c r="J239" s="730"/>
      <c r="K239" s="730"/>
      <c r="L239" s="730"/>
      <c r="M239" s="730"/>
      <c r="N239" s="571"/>
      <c r="O239" s="571"/>
      <c r="P239" s="571"/>
      <c r="Q239" s="571"/>
      <c r="R239" s="571"/>
      <c r="S239" s="571"/>
      <c r="T239" s="571"/>
      <c r="U239" s="571"/>
      <c r="V239" s="571"/>
      <c r="W239" s="571"/>
      <c r="X239" s="571"/>
      <c r="Y239" s="571"/>
      <c r="Z239" s="571"/>
      <c r="AA239" s="571"/>
      <c r="AB239" s="571"/>
      <c r="AC239" s="571"/>
      <c r="AD239" s="571"/>
      <c r="AE239" s="571"/>
      <c r="AF239" s="571"/>
      <c r="AG239" s="690"/>
      <c r="AH239" s="691"/>
    </row>
    <row r="240">
      <c r="A240" s="568"/>
      <c r="B240" s="730"/>
      <c r="C240" s="730"/>
      <c r="D240" s="730"/>
      <c r="E240" s="730"/>
      <c r="F240" s="730"/>
      <c r="G240" s="730"/>
      <c r="H240" s="730"/>
      <c r="I240" s="730"/>
      <c r="J240" s="730"/>
      <c r="K240" s="730"/>
      <c r="L240" s="730"/>
      <c r="M240" s="730"/>
      <c r="N240" s="571"/>
      <c r="O240" s="571"/>
      <c r="P240" s="571"/>
      <c r="Q240" s="571"/>
      <c r="R240" s="571"/>
      <c r="S240" s="571"/>
      <c r="T240" s="571"/>
      <c r="U240" s="571"/>
      <c r="V240" s="571"/>
      <c r="W240" s="571"/>
      <c r="X240" s="571"/>
      <c r="Y240" s="571"/>
      <c r="Z240" s="571"/>
      <c r="AA240" s="571"/>
      <c r="AB240" s="571"/>
      <c r="AC240" s="571"/>
      <c r="AD240" s="571"/>
      <c r="AE240" s="571"/>
      <c r="AF240" s="571"/>
      <c r="AG240" s="690"/>
      <c r="AH240" s="691"/>
    </row>
    <row r="241">
      <c r="A241" s="568"/>
      <c r="B241" s="730"/>
      <c r="C241" s="730"/>
      <c r="D241" s="730"/>
      <c r="E241" s="730"/>
      <c r="F241" s="730"/>
      <c r="G241" s="730"/>
      <c r="H241" s="730"/>
      <c r="I241" s="730"/>
      <c r="J241" s="730"/>
      <c r="K241" s="730"/>
      <c r="L241" s="730"/>
      <c r="M241" s="730"/>
      <c r="N241" s="571"/>
      <c r="O241" s="571"/>
      <c r="P241" s="571"/>
      <c r="Q241" s="571"/>
      <c r="R241" s="571"/>
      <c r="S241" s="571"/>
      <c r="T241" s="571"/>
      <c r="U241" s="571"/>
      <c r="V241" s="571"/>
      <c r="W241" s="571"/>
      <c r="X241" s="571"/>
      <c r="Y241" s="571"/>
      <c r="Z241" s="571"/>
      <c r="AA241" s="571"/>
      <c r="AB241" s="571"/>
      <c r="AC241" s="571"/>
      <c r="AD241" s="571"/>
      <c r="AE241" s="571"/>
      <c r="AF241" s="571"/>
      <c r="AG241" s="690"/>
      <c r="AH241" s="691"/>
    </row>
    <row r="242">
      <c r="A242" s="568"/>
      <c r="B242" s="730"/>
      <c r="C242" s="730"/>
      <c r="D242" s="730"/>
      <c r="E242" s="730"/>
      <c r="F242" s="730"/>
      <c r="G242" s="730"/>
      <c r="H242" s="730"/>
      <c r="I242" s="730"/>
      <c r="J242" s="730"/>
      <c r="K242" s="730"/>
      <c r="L242" s="730"/>
      <c r="M242" s="730"/>
      <c r="N242" s="571"/>
      <c r="O242" s="571"/>
      <c r="P242" s="571"/>
      <c r="Q242" s="571"/>
      <c r="R242" s="571"/>
      <c r="S242" s="571"/>
      <c r="T242" s="571"/>
      <c r="U242" s="571"/>
      <c r="V242" s="571"/>
      <c r="W242" s="571"/>
      <c r="X242" s="571"/>
      <c r="Y242" s="571"/>
      <c r="Z242" s="571"/>
      <c r="AA242" s="571"/>
      <c r="AB242" s="571"/>
      <c r="AC242" s="571"/>
      <c r="AD242" s="571"/>
      <c r="AE242" s="571"/>
      <c r="AF242" s="571"/>
      <c r="AG242" s="690"/>
      <c r="AH242" s="691"/>
    </row>
    <row r="243">
      <c r="A243" s="568"/>
      <c r="B243" s="730"/>
      <c r="C243" s="730"/>
      <c r="D243" s="730"/>
      <c r="E243" s="730"/>
      <c r="F243" s="730"/>
      <c r="G243" s="730"/>
      <c r="H243" s="730"/>
      <c r="I243" s="730"/>
      <c r="J243" s="730"/>
      <c r="K243" s="730"/>
      <c r="L243" s="730"/>
      <c r="M243" s="730"/>
      <c r="N243" s="571"/>
      <c r="O243" s="571"/>
      <c r="P243" s="571"/>
      <c r="Q243" s="571"/>
      <c r="R243" s="571"/>
      <c r="S243" s="571"/>
      <c r="T243" s="571"/>
      <c r="U243" s="571"/>
      <c r="V243" s="571"/>
      <c r="W243" s="571"/>
      <c r="X243" s="571"/>
      <c r="Y243" s="571"/>
      <c r="Z243" s="571"/>
      <c r="AA243" s="571"/>
      <c r="AB243" s="571"/>
      <c r="AC243" s="571"/>
      <c r="AD243" s="571"/>
      <c r="AE243" s="571"/>
      <c r="AF243" s="571"/>
      <c r="AG243" s="690"/>
      <c r="AH243" s="691"/>
    </row>
    <row r="244">
      <c r="A244" s="568"/>
      <c r="B244" s="730"/>
      <c r="C244" s="730"/>
      <c r="D244" s="730"/>
      <c r="E244" s="730"/>
      <c r="F244" s="730"/>
      <c r="G244" s="730"/>
      <c r="H244" s="730"/>
      <c r="I244" s="730"/>
      <c r="J244" s="730"/>
      <c r="K244" s="730"/>
      <c r="L244" s="730"/>
      <c r="M244" s="730"/>
      <c r="N244" s="571"/>
      <c r="O244" s="571"/>
      <c r="P244" s="571"/>
      <c r="Q244" s="571"/>
      <c r="R244" s="571"/>
      <c r="S244" s="571"/>
      <c r="T244" s="571"/>
      <c r="U244" s="571"/>
      <c r="V244" s="571"/>
      <c r="W244" s="571"/>
      <c r="X244" s="571"/>
      <c r="Y244" s="571"/>
      <c r="Z244" s="571"/>
      <c r="AA244" s="571"/>
      <c r="AB244" s="571"/>
      <c r="AC244" s="571"/>
      <c r="AD244" s="571"/>
      <c r="AE244" s="571"/>
      <c r="AF244" s="571"/>
      <c r="AG244" s="690"/>
      <c r="AH244" s="691"/>
    </row>
    <row r="245">
      <c r="A245" s="568"/>
      <c r="B245" s="730"/>
      <c r="C245" s="730"/>
      <c r="D245" s="730"/>
      <c r="E245" s="730"/>
      <c r="F245" s="730"/>
      <c r="G245" s="730"/>
      <c r="H245" s="730"/>
      <c r="I245" s="730"/>
      <c r="J245" s="730"/>
      <c r="K245" s="730"/>
      <c r="L245" s="730"/>
      <c r="M245" s="730"/>
      <c r="N245" s="571"/>
      <c r="O245" s="571"/>
      <c r="P245" s="571"/>
      <c r="Q245" s="571"/>
      <c r="R245" s="571"/>
      <c r="S245" s="571"/>
      <c r="T245" s="571"/>
      <c r="U245" s="571"/>
      <c r="V245" s="571"/>
      <c r="W245" s="571"/>
      <c r="X245" s="571"/>
      <c r="Y245" s="571"/>
      <c r="Z245" s="571"/>
      <c r="AA245" s="571"/>
      <c r="AB245" s="571"/>
      <c r="AC245" s="571"/>
      <c r="AD245" s="571"/>
      <c r="AE245" s="571"/>
      <c r="AF245" s="571"/>
      <c r="AG245" s="690"/>
      <c r="AH245" s="691"/>
    </row>
    <row r="246">
      <c r="A246" s="568"/>
      <c r="B246" s="730"/>
      <c r="C246" s="730"/>
      <c r="D246" s="730"/>
      <c r="E246" s="730"/>
      <c r="F246" s="730"/>
      <c r="G246" s="730"/>
      <c r="H246" s="730"/>
      <c r="I246" s="730"/>
      <c r="J246" s="730"/>
      <c r="K246" s="730"/>
      <c r="L246" s="730"/>
      <c r="M246" s="730"/>
      <c r="N246" s="571"/>
      <c r="O246" s="571"/>
      <c r="P246" s="571"/>
      <c r="Q246" s="571"/>
      <c r="R246" s="571"/>
      <c r="S246" s="571"/>
      <c r="T246" s="571"/>
      <c r="U246" s="571"/>
      <c r="V246" s="571"/>
      <c r="W246" s="571"/>
      <c r="X246" s="571"/>
      <c r="Y246" s="571"/>
      <c r="Z246" s="571"/>
      <c r="AA246" s="571"/>
      <c r="AB246" s="571"/>
      <c r="AC246" s="571"/>
      <c r="AD246" s="571"/>
      <c r="AE246" s="571"/>
      <c r="AF246" s="571"/>
      <c r="AG246" s="690"/>
      <c r="AH246" s="691"/>
    </row>
    <row r="247">
      <c r="A247" s="568"/>
      <c r="B247" s="730"/>
      <c r="C247" s="730"/>
      <c r="D247" s="730"/>
      <c r="E247" s="730"/>
      <c r="F247" s="730"/>
      <c r="G247" s="730"/>
      <c r="H247" s="730"/>
      <c r="I247" s="730"/>
      <c r="J247" s="730"/>
      <c r="K247" s="730"/>
      <c r="L247" s="730"/>
      <c r="M247" s="730"/>
      <c r="N247" s="571"/>
      <c r="O247" s="571"/>
      <c r="P247" s="571"/>
      <c r="Q247" s="571"/>
      <c r="R247" s="571"/>
      <c r="S247" s="571"/>
      <c r="T247" s="571"/>
      <c r="U247" s="571"/>
      <c r="V247" s="571"/>
      <c r="W247" s="571"/>
      <c r="X247" s="571"/>
      <c r="Y247" s="571"/>
      <c r="Z247" s="571"/>
      <c r="AA247" s="571"/>
      <c r="AB247" s="571"/>
      <c r="AC247" s="571"/>
      <c r="AD247" s="571"/>
      <c r="AE247" s="571"/>
      <c r="AF247" s="571"/>
      <c r="AG247" s="690"/>
      <c r="AH247" s="691"/>
    </row>
    <row r="248">
      <c r="A248" s="568"/>
      <c r="B248" s="730"/>
      <c r="C248" s="730"/>
      <c r="D248" s="730"/>
      <c r="E248" s="730"/>
      <c r="F248" s="730"/>
      <c r="G248" s="730"/>
      <c r="H248" s="730"/>
      <c r="I248" s="730"/>
      <c r="J248" s="730"/>
      <c r="K248" s="730"/>
      <c r="L248" s="730"/>
      <c r="M248" s="730"/>
      <c r="N248" s="571"/>
      <c r="O248" s="571"/>
      <c r="P248" s="571"/>
      <c r="Q248" s="571"/>
      <c r="R248" s="571"/>
      <c r="S248" s="571"/>
      <c r="T248" s="571"/>
      <c r="U248" s="571"/>
      <c r="V248" s="571"/>
      <c r="W248" s="571"/>
      <c r="X248" s="571"/>
      <c r="Y248" s="571"/>
      <c r="Z248" s="571"/>
      <c r="AA248" s="571"/>
      <c r="AB248" s="571"/>
      <c r="AC248" s="571"/>
      <c r="AD248" s="571"/>
      <c r="AE248" s="571"/>
      <c r="AF248" s="571"/>
      <c r="AG248" s="690"/>
      <c r="AH248" s="691"/>
    </row>
    <row r="249">
      <c r="A249" s="568"/>
      <c r="B249" s="730"/>
      <c r="C249" s="730"/>
      <c r="D249" s="730"/>
      <c r="E249" s="730"/>
      <c r="F249" s="730"/>
      <c r="G249" s="730"/>
      <c r="H249" s="730"/>
      <c r="I249" s="730"/>
      <c r="J249" s="730"/>
      <c r="K249" s="730"/>
      <c r="L249" s="730"/>
      <c r="M249" s="730"/>
      <c r="N249" s="571"/>
      <c r="O249" s="571"/>
      <c r="P249" s="571"/>
      <c r="Q249" s="571"/>
      <c r="R249" s="571"/>
      <c r="S249" s="571"/>
      <c r="T249" s="571"/>
      <c r="U249" s="571"/>
      <c r="V249" s="571"/>
      <c r="W249" s="571"/>
      <c r="X249" s="571"/>
      <c r="Y249" s="571"/>
      <c r="Z249" s="571"/>
      <c r="AA249" s="571"/>
      <c r="AB249" s="571"/>
      <c r="AC249" s="571"/>
      <c r="AD249" s="571"/>
      <c r="AE249" s="571"/>
      <c r="AF249" s="571"/>
      <c r="AG249" s="690"/>
      <c r="AH249" s="691"/>
    </row>
    <row r="250">
      <c r="A250" s="568"/>
      <c r="B250" s="730"/>
      <c r="C250" s="730"/>
      <c r="D250" s="730"/>
      <c r="E250" s="730"/>
      <c r="F250" s="730"/>
      <c r="G250" s="730"/>
      <c r="H250" s="730"/>
      <c r="I250" s="730"/>
      <c r="J250" s="730"/>
      <c r="K250" s="730"/>
      <c r="L250" s="730"/>
      <c r="M250" s="730"/>
      <c r="N250" s="571"/>
      <c r="O250" s="571"/>
      <c r="P250" s="571"/>
      <c r="Q250" s="571"/>
      <c r="R250" s="571"/>
      <c r="S250" s="571"/>
      <c r="T250" s="571"/>
      <c r="U250" s="571"/>
      <c r="V250" s="571"/>
      <c r="W250" s="571"/>
      <c r="X250" s="571"/>
      <c r="Y250" s="571"/>
      <c r="Z250" s="571"/>
      <c r="AA250" s="571"/>
      <c r="AB250" s="571"/>
      <c r="AC250" s="571"/>
      <c r="AD250" s="571"/>
      <c r="AE250" s="571"/>
      <c r="AF250" s="571"/>
      <c r="AG250" s="690"/>
      <c r="AH250" s="691"/>
    </row>
    <row r="251">
      <c r="A251" s="568"/>
      <c r="B251" s="730"/>
      <c r="C251" s="730"/>
      <c r="D251" s="730"/>
      <c r="E251" s="730"/>
      <c r="F251" s="730"/>
      <c r="G251" s="730"/>
      <c r="H251" s="730"/>
      <c r="I251" s="730"/>
      <c r="J251" s="730"/>
      <c r="K251" s="730"/>
      <c r="L251" s="730"/>
      <c r="M251" s="730"/>
      <c r="N251" s="571"/>
      <c r="O251" s="571"/>
      <c r="P251" s="571"/>
      <c r="Q251" s="571"/>
      <c r="R251" s="571"/>
      <c r="S251" s="571"/>
      <c r="T251" s="571"/>
      <c r="U251" s="571"/>
      <c r="V251" s="571"/>
      <c r="W251" s="571"/>
      <c r="X251" s="571"/>
      <c r="Y251" s="571"/>
      <c r="Z251" s="571"/>
      <c r="AA251" s="571"/>
      <c r="AB251" s="571"/>
      <c r="AC251" s="571"/>
      <c r="AD251" s="571"/>
      <c r="AE251" s="571"/>
      <c r="AF251" s="571"/>
      <c r="AG251" s="690"/>
      <c r="AH251" s="691"/>
    </row>
    <row r="252">
      <c r="A252" s="568"/>
      <c r="B252" s="730"/>
      <c r="C252" s="730"/>
      <c r="D252" s="730"/>
      <c r="E252" s="730"/>
      <c r="F252" s="730"/>
      <c r="G252" s="730"/>
      <c r="H252" s="730"/>
      <c r="I252" s="730"/>
      <c r="J252" s="730"/>
      <c r="K252" s="730"/>
      <c r="L252" s="730"/>
      <c r="M252" s="730"/>
      <c r="N252" s="571"/>
      <c r="O252" s="571"/>
      <c r="P252" s="571"/>
      <c r="Q252" s="571"/>
      <c r="R252" s="571"/>
      <c r="S252" s="571"/>
      <c r="T252" s="571"/>
      <c r="U252" s="571"/>
      <c r="V252" s="571"/>
      <c r="W252" s="571"/>
      <c r="X252" s="571"/>
      <c r="Y252" s="571"/>
      <c r="Z252" s="571"/>
      <c r="AA252" s="571"/>
      <c r="AB252" s="571"/>
      <c r="AC252" s="571"/>
      <c r="AD252" s="571"/>
      <c r="AE252" s="571"/>
      <c r="AF252" s="571"/>
      <c r="AG252" s="690"/>
      <c r="AH252" s="691"/>
    </row>
    <row r="253">
      <c r="A253" s="568"/>
      <c r="B253" s="730"/>
      <c r="C253" s="730"/>
      <c r="D253" s="730"/>
      <c r="E253" s="730"/>
      <c r="F253" s="730"/>
      <c r="G253" s="730"/>
      <c r="H253" s="730"/>
      <c r="I253" s="730"/>
      <c r="J253" s="730"/>
      <c r="K253" s="730"/>
      <c r="L253" s="730"/>
      <c r="M253" s="730"/>
      <c r="N253" s="571"/>
      <c r="O253" s="571"/>
      <c r="P253" s="571"/>
      <c r="Q253" s="571"/>
      <c r="R253" s="571"/>
      <c r="S253" s="571"/>
      <c r="T253" s="571"/>
      <c r="U253" s="571"/>
      <c r="V253" s="571"/>
      <c r="W253" s="571"/>
      <c r="X253" s="571"/>
      <c r="Y253" s="571"/>
      <c r="Z253" s="571"/>
      <c r="AA253" s="571"/>
      <c r="AB253" s="571"/>
      <c r="AC253" s="571"/>
      <c r="AD253" s="571"/>
      <c r="AE253" s="571"/>
      <c r="AF253" s="571"/>
      <c r="AG253" s="690"/>
      <c r="AH253" s="691"/>
    </row>
    <row r="254">
      <c r="A254" s="568"/>
      <c r="B254" s="730"/>
      <c r="C254" s="730"/>
      <c r="D254" s="730"/>
      <c r="E254" s="730"/>
      <c r="F254" s="730"/>
      <c r="G254" s="730"/>
      <c r="H254" s="730"/>
      <c r="I254" s="730"/>
      <c r="J254" s="730"/>
      <c r="K254" s="730"/>
      <c r="L254" s="730"/>
      <c r="M254" s="730"/>
      <c r="N254" s="571"/>
      <c r="O254" s="571"/>
      <c r="P254" s="571"/>
      <c r="Q254" s="571"/>
      <c r="R254" s="571"/>
      <c r="S254" s="571"/>
      <c r="T254" s="571"/>
      <c r="U254" s="571"/>
      <c r="V254" s="571"/>
      <c r="W254" s="571"/>
      <c r="X254" s="571"/>
      <c r="Y254" s="571"/>
      <c r="Z254" s="571"/>
      <c r="AA254" s="571"/>
      <c r="AB254" s="571"/>
      <c r="AC254" s="571"/>
      <c r="AD254" s="571"/>
      <c r="AE254" s="571"/>
      <c r="AF254" s="571"/>
      <c r="AG254" s="690"/>
      <c r="AH254" s="691"/>
    </row>
    <row r="255">
      <c r="A255" s="568"/>
      <c r="B255" s="730"/>
      <c r="C255" s="730"/>
      <c r="D255" s="730"/>
      <c r="E255" s="730"/>
      <c r="F255" s="730"/>
      <c r="G255" s="730"/>
      <c r="H255" s="730"/>
      <c r="I255" s="730"/>
      <c r="J255" s="730"/>
      <c r="K255" s="730"/>
      <c r="L255" s="730"/>
      <c r="M255" s="730"/>
      <c r="N255" s="571"/>
      <c r="O255" s="571"/>
      <c r="P255" s="571"/>
      <c r="Q255" s="571"/>
      <c r="R255" s="571"/>
      <c r="S255" s="571"/>
      <c r="T255" s="571"/>
      <c r="U255" s="571"/>
      <c r="V255" s="571"/>
      <c r="W255" s="571"/>
      <c r="X255" s="571"/>
      <c r="Y255" s="571"/>
      <c r="Z255" s="571"/>
      <c r="AA255" s="571"/>
      <c r="AB255" s="571"/>
      <c r="AC255" s="571"/>
      <c r="AD255" s="571"/>
      <c r="AE255" s="571"/>
      <c r="AF255" s="571"/>
      <c r="AG255" s="690"/>
      <c r="AH255" s="691"/>
    </row>
    <row r="256">
      <c r="A256" s="568"/>
      <c r="B256" s="730"/>
      <c r="C256" s="730"/>
      <c r="D256" s="730"/>
      <c r="E256" s="730"/>
      <c r="F256" s="730"/>
      <c r="G256" s="730"/>
      <c r="H256" s="730"/>
      <c r="I256" s="730"/>
      <c r="J256" s="730"/>
      <c r="K256" s="730"/>
      <c r="L256" s="730"/>
      <c r="M256" s="730"/>
      <c r="N256" s="571"/>
      <c r="O256" s="571"/>
      <c r="P256" s="571"/>
      <c r="Q256" s="571"/>
      <c r="R256" s="571"/>
      <c r="S256" s="571"/>
      <c r="T256" s="571"/>
      <c r="U256" s="571"/>
      <c r="V256" s="571"/>
      <c r="W256" s="571"/>
      <c r="X256" s="571"/>
      <c r="Y256" s="571"/>
      <c r="Z256" s="571"/>
      <c r="AA256" s="571"/>
      <c r="AB256" s="571"/>
      <c r="AC256" s="571"/>
      <c r="AD256" s="571"/>
      <c r="AE256" s="571"/>
      <c r="AF256" s="571"/>
      <c r="AG256" s="690"/>
      <c r="AH256" s="691"/>
    </row>
    <row r="257">
      <c r="A257" s="568"/>
      <c r="B257" s="730"/>
      <c r="C257" s="730"/>
      <c r="D257" s="730"/>
      <c r="E257" s="730"/>
      <c r="F257" s="730"/>
      <c r="G257" s="730"/>
      <c r="H257" s="730"/>
      <c r="I257" s="730"/>
      <c r="J257" s="730"/>
      <c r="K257" s="730"/>
      <c r="L257" s="730"/>
      <c r="M257" s="730"/>
      <c r="N257" s="571"/>
      <c r="O257" s="571"/>
      <c r="P257" s="571"/>
      <c r="Q257" s="571"/>
      <c r="R257" s="571"/>
      <c r="S257" s="571"/>
      <c r="T257" s="571"/>
      <c r="U257" s="571"/>
      <c r="V257" s="571"/>
      <c r="W257" s="571"/>
      <c r="X257" s="571"/>
      <c r="Y257" s="571"/>
      <c r="Z257" s="571"/>
      <c r="AA257" s="571"/>
      <c r="AB257" s="571"/>
      <c r="AC257" s="571"/>
      <c r="AD257" s="571"/>
      <c r="AE257" s="571"/>
      <c r="AF257" s="571"/>
      <c r="AG257" s="690"/>
      <c r="AH257" s="691"/>
    </row>
    <row r="258">
      <c r="A258" s="568"/>
      <c r="B258" s="730"/>
      <c r="C258" s="730"/>
      <c r="D258" s="730"/>
      <c r="E258" s="730"/>
      <c r="F258" s="730"/>
      <c r="G258" s="730"/>
      <c r="H258" s="730"/>
      <c r="I258" s="730"/>
      <c r="J258" s="730"/>
      <c r="K258" s="730"/>
      <c r="L258" s="730"/>
      <c r="M258" s="730"/>
      <c r="N258" s="571"/>
      <c r="O258" s="571"/>
      <c r="P258" s="571"/>
      <c r="Q258" s="571"/>
      <c r="R258" s="571"/>
      <c r="S258" s="571"/>
      <c r="T258" s="571"/>
      <c r="U258" s="571"/>
      <c r="V258" s="571"/>
      <c r="W258" s="571"/>
      <c r="X258" s="571"/>
      <c r="Y258" s="571"/>
      <c r="Z258" s="571"/>
      <c r="AA258" s="571"/>
      <c r="AB258" s="571"/>
      <c r="AC258" s="571"/>
      <c r="AD258" s="571"/>
      <c r="AE258" s="571"/>
      <c r="AF258" s="571"/>
      <c r="AG258" s="690"/>
      <c r="AH258" s="691"/>
    </row>
    <row r="259">
      <c r="A259" s="568"/>
      <c r="B259" s="730"/>
      <c r="C259" s="730"/>
      <c r="D259" s="730"/>
      <c r="E259" s="730"/>
      <c r="F259" s="730"/>
      <c r="G259" s="730"/>
      <c r="H259" s="730"/>
      <c r="I259" s="730"/>
      <c r="J259" s="730"/>
      <c r="K259" s="730"/>
      <c r="L259" s="730"/>
      <c r="M259" s="730"/>
      <c r="N259" s="571"/>
      <c r="O259" s="571"/>
      <c r="P259" s="571"/>
      <c r="Q259" s="571"/>
      <c r="R259" s="571"/>
      <c r="S259" s="571"/>
      <c r="T259" s="571"/>
      <c r="U259" s="571"/>
      <c r="V259" s="571"/>
      <c r="W259" s="571"/>
      <c r="X259" s="571"/>
      <c r="Y259" s="571"/>
      <c r="Z259" s="571"/>
      <c r="AA259" s="571"/>
      <c r="AB259" s="571"/>
      <c r="AC259" s="571"/>
      <c r="AD259" s="571"/>
      <c r="AE259" s="571"/>
      <c r="AF259" s="571"/>
      <c r="AG259" s="690"/>
      <c r="AH259" s="691"/>
    </row>
    <row r="260">
      <c r="A260" s="568"/>
      <c r="B260" s="730"/>
      <c r="C260" s="730"/>
      <c r="D260" s="730"/>
      <c r="E260" s="730"/>
      <c r="F260" s="730"/>
      <c r="G260" s="730"/>
      <c r="H260" s="730"/>
      <c r="I260" s="730"/>
      <c r="J260" s="730"/>
      <c r="K260" s="730"/>
      <c r="L260" s="730"/>
      <c r="M260" s="730"/>
      <c r="N260" s="571"/>
      <c r="O260" s="571"/>
      <c r="P260" s="571"/>
      <c r="Q260" s="571"/>
      <c r="R260" s="571"/>
      <c r="S260" s="571"/>
      <c r="T260" s="571"/>
      <c r="U260" s="571"/>
      <c r="V260" s="571"/>
      <c r="W260" s="571"/>
      <c r="X260" s="571"/>
      <c r="Y260" s="571"/>
      <c r="Z260" s="571"/>
      <c r="AA260" s="571"/>
      <c r="AB260" s="571"/>
      <c r="AC260" s="571"/>
      <c r="AD260" s="571"/>
      <c r="AE260" s="571"/>
      <c r="AF260" s="571"/>
      <c r="AG260" s="690"/>
      <c r="AH260" s="691"/>
    </row>
    <row r="261">
      <c r="A261" s="568"/>
      <c r="B261" s="730"/>
      <c r="C261" s="730"/>
      <c r="D261" s="730"/>
      <c r="E261" s="730"/>
      <c r="F261" s="730"/>
      <c r="G261" s="730"/>
      <c r="H261" s="730"/>
      <c r="I261" s="730"/>
      <c r="J261" s="730"/>
      <c r="K261" s="730"/>
      <c r="L261" s="730"/>
      <c r="M261" s="730"/>
      <c r="N261" s="571"/>
      <c r="O261" s="571"/>
      <c r="P261" s="571"/>
      <c r="Q261" s="571"/>
      <c r="R261" s="571"/>
      <c r="S261" s="571"/>
      <c r="T261" s="571"/>
      <c r="U261" s="571"/>
      <c r="V261" s="571"/>
      <c r="W261" s="571"/>
      <c r="X261" s="571"/>
      <c r="Y261" s="571"/>
      <c r="Z261" s="571"/>
      <c r="AA261" s="571"/>
      <c r="AB261" s="571"/>
      <c r="AC261" s="571"/>
      <c r="AD261" s="571"/>
      <c r="AE261" s="571"/>
      <c r="AF261" s="571"/>
      <c r="AG261" s="690"/>
      <c r="AH261" s="691"/>
    </row>
    <row r="262">
      <c r="A262" s="568"/>
      <c r="B262" s="730"/>
      <c r="C262" s="730"/>
      <c r="D262" s="730"/>
      <c r="E262" s="730"/>
      <c r="F262" s="730"/>
      <c r="G262" s="730"/>
      <c r="H262" s="730"/>
      <c r="I262" s="730"/>
      <c r="J262" s="730"/>
      <c r="K262" s="730"/>
      <c r="L262" s="730"/>
      <c r="M262" s="730"/>
      <c r="N262" s="571"/>
      <c r="O262" s="571"/>
      <c r="P262" s="571"/>
      <c r="Q262" s="571"/>
      <c r="R262" s="571"/>
      <c r="S262" s="571"/>
      <c r="T262" s="571"/>
      <c r="U262" s="571"/>
      <c r="V262" s="571"/>
      <c r="W262" s="571"/>
      <c r="X262" s="571"/>
      <c r="Y262" s="571"/>
      <c r="Z262" s="571"/>
      <c r="AA262" s="571"/>
      <c r="AB262" s="571"/>
      <c r="AC262" s="571"/>
      <c r="AD262" s="571"/>
      <c r="AE262" s="571"/>
      <c r="AF262" s="571"/>
      <c r="AG262" s="690"/>
      <c r="AH262" s="691"/>
    </row>
    <row r="263">
      <c r="A263" s="568"/>
      <c r="B263" s="730"/>
      <c r="C263" s="730"/>
      <c r="D263" s="730"/>
      <c r="E263" s="730"/>
      <c r="F263" s="730"/>
      <c r="G263" s="730"/>
      <c r="H263" s="730"/>
      <c r="I263" s="730"/>
      <c r="J263" s="730"/>
      <c r="K263" s="730"/>
      <c r="L263" s="730"/>
      <c r="M263" s="730"/>
      <c r="N263" s="571"/>
      <c r="O263" s="571"/>
      <c r="P263" s="571"/>
      <c r="Q263" s="571"/>
      <c r="R263" s="571"/>
      <c r="S263" s="571"/>
      <c r="T263" s="571"/>
      <c r="U263" s="571"/>
      <c r="V263" s="571"/>
      <c r="W263" s="571"/>
      <c r="X263" s="571"/>
      <c r="Y263" s="571"/>
      <c r="Z263" s="571"/>
      <c r="AA263" s="571"/>
      <c r="AB263" s="571"/>
      <c r="AC263" s="571"/>
      <c r="AD263" s="571"/>
      <c r="AE263" s="571"/>
      <c r="AF263" s="571"/>
      <c r="AG263" s="690"/>
      <c r="AH263" s="691"/>
    </row>
    <row r="264">
      <c r="A264" s="568"/>
      <c r="B264" s="730"/>
      <c r="C264" s="730"/>
      <c r="D264" s="730"/>
      <c r="E264" s="730"/>
      <c r="F264" s="730"/>
      <c r="G264" s="730"/>
      <c r="H264" s="730"/>
      <c r="I264" s="730"/>
      <c r="J264" s="730"/>
      <c r="K264" s="730"/>
      <c r="L264" s="730"/>
      <c r="M264" s="730"/>
      <c r="N264" s="571"/>
      <c r="O264" s="571"/>
      <c r="P264" s="571"/>
      <c r="Q264" s="571"/>
      <c r="R264" s="571"/>
      <c r="S264" s="571"/>
      <c r="T264" s="571"/>
      <c r="U264" s="571"/>
      <c r="V264" s="571"/>
      <c r="W264" s="571"/>
      <c r="X264" s="571"/>
      <c r="Y264" s="571"/>
      <c r="Z264" s="571"/>
      <c r="AA264" s="571"/>
      <c r="AB264" s="571"/>
      <c r="AC264" s="571"/>
      <c r="AD264" s="571"/>
      <c r="AE264" s="571"/>
      <c r="AF264" s="571"/>
      <c r="AG264" s="690"/>
      <c r="AH264" s="691"/>
    </row>
    <row r="265">
      <c r="A265" s="568"/>
      <c r="B265" s="730"/>
      <c r="C265" s="730"/>
      <c r="D265" s="730"/>
      <c r="E265" s="730"/>
      <c r="F265" s="730"/>
      <c r="G265" s="730"/>
      <c r="H265" s="730"/>
      <c r="I265" s="730"/>
      <c r="J265" s="730"/>
      <c r="K265" s="730"/>
      <c r="L265" s="730"/>
      <c r="M265" s="730"/>
      <c r="N265" s="571"/>
      <c r="O265" s="571"/>
      <c r="P265" s="571"/>
      <c r="Q265" s="571"/>
      <c r="R265" s="571"/>
      <c r="S265" s="571"/>
      <c r="T265" s="571"/>
      <c r="U265" s="571"/>
      <c r="V265" s="571"/>
      <c r="W265" s="571"/>
      <c r="X265" s="571"/>
      <c r="Y265" s="571"/>
      <c r="Z265" s="571"/>
      <c r="AA265" s="571"/>
      <c r="AB265" s="571"/>
      <c r="AC265" s="571"/>
      <c r="AD265" s="571"/>
      <c r="AE265" s="571"/>
      <c r="AF265" s="571"/>
      <c r="AG265" s="690"/>
      <c r="AH265" s="691"/>
    </row>
    <row r="266">
      <c r="A266" s="568"/>
      <c r="B266" s="730"/>
      <c r="C266" s="730"/>
      <c r="D266" s="730"/>
      <c r="E266" s="730"/>
      <c r="F266" s="730"/>
      <c r="G266" s="730"/>
      <c r="H266" s="730"/>
      <c r="I266" s="730"/>
      <c r="J266" s="730"/>
      <c r="K266" s="730"/>
      <c r="L266" s="730"/>
      <c r="M266" s="730"/>
      <c r="N266" s="571"/>
      <c r="O266" s="571"/>
      <c r="P266" s="571"/>
      <c r="Q266" s="571"/>
      <c r="R266" s="571"/>
      <c r="S266" s="571"/>
      <c r="T266" s="571"/>
      <c r="U266" s="571"/>
      <c r="V266" s="571"/>
      <c r="W266" s="571"/>
      <c r="X266" s="571"/>
      <c r="Y266" s="571"/>
      <c r="Z266" s="571"/>
      <c r="AA266" s="571"/>
      <c r="AB266" s="571"/>
      <c r="AC266" s="571"/>
      <c r="AD266" s="571"/>
      <c r="AE266" s="571"/>
      <c r="AF266" s="571"/>
      <c r="AG266" s="690"/>
      <c r="AH266" s="691"/>
    </row>
    <row r="267">
      <c r="A267" s="568"/>
      <c r="B267" s="730"/>
      <c r="C267" s="730"/>
      <c r="D267" s="730"/>
      <c r="E267" s="730"/>
      <c r="F267" s="730"/>
      <c r="G267" s="730"/>
      <c r="H267" s="730"/>
      <c r="I267" s="730"/>
      <c r="J267" s="730"/>
      <c r="K267" s="730"/>
      <c r="L267" s="730"/>
      <c r="M267" s="730"/>
      <c r="N267" s="571"/>
      <c r="O267" s="571"/>
      <c r="P267" s="571"/>
      <c r="Q267" s="571"/>
      <c r="R267" s="571"/>
      <c r="S267" s="571"/>
      <c r="T267" s="571"/>
      <c r="U267" s="571"/>
      <c r="V267" s="571"/>
      <c r="W267" s="571"/>
      <c r="X267" s="571"/>
      <c r="Y267" s="571"/>
      <c r="Z267" s="571"/>
      <c r="AA267" s="571"/>
      <c r="AB267" s="571"/>
      <c r="AC267" s="571"/>
      <c r="AD267" s="571"/>
      <c r="AE267" s="571"/>
      <c r="AF267" s="571"/>
      <c r="AG267" s="690"/>
      <c r="AH267" s="691"/>
    </row>
    <row r="268">
      <c r="A268" s="568"/>
      <c r="B268" s="730"/>
      <c r="C268" s="730"/>
      <c r="D268" s="730"/>
      <c r="E268" s="730"/>
      <c r="F268" s="730"/>
      <c r="G268" s="730"/>
      <c r="H268" s="730"/>
      <c r="I268" s="730"/>
      <c r="J268" s="730"/>
      <c r="K268" s="730"/>
      <c r="L268" s="730"/>
      <c r="M268" s="730"/>
      <c r="N268" s="571"/>
      <c r="O268" s="571"/>
      <c r="P268" s="571"/>
      <c r="Q268" s="571"/>
      <c r="R268" s="571"/>
      <c r="S268" s="571"/>
      <c r="T268" s="571"/>
      <c r="U268" s="571"/>
      <c r="V268" s="571"/>
      <c r="W268" s="571"/>
      <c r="X268" s="571"/>
      <c r="Y268" s="571"/>
      <c r="Z268" s="571"/>
      <c r="AA268" s="571"/>
      <c r="AB268" s="571"/>
      <c r="AC268" s="571"/>
      <c r="AD268" s="571"/>
      <c r="AE268" s="571"/>
      <c r="AF268" s="571"/>
      <c r="AG268" s="690"/>
      <c r="AH268" s="691"/>
    </row>
    <row r="269">
      <c r="A269" s="568"/>
      <c r="B269" s="730"/>
      <c r="C269" s="730"/>
      <c r="D269" s="730"/>
      <c r="E269" s="730"/>
      <c r="F269" s="730"/>
      <c r="G269" s="730"/>
      <c r="H269" s="730"/>
      <c r="I269" s="730"/>
      <c r="J269" s="730"/>
      <c r="K269" s="730"/>
      <c r="L269" s="730"/>
      <c r="M269" s="730"/>
      <c r="N269" s="571"/>
      <c r="O269" s="571"/>
      <c r="P269" s="571"/>
      <c r="Q269" s="571"/>
      <c r="R269" s="571"/>
      <c r="S269" s="571"/>
      <c r="T269" s="571"/>
      <c r="U269" s="571"/>
      <c r="V269" s="571"/>
      <c r="W269" s="571"/>
      <c r="X269" s="571"/>
      <c r="Y269" s="571"/>
      <c r="Z269" s="571"/>
      <c r="AA269" s="571"/>
      <c r="AB269" s="571"/>
      <c r="AC269" s="571"/>
      <c r="AD269" s="571"/>
      <c r="AE269" s="571"/>
      <c r="AF269" s="571"/>
      <c r="AG269" s="690"/>
      <c r="AH269" s="691"/>
    </row>
    <row r="270">
      <c r="A270" s="568"/>
      <c r="B270" s="730"/>
      <c r="C270" s="730"/>
      <c r="D270" s="730"/>
      <c r="E270" s="730"/>
      <c r="F270" s="730"/>
      <c r="G270" s="730"/>
      <c r="H270" s="730"/>
      <c r="I270" s="730"/>
      <c r="J270" s="730"/>
      <c r="K270" s="730"/>
      <c r="L270" s="730"/>
      <c r="M270" s="730"/>
      <c r="N270" s="571"/>
      <c r="O270" s="571"/>
      <c r="P270" s="571"/>
      <c r="Q270" s="571"/>
      <c r="R270" s="571"/>
      <c r="S270" s="571"/>
      <c r="T270" s="571"/>
      <c r="U270" s="571"/>
      <c r="V270" s="571"/>
      <c r="W270" s="571"/>
      <c r="X270" s="571"/>
      <c r="Y270" s="571"/>
      <c r="Z270" s="571"/>
      <c r="AA270" s="571"/>
      <c r="AB270" s="571"/>
      <c r="AC270" s="571"/>
      <c r="AD270" s="571"/>
      <c r="AE270" s="571"/>
      <c r="AF270" s="571"/>
      <c r="AG270" s="690"/>
      <c r="AH270" s="691"/>
    </row>
    <row r="271">
      <c r="A271" s="568"/>
      <c r="B271" s="730"/>
      <c r="C271" s="730"/>
      <c r="D271" s="730"/>
      <c r="E271" s="730"/>
      <c r="F271" s="730"/>
      <c r="G271" s="730"/>
      <c r="H271" s="730"/>
      <c r="I271" s="730"/>
      <c r="J271" s="730"/>
      <c r="K271" s="730"/>
      <c r="L271" s="730"/>
      <c r="M271" s="730"/>
      <c r="N271" s="571"/>
      <c r="O271" s="571"/>
      <c r="P271" s="571"/>
      <c r="Q271" s="571"/>
      <c r="R271" s="571"/>
      <c r="S271" s="571"/>
      <c r="T271" s="571"/>
      <c r="U271" s="571"/>
      <c r="V271" s="571"/>
      <c r="W271" s="571"/>
      <c r="X271" s="571"/>
      <c r="Y271" s="571"/>
      <c r="Z271" s="571"/>
      <c r="AA271" s="571"/>
      <c r="AB271" s="571"/>
      <c r="AC271" s="571"/>
      <c r="AD271" s="571"/>
      <c r="AE271" s="571"/>
      <c r="AF271" s="571"/>
      <c r="AG271" s="690"/>
      <c r="AH271" s="691"/>
    </row>
    <row r="272">
      <c r="A272" s="568"/>
      <c r="B272" s="730"/>
      <c r="C272" s="730"/>
      <c r="D272" s="730"/>
      <c r="E272" s="730"/>
      <c r="F272" s="730"/>
      <c r="G272" s="730"/>
      <c r="H272" s="730"/>
      <c r="I272" s="730"/>
      <c r="J272" s="730"/>
      <c r="K272" s="730"/>
      <c r="L272" s="730"/>
      <c r="M272" s="730"/>
      <c r="N272" s="571"/>
      <c r="O272" s="571"/>
      <c r="P272" s="571"/>
      <c r="Q272" s="571"/>
      <c r="R272" s="571"/>
      <c r="S272" s="571"/>
      <c r="T272" s="571"/>
      <c r="U272" s="571"/>
      <c r="V272" s="571"/>
      <c r="W272" s="571"/>
      <c r="X272" s="571"/>
      <c r="Y272" s="571"/>
      <c r="Z272" s="571"/>
      <c r="AA272" s="571"/>
      <c r="AB272" s="571"/>
      <c r="AC272" s="571"/>
      <c r="AD272" s="571"/>
      <c r="AE272" s="571"/>
      <c r="AF272" s="571"/>
      <c r="AG272" s="690"/>
      <c r="AH272" s="691"/>
    </row>
    <row r="273">
      <c r="A273" s="568"/>
      <c r="B273" s="730"/>
      <c r="C273" s="730"/>
      <c r="D273" s="730"/>
      <c r="E273" s="730"/>
      <c r="F273" s="730"/>
      <c r="G273" s="730"/>
      <c r="H273" s="730"/>
      <c r="I273" s="730"/>
      <c r="J273" s="730"/>
      <c r="K273" s="730"/>
      <c r="L273" s="730"/>
      <c r="M273" s="730"/>
      <c r="N273" s="571"/>
      <c r="O273" s="571"/>
      <c r="P273" s="571"/>
      <c r="Q273" s="571"/>
      <c r="R273" s="571"/>
      <c r="S273" s="571"/>
      <c r="T273" s="571"/>
      <c r="U273" s="571"/>
      <c r="V273" s="571"/>
      <c r="W273" s="571"/>
      <c r="X273" s="571"/>
      <c r="Y273" s="571"/>
      <c r="Z273" s="571"/>
      <c r="AA273" s="571"/>
      <c r="AB273" s="571"/>
      <c r="AC273" s="571"/>
      <c r="AD273" s="571"/>
      <c r="AE273" s="571"/>
      <c r="AF273" s="571"/>
      <c r="AG273" s="690"/>
      <c r="AH273" s="691"/>
    </row>
    <row r="274">
      <c r="A274" s="568"/>
      <c r="B274" s="730"/>
      <c r="C274" s="730"/>
      <c r="D274" s="730"/>
      <c r="E274" s="730"/>
      <c r="F274" s="730"/>
      <c r="G274" s="730"/>
      <c r="H274" s="730"/>
      <c r="I274" s="730"/>
      <c r="J274" s="730"/>
      <c r="K274" s="730"/>
      <c r="L274" s="730"/>
      <c r="M274" s="730"/>
      <c r="N274" s="571"/>
      <c r="O274" s="571"/>
      <c r="P274" s="571"/>
      <c r="Q274" s="571"/>
      <c r="R274" s="571"/>
      <c r="S274" s="571"/>
      <c r="T274" s="571"/>
      <c r="U274" s="571"/>
      <c r="V274" s="571"/>
      <c r="W274" s="571"/>
      <c r="X274" s="571"/>
      <c r="Y274" s="571"/>
      <c r="Z274" s="571"/>
      <c r="AA274" s="571"/>
      <c r="AB274" s="571"/>
      <c r="AC274" s="571"/>
      <c r="AD274" s="571"/>
      <c r="AE274" s="571"/>
      <c r="AF274" s="571"/>
      <c r="AG274" s="690"/>
      <c r="AH274" s="691"/>
    </row>
    <row r="275">
      <c r="A275" s="568"/>
      <c r="B275" s="730"/>
      <c r="C275" s="730"/>
      <c r="D275" s="730"/>
      <c r="E275" s="730"/>
      <c r="F275" s="730"/>
      <c r="G275" s="730"/>
      <c r="H275" s="730"/>
      <c r="I275" s="730"/>
      <c r="J275" s="730"/>
      <c r="K275" s="730"/>
      <c r="L275" s="730"/>
      <c r="M275" s="730"/>
      <c r="N275" s="571"/>
      <c r="O275" s="571"/>
      <c r="P275" s="571"/>
      <c r="Q275" s="571"/>
      <c r="R275" s="571"/>
      <c r="S275" s="571"/>
      <c r="T275" s="571"/>
      <c r="U275" s="571"/>
      <c r="V275" s="571"/>
      <c r="W275" s="571"/>
      <c r="X275" s="571"/>
      <c r="Y275" s="571"/>
      <c r="Z275" s="571"/>
      <c r="AA275" s="571"/>
      <c r="AB275" s="571"/>
      <c r="AC275" s="571"/>
      <c r="AD275" s="571"/>
      <c r="AE275" s="571"/>
      <c r="AF275" s="571"/>
      <c r="AG275" s="690"/>
      <c r="AH275" s="691"/>
    </row>
    <row r="276">
      <c r="A276" s="568"/>
      <c r="B276" s="730"/>
      <c r="C276" s="730"/>
      <c r="D276" s="730"/>
      <c r="E276" s="730"/>
      <c r="F276" s="730"/>
      <c r="G276" s="730"/>
      <c r="H276" s="730"/>
      <c r="I276" s="730"/>
      <c r="J276" s="730"/>
      <c r="K276" s="730"/>
      <c r="L276" s="730"/>
      <c r="M276" s="730"/>
      <c r="N276" s="571"/>
      <c r="O276" s="571"/>
      <c r="P276" s="571"/>
      <c r="Q276" s="571"/>
      <c r="R276" s="571"/>
      <c r="S276" s="571"/>
      <c r="T276" s="571"/>
      <c r="U276" s="571"/>
      <c r="V276" s="571"/>
      <c r="W276" s="571"/>
      <c r="X276" s="571"/>
      <c r="Y276" s="571"/>
      <c r="Z276" s="571"/>
      <c r="AA276" s="571"/>
      <c r="AB276" s="571"/>
      <c r="AC276" s="571"/>
      <c r="AD276" s="571"/>
      <c r="AE276" s="571"/>
      <c r="AF276" s="571"/>
      <c r="AG276" s="690"/>
      <c r="AH276" s="691"/>
    </row>
    <row r="277">
      <c r="A277" s="568"/>
      <c r="B277" s="730"/>
      <c r="C277" s="730"/>
      <c r="D277" s="730"/>
      <c r="E277" s="730"/>
      <c r="F277" s="730"/>
      <c r="G277" s="730"/>
      <c r="H277" s="730"/>
      <c r="I277" s="730"/>
      <c r="J277" s="730"/>
      <c r="K277" s="730"/>
      <c r="L277" s="730"/>
      <c r="M277" s="730"/>
      <c r="N277" s="571"/>
      <c r="O277" s="571"/>
      <c r="P277" s="571"/>
      <c r="Q277" s="571"/>
      <c r="R277" s="571"/>
      <c r="S277" s="571"/>
      <c r="T277" s="571"/>
      <c r="U277" s="571"/>
      <c r="V277" s="571"/>
      <c r="W277" s="571"/>
      <c r="X277" s="571"/>
      <c r="Y277" s="571"/>
      <c r="Z277" s="571"/>
      <c r="AA277" s="571"/>
      <c r="AB277" s="571"/>
      <c r="AC277" s="571"/>
      <c r="AD277" s="571"/>
      <c r="AE277" s="571"/>
      <c r="AF277" s="571"/>
      <c r="AG277" s="690"/>
      <c r="AH277" s="691"/>
    </row>
    <row r="278">
      <c r="A278" s="568"/>
      <c r="B278" s="730"/>
      <c r="C278" s="730"/>
      <c r="D278" s="730"/>
      <c r="E278" s="730"/>
      <c r="F278" s="730"/>
      <c r="G278" s="730"/>
      <c r="H278" s="730"/>
      <c r="I278" s="730"/>
      <c r="J278" s="730"/>
      <c r="K278" s="730"/>
      <c r="L278" s="730"/>
      <c r="M278" s="730"/>
      <c r="N278" s="571"/>
      <c r="O278" s="571"/>
      <c r="P278" s="571"/>
      <c r="Q278" s="571"/>
      <c r="R278" s="571"/>
      <c r="S278" s="571"/>
      <c r="T278" s="571"/>
      <c r="U278" s="571"/>
      <c r="V278" s="571"/>
      <c r="W278" s="571"/>
      <c r="X278" s="571"/>
      <c r="Y278" s="571"/>
      <c r="Z278" s="571"/>
      <c r="AA278" s="571"/>
      <c r="AB278" s="571"/>
      <c r="AC278" s="571"/>
      <c r="AD278" s="571"/>
      <c r="AE278" s="571"/>
      <c r="AF278" s="571"/>
      <c r="AG278" s="690"/>
      <c r="AH278" s="691"/>
    </row>
    <row r="279">
      <c r="A279" s="568"/>
      <c r="B279" s="730"/>
      <c r="C279" s="730"/>
      <c r="D279" s="730"/>
      <c r="E279" s="730"/>
      <c r="F279" s="730"/>
      <c r="G279" s="730"/>
      <c r="H279" s="730"/>
      <c r="I279" s="730"/>
      <c r="J279" s="730"/>
      <c r="K279" s="730"/>
      <c r="L279" s="730"/>
      <c r="M279" s="730"/>
      <c r="N279" s="571"/>
      <c r="O279" s="571"/>
      <c r="P279" s="571"/>
      <c r="Q279" s="571"/>
      <c r="R279" s="571"/>
      <c r="S279" s="571"/>
      <c r="T279" s="571"/>
      <c r="U279" s="571"/>
      <c r="V279" s="571"/>
      <c r="W279" s="571"/>
      <c r="X279" s="571"/>
      <c r="Y279" s="571"/>
      <c r="Z279" s="571"/>
      <c r="AA279" s="571"/>
      <c r="AB279" s="571"/>
      <c r="AC279" s="571"/>
      <c r="AD279" s="571"/>
      <c r="AE279" s="571"/>
      <c r="AF279" s="571"/>
      <c r="AG279" s="690"/>
      <c r="AH279" s="691"/>
    </row>
    <row r="280">
      <c r="A280" s="568"/>
      <c r="B280" s="730"/>
      <c r="C280" s="730"/>
      <c r="D280" s="730"/>
      <c r="E280" s="730"/>
      <c r="F280" s="730"/>
      <c r="G280" s="730"/>
      <c r="H280" s="730"/>
      <c r="I280" s="730"/>
      <c r="J280" s="730"/>
      <c r="K280" s="730"/>
      <c r="L280" s="730"/>
      <c r="M280" s="730"/>
      <c r="N280" s="571"/>
      <c r="O280" s="571"/>
      <c r="P280" s="571"/>
      <c r="Q280" s="571"/>
      <c r="R280" s="571"/>
      <c r="S280" s="571"/>
      <c r="T280" s="571"/>
      <c r="U280" s="571"/>
      <c r="V280" s="571"/>
      <c r="W280" s="571"/>
      <c r="X280" s="571"/>
      <c r="Y280" s="571"/>
      <c r="Z280" s="571"/>
      <c r="AA280" s="571"/>
      <c r="AB280" s="571"/>
      <c r="AC280" s="571"/>
      <c r="AD280" s="571"/>
      <c r="AE280" s="571"/>
      <c r="AF280" s="571"/>
      <c r="AG280" s="690"/>
      <c r="AH280" s="691"/>
    </row>
    <row r="281">
      <c r="A281" s="568"/>
      <c r="B281" s="730"/>
      <c r="C281" s="730"/>
      <c r="D281" s="730"/>
      <c r="E281" s="730"/>
      <c r="F281" s="730"/>
      <c r="G281" s="730"/>
      <c r="H281" s="730"/>
      <c r="I281" s="730"/>
      <c r="J281" s="730"/>
      <c r="K281" s="730"/>
      <c r="L281" s="730"/>
      <c r="M281" s="730"/>
      <c r="N281" s="571"/>
      <c r="O281" s="571"/>
      <c r="P281" s="571"/>
      <c r="Q281" s="571"/>
      <c r="R281" s="571"/>
      <c r="S281" s="571"/>
      <c r="T281" s="571"/>
      <c r="U281" s="571"/>
      <c r="V281" s="571"/>
      <c r="W281" s="571"/>
      <c r="X281" s="571"/>
      <c r="Y281" s="571"/>
      <c r="Z281" s="571"/>
      <c r="AA281" s="571"/>
      <c r="AB281" s="571"/>
      <c r="AC281" s="571"/>
      <c r="AD281" s="571"/>
      <c r="AE281" s="571"/>
      <c r="AF281" s="571"/>
      <c r="AG281" s="690"/>
      <c r="AH281" s="691"/>
    </row>
    <row r="282">
      <c r="A282" s="568"/>
      <c r="B282" s="730"/>
      <c r="C282" s="730"/>
      <c r="D282" s="730"/>
      <c r="E282" s="730"/>
      <c r="F282" s="730"/>
      <c r="G282" s="730"/>
      <c r="H282" s="730"/>
      <c r="I282" s="730"/>
      <c r="J282" s="730"/>
      <c r="K282" s="730"/>
      <c r="L282" s="730"/>
      <c r="M282" s="730"/>
      <c r="N282" s="571"/>
      <c r="O282" s="571"/>
      <c r="P282" s="571"/>
      <c r="Q282" s="571"/>
      <c r="R282" s="571"/>
      <c r="S282" s="571"/>
      <c r="T282" s="571"/>
      <c r="U282" s="571"/>
      <c r="V282" s="571"/>
      <c r="W282" s="571"/>
      <c r="X282" s="571"/>
      <c r="Y282" s="571"/>
      <c r="Z282" s="571"/>
      <c r="AA282" s="571"/>
      <c r="AB282" s="571"/>
      <c r="AC282" s="571"/>
      <c r="AD282" s="571"/>
      <c r="AE282" s="571"/>
      <c r="AF282" s="571"/>
      <c r="AG282" s="690"/>
      <c r="AH282" s="691"/>
    </row>
    <row r="283">
      <c r="A283" s="568"/>
      <c r="B283" s="730"/>
      <c r="C283" s="730"/>
      <c r="D283" s="730"/>
      <c r="E283" s="730"/>
      <c r="F283" s="730"/>
      <c r="G283" s="730"/>
      <c r="H283" s="730"/>
      <c r="I283" s="730"/>
      <c r="J283" s="730"/>
      <c r="K283" s="730"/>
      <c r="L283" s="730"/>
      <c r="M283" s="730"/>
      <c r="N283" s="571"/>
      <c r="O283" s="571"/>
      <c r="P283" s="571"/>
      <c r="Q283" s="571"/>
      <c r="R283" s="571"/>
      <c r="S283" s="571"/>
      <c r="T283" s="571"/>
      <c r="U283" s="571"/>
      <c r="V283" s="571"/>
      <c r="W283" s="571"/>
      <c r="X283" s="571"/>
      <c r="Y283" s="571"/>
      <c r="Z283" s="571"/>
      <c r="AA283" s="571"/>
      <c r="AB283" s="571"/>
      <c r="AC283" s="571"/>
      <c r="AD283" s="571"/>
      <c r="AE283" s="571"/>
      <c r="AF283" s="571"/>
      <c r="AG283" s="690"/>
      <c r="AH283" s="691"/>
    </row>
    <row r="284">
      <c r="A284" s="568"/>
      <c r="B284" s="730"/>
      <c r="C284" s="730"/>
      <c r="D284" s="730"/>
      <c r="E284" s="730"/>
      <c r="F284" s="730"/>
      <c r="G284" s="730"/>
      <c r="H284" s="730"/>
      <c r="I284" s="730"/>
      <c r="J284" s="730"/>
      <c r="K284" s="730"/>
      <c r="L284" s="730"/>
      <c r="M284" s="730"/>
      <c r="N284" s="571"/>
      <c r="O284" s="571"/>
      <c r="P284" s="571"/>
      <c r="Q284" s="571"/>
      <c r="R284" s="571"/>
      <c r="S284" s="571"/>
      <c r="T284" s="571"/>
      <c r="U284" s="571"/>
      <c r="V284" s="571"/>
      <c r="W284" s="571"/>
      <c r="X284" s="571"/>
      <c r="Y284" s="571"/>
      <c r="Z284" s="571"/>
      <c r="AA284" s="571"/>
      <c r="AB284" s="571"/>
      <c r="AC284" s="571"/>
      <c r="AD284" s="571"/>
      <c r="AE284" s="571"/>
      <c r="AF284" s="571"/>
      <c r="AG284" s="690"/>
      <c r="AH284" s="691"/>
    </row>
    <row r="285">
      <c r="A285" s="568"/>
      <c r="B285" s="730"/>
      <c r="C285" s="730"/>
      <c r="D285" s="730"/>
      <c r="E285" s="730"/>
      <c r="F285" s="730"/>
      <c r="G285" s="730"/>
      <c r="H285" s="730"/>
      <c r="I285" s="730"/>
      <c r="J285" s="730"/>
      <c r="K285" s="730"/>
      <c r="L285" s="730"/>
      <c r="M285" s="730"/>
      <c r="N285" s="571"/>
      <c r="O285" s="571"/>
      <c r="P285" s="571"/>
      <c r="Q285" s="571"/>
      <c r="R285" s="571"/>
      <c r="S285" s="571"/>
      <c r="T285" s="571"/>
      <c r="U285" s="571"/>
      <c r="V285" s="571"/>
      <c r="W285" s="571"/>
      <c r="X285" s="571"/>
      <c r="Y285" s="571"/>
      <c r="Z285" s="571"/>
      <c r="AA285" s="571"/>
      <c r="AB285" s="571"/>
      <c r="AC285" s="571"/>
      <c r="AD285" s="571"/>
      <c r="AE285" s="571"/>
      <c r="AF285" s="571"/>
      <c r="AG285" s="690"/>
      <c r="AH285" s="691"/>
    </row>
    <row r="286">
      <c r="A286" s="568"/>
      <c r="B286" s="730"/>
      <c r="C286" s="730"/>
      <c r="D286" s="730"/>
      <c r="E286" s="730"/>
      <c r="F286" s="730"/>
      <c r="G286" s="730"/>
      <c r="H286" s="730"/>
      <c r="I286" s="730"/>
      <c r="J286" s="730"/>
      <c r="K286" s="730"/>
      <c r="L286" s="730"/>
      <c r="M286" s="730"/>
      <c r="N286" s="571"/>
      <c r="O286" s="571"/>
      <c r="P286" s="571"/>
      <c r="Q286" s="571"/>
      <c r="R286" s="571"/>
      <c r="S286" s="571"/>
      <c r="T286" s="571"/>
      <c r="U286" s="571"/>
      <c r="V286" s="571"/>
      <c r="W286" s="571"/>
      <c r="X286" s="571"/>
      <c r="Y286" s="571"/>
      <c r="Z286" s="571"/>
      <c r="AA286" s="571"/>
      <c r="AB286" s="571"/>
      <c r="AC286" s="571"/>
      <c r="AD286" s="571"/>
      <c r="AE286" s="571"/>
      <c r="AF286" s="571"/>
      <c r="AG286" s="690"/>
      <c r="AH286" s="691"/>
    </row>
    <row r="287">
      <c r="A287" s="568"/>
      <c r="B287" s="730"/>
      <c r="C287" s="730"/>
      <c r="D287" s="730"/>
      <c r="E287" s="730"/>
      <c r="F287" s="730"/>
      <c r="G287" s="730"/>
      <c r="H287" s="730"/>
      <c r="I287" s="730"/>
      <c r="J287" s="730"/>
      <c r="K287" s="730"/>
      <c r="L287" s="730"/>
      <c r="M287" s="730"/>
      <c r="N287" s="571"/>
      <c r="O287" s="571"/>
      <c r="P287" s="571"/>
      <c r="Q287" s="571"/>
      <c r="R287" s="571"/>
      <c r="S287" s="571"/>
      <c r="T287" s="571"/>
      <c r="U287" s="571"/>
      <c r="V287" s="571"/>
      <c r="W287" s="571"/>
      <c r="X287" s="571"/>
      <c r="Y287" s="571"/>
      <c r="Z287" s="571"/>
      <c r="AA287" s="571"/>
      <c r="AB287" s="571"/>
      <c r="AC287" s="571"/>
      <c r="AD287" s="571"/>
      <c r="AE287" s="571"/>
      <c r="AF287" s="571"/>
      <c r="AG287" s="690"/>
      <c r="AH287" s="691"/>
    </row>
    <row r="288">
      <c r="A288" s="568"/>
      <c r="B288" s="730"/>
      <c r="C288" s="730"/>
      <c r="D288" s="730"/>
      <c r="E288" s="730"/>
      <c r="F288" s="730"/>
      <c r="G288" s="730"/>
      <c r="H288" s="730"/>
      <c r="I288" s="730"/>
      <c r="J288" s="730"/>
      <c r="K288" s="730"/>
      <c r="L288" s="730"/>
      <c r="M288" s="730"/>
      <c r="N288" s="571"/>
      <c r="O288" s="571"/>
      <c r="P288" s="571"/>
      <c r="Q288" s="571"/>
      <c r="R288" s="571"/>
      <c r="S288" s="571"/>
      <c r="T288" s="571"/>
      <c r="U288" s="571"/>
      <c r="V288" s="571"/>
      <c r="W288" s="571"/>
      <c r="X288" s="571"/>
      <c r="Y288" s="571"/>
      <c r="Z288" s="571"/>
      <c r="AA288" s="571"/>
      <c r="AB288" s="571"/>
      <c r="AC288" s="571"/>
      <c r="AD288" s="571"/>
      <c r="AE288" s="571"/>
      <c r="AF288" s="571"/>
      <c r="AG288" s="690"/>
      <c r="AH288" s="691"/>
    </row>
    <row r="289">
      <c r="A289" s="568"/>
      <c r="B289" s="730"/>
      <c r="C289" s="730"/>
      <c r="D289" s="730"/>
      <c r="E289" s="730"/>
      <c r="F289" s="730"/>
      <c r="G289" s="730"/>
      <c r="H289" s="730"/>
      <c r="I289" s="730"/>
      <c r="J289" s="730"/>
      <c r="K289" s="730"/>
      <c r="L289" s="730"/>
      <c r="M289" s="730"/>
      <c r="N289" s="571"/>
      <c r="O289" s="571"/>
      <c r="P289" s="571"/>
      <c r="Q289" s="571"/>
      <c r="R289" s="571"/>
      <c r="S289" s="571"/>
      <c r="T289" s="571"/>
      <c r="U289" s="571"/>
      <c r="V289" s="571"/>
      <c r="W289" s="571"/>
      <c r="X289" s="571"/>
      <c r="Y289" s="571"/>
      <c r="Z289" s="571"/>
      <c r="AA289" s="571"/>
      <c r="AB289" s="571"/>
      <c r="AC289" s="571"/>
      <c r="AD289" s="571"/>
      <c r="AE289" s="571"/>
      <c r="AF289" s="571"/>
      <c r="AG289" s="690"/>
      <c r="AH289" s="691"/>
    </row>
    <row r="290">
      <c r="A290" s="568"/>
      <c r="B290" s="730"/>
      <c r="C290" s="730"/>
      <c r="D290" s="730"/>
      <c r="E290" s="730"/>
      <c r="F290" s="730"/>
      <c r="G290" s="730"/>
      <c r="H290" s="730"/>
      <c r="I290" s="730"/>
      <c r="J290" s="730"/>
      <c r="K290" s="730"/>
      <c r="L290" s="730"/>
      <c r="M290" s="730"/>
      <c r="N290" s="571"/>
      <c r="O290" s="571"/>
      <c r="P290" s="571"/>
      <c r="Q290" s="571"/>
      <c r="R290" s="571"/>
      <c r="S290" s="571"/>
      <c r="T290" s="571"/>
      <c r="U290" s="571"/>
      <c r="V290" s="571"/>
      <c r="W290" s="571"/>
      <c r="X290" s="571"/>
      <c r="Y290" s="571"/>
      <c r="Z290" s="571"/>
      <c r="AA290" s="571"/>
      <c r="AB290" s="571"/>
      <c r="AC290" s="571"/>
      <c r="AD290" s="571"/>
      <c r="AE290" s="571"/>
      <c r="AF290" s="571"/>
      <c r="AG290" s="690"/>
      <c r="AH290" s="691"/>
    </row>
    <row r="291">
      <c r="A291" s="568"/>
      <c r="B291" s="730"/>
      <c r="C291" s="730"/>
      <c r="D291" s="730"/>
      <c r="E291" s="730"/>
      <c r="F291" s="730"/>
      <c r="G291" s="730"/>
      <c r="H291" s="730"/>
      <c r="I291" s="730"/>
      <c r="J291" s="730"/>
      <c r="K291" s="730"/>
      <c r="L291" s="730"/>
      <c r="M291" s="730"/>
      <c r="N291" s="571"/>
      <c r="O291" s="571"/>
      <c r="P291" s="571"/>
      <c r="Q291" s="571"/>
      <c r="R291" s="571"/>
      <c r="S291" s="571"/>
      <c r="T291" s="571"/>
      <c r="U291" s="571"/>
      <c r="V291" s="571"/>
      <c r="W291" s="571"/>
      <c r="X291" s="571"/>
      <c r="Y291" s="571"/>
      <c r="Z291" s="571"/>
      <c r="AA291" s="571"/>
      <c r="AB291" s="571"/>
      <c r="AC291" s="571"/>
      <c r="AD291" s="571"/>
      <c r="AE291" s="571"/>
      <c r="AF291" s="571"/>
      <c r="AG291" s="690"/>
      <c r="AH291" s="691"/>
    </row>
    <row r="292">
      <c r="A292" s="568"/>
      <c r="B292" s="730"/>
      <c r="C292" s="730"/>
      <c r="D292" s="730"/>
      <c r="E292" s="730"/>
      <c r="F292" s="730"/>
      <c r="G292" s="730"/>
      <c r="H292" s="730"/>
      <c r="I292" s="730"/>
      <c r="J292" s="730"/>
      <c r="K292" s="730"/>
      <c r="L292" s="730"/>
      <c r="M292" s="730"/>
      <c r="N292" s="571"/>
      <c r="O292" s="571"/>
      <c r="P292" s="571"/>
      <c r="Q292" s="571"/>
      <c r="R292" s="571"/>
      <c r="S292" s="571"/>
      <c r="T292" s="571"/>
      <c r="U292" s="571"/>
      <c r="V292" s="571"/>
      <c r="W292" s="571"/>
      <c r="X292" s="571"/>
      <c r="Y292" s="571"/>
      <c r="Z292" s="571"/>
      <c r="AA292" s="571"/>
      <c r="AB292" s="571"/>
      <c r="AC292" s="571"/>
      <c r="AD292" s="571"/>
      <c r="AE292" s="571"/>
      <c r="AF292" s="571"/>
      <c r="AG292" s="690"/>
      <c r="AH292" s="691"/>
    </row>
    <row r="293">
      <c r="A293" s="568"/>
      <c r="B293" s="730"/>
      <c r="C293" s="730"/>
      <c r="D293" s="730"/>
      <c r="E293" s="730"/>
      <c r="F293" s="730"/>
      <c r="G293" s="730"/>
      <c r="H293" s="730"/>
      <c r="I293" s="730"/>
      <c r="J293" s="730"/>
      <c r="K293" s="730"/>
      <c r="L293" s="730"/>
      <c r="M293" s="730"/>
      <c r="N293" s="571"/>
      <c r="O293" s="571"/>
      <c r="P293" s="571"/>
      <c r="Q293" s="571"/>
      <c r="R293" s="571"/>
      <c r="S293" s="571"/>
      <c r="T293" s="571"/>
      <c r="U293" s="571"/>
      <c r="V293" s="571"/>
      <c r="W293" s="571"/>
      <c r="X293" s="571"/>
      <c r="Y293" s="571"/>
      <c r="Z293" s="571"/>
      <c r="AA293" s="571"/>
      <c r="AB293" s="571"/>
      <c r="AC293" s="571"/>
      <c r="AD293" s="571"/>
      <c r="AE293" s="571"/>
      <c r="AF293" s="571"/>
      <c r="AG293" s="690"/>
      <c r="AH293" s="691"/>
    </row>
    <row r="294">
      <c r="A294" s="568"/>
      <c r="B294" s="730"/>
      <c r="C294" s="730"/>
      <c r="D294" s="730"/>
      <c r="E294" s="730"/>
      <c r="F294" s="730"/>
      <c r="G294" s="730"/>
      <c r="H294" s="730"/>
      <c r="I294" s="730"/>
      <c r="J294" s="730"/>
      <c r="K294" s="730"/>
      <c r="L294" s="730"/>
      <c r="M294" s="730"/>
      <c r="N294" s="571"/>
      <c r="O294" s="571"/>
      <c r="P294" s="571"/>
      <c r="Q294" s="571"/>
      <c r="R294" s="571"/>
      <c r="S294" s="571"/>
      <c r="T294" s="571"/>
      <c r="U294" s="571"/>
      <c r="V294" s="571"/>
      <c r="W294" s="571"/>
      <c r="X294" s="571"/>
      <c r="Y294" s="571"/>
      <c r="Z294" s="571"/>
      <c r="AA294" s="571"/>
      <c r="AB294" s="571"/>
      <c r="AC294" s="571"/>
      <c r="AD294" s="571"/>
      <c r="AE294" s="571"/>
      <c r="AF294" s="571"/>
      <c r="AG294" s="690"/>
      <c r="AH294" s="691"/>
    </row>
    <row r="295">
      <c r="A295" s="568"/>
      <c r="B295" s="730"/>
      <c r="C295" s="730"/>
      <c r="D295" s="730"/>
      <c r="E295" s="730"/>
      <c r="F295" s="730"/>
      <c r="G295" s="730"/>
      <c r="H295" s="730"/>
      <c r="I295" s="730"/>
      <c r="J295" s="730"/>
      <c r="K295" s="730"/>
      <c r="L295" s="730"/>
      <c r="M295" s="730"/>
      <c r="N295" s="571"/>
      <c r="O295" s="571"/>
      <c r="P295" s="571"/>
      <c r="Q295" s="571"/>
      <c r="R295" s="571"/>
      <c r="S295" s="571"/>
      <c r="T295" s="571"/>
      <c r="U295" s="571"/>
      <c r="V295" s="571"/>
      <c r="W295" s="571"/>
      <c r="X295" s="571"/>
      <c r="Y295" s="571"/>
      <c r="Z295" s="571"/>
      <c r="AA295" s="571"/>
      <c r="AB295" s="571"/>
      <c r="AC295" s="571"/>
      <c r="AD295" s="571"/>
      <c r="AE295" s="571"/>
      <c r="AF295" s="571"/>
      <c r="AG295" s="690"/>
      <c r="AH295" s="691"/>
    </row>
    <row r="296">
      <c r="A296" s="568"/>
      <c r="B296" s="730"/>
      <c r="C296" s="730"/>
      <c r="D296" s="730"/>
      <c r="E296" s="730"/>
      <c r="F296" s="730"/>
      <c r="G296" s="730"/>
      <c r="H296" s="730"/>
      <c r="I296" s="730"/>
      <c r="J296" s="730"/>
      <c r="K296" s="730"/>
      <c r="L296" s="730"/>
      <c r="M296" s="730"/>
      <c r="N296" s="571"/>
      <c r="O296" s="571"/>
      <c r="P296" s="571"/>
      <c r="Q296" s="571"/>
      <c r="R296" s="571"/>
      <c r="S296" s="571"/>
      <c r="T296" s="571"/>
      <c r="U296" s="571"/>
      <c r="V296" s="571"/>
      <c r="W296" s="571"/>
      <c r="X296" s="571"/>
      <c r="Y296" s="571"/>
      <c r="Z296" s="571"/>
      <c r="AA296" s="571"/>
      <c r="AB296" s="571"/>
      <c r="AC296" s="571"/>
      <c r="AD296" s="571"/>
      <c r="AE296" s="571"/>
      <c r="AF296" s="571"/>
      <c r="AG296" s="690"/>
      <c r="AH296" s="691"/>
    </row>
    <row r="297">
      <c r="A297" s="568"/>
      <c r="B297" s="730"/>
      <c r="C297" s="730"/>
      <c r="D297" s="730"/>
      <c r="E297" s="730"/>
      <c r="F297" s="730"/>
      <c r="G297" s="730"/>
      <c r="H297" s="730"/>
      <c r="I297" s="730"/>
      <c r="J297" s="730"/>
      <c r="K297" s="730"/>
      <c r="L297" s="730"/>
      <c r="M297" s="730"/>
      <c r="N297" s="571"/>
      <c r="O297" s="571"/>
      <c r="P297" s="571"/>
      <c r="Q297" s="571"/>
      <c r="R297" s="571"/>
      <c r="S297" s="571"/>
      <c r="T297" s="571"/>
      <c r="U297" s="571"/>
      <c r="V297" s="571"/>
      <c r="W297" s="571"/>
      <c r="X297" s="571"/>
      <c r="Y297" s="571"/>
      <c r="Z297" s="571"/>
      <c r="AA297" s="571"/>
      <c r="AB297" s="571"/>
      <c r="AC297" s="571"/>
      <c r="AD297" s="571"/>
      <c r="AE297" s="571"/>
      <c r="AF297" s="571"/>
      <c r="AG297" s="690"/>
      <c r="AH297" s="691"/>
    </row>
    <row r="298">
      <c r="A298" s="568"/>
      <c r="B298" s="730"/>
      <c r="C298" s="730"/>
      <c r="D298" s="730"/>
      <c r="E298" s="730"/>
      <c r="F298" s="730"/>
      <c r="G298" s="730"/>
      <c r="H298" s="730"/>
      <c r="I298" s="730"/>
      <c r="J298" s="730"/>
      <c r="K298" s="730"/>
      <c r="L298" s="730"/>
      <c r="M298" s="730"/>
      <c r="N298" s="571"/>
      <c r="O298" s="571"/>
      <c r="P298" s="571"/>
      <c r="Q298" s="571"/>
      <c r="R298" s="571"/>
      <c r="S298" s="571"/>
      <c r="T298" s="571"/>
      <c r="U298" s="571"/>
      <c r="V298" s="571"/>
      <c r="W298" s="571"/>
      <c r="X298" s="571"/>
      <c r="Y298" s="571"/>
      <c r="Z298" s="571"/>
      <c r="AA298" s="571"/>
      <c r="AB298" s="571"/>
      <c r="AC298" s="571"/>
      <c r="AD298" s="571"/>
      <c r="AE298" s="571"/>
      <c r="AF298" s="571"/>
      <c r="AG298" s="690"/>
      <c r="AH298" s="691"/>
    </row>
    <row r="299">
      <c r="A299" s="568"/>
      <c r="B299" s="730"/>
      <c r="C299" s="730"/>
      <c r="D299" s="730"/>
      <c r="E299" s="730"/>
      <c r="F299" s="730"/>
      <c r="G299" s="730"/>
      <c r="H299" s="730"/>
      <c r="I299" s="730"/>
      <c r="J299" s="730"/>
      <c r="K299" s="730"/>
      <c r="L299" s="730"/>
      <c r="M299" s="730"/>
      <c r="N299" s="571"/>
      <c r="O299" s="571"/>
      <c r="P299" s="571"/>
      <c r="Q299" s="571"/>
      <c r="R299" s="571"/>
      <c r="S299" s="571"/>
      <c r="T299" s="571"/>
      <c r="U299" s="571"/>
      <c r="V299" s="571"/>
      <c r="W299" s="571"/>
      <c r="X299" s="571"/>
      <c r="Y299" s="571"/>
      <c r="Z299" s="571"/>
      <c r="AA299" s="571"/>
      <c r="AB299" s="571"/>
      <c r="AC299" s="571"/>
      <c r="AD299" s="571"/>
      <c r="AE299" s="571"/>
      <c r="AF299" s="571"/>
      <c r="AG299" s="690"/>
      <c r="AH299" s="691"/>
    </row>
    <row r="300">
      <c r="A300" s="568"/>
      <c r="B300" s="730"/>
      <c r="C300" s="730"/>
      <c r="D300" s="730"/>
      <c r="E300" s="730"/>
      <c r="F300" s="730"/>
      <c r="G300" s="730"/>
      <c r="H300" s="730"/>
      <c r="I300" s="730"/>
      <c r="J300" s="730"/>
      <c r="K300" s="730"/>
      <c r="L300" s="730"/>
      <c r="M300" s="730"/>
      <c r="N300" s="571"/>
      <c r="O300" s="571"/>
      <c r="P300" s="571"/>
      <c r="Q300" s="571"/>
      <c r="R300" s="571"/>
      <c r="S300" s="571"/>
      <c r="T300" s="571"/>
      <c r="U300" s="571"/>
      <c r="V300" s="571"/>
      <c r="W300" s="571"/>
      <c r="X300" s="571"/>
      <c r="Y300" s="571"/>
      <c r="Z300" s="571"/>
      <c r="AA300" s="571"/>
      <c r="AB300" s="571"/>
      <c r="AC300" s="571"/>
      <c r="AD300" s="571"/>
      <c r="AE300" s="571"/>
      <c r="AF300" s="571"/>
      <c r="AG300" s="690"/>
      <c r="AH300" s="691"/>
    </row>
    <row r="301">
      <c r="A301" s="568"/>
      <c r="B301" s="730"/>
      <c r="C301" s="730"/>
      <c r="D301" s="730"/>
      <c r="E301" s="730"/>
      <c r="F301" s="730"/>
      <c r="G301" s="730"/>
      <c r="H301" s="730"/>
      <c r="I301" s="730"/>
      <c r="J301" s="730"/>
      <c r="K301" s="730"/>
      <c r="L301" s="730"/>
      <c r="M301" s="730"/>
      <c r="N301" s="571"/>
      <c r="O301" s="571"/>
      <c r="P301" s="571"/>
      <c r="Q301" s="571"/>
      <c r="R301" s="571"/>
      <c r="S301" s="571"/>
      <c r="T301" s="571"/>
      <c r="U301" s="571"/>
      <c r="V301" s="571"/>
      <c r="W301" s="571"/>
      <c r="X301" s="571"/>
      <c r="Y301" s="571"/>
      <c r="Z301" s="571"/>
      <c r="AA301" s="571"/>
      <c r="AB301" s="571"/>
      <c r="AC301" s="571"/>
      <c r="AD301" s="571"/>
      <c r="AE301" s="571"/>
      <c r="AF301" s="571"/>
      <c r="AG301" s="690"/>
      <c r="AH301" s="691"/>
    </row>
    <row r="302">
      <c r="A302" s="568"/>
      <c r="B302" s="730"/>
      <c r="C302" s="730"/>
      <c r="D302" s="730"/>
      <c r="E302" s="730"/>
      <c r="F302" s="730"/>
      <c r="G302" s="730"/>
      <c r="H302" s="730"/>
      <c r="I302" s="730"/>
      <c r="J302" s="730"/>
      <c r="K302" s="730"/>
      <c r="L302" s="730"/>
      <c r="M302" s="730"/>
      <c r="N302" s="571"/>
      <c r="O302" s="571"/>
      <c r="P302" s="571"/>
      <c r="Q302" s="571"/>
      <c r="R302" s="571"/>
      <c r="S302" s="571"/>
      <c r="T302" s="571"/>
      <c r="U302" s="571"/>
      <c r="V302" s="571"/>
      <c r="W302" s="571"/>
      <c r="X302" s="571"/>
      <c r="Y302" s="571"/>
      <c r="Z302" s="571"/>
      <c r="AA302" s="571"/>
      <c r="AB302" s="571"/>
      <c r="AC302" s="571"/>
      <c r="AD302" s="571"/>
      <c r="AE302" s="571"/>
      <c r="AF302" s="571"/>
      <c r="AG302" s="690"/>
      <c r="AH302" s="691"/>
    </row>
    <row r="303">
      <c r="A303" s="568"/>
      <c r="B303" s="730"/>
      <c r="C303" s="730"/>
      <c r="D303" s="730"/>
      <c r="E303" s="730"/>
      <c r="F303" s="730"/>
      <c r="G303" s="730"/>
      <c r="H303" s="730"/>
      <c r="I303" s="730"/>
      <c r="J303" s="730"/>
      <c r="K303" s="730"/>
      <c r="L303" s="730"/>
      <c r="M303" s="730"/>
      <c r="N303" s="571"/>
      <c r="O303" s="571"/>
      <c r="P303" s="571"/>
      <c r="Q303" s="571"/>
      <c r="R303" s="571"/>
      <c r="S303" s="571"/>
      <c r="T303" s="571"/>
      <c r="U303" s="571"/>
      <c r="V303" s="571"/>
      <c r="W303" s="571"/>
      <c r="X303" s="571"/>
      <c r="Y303" s="571"/>
      <c r="Z303" s="571"/>
      <c r="AA303" s="571"/>
      <c r="AB303" s="571"/>
      <c r="AC303" s="571"/>
      <c r="AD303" s="571"/>
      <c r="AE303" s="571"/>
      <c r="AF303" s="571"/>
      <c r="AG303" s="690"/>
      <c r="AH303" s="691"/>
    </row>
    <row r="304">
      <c r="A304" s="568"/>
      <c r="B304" s="730"/>
      <c r="C304" s="730"/>
      <c r="D304" s="730"/>
      <c r="E304" s="730"/>
      <c r="F304" s="730"/>
      <c r="G304" s="730"/>
      <c r="H304" s="730"/>
      <c r="I304" s="730"/>
      <c r="J304" s="730"/>
      <c r="K304" s="730"/>
      <c r="L304" s="730"/>
      <c r="M304" s="730"/>
      <c r="N304" s="571"/>
      <c r="O304" s="571"/>
      <c r="P304" s="571"/>
      <c r="Q304" s="571"/>
      <c r="R304" s="571"/>
      <c r="S304" s="571"/>
      <c r="T304" s="571"/>
      <c r="U304" s="571"/>
      <c r="V304" s="571"/>
      <c r="W304" s="571"/>
      <c r="X304" s="571"/>
      <c r="Y304" s="571"/>
      <c r="Z304" s="571"/>
      <c r="AA304" s="571"/>
      <c r="AB304" s="571"/>
      <c r="AC304" s="571"/>
      <c r="AD304" s="571"/>
      <c r="AE304" s="571"/>
      <c r="AF304" s="571"/>
      <c r="AG304" s="690"/>
      <c r="AH304" s="691"/>
    </row>
    <row r="305">
      <c r="A305" s="568"/>
      <c r="B305" s="730"/>
      <c r="C305" s="730"/>
      <c r="D305" s="730"/>
      <c r="E305" s="730"/>
      <c r="F305" s="730"/>
      <c r="G305" s="730"/>
      <c r="H305" s="730"/>
      <c r="I305" s="730"/>
      <c r="J305" s="730"/>
      <c r="K305" s="730"/>
      <c r="L305" s="730"/>
      <c r="M305" s="730"/>
      <c r="N305" s="571"/>
      <c r="O305" s="571"/>
      <c r="P305" s="571"/>
      <c r="Q305" s="571"/>
      <c r="R305" s="571"/>
      <c r="S305" s="571"/>
      <c r="T305" s="571"/>
      <c r="U305" s="571"/>
      <c r="V305" s="571"/>
      <c r="W305" s="571"/>
      <c r="X305" s="571"/>
      <c r="Y305" s="571"/>
      <c r="Z305" s="571"/>
      <c r="AA305" s="571"/>
      <c r="AB305" s="571"/>
      <c r="AC305" s="571"/>
      <c r="AD305" s="571"/>
      <c r="AE305" s="571"/>
      <c r="AF305" s="571"/>
      <c r="AG305" s="690"/>
      <c r="AH305" s="691"/>
    </row>
    <row r="306">
      <c r="A306" s="568"/>
      <c r="B306" s="730"/>
      <c r="C306" s="730"/>
      <c r="D306" s="730"/>
      <c r="E306" s="730"/>
      <c r="F306" s="730"/>
      <c r="G306" s="730"/>
      <c r="H306" s="730"/>
      <c r="I306" s="730"/>
      <c r="J306" s="730"/>
      <c r="K306" s="730"/>
      <c r="L306" s="730"/>
      <c r="M306" s="730"/>
      <c r="N306" s="571"/>
      <c r="O306" s="571"/>
      <c r="P306" s="571"/>
      <c r="Q306" s="571"/>
      <c r="R306" s="571"/>
      <c r="S306" s="571"/>
      <c r="T306" s="571"/>
      <c r="U306" s="571"/>
      <c r="V306" s="571"/>
      <c r="W306" s="571"/>
      <c r="X306" s="571"/>
      <c r="Y306" s="571"/>
      <c r="Z306" s="571"/>
      <c r="AA306" s="571"/>
      <c r="AB306" s="571"/>
      <c r="AC306" s="571"/>
      <c r="AD306" s="571"/>
      <c r="AE306" s="571"/>
      <c r="AF306" s="571"/>
      <c r="AG306" s="690"/>
      <c r="AH306" s="691"/>
    </row>
    <row r="307">
      <c r="A307" s="568"/>
      <c r="B307" s="730"/>
      <c r="C307" s="730"/>
      <c r="D307" s="730"/>
      <c r="E307" s="730"/>
      <c r="F307" s="730"/>
      <c r="G307" s="730"/>
      <c r="H307" s="730"/>
      <c r="I307" s="730"/>
      <c r="J307" s="730"/>
      <c r="K307" s="730"/>
      <c r="L307" s="730"/>
      <c r="M307" s="730"/>
      <c r="N307" s="571"/>
      <c r="O307" s="571"/>
      <c r="P307" s="571"/>
      <c r="Q307" s="571"/>
      <c r="R307" s="571"/>
      <c r="S307" s="571"/>
      <c r="T307" s="571"/>
      <c r="U307" s="571"/>
      <c r="V307" s="571"/>
      <c r="W307" s="571"/>
      <c r="X307" s="571"/>
      <c r="Y307" s="571"/>
      <c r="Z307" s="571"/>
      <c r="AA307" s="571"/>
      <c r="AB307" s="571"/>
      <c r="AC307" s="571"/>
      <c r="AD307" s="571"/>
      <c r="AE307" s="571"/>
      <c r="AF307" s="571"/>
      <c r="AG307" s="690"/>
      <c r="AH307" s="691"/>
    </row>
    <row r="308">
      <c r="A308" s="568"/>
      <c r="B308" s="730"/>
      <c r="C308" s="730"/>
      <c r="D308" s="730"/>
      <c r="E308" s="730"/>
      <c r="F308" s="730"/>
      <c r="G308" s="730"/>
      <c r="H308" s="730"/>
      <c r="I308" s="730"/>
      <c r="J308" s="730"/>
      <c r="K308" s="730"/>
      <c r="L308" s="730"/>
      <c r="M308" s="730"/>
      <c r="N308" s="571"/>
      <c r="O308" s="571"/>
      <c r="P308" s="571"/>
      <c r="Q308" s="571"/>
      <c r="R308" s="571"/>
      <c r="S308" s="571"/>
      <c r="T308" s="571"/>
      <c r="U308" s="571"/>
      <c r="V308" s="571"/>
      <c r="W308" s="571"/>
      <c r="X308" s="571"/>
      <c r="Y308" s="571"/>
      <c r="Z308" s="571"/>
      <c r="AA308" s="571"/>
      <c r="AB308" s="571"/>
      <c r="AC308" s="571"/>
      <c r="AD308" s="571"/>
      <c r="AE308" s="571"/>
      <c r="AF308" s="571"/>
      <c r="AG308" s="690"/>
      <c r="AH308" s="691"/>
    </row>
    <row r="309">
      <c r="A309" s="568"/>
      <c r="B309" s="730"/>
      <c r="C309" s="730"/>
      <c r="D309" s="730"/>
      <c r="E309" s="730"/>
      <c r="F309" s="730"/>
      <c r="G309" s="730"/>
      <c r="H309" s="730"/>
      <c r="I309" s="730"/>
      <c r="J309" s="730"/>
      <c r="K309" s="730"/>
      <c r="L309" s="730"/>
      <c r="M309" s="730"/>
      <c r="N309" s="571"/>
      <c r="O309" s="571"/>
      <c r="P309" s="571"/>
      <c r="Q309" s="571"/>
      <c r="R309" s="571"/>
      <c r="S309" s="571"/>
      <c r="T309" s="571"/>
      <c r="U309" s="571"/>
      <c r="V309" s="571"/>
      <c r="W309" s="571"/>
      <c r="X309" s="571"/>
      <c r="Y309" s="571"/>
      <c r="Z309" s="571"/>
      <c r="AA309" s="571"/>
      <c r="AB309" s="571"/>
      <c r="AC309" s="571"/>
      <c r="AD309" s="571"/>
      <c r="AE309" s="571"/>
      <c r="AF309" s="571"/>
      <c r="AG309" s="690"/>
      <c r="AH309" s="691"/>
    </row>
    <row r="310">
      <c r="A310" s="568"/>
      <c r="B310" s="730"/>
      <c r="C310" s="730"/>
      <c r="D310" s="730"/>
      <c r="E310" s="730"/>
      <c r="F310" s="730"/>
      <c r="G310" s="730"/>
      <c r="H310" s="730"/>
      <c r="I310" s="730"/>
      <c r="J310" s="730"/>
      <c r="K310" s="730"/>
      <c r="L310" s="730"/>
      <c r="M310" s="730"/>
      <c r="N310" s="571"/>
      <c r="O310" s="571"/>
      <c r="P310" s="571"/>
      <c r="Q310" s="571"/>
      <c r="R310" s="571"/>
      <c r="S310" s="571"/>
      <c r="T310" s="571"/>
      <c r="U310" s="571"/>
      <c r="V310" s="571"/>
      <c r="W310" s="571"/>
      <c r="X310" s="571"/>
      <c r="Y310" s="571"/>
      <c r="Z310" s="571"/>
      <c r="AA310" s="571"/>
      <c r="AB310" s="571"/>
      <c r="AC310" s="571"/>
      <c r="AD310" s="571"/>
      <c r="AE310" s="571"/>
      <c r="AF310" s="571"/>
      <c r="AG310" s="690"/>
      <c r="AH310" s="691"/>
    </row>
    <row r="311">
      <c r="A311" s="568"/>
      <c r="B311" s="730"/>
      <c r="C311" s="730"/>
      <c r="D311" s="730"/>
      <c r="E311" s="730"/>
      <c r="F311" s="730"/>
      <c r="G311" s="730"/>
      <c r="H311" s="730"/>
      <c r="I311" s="730"/>
      <c r="J311" s="730"/>
      <c r="K311" s="730"/>
      <c r="L311" s="730"/>
      <c r="M311" s="730"/>
      <c r="N311" s="571"/>
      <c r="O311" s="571"/>
      <c r="P311" s="571"/>
      <c r="Q311" s="571"/>
      <c r="R311" s="571"/>
      <c r="S311" s="571"/>
      <c r="T311" s="571"/>
      <c r="U311" s="571"/>
      <c r="V311" s="571"/>
      <c r="W311" s="571"/>
      <c r="X311" s="571"/>
      <c r="Y311" s="571"/>
      <c r="Z311" s="571"/>
      <c r="AA311" s="571"/>
      <c r="AB311" s="571"/>
      <c r="AC311" s="571"/>
      <c r="AD311" s="571"/>
      <c r="AE311" s="571"/>
      <c r="AF311" s="571"/>
      <c r="AG311" s="690"/>
      <c r="AH311" s="691"/>
    </row>
    <row r="312">
      <c r="A312" s="568"/>
      <c r="B312" s="730"/>
      <c r="C312" s="730"/>
      <c r="D312" s="730"/>
      <c r="E312" s="730"/>
      <c r="F312" s="730"/>
      <c r="G312" s="730"/>
      <c r="H312" s="730"/>
      <c r="I312" s="730"/>
      <c r="J312" s="730"/>
      <c r="K312" s="730"/>
      <c r="L312" s="730"/>
      <c r="M312" s="730"/>
      <c r="N312" s="571"/>
      <c r="O312" s="571"/>
      <c r="P312" s="571"/>
      <c r="Q312" s="571"/>
      <c r="R312" s="571"/>
      <c r="S312" s="571"/>
      <c r="T312" s="571"/>
      <c r="U312" s="571"/>
      <c r="V312" s="571"/>
      <c r="W312" s="571"/>
      <c r="X312" s="571"/>
      <c r="Y312" s="571"/>
      <c r="Z312" s="571"/>
      <c r="AA312" s="571"/>
      <c r="AB312" s="571"/>
      <c r="AC312" s="571"/>
      <c r="AD312" s="571"/>
      <c r="AE312" s="571"/>
      <c r="AF312" s="571"/>
      <c r="AG312" s="690"/>
      <c r="AH312" s="691"/>
    </row>
    <row r="313">
      <c r="A313" s="568"/>
      <c r="B313" s="730"/>
      <c r="C313" s="730"/>
      <c r="D313" s="730"/>
      <c r="E313" s="730"/>
      <c r="F313" s="730"/>
      <c r="G313" s="730"/>
      <c r="H313" s="730"/>
      <c r="I313" s="730"/>
      <c r="J313" s="730"/>
      <c r="K313" s="730"/>
      <c r="L313" s="730"/>
      <c r="M313" s="730"/>
      <c r="N313" s="571"/>
      <c r="O313" s="571"/>
      <c r="P313" s="571"/>
      <c r="Q313" s="571"/>
      <c r="R313" s="571"/>
      <c r="S313" s="571"/>
      <c r="T313" s="571"/>
      <c r="U313" s="571"/>
      <c r="V313" s="571"/>
      <c r="W313" s="571"/>
      <c r="X313" s="571"/>
      <c r="Y313" s="571"/>
      <c r="Z313" s="571"/>
      <c r="AA313" s="571"/>
      <c r="AB313" s="571"/>
      <c r="AC313" s="571"/>
      <c r="AD313" s="571"/>
      <c r="AE313" s="571"/>
      <c r="AF313" s="571"/>
      <c r="AG313" s="690"/>
      <c r="AH313" s="691"/>
    </row>
    <row r="314">
      <c r="A314" s="568"/>
      <c r="B314" s="730"/>
      <c r="C314" s="730"/>
      <c r="D314" s="730"/>
      <c r="E314" s="730"/>
      <c r="F314" s="730"/>
      <c r="G314" s="730"/>
      <c r="H314" s="730"/>
      <c r="I314" s="730"/>
      <c r="J314" s="730"/>
      <c r="K314" s="730"/>
      <c r="L314" s="730"/>
      <c r="M314" s="730"/>
      <c r="N314" s="571"/>
      <c r="O314" s="571"/>
      <c r="P314" s="571"/>
      <c r="Q314" s="571"/>
      <c r="R314" s="571"/>
      <c r="S314" s="571"/>
      <c r="T314" s="571"/>
      <c r="U314" s="571"/>
      <c r="V314" s="571"/>
      <c r="W314" s="571"/>
      <c r="X314" s="571"/>
      <c r="Y314" s="571"/>
      <c r="Z314" s="571"/>
      <c r="AA314" s="571"/>
      <c r="AB314" s="571"/>
      <c r="AC314" s="571"/>
      <c r="AD314" s="571"/>
      <c r="AE314" s="571"/>
      <c r="AF314" s="571"/>
      <c r="AG314" s="690"/>
      <c r="AH314" s="691"/>
    </row>
    <row r="315">
      <c r="A315" s="568"/>
      <c r="B315" s="730"/>
      <c r="C315" s="730"/>
      <c r="D315" s="730"/>
      <c r="E315" s="730"/>
      <c r="F315" s="730"/>
      <c r="G315" s="730"/>
      <c r="H315" s="730"/>
      <c r="I315" s="730"/>
      <c r="J315" s="730"/>
      <c r="K315" s="730"/>
      <c r="L315" s="730"/>
      <c r="M315" s="730"/>
      <c r="N315" s="571"/>
      <c r="O315" s="571"/>
      <c r="P315" s="571"/>
      <c r="Q315" s="571"/>
      <c r="R315" s="571"/>
      <c r="S315" s="571"/>
      <c r="T315" s="571"/>
      <c r="U315" s="571"/>
      <c r="V315" s="571"/>
      <c r="W315" s="571"/>
      <c r="X315" s="571"/>
      <c r="Y315" s="571"/>
      <c r="Z315" s="571"/>
      <c r="AA315" s="571"/>
      <c r="AB315" s="571"/>
      <c r="AC315" s="571"/>
      <c r="AD315" s="571"/>
      <c r="AE315" s="571"/>
      <c r="AF315" s="571"/>
      <c r="AG315" s="690"/>
      <c r="AH315" s="691"/>
    </row>
    <row r="316">
      <c r="A316" s="568"/>
      <c r="B316" s="730"/>
      <c r="C316" s="730"/>
      <c r="D316" s="730"/>
      <c r="E316" s="730"/>
      <c r="F316" s="730"/>
      <c r="G316" s="730"/>
      <c r="H316" s="730"/>
      <c r="I316" s="730"/>
      <c r="J316" s="730"/>
      <c r="K316" s="730"/>
      <c r="L316" s="730"/>
      <c r="M316" s="730"/>
      <c r="N316" s="571"/>
      <c r="O316" s="571"/>
      <c r="P316" s="571"/>
      <c r="Q316" s="571"/>
      <c r="R316" s="571"/>
      <c r="S316" s="571"/>
      <c r="T316" s="571"/>
      <c r="U316" s="571"/>
      <c r="V316" s="571"/>
      <c r="W316" s="571"/>
      <c r="X316" s="571"/>
      <c r="Y316" s="571"/>
      <c r="Z316" s="571"/>
      <c r="AA316" s="571"/>
      <c r="AB316" s="571"/>
      <c r="AC316" s="571"/>
      <c r="AD316" s="571"/>
      <c r="AE316" s="571"/>
      <c r="AF316" s="571"/>
      <c r="AG316" s="690"/>
      <c r="AH316" s="691"/>
    </row>
    <row r="317">
      <c r="A317" s="568"/>
      <c r="B317" s="730"/>
      <c r="C317" s="730"/>
      <c r="D317" s="730"/>
      <c r="E317" s="730"/>
      <c r="F317" s="730"/>
      <c r="G317" s="730"/>
      <c r="H317" s="730"/>
      <c r="I317" s="730"/>
      <c r="J317" s="730"/>
      <c r="K317" s="730"/>
      <c r="L317" s="730"/>
      <c r="M317" s="730"/>
      <c r="N317" s="571"/>
      <c r="O317" s="571"/>
      <c r="P317" s="571"/>
      <c r="Q317" s="571"/>
      <c r="R317" s="571"/>
      <c r="S317" s="571"/>
      <c r="T317" s="571"/>
      <c r="U317" s="571"/>
      <c r="V317" s="571"/>
      <c r="W317" s="571"/>
      <c r="X317" s="571"/>
      <c r="Y317" s="571"/>
      <c r="Z317" s="571"/>
      <c r="AA317" s="571"/>
      <c r="AB317" s="571"/>
      <c r="AC317" s="571"/>
      <c r="AD317" s="571"/>
      <c r="AE317" s="571"/>
      <c r="AF317" s="571"/>
      <c r="AG317" s="690"/>
      <c r="AH317" s="691"/>
    </row>
    <row r="318">
      <c r="A318" s="568"/>
      <c r="B318" s="730"/>
      <c r="C318" s="730"/>
      <c r="D318" s="730"/>
      <c r="E318" s="730"/>
      <c r="F318" s="730"/>
      <c r="G318" s="730"/>
      <c r="H318" s="730"/>
      <c r="I318" s="730"/>
      <c r="J318" s="730"/>
      <c r="K318" s="730"/>
      <c r="L318" s="730"/>
      <c r="M318" s="730"/>
      <c r="N318" s="571"/>
      <c r="O318" s="571"/>
      <c r="P318" s="571"/>
      <c r="Q318" s="571"/>
      <c r="R318" s="571"/>
      <c r="S318" s="571"/>
      <c r="T318" s="571"/>
      <c r="U318" s="571"/>
      <c r="V318" s="571"/>
      <c r="W318" s="571"/>
      <c r="X318" s="571"/>
      <c r="Y318" s="571"/>
      <c r="Z318" s="571"/>
      <c r="AA318" s="571"/>
      <c r="AB318" s="571"/>
      <c r="AC318" s="571"/>
      <c r="AD318" s="571"/>
      <c r="AE318" s="571"/>
      <c r="AF318" s="571"/>
      <c r="AG318" s="690"/>
      <c r="AH318" s="691"/>
    </row>
    <row r="319">
      <c r="A319" s="568"/>
      <c r="B319" s="730"/>
      <c r="C319" s="730"/>
      <c r="D319" s="730"/>
      <c r="E319" s="730"/>
      <c r="F319" s="730"/>
      <c r="G319" s="730"/>
      <c r="H319" s="730"/>
      <c r="I319" s="730"/>
      <c r="J319" s="730"/>
      <c r="K319" s="730"/>
      <c r="L319" s="730"/>
      <c r="M319" s="730"/>
      <c r="N319" s="571"/>
      <c r="O319" s="571"/>
      <c r="P319" s="571"/>
      <c r="Q319" s="571"/>
      <c r="R319" s="571"/>
      <c r="S319" s="571"/>
      <c r="T319" s="571"/>
      <c r="U319" s="571"/>
      <c r="V319" s="571"/>
      <c r="W319" s="571"/>
      <c r="X319" s="571"/>
      <c r="Y319" s="571"/>
      <c r="Z319" s="571"/>
      <c r="AA319" s="571"/>
      <c r="AB319" s="571"/>
      <c r="AC319" s="571"/>
      <c r="AD319" s="571"/>
      <c r="AE319" s="571"/>
      <c r="AF319" s="571"/>
      <c r="AG319" s="690"/>
      <c r="AH319" s="691"/>
    </row>
    <row r="320">
      <c r="A320" s="568"/>
      <c r="B320" s="730"/>
      <c r="C320" s="730"/>
      <c r="D320" s="730"/>
      <c r="E320" s="730"/>
      <c r="F320" s="730"/>
      <c r="G320" s="730"/>
      <c r="H320" s="730"/>
      <c r="I320" s="730"/>
      <c r="J320" s="730"/>
      <c r="K320" s="730"/>
      <c r="L320" s="730"/>
      <c r="M320" s="730"/>
      <c r="N320" s="571"/>
      <c r="O320" s="571"/>
      <c r="P320" s="571"/>
      <c r="Q320" s="571"/>
      <c r="R320" s="571"/>
      <c r="S320" s="571"/>
      <c r="T320" s="571"/>
      <c r="U320" s="571"/>
      <c r="V320" s="571"/>
      <c r="W320" s="571"/>
      <c r="X320" s="571"/>
      <c r="Y320" s="571"/>
      <c r="Z320" s="571"/>
      <c r="AA320" s="571"/>
      <c r="AB320" s="571"/>
      <c r="AC320" s="571"/>
      <c r="AD320" s="571"/>
      <c r="AE320" s="571"/>
      <c r="AF320" s="571"/>
      <c r="AG320" s="690"/>
      <c r="AH320" s="691"/>
    </row>
    <row r="321">
      <c r="A321" s="568"/>
      <c r="B321" s="730"/>
      <c r="C321" s="730"/>
      <c r="D321" s="730"/>
      <c r="E321" s="730"/>
      <c r="F321" s="730"/>
      <c r="G321" s="730"/>
      <c r="H321" s="730"/>
      <c r="I321" s="730"/>
      <c r="J321" s="730"/>
      <c r="K321" s="730"/>
      <c r="L321" s="730"/>
      <c r="M321" s="730"/>
      <c r="N321" s="571"/>
      <c r="O321" s="571"/>
      <c r="P321" s="571"/>
      <c r="Q321" s="571"/>
      <c r="R321" s="571"/>
      <c r="S321" s="571"/>
      <c r="T321" s="571"/>
      <c r="U321" s="571"/>
      <c r="V321" s="571"/>
      <c r="W321" s="571"/>
      <c r="X321" s="571"/>
      <c r="Y321" s="571"/>
      <c r="Z321" s="571"/>
      <c r="AA321" s="571"/>
      <c r="AB321" s="571"/>
      <c r="AC321" s="571"/>
      <c r="AD321" s="571"/>
      <c r="AE321" s="571"/>
      <c r="AF321" s="571"/>
      <c r="AG321" s="690"/>
      <c r="AH321" s="691"/>
    </row>
    <row r="322">
      <c r="A322" s="568"/>
      <c r="B322" s="730"/>
      <c r="C322" s="730"/>
      <c r="D322" s="730"/>
      <c r="E322" s="730"/>
      <c r="F322" s="730"/>
      <c r="G322" s="730"/>
      <c r="H322" s="730"/>
      <c r="I322" s="730"/>
      <c r="J322" s="730"/>
      <c r="K322" s="730"/>
      <c r="L322" s="730"/>
      <c r="M322" s="730"/>
      <c r="N322" s="571"/>
      <c r="O322" s="571"/>
      <c r="P322" s="571"/>
      <c r="Q322" s="571"/>
      <c r="R322" s="571"/>
      <c r="S322" s="571"/>
      <c r="T322" s="571"/>
      <c r="U322" s="571"/>
      <c r="V322" s="571"/>
      <c r="W322" s="571"/>
      <c r="X322" s="571"/>
      <c r="Y322" s="571"/>
      <c r="Z322" s="571"/>
      <c r="AA322" s="571"/>
      <c r="AB322" s="571"/>
      <c r="AC322" s="571"/>
      <c r="AD322" s="571"/>
      <c r="AE322" s="571"/>
      <c r="AF322" s="571"/>
      <c r="AG322" s="690"/>
      <c r="AH322" s="691"/>
    </row>
    <row r="323">
      <c r="A323" s="568"/>
      <c r="B323" s="730"/>
      <c r="C323" s="730"/>
      <c r="D323" s="730"/>
      <c r="E323" s="730"/>
      <c r="F323" s="730"/>
      <c r="G323" s="730"/>
      <c r="H323" s="730"/>
      <c r="I323" s="730"/>
      <c r="J323" s="730"/>
      <c r="K323" s="730"/>
      <c r="L323" s="730"/>
      <c r="M323" s="730"/>
      <c r="N323" s="571"/>
      <c r="O323" s="571"/>
      <c r="P323" s="571"/>
      <c r="Q323" s="571"/>
      <c r="R323" s="571"/>
      <c r="S323" s="571"/>
      <c r="T323" s="571"/>
      <c r="U323" s="571"/>
      <c r="V323" s="571"/>
      <c r="W323" s="571"/>
      <c r="X323" s="571"/>
      <c r="Y323" s="571"/>
      <c r="Z323" s="571"/>
      <c r="AA323" s="571"/>
      <c r="AB323" s="571"/>
      <c r="AC323" s="571"/>
      <c r="AD323" s="571"/>
      <c r="AE323" s="571"/>
      <c r="AF323" s="571"/>
      <c r="AG323" s="690"/>
      <c r="AH323" s="691"/>
    </row>
    <row r="324">
      <c r="A324" s="568"/>
      <c r="B324" s="730"/>
      <c r="C324" s="730"/>
      <c r="D324" s="730"/>
      <c r="E324" s="730"/>
      <c r="F324" s="730"/>
      <c r="G324" s="730"/>
      <c r="H324" s="730"/>
      <c r="I324" s="730"/>
      <c r="J324" s="730"/>
      <c r="K324" s="730"/>
      <c r="L324" s="730"/>
      <c r="M324" s="730"/>
      <c r="N324" s="571"/>
      <c r="O324" s="571"/>
      <c r="P324" s="571"/>
      <c r="Q324" s="571"/>
      <c r="R324" s="571"/>
      <c r="S324" s="571"/>
      <c r="T324" s="571"/>
      <c r="U324" s="571"/>
      <c r="V324" s="571"/>
      <c r="W324" s="571"/>
      <c r="X324" s="571"/>
      <c r="Y324" s="571"/>
      <c r="Z324" s="571"/>
      <c r="AA324" s="571"/>
      <c r="AB324" s="571"/>
      <c r="AC324" s="571"/>
      <c r="AD324" s="571"/>
      <c r="AE324" s="571"/>
      <c r="AF324" s="571"/>
      <c r="AG324" s="690"/>
      <c r="AH324" s="691"/>
    </row>
    <row r="325">
      <c r="A325" s="568"/>
      <c r="B325" s="730"/>
      <c r="C325" s="730"/>
      <c r="D325" s="730"/>
      <c r="E325" s="730"/>
      <c r="F325" s="730"/>
      <c r="G325" s="730"/>
      <c r="H325" s="730"/>
      <c r="I325" s="730"/>
      <c r="J325" s="730"/>
      <c r="K325" s="730"/>
      <c r="L325" s="730"/>
      <c r="M325" s="730"/>
      <c r="N325" s="571"/>
      <c r="O325" s="571"/>
      <c r="P325" s="571"/>
      <c r="Q325" s="571"/>
      <c r="R325" s="571"/>
      <c r="S325" s="571"/>
      <c r="T325" s="571"/>
      <c r="U325" s="571"/>
      <c r="V325" s="571"/>
      <c r="W325" s="571"/>
      <c r="X325" s="571"/>
      <c r="Y325" s="571"/>
      <c r="Z325" s="571"/>
      <c r="AA325" s="571"/>
      <c r="AB325" s="571"/>
      <c r="AC325" s="571"/>
      <c r="AD325" s="571"/>
      <c r="AE325" s="571"/>
      <c r="AF325" s="571"/>
      <c r="AG325" s="690"/>
      <c r="AH325" s="691"/>
    </row>
    <row r="326">
      <c r="A326" s="568"/>
      <c r="B326" s="730"/>
      <c r="C326" s="730"/>
      <c r="D326" s="730"/>
      <c r="E326" s="730"/>
      <c r="F326" s="730"/>
      <c r="G326" s="730"/>
      <c r="H326" s="730"/>
      <c r="I326" s="730"/>
      <c r="J326" s="730"/>
      <c r="K326" s="730"/>
      <c r="L326" s="730"/>
      <c r="M326" s="730"/>
      <c r="N326" s="571"/>
      <c r="O326" s="571"/>
      <c r="P326" s="571"/>
      <c r="Q326" s="571"/>
      <c r="R326" s="571"/>
      <c r="S326" s="571"/>
      <c r="T326" s="571"/>
      <c r="U326" s="571"/>
      <c r="V326" s="571"/>
      <c r="W326" s="571"/>
      <c r="X326" s="571"/>
      <c r="Y326" s="571"/>
      <c r="Z326" s="571"/>
      <c r="AA326" s="571"/>
      <c r="AB326" s="571"/>
      <c r="AC326" s="571"/>
      <c r="AD326" s="571"/>
      <c r="AE326" s="571"/>
      <c r="AF326" s="571"/>
      <c r="AG326" s="690"/>
      <c r="AH326" s="691"/>
    </row>
    <row r="327">
      <c r="A327" s="568"/>
      <c r="B327" s="730"/>
      <c r="C327" s="730"/>
      <c r="D327" s="730"/>
      <c r="E327" s="730"/>
      <c r="F327" s="730"/>
      <c r="G327" s="730"/>
      <c r="H327" s="730"/>
      <c r="I327" s="730"/>
      <c r="J327" s="730"/>
      <c r="K327" s="730"/>
      <c r="L327" s="730"/>
      <c r="M327" s="730"/>
      <c r="N327" s="571"/>
      <c r="O327" s="571"/>
      <c r="P327" s="571"/>
      <c r="Q327" s="571"/>
      <c r="R327" s="571"/>
      <c r="S327" s="571"/>
      <c r="T327" s="571"/>
      <c r="U327" s="571"/>
      <c r="V327" s="571"/>
      <c r="W327" s="571"/>
      <c r="X327" s="571"/>
      <c r="Y327" s="571"/>
      <c r="Z327" s="571"/>
      <c r="AA327" s="571"/>
      <c r="AB327" s="571"/>
      <c r="AC327" s="571"/>
      <c r="AD327" s="571"/>
      <c r="AE327" s="571"/>
      <c r="AF327" s="571"/>
      <c r="AG327" s="690"/>
      <c r="AH327" s="691"/>
    </row>
    <row r="328">
      <c r="A328" s="568"/>
      <c r="B328" s="730"/>
      <c r="C328" s="730"/>
      <c r="D328" s="730"/>
      <c r="E328" s="730"/>
      <c r="F328" s="730"/>
      <c r="G328" s="730"/>
      <c r="H328" s="730"/>
      <c r="I328" s="730"/>
      <c r="J328" s="730"/>
      <c r="K328" s="730"/>
      <c r="L328" s="730"/>
      <c r="M328" s="730"/>
      <c r="N328" s="571"/>
      <c r="O328" s="571"/>
      <c r="P328" s="571"/>
      <c r="Q328" s="571"/>
      <c r="R328" s="571"/>
      <c r="S328" s="571"/>
      <c r="T328" s="571"/>
      <c r="U328" s="571"/>
      <c r="V328" s="571"/>
      <c r="W328" s="571"/>
      <c r="X328" s="571"/>
      <c r="Y328" s="571"/>
      <c r="Z328" s="571"/>
      <c r="AA328" s="571"/>
      <c r="AB328" s="571"/>
      <c r="AC328" s="571"/>
      <c r="AD328" s="571"/>
      <c r="AE328" s="571"/>
      <c r="AF328" s="571"/>
      <c r="AG328" s="690"/>
      <c r="AH328" s="691"/>
    </row>
    <row r="329">
      <c r="A329" s="568"/>
      <c r="B329" s="730"/>
      <c r="C329" s="730"/>
      <c r="D329" s="730"/>
      <c r="E329" s="730"/>
      <c r="F329" s="730"/>
      <c r="G329" s="730"/>
      <c r="H329" s="730"/>
      <c r="I329" s="730"/>
      <c r="J329" s="730"/>
      <c r="K329" s="730"/>
      <c r="L329" s="730"/>
      <c r="M329" s="730"/>
      <c r="N329" s="571"/>
      <c r="O329" s="571"/>
      <c r="P329" s="571"/>
      <c r="Q329" s="571"/>
      <c r="R329" s="571"/>
      <c r="S329" s="571"/>
      <c r="T329" s="571"/>
      <c r="U329" s="571"/>
      <c r="V329" s="571"/>
      <c r="W329" s="571"/>
      <c r="X329" s="571"/>
      <c r="Y329" s="571"/>
      <c r="Z329" s="571"/>
      <c r="AA329" s="571"/>
      <c r="AB329" s="571"/>
      <c r="AC329" s="571"/>
      <c r="AD329" s="571"/>
      <c r="AE329" s="571"/>
      <c r="AF329" s="571"/>
      <c r="AG329" s="690"/>
      <c r="AH329" s="691"/>
    </row>
    <row r="330">
      <c r="A330" s="568"/>
      <c r="B330" s="730"/>
      <c r="C330" s="730"/>
      <c r="D330" s="730"/>
      <c r="E330" s="730"/>
      <c r="F330" s="730"/>
      <c r="G330" s="730"/>
      <c r="H330" s="730"/>
      <c r="I330" s="730"/>
      <c r="J330" s="730"/>
      <c r="K330" s="730"/>
      <c r="L330" s="730"/>
      <c r="M330" s="730"/>
      <c r="N330" s="571"/>
      <c r="O330" s="571"/>
      <c r="P330" s="571"/>
      <c r="Q330" s="571"/>
      <c r="R330" s="571"/>
      <c r="S330" s="571"/>
      <c r="T330" s="571"/>
      <c r="U330" s="571"/>
      <c r="V330" s="571"/>
      <c r="W330" s="571"/>
      <c r="X330" s="571"/>
      <c r="Y330" s="571"/>
      <c r="Z330" s="571"/>
      <c r="AA330" s="571"/>
      <c r="AB330" s="571"/>
      <c r="AC330" s="571"/>
      <c r="AD330" s="571"/>
      <c r="AE330" s="571"/>
      <c r="AF330" s="571"/>
      <c r="AG330" s="690"/>
      <c r="AH330" s="691"/>
    </row>
    <row r="331">
      <c r="A331" s="568"/>
      <c r="B331" s="730"/>
      <c r="C331" s="730"/>
      <c r="D331" s="730"/>
      <c r="E331" s="730"/>
      <c r="F331" s="730"/>
      <c r="G331" s="730"/>
      <c r="H331" s="730"/>
      <c r="I331" s="730"/>
      <c r="J331" s="730"/>
      <c r="K331" s="730"/>
      <c r="L331" s="730"/>
      <c r="M331" s="730"/>
      <c r="N331" s="571"/>
      <c r="O331" s="571"/>
      <c r="P331" s="571"/>
      <c r="Q331" s="571"/>
      <c r="R331" s="571"/>
      <c r="S331" s="571"/>
      <c r="T331" s="571"/>
      <c r="U331" s="571"/>
      <c r="V331" s="571"/>
      <c r="W331" s="571"/>
      <c r="X331" s="571"/>
      <c r="Y331" s="571"/>
      <c r="Z331" s="571"/>
      <c r="AA331" s="571"/>
      <c r="AB331" s="571"/>
      <c r="AC331" s="571"/>
      <c r="AD331" s="571"/>
      <c r="AE331" s="571"/>
      <c r="AF331" s="571"/>
      <c r="AG331" s="690"/>
      <c r="AH331" s="691"/>
    </row>
    <row r="332">
      <c r="A332" s="568"/>
      <c r="B332" s="730"/>
      <c r="C332" s="730"/>
      <c r="D332" s="730"/>
      <c r="E332" s="730"/>
      <c r="F332" s="730"/>
      <c r="G332" s="730"/>
      <c r="H332" s="730"/>
      <c r="I332" s="730"/>
      <c r="J332" s="730"/>
      <c r="K332" s="730"/>
      <c r="L332" s="730"/>
      <c r="M332" s="730"/>
      <c r="N332" s="571"/>
      <c r="O332" s="571"/>
      <c r="P332" s="571"/>
      <c r="Q332" s="571"/>
      <c r="R332" s="571"/>
      <c r="S332" s="571"/>
      <c r="T332" s="571"/>
      <c r="U332" s="571"/>
      <c r="V332" s="571"/>
      <c r="W332" s="571"/>
      <c r="X332" s="571"/>
      <c r="Y332" s="571"/>
      <c r="Z332" s="571"/>
      <c r="AA332" s="571"/>
      <c r="AB332" s="571"/>
      <c r="AC332" s="571"/>
      <c r="AD332" s="571"/>
      <c r="AE332" s="571"/>
      <c r="AF332" s="571"/>
      <c r="AG332" s="690"/>
      <c r="AH332" s="691"/>
    </row>
    <row r="333">
      <c r="A333" s="568"/>
      <c r="B333" s="730"/>
      <c r="C333" s="730"/>
      <c r="D333" s="730"/>
      <c r="E333" s="730"/>
      <c r="F333" s="730"/>
      <c r="G333" s="730"/>
      <c r="H333" s="730"/>
      <c r="I333" s="730"/>
      <c r="J333" s="730"/>
      <c r="K333" s="730"/>
      <c r="L333" s="730"/>
      <c r="M333" s="730"/>
      <c r="N333" s="571"/>
      <c r="O333" s="571"/>
      <c r="P333" s="571"/>
      <c r="Q333" s="571"/>
      <c r="R333" s="571"/>
      <c r="S333" s="571"/>
      <c r="T333" s="571"/>
      <c r="U333" s="571"/>
      <c r="V333" s="571"/>
      <c r="W333" s="571"/>
      <c r="X333" s="571"/>
      <c r="Y333" s="571"/>
      <c r="Z333" s="571"/>
      <c r="AA333" s="571"/>
      <c r="AB333" s="571"/>
      <c r="AC333" s="571"/>
      <c r="AD333" s="571"/>
      <c r="AE333" s="571"/>
      <c r="AF333" s="571"/>
      <c r="AG333" s="690"/>
      <c r="AH333" s="691"/>
    </row>
    <row r="334">
      <c r="A334" s="568"/>
      <c r="B334" s="730"/>
      <c r="C334" s="730"/>
      <c r="D334" s="730"/>
      <c r="E334" s="730"/>
      <c r="F334" s="730"/>
      <c r="G334" s="730"/>
      <c r="H334" s="730"/>
      <c r="I334" s="730"/>
      <c r="J334" s="730"/>
      <c r="K334" s="730"/>
      <c r="L334" s="730"/>
      <c r="M334" s="730"/>
      <c r="N334" s="571"/>
      <c r="O334" s="571"/>
      <c r="P334" s="571"/>
      <c r="Q334" s="571"/>
      <c r="R334" s="571"/>
      <c r="S334" s="571"/>
      <c r="T334" s="571"/>
      <c r="U334" s="571"/>
      <c r="V334" s="571"/>
      <c r="W334" s="571"/>
      <c r="X334" s="571"/>
      <c r="Y334" s="571"/>
      <c r="Z334" s="571"/>
      <c r="AA334" s="571"/>
      <c r="AB334" s="571"/>
      <c r="AC334" s="571"/>
      <c r="AD334" s="571"/>
      <c r="AE334" s="571"/>
      <c r="AF334" s="571"/>
      <c r="AG334" s="690"/>
      <c r="AH334" s="691"/>
    </row>
    <row r="335">
      <c r="A335" s="568"/>
      <c r="B335" s="730"/>
      <c r="C335" s="730"/>
      <c r="D335" s="730"/>
      <c r="E335" s="730"/>
      <c r="F335" s="730"/>
      <c r="G335" s="730"/>
      <c r="H335" s="730"/>
      <c r="I335" s="730"/>
      <c r="J335" s="730"/>
      <c r="K335" s="730"/>
      <c r="L335" s="730"/>
      <c r="M335" s="730"/>
      <c r="N335" s="571"/>
      <c r="O335" s="571"/>
      <c r="P335" s="571"/>
      <c r="Q335" s="571"/>
      <c r="R335" s="571"/>
      <c r="S335" s="571"/>
      <c r="T335" s="571"/>
      <c r="U335" s="571"/>
      <c r="V335" s="571"/>
      <c r="W335" s="571"/>
      <c r="X335" s="571"/>
      <c r="Y335" s="571"/>
      <c r="Z335" s="571"/>
      <c r="AA335" s="571"/>
      <c r="AB335" s="571"/>
      <c r="AC335" s="571"/>
      <c r="AD335" s="571"/>
      <c r="AE335" s="571"/>
      <c r="AF335" s="571"/>
      <c r="AG335" s="690"/>
      <c r="AH335" s="691"/>
    </row>
    <row r="336">
      <c r="A336" s="568"/>
      <c r="B336" s="730"/>
      <c r="C336" s="730"/>
      <c r="D336" s="730"/>
      <c r="E336" s="730"/>
      <c r="F336" s="730"/>
      <c r="G336" s="730"/>
      <c r="H336" s="730"/>
      <c r="I336" s="730"/>
      <c r="J336" s="730"/>
      <c r="K336" s="730"/>
      <c r="L336" s="730"/>
      <c r="M336" s="730"/>
      <c r="N336" s="571"/>
      <c r="O336" s="571"/>
      <c r="P336" s="571"/>
      <c r="Q336" s="571"/>
      <c r="R336" s="571"/>
      <c r="S336" s="571"/>
      <c r="T336" s="571"/>
      <c r="U336" s="571"/>
      <c r="V336" s="571"/>
      <c r="W336" s="571"/>
      <c r="X336" s="571"/>
      <c r="Y336" s="571"/>
      <c r="Z336" s="571"/>
      <c r="AA336" s="571"/>
      <c r="AB336" s="571"/>
      <c r="AC336" s="571"/>
      <c r="AD336" s="571"/>
      <c r="AE336" s="571"/>
      <c r="AF336" s="571"/>
      <c r="AG336" s="690"/>
      <c r="AH336" s="691"/>
    </row>
    <row r="337">
      <c r="A337" s="568"/>
      <c r="B337" s="730"/>
      <c r="C337" s="730"/>
      <c r="D337" s="730"/>
      <c r="E337" s="730"/>
      <c r="F337" s="730"/>
      <c r="G337" s="730"/>
      <c r="H337" s="730"/>
      <c r="I337" s="730"/>
      <c r="J337" s="730"/>
      <c r="K337" s="730"/>
      <c r="L337" s="730"/>
      <c r="M337" s="730"/>
      <c r="N337" s="571"/>
      <c r="O337" s="571"/>
      <c r="P337" s="571"/>
      <c r="Q337" s="571"/>
      <c r="R337" s="571"/>
      <c r="S337" s="571"/>
      <c r="T337" s="571"/>
      <c r="U337" s="571"/>
      <c r="V337" s="571"/>
      <c r="W337" s="571"/>
      <c r="X337" s="571"/>
      <c r="Y337" s="571"/>
      <c r="Z337" s="571"/>
      <c r="AA337" s="571"/>
      <c r="AB337" s="571"/>
      <c r="AC337" s="571"/>
      <c r="AD337" s="571"/>
      <c r="AE337" s="571"/>
      <c r="AF337" s="571"/>
      <c r="AG337" s="690"/>
      <c r="AH337" s="691"/>
    </row>
    <row r="338">
      <c r="A338" s="568"/>
      <c r="B338" s="730"/>
      <c r="C338" s="730"/>
      <c r="D338" s="730"/>
      <c r="E338" s="730"/>
      <c r="F338" s="730"/>
      <c r="G338" s="730"/>
      <c r="H338" s="730"/>
      <c r="I338" s="730"/>
      <c r="J338" s="730"/>
      <c r="K338" s="730"/>
      <c r="L338" s="730"/>
      <c r="M338" s="730"/>
      <c r="N338" s="571"/>
      <c r="O338" s="571"/>
      <c r="P338" s="571"/>
      <c r="Q338" s="571"/>
      <c r="R338" s="571"/>
      <c r="S338" s="571"/>
      <c r="T338" s="571"/>
      <c r="U338" s="571"/>
      <c r="V338" s="571"/>
      <c r="W338" s="571"/>
      <c r="X338" s="571"/>
      <c r="Y338" s="571"/>
      <c r="Z338" s="571"/>
      <c r="AA338" s="571"/>
      <c r="AB338" s="571"/>
      <c r="AC338" s="571"/>
      <c r="AD338" s="571"/>
      <c r="AE338" s="571"/>
      <c r="AF338" s="571"/>
      <c r="AG338" s="690"/>
      <c r="AH338" s="691"/>
    </row>
    <row r="339">
      <c r="A339" s="568"/>
      <c r="B339" s="730"/>
      <c r="C339" s="730"/>
      <c r="D339" s="730"/>
      <c r="E339" s="730"/>
      <c r="F339" s="730"/>
      <c r="G339" s="730"/>
      <c r="H339" s="730"/>
      <c r="I339" s="730"/>
      <c r="J339" s="730"/>
      <c r="K339" s="730"/>
      <c r="L339" s="730"/>
      <c r="M339" s="730"/>
      <c r="N339" s="571"/>
      <c r="O339" s="571"/>
      <c r="P339" s="571"/>
      <c r="Q339" s="571"/>
      <c r="R339" s="571"/>
      <c r="S339" s="571"/>
      <c r="T339" s="571"/>
      <c r="U339" s="571"/>
      <c r="V339" s="571"/>
      <c r="W339" s="571"/>
      <c r="X339" s="571"/>
      <c r="Y339" s="571"/>
      <c r="Z339" s="571"/>
      <c r="AA339" s="571"/>
      <c r="AB339" s="571"/>
      <c r="AC339" s="571"/>
      <c r="AD339" s="571"/>
      <c r="AE339" s="571"/>
      <c r="AF339" s="571"/>
      <c r="AG339" s="690"/>
      <c r="AH339" s="691"/>
    </row>
    <row r="340">
      <c r="A340" s="568"/>
      <c r="B340" s="730"/>
      <c r="C340" s="730"/>
      <c r="D340" s="730"/>
      <c r="E340" s="730"/>
      <c r="F340" s="730"/>
      <c r="G340" s="730"/>
      <c r="H340" s="730"/>
      <c r="I340" s="730"/>
      <c r="J340" s="730"/>
      <c r="K340" s="730"/>
      <c r="L340" s="730"/>
      <c r="M340" s="730"/>
      <c r="N340" s="571"/>
      <c r="O340" s="571"/>
      <c r="P340" s="571"/>
      <c r="Q340" s="571"/>
      <c r="R340" s="571"/>
      <c r="S340" s="571"/>
      <c r="T340" s="571"/>
      <c r="U340" s="571"/>
      <c r="V340" s="571"/>
      <c r="W340" s="571"/>
      <c r="X340" s="571"/>
      <c r="Y340" s="571"/>
      <c r="Z340" s="571"/>
      <c r="AA340" s="571"/>
      <c r="AB340" s="571"/>
      <c r="AC340" s="571"/>
      <c r="AD340" s="571"/>
      <c r="AE340" s="571"/>
      <c r="AF340" s="571"/>
      <c r="AG340" s="690"/>
      <c r="AH340" s="691"/>
    </row>
    <row r="341">
      <c r="A341" s="568"/>
      <c r="B341" s="730"/>
      <c r="C341" s="730"/>
      <c r="D341" s="730"/>
      <c r="E341" s="730"/>
      <c r="F341" s="730"/>
      <c r="G341" s="730"/>
      <c r="H341" s="730"/>
      <c r="I341" s="730"/>
      <c r="J341" s="730"/>
      <c r="K341" s="730"/>
      <c r="L341" s="730"/>
      <c r="M341" s="730"/>
      <c r="N341" s="571"/>
      <c r="O341" s="571"/>
      <c r="P341" s="571"/>
      <c r="Q341" s="571"/>
      <c r="R341" s="571"/>
      <c r="S341" s="571"/>
      <c r="T341" s="571"/>
      <c r="U341" s="571"/>
      <c r="V341" s="571"/>
      <c r="W341" s="571"/>
      <c r="X341" s="571"/>
      <c r="Y341" s="571"/>
      <c r="Z341" s="571"/>
      <c r="AA341" s="571"/>
      <c r="AB341" s="571"/>
      <c r="AC341" s="571"/>
      <c r="AD341" s="571"/>
      <c r="AE341" s="571"/>
      <c r="AF341" s="571"/>
      <c r="AG341" s="690"/>
      <c r="AH341" s="691"/>
    </row>
    <row r="342">
      <c r="A342" s="568"/>
      <c r="B342" s="730"/>
      <c r="C342" s="730"/>
      <c r="D342" s="730"/>
      <c r="E342" s="730"/>
      <c r="F342" s="730"/>
      <c r="G342" s="730"/>
      <c r="H342" s="730"/>
      <c r="I342" s="730"/>
      <c r="J342" s="730"/>
      <c r="K342" s="730"/>
      <c r="L342" s="730"/>
      <c r="M342" s="730"/>
      <c r="N342" s="571"/>
      <c r="O342" s="571"/>
      <c r="P342" s="571"/>
      <c r="Q342" s="571"/>
      <c r="R342" s="571"/>
      <c r="S342" s="571"/>
      <c r="T342" s="571"/>
      <c r="U342" s="571"/>
      <c r="V342" s="571"/>
      <c r="W342" s="571"/>
      <c r="X342" s="571"/>
      <c r="Y342" s="571"/>
      <c r="Z342" s="571"/>
      <c r="AA342" s="571"/>
      <c r="AB342" s="571"/>
      <c r="AC342" s="571"/>
      <c r="AD342" s="571"/>
      <c r="AE342" s="571"/>
      <c r="AF342" s="571"/>
      <c r="AG342" s="690"/>
      <c r="AH342" s="691"/>
    </row>
    <row r="343">
      <c r="A343" s="568"/>
      <c r="B343" s="730"/>
      <c r="C343" s="730"/>
      <c r="D343" s="730"/>
      <c r="E343" s="730"/>
      <c r="F343" s="730"/>
      <c r="G343" s="730"/>
      <c r="H343" s="730"/>
      <c r="I343" s="730"/>
      <c r="J343" s="730"/>
      <c r="K343" s="730"/>
      <c r="L343" s="730"/>
      <c r="M343" s="730"/>
      <c r="N343" s="571"/>
      <c r="O343" s="571"/>
      <c r="P343" s="571"/>
      <c r="Q343" s="571"/>
      <c r="R343" s="571"/>
      <c r="S343" s="571"/>
      <c r="T343" s="571"/>
      <c r="U343" s="571"/>
      <c r="V343" s="571"/>
      <c r="W343" s="571"/>
      <c r="X343" s="571"/>
      <c r="Y343" s="571"/>
      <c r="Z343" s="571"/>
      <c r="AA343" s="571"/>
      <c r="AB343" s="571"/>
      <c r="AC343" s="571"/>
      <c r="AD343" s="571"/>
      <c r="AE343" s="571"/>
      <c r="AF343" s="571"/>
      <c r="AG343" s="690"/>
      <c r="AH343" s="691"/>
    </row>
    <row r="344">
      <c r="A344" s="568"/>
      <c r="B344" s="730"/>
      <c r="C344" s="730"/>
      <c r="D344" s="730"/>
      <c r="E344" s="730"/>
      <c r="F344" s="730"/>
      <c r="G344" s="730"/>
      <c r="H344" s="730"/>
      <c r="I344" s="730"/>
      <c r="J344" s="730"/>
      <c r="K344" s="730"/>
      <c r="L344" s="730"/>
      <c r="M344" s="730"/>
      <c r="N344" s="571"/>
      <c r="O344" s="571"/>
      <c r="P344" s="571"/>
      <c r="Q344" s="571"/>
      <c r="R344" s="571"/>
      <c r="S344" s="571"/>
      <c r="T344" s="571"/>
      <c r="U344" s="571"/>
      <c r="V344" s="571"/>
      <c r="W344" s="571"/>
      <c r="X344" s="571"/>
      <c r="Y344" s="571"/>
      <c r="Z344" s="571"/>
      <c r="AA344" s="571"/>
      <c r="AB344" s="571"/>
      <c r="AC344" s="571"/>
      <c r="AD344" s="571"/>
      <c r="AE344" s="571"/>
      <c r="AF344" s="571"/>
      <c r="AG344" s="690"/>
      <c r="AH344" s="691"/>
    </row>
    <row r="345">
      <c r="A345" s="568"/>
      <c r="B345" s="730"/>
      <c r="C345" s="730"/>
      <c r="D345" s="730"/>
      <c r="E345" s="730"/>
      <c r="F345" s="730"/>
      <c r="G345" s="730"/>
      <c r="H345" s="730"/>
      <c r="I345" s="730"/>
      <c r="J345" s="730"/>
      <c r="K345" s="730"/>
      <c r="L345" s="730"/>
      <c r="M345" s="730"/>
      <c r="N345" s="571"/>
      <c r="O345" s="571"/>
      <c r="P345" s="571"/>
      <c r="Q345" s="571"/>
      <c r="R345" s="571"/>
      <c r="S345" s="571"/>
      <c r="T345" s="571"/>
      <c r="U345" s="571"/>
      <c r="V345" s="571"/>
      <c r="W345" s="571"/>
      <c r="X345" s="571"/>
      <c r="Y345" s="571"/>
      <c r="Z345" s="571"/>
      <c r="AA345" s="571"/>
      <c r="AB345" s="571"/>
      <c r="AC345" s="571"/>
      <c r="AD345" s="571"/>
      <c r="AE345" s="571"/>
      <c r="AF345" s="571"/>
      <c r="AG345" s="690"/>
      <c r="AH345" s="691"/>
    </row>
    <row r="346">
      <c r="A346" s="568"/>
      <c r="B346" s="730"/>
      <c r="C346" s="730"/>
      <c r="D346" s="730"/>
      <c r="E346" s="730"/>
      <c r="F346" s="730"/>
      <c r="G346" s="730"/>
      <c r="H346" s="730"/>
      <c r="I346" s="730"/>
      <c r="J346" s="730"/>
      <c r="K346" s="730"/>
      <c r="L346" s="730"/>
      <c r="M346" s="730"/>
      <c r="N346" s="571"/>
      <c r="O346" s="571"/>
      <c r="P346" s="571"/>
      <c r="Q346" s="571"/>
      <c r="R346" s="571"/>
      <c r="S346" s="571"/>
      <c r="T346" s="571"/>
      <c r="U346" s="571"/>
      <c r="V346" s="571"/>
      <c r="W346" s="571"/>
      <c r="X346" s="571"/>
      <c r="Y346" s="571"/>
      <c r="Z346" s="571"/>
      <c r="AA346" s="571"/>
      <c r="AB346" s="571"/>
      <c r="AC346" s="571"/>
      <c r="AD346" s="571"/>
      <c r="AE346" s="571"/>
      <c r="AF346" s="571"/>
      <c r="AG346" s="690"/>
      <c r="AH346" s="691"/>
    </row>
    <row r="347">
      <c r="A347" s="568"/>
      <c r="B347" s="730"/>
      <c r="C347" s="730"/>
      <c r="D347" s="730"/>
      <c r="E347" s="730"/>
      <c r="F347" s="730"/>
      <c r="G347" s="730"/>
      <c r="H347" s="730"/>
      <c r="I347" s="730"/>
      <c r="J347" s="730"/>
      <c r="K347" s="730"/>
      <c r="L347" s="730"/>
      <c r="M347" s="730"/>
      <c r="N347" s="571"/>
      <c r="O347" s="571"/>
      <c r="P347" s="571"/>
      <c r="Q347" s="571"/>
      <c r="R347" s="571"/>
      <c r="S347" s="571"/>
      <c r="T347" s="571"/>
      <c r="U347" s="571"/>
      <c r="V347" s="571"/>
      <c r="W347" s="571"/>
      <c r="X347" s="571"/>
      <c r="Y347" s="571"/>
      <c r="Z347" s="571"/>
      <c r="AA347" s="571"/>
      <c r="AB347" s="571"/>
      <c r="AC347" s="571"/>
      <c r="AD347" s="571"/>
      <c r="AE347" s="571"/>
      <c r="AF347" s="571"/>
      <c r="AG347" s="690"/>
      <c r="AH347" s="691"/>
    </row>
    <row r="348">
      <c r="A348" s="568"/>
      <c r="B348" s="730"/>
      <c r="C348" s="730"/>
      <c r="D348" s="730"/>
      <c r="E348" s="730"/>
      <c r="F348" s="730"/>
      <c r="G348" s="730"/>
      <c r="H348" s="730"/>
      <c r="I348" s="730"/>
      <c r="J348" s="730"/>
      <c r="K348" s="730"/>
      <c r="L348" s="730"/>
      <c r="M348" s="730"/>
      <c r="N348" s="571"/>
      <c r="O348" s="571"/>
      <c r="P348" s="571"/>
      <c r="Q348" s="571"/>
      <c r="R348" s="571"/>
      <c r="S348" s="571"/>
      <c r="T348" s="571"/>
      <c r="U348" s="571"/>
      <c r="V348" s="571"/>
      <c r="W348" s="571"/>
      <c r="X348" s="571"/>
      <c r="Y348" s="571"/>
      <c r="Z348" s="571"/>
      <c r="AA348" s="571"/>
      <c r="AB348" s="571"/>
      <c r="AC348" s="571"/>
      <c r="AD348" s="571"/>
      <c r="AE348" s="571"/>
      <c r="AF348" s="571"/>
      <c r="AG348" s="690"/>
      <c r="AH348" s="691"/>
    </row>
    <row r="349">
      <c r="A349" s="568"/>
      <c r="B349" s="730"/>
      <c r="C349" s="730"/>
      <c r="D349" s="730"/>
      <c r="E349" s="730"/>
      <c r="F349" s="730"/>
      <c r="G349" s="730"/>
      <c r="H349" s="730"/>
      <c r="I349" s="730"/>
      <c r="J349" s="730"/>
      <c r="K349" s="730"/>
      <c r="L349" s="730"/>
      <c r="M349" s="730"/>
      <c r="N349" s="571"/>
      <c r="O349" s="571"/>
      <c r="P349" s="571"/>
      <c r="Q349" s="571"/>
      <c r="R349" s="571"/>
      <c r="S349" s="571"/>
      <c r="T349" s="571"/>
      <c r="U349" s="571"/>
      <c r="V349" s="571"/>
      <c r="W349" s="571"/>
      <c r="X349" s="571"/>
      <c r="Y349" s="571"/>
      <c r="Z349" s="571"/>
      <c r="AA349" s="571"/>
      <c r="AB349" s="571"/>
      <c r="AC349" s="571"/>
      <c r="AD349" s="571"/>
      <c r="AE349" s="571"/>
      <c r="AF349" s="571"/>
      <c r="AG349" s="690"/>
      <c r="AH349" s="691"/>
    </row>
    <row r="350">
      <c r="A350" s="568"/>
      <c r="B350" s="730"/>
      <c r="C350" s="730"/>
      <c r="D350" s="730"/>
      <c r="E350" s="730"/>
      <c r="F350" s="730"/>
      <c r="G350" s="730"/>
      <c r="H350" s="730"/>
      <c r="I350" s="730"/>
      <c r="J350" s="730"/>
      <c r="K350" s="730"/>
      <c r="L350" s="730"/>
      <c r="M350" s="730"/>
      <c r="N350" s="571"/>
      <c r="O350" s="571"/>
      <c r="P350" s="571"/>
      <c r="Q350" s="571"/>
      <c r="R350" s="571"/>
      <c r="S350" s="571"/>
      <c r="T350" s="571"/>
      <c r="U350" s="571"/>
      <c r="V350" s="571"/>
      <c r="W350" s="571"/>
      <c r="X350" s="571"/>
      <c r="Y350" s="571"/>
      <c r="Z350" s="571"/>
      <c r="AA350" s="571"/>
      <c r="AB350" s="571"/>
      <c r="AC350" s="571"/>
      <c r="AD350" s="571"/>
      <c r="AE350" s="571"/>
      <c r="AF350" s="571"/>
      <c r="AG350" s="690"/>
      <c r="AH350" s="691"/>
    </row>
    <row r="351">
      <c r="A351" s="568"/>
      <c r="B351" s="730"/>
      <c r="C351" s="730"/>
      <c r="D351" s="730"/>
      <c r="E351" s="730"/>
      <c r="F351" s="730"/>
      <c r="G351" s="730"/>
      <c r="H351" s="730"/>
      <c r="I351" s="730"/>
      <c r="J351" s="730"/>
      <c r="K351" s="730"/>
      <c r="L351" s="730"/>
      <c r="M351" s="730"/>
      <c r="N351" s="571"/>
      <c r="O351" s="571"/>
      <c r="P351" s="571"/>
      <c r="Q351" s="571"/>
      <c r="R351" s="571"/>
      <c r="S351" s="571"/>
      <c r="T351" s="571"/>
      <c r="U351" s="571"/>
      <c r="V351" s="571"/>
      <c r="W351" s="571"/>
      <c r="X351" s="571"/>
      <c r="Y351" s="571"/>
      <c r="Z351" s="571"/>
      <c r="AA351" s="571"/>
      <c r="AB351" s="571"/>
      <c r="AC351" s="571"/>
      <c r="AD351" s="571"/>
      <c r="AE351" s="571"/>
      <c r="AF351" s="571"/>
      <c r="AG351" s="690"/>
      <c r="AH351" s="691"/>
    </row>
    <row r="352">
      <c r="A352" s="568"/>
      <c r="B352" s="730"/>
      <c r="C352" s="730"/>
      <c r="D352" s="730"/>
      <c r="E352" s="730"/>
      <c r="F352" s="730"/>
      <c r="G352" s="730"/>
      <c r="H352" s="730"/>
      <c r="I352" s="730"/>
      <c r="J352" s="730"/>
      <c r="K352" s="730"/>
      <c r="L352" s="730"/>
      <c r="M352" s="730"/>
      <c r="N352" s="571"/>
      <c r="O352" s="571"/>
      <c r="P352" s="571"/>
      <c r="Q352" s="571"/>
      <c r="R352" s="571"/>
      <c r="S352" s="571"/>
      <c r="T352" s="571"/>
      <c r="U352" s="571"/>
      <c r="V352" s="571"/>
      <c r="W352" s="571"/>
      <c r="X352" s="571"/>
      <c r="Y352" s="571"/>
      <c r="Z352" s="571"/>
      <c r="AA352" s="571"/>
      <c r="AB352" s="571"/>
      <c r="AC352" s="571"/>
      <c r="AD352" s="571"/>
      <c r="AE352" s="571"/>
      <c r="AF352" s="571"/>
      <c r="AG352" s="690"/>
      <c r="AH352" s="691"/>
    </row>
    <row r="353">
      <c r="A353" s="568"/>
      <c r="B353" s="730"/>
      <c r="C353" s="730"/>
      <c r="D353" s="730"/>
      <c r="E353" s="730"/>
      <c r="F353" s="730"/>
      <c r="G353" s="730"/>
      <c r="H353" s="730"/>
      <c r="I353" s="730"/>
      <c r="J353" s="730"/>
      <c r="K353" s="730"/>
      <c r="L353" s="730"/>
      <c r="M353" s="730"/>
      <c r="N353" s="571"/>
      <c r="O353" s="571"/>
      <c r="P353" s="571"/>
      <c r="Q353" s="571"/>
      <c r="R353" s="571"/>
      <c r="S353" s="571"/>
      <c r="T353" s="571"/>
      <c r="U353" s="571"/>
      <c r="V353" s="571"/>
      <c r="W353" s="571"/>
      <c r="X353" s="571"/>
      <c r="Y353" s="571"/>
      <c r="Z353" s="571"/>
      <c r="AA353" s="571"/>
      <c r="AB353" s="571"/>
      <c r="AC353" s="571"/>
      <c r="AD353" s="571"/>
      <c r="AE353" s="571"/>
      <c r="AF353" s="571"/>
      <c r="AG353" s="690"/>
      <c r="AH353" s="691"/>
    </row>
    <row r="354">
      <c r="A354" s="568"/>
      <c r="B354" s="730"/>
      <c r="C354" s="730"/>
      <c r="D354" s="730"/>
      <c r="E354" s="730"/>
      <c r="F354" s="730"/>
      <c r="G354" s="730"/>
      <c r="H354" s="730"/>
      <c r="I354" s="730"/>
      <c r="J354" s="730"/>
      <c r="K354" s="730"/>
      <c r="L354" s="730"/>
      <c r="M354" s="730"/>
      <c r="N354" s="571"/>
      <c r="O354" s="571"/>
      <c r="P354" s="571"/>
      <c r="Q354" s="571"/>
      <c r="R354" s="571"/>
      <c r="S354" s="571"/>
      <c r="T354" s="571"/>
      <c r="U354" s="571"/>
      <c r="V354" s="571"/>
      <c r="W354" s="571"/>
      <c r="X354" s="571"/>
      <c r="Y354" s="571"/>
      <c r="Z354" s="571"/>
      <c r="AA354" s="571"/>
      <c r="AB354" s="571"/>
      <c r="AC354" s="571"/>
      <c r="AD354" s="571"/>
      <c r="AE354" s="571"/>
      <c r="AF354" s="571"/>
      <c r="AG354" s="690"/>
      <c r="AH354" s="691"/>
    </row>
    <row r="355">
      <c r="A355" s="568"/>
      <c r="B355" s="730"/>
      <c r="C355" s="730"/>
      <c r="D355" s="730"/>
      <c r="E355" s="730"/>
      <c r="F355" s="730"/>
      <c r="G355" s="730"/>
      <c r="H355" s="730"/>
      <c r="I355" s="730"/>
      <c r="J355" s="730"/>
      <c r="K355" s="730"/>
      <c r="L355" s="730"/>
      <c r="M355" s="730"/>
      <c r="N355" s="571"/>
      <c r="O355" s="571"/>
      <c r="P355" s="571"/>
      <c r="Q355" s="571"/>
      <c r="R355" s="571"/>
      <c r="S355" s="571"/>
      <c r="T355" s="571"/>
      <c r="U355" s="571"/>
      <c r="V355" s="571"/>
      <c r="W355" s="571"/>
      <c r="X355" s="571"/>
      <c r="Y355" s="571"/>
      <c r="Z355" s="571"/>
      <c r="AA355" s="571"/>
      <c r="AB355" s="571"/>
      <c r="AC355" s="571"/>
      <c r="AD355" s="571"/>
      <c r="AE355" s="571"/>
      <c r="AF355" s="571"/>
      <c r="AG355" s="690"/>
      <c r="AH355" s="691"/>
    </row>
    <row r="356">
      <c r="A356" s="568"/>
      <c r="B356" s="730"/>
      <c r="C356" s="730"/>
      <c r="D356" s="730"/>
      <c r="E356" s="730"/>
      <c r="F356" s="730"/>
      <c r="G356" s="730"/>
      <c r="H356" s="730"/>
      <c r="I356" s="730"/>
      <c r="J356" s="730"/>
      <c r="K356" s="730"/>
      <c r="L356" s="730"/>
      <c r="M356" s="730"/>
      <c r="N356" s="571"/>
      <c r="O356" s="571"/>
      <c r="P356" s="571"/>
      <c r="Q356" s="571"/>
      <c r="R356" s="571"/>
      <c r="S356" s="571"/>
      <c r="T356" s="571"/>
      <c r="U356" s="571"/>
      <c r="V356" s="571"/>
      <c r="W356" s="571"/>
      <c r="X356" s="571"/>
      <c r="Y356" s="571"/>
      <c r="Z356" s="571"/>
      <c r="AA356" s="571"/>
      <c r="AB356" s="571"/>
      <c r="AC356" s="571"/>
      <c r="AD356" s="571"/>
      <c r="AE356" s="571"/>
      <c r="AF356" s="571"/>
      <c r="AG356" s="690"/>
      <c r="AH356" s="691"/>
    </row>
    <row r="357">
      <c r="A357" s="568"/>
      <c r="B357" s="730"/>
      <c r="C357" s="730"/>
      <c r="D357" s="730"/>
      <c r="E357" s="730"/>
      <c r="F357" s="730"/>
      <c r="G357" s="730"/>
      <c r="H357" s="730"/>
      <c r="I357" s="730"/>
      <c r="J357" s="730"/>
      <c r="K357" s="730"/>
      <c r="L357" s="730"/>
      <c r="M357" s="730"/>
      <c r="N357" s="571"/>
      <c r="O357" s="571"/>
      <c r="P357" s="571"/>
      <c r="Q357" s="571"/>
      <c r="R357" s="571"/>
      <c r="S357" s="571"/>
      <c r="T357" s="571"/>
      <c r="U357" s="571"/>
      <c r="V357" s="571"/>
      <c r="W357" s="571"/>
      <c r="X357" s="571"/>
      <c r="Y357" s="571"/>
      <c r="Z357" s="571"/>
      <c r="AA357" s="571"/>
      <c r="AB357" s="571"/>
      <c r="AC357" s="571"/>
      <c r="AD357" s="571"/>
      <c r="AE357" s="571"/>
      <c r="AF357" s="571"/>
      <c r="AG357" s="690"/>
      <c r="AH357" s="691"/>
    </row>
    <row r="358">
      <c r="A358" s="568"/>
      <c r="B358" s="730"/>
      <c r="C358" s="730"/>
      <c r="D358" s="730"/>
      <c r="E358" s="730"/>
      <c r="F358" s="730"/>
      <c r="G358" s="730"/>
      <c r="H358" s="730"/>
      <c r="I358" s="730"/>
      <c r="J358" s="730"/>
      <c r="K358" s="730"/>
      <c r="L358" s="730"/>
      <c r="M358" s="730"/>
      <c r="N358" s="571"/>
      <c r="O358" s="571"/>
      <c r="P358" s="571"/>
      <c r="Q358" s="571"/>
      <c r="R358" s="571"/>
      <c r="S358" s="571"/>
      <c r="T358" s="571"/>
      <c r="U358" s="571"/>
      <c r="V358" s="571"/>
      <c r="W358" s="571"/>
      <c r="X358" s="571"/>
      <c r="Y358" s="571"/>
      <c r="Z358" s="571"/>
      <c r="AA358" s="571"/>
      <c r="AB358" s="571"/>
      <c r="AC358" s="571"/>
      <c r="AD358" s="571"/>
      <c r="AE358" s="571"/>
      <c r="AF358" s="571"/>
      <c r="AG358" s="690"/>
      <c r="AH358" s="691"/>
    </row>
    <row r="359">
      <c r="A359" s="568"/>
      <c r="B359" s="730"/>
      <c r="C359" s="730"/>
      <c r="D359" s="730"/>
      <c r="E359" s="730"/>
      <c r="F359" s="730"/>
      <c r="G359" s="730"/>
      <c r="H359" s="730"/>
      <c r="I359" s="730"/>
      <c r="J359" s="730"/>
      <c r="K359" s="730"/>
      <c r="L359" s="730"/>
      <c r="M359" s="730"/>
      <c r="N359" s="571"/>
      <c r="O359" s="571"/>
      <c r="P359" s="571"/>
      <c r="Q359" s="571"/>
      <c r="R359" s="571"/>
      <c r="S359" s="571"/>
      <c r="T359" s="571"/>
      <c r="U359" s="571"/>
      <c r="V359" s="571"/>
      <c r="W359" s="571"/>
      <c r="X359" s="571"/>
      <c r="Y359" s="571"/>
      <c r="Z359" s="571"/>
      <c r="AA359" s="571"/>
      <c r="AB359" s="571"/>
      <c r="AC359" s="571"/>
      <c r="AD359" s="571"/>
      <c r="AE359" s="571"/>
      <c r="AF359" s="571"/>
      <c r="AG359" s="690"/>
      <c r="AH359" s="691"/>
    </row>
    <row r="360">
      <c r="A360" s="568"/>
      <c r="B360" s="730"/>
      <c r="C360" s="730"/>
      <c r="D360" s="730"/>
      <c r="E360" s="730"/>
      <c r="F360" s="730"/>
      <c r="G360" s="730"/>
      <c r="H360" s="730"/>
      <c r="I360" s="730"/>
      <c r="J360" s="730"/>
      <c r="K360" s="730"/>
      <c r="L360" s="730"/>
      <c r="M360" s="730"/>
      <c r="N360" s="571"/>
      <c r="O360" s="571"/>
      <c r="P360" s="571"/>
      <c r="Q360" s="571"/>
      <c r="R360" s="571"/>
      <c r="S360" s="571"/>
      <c r="T360" s="571"/>
      <c r="U360" s="571"/>
      <c r="V360" s="571"/>
      <c r="W360" s="571"/>
      <c r="X360" s="571"/>
      <c r="Y360" s="571"/>
      <c r="Z360" s="571"/>
      <c r="AA360" s="571"/>
      <c r="AB360" s="571"/>
      <c r="AC360" s="571"/>
      <c r="AD360" s="571"/>
      <c r="AE360" s="571"/>
      <c r="AF360" s="571"/>
      <c r="AG360" s="690"/>
      <c r="AH360" s="691"/>
    </row>
    <row r="361">
      <c r="A361" s="568"/>
      <c r="B361" s="730"/>
      <c r="C361" s="730"/>
      <c r="D361" s="730"/>
      <c r="E361" s="730"/>
      <c r="F361" s="730"/>
      <c r="G361" s="730"/>
      <c r="H361" s="730"/>
      <c r="I361" s="730"/>
      <c r="J361" s="730"/>
      <c r="K361" s="730"/>
      <c r="L361" s="730"/>
      <c r="M361" s="730"/>
      <c r="N361" s="571"/>
      <c r="O361" s="571"/>
      <c r="P361" s="571"/>
      <c r="Q361" s="571"/>
      <c r="R361" s="571"/>
      <c r="S361" s="571"/>
      <c r="T361" s="571"/>
      <c r="U361" s="571"/>
      <c r="V361" s="571"/>
      <c r="W361" s="571"/>
      <c r="X361" s="571"/>
      <c r="Y361" s="571"/>
      <c r="Z361" s="571"/>
      <c r="AA361" s="571"/>
      <c r="AB361" s="571"/>
      <c r="AC361" s="571"/>
      <c r="AD361" s="571"/>
      <c r="AE361" s="571"/>
      <c r="AF361" s="571"/>
      <c r="AG361" s="690"/>
      <c r="AH361" s="691"/>
    </row>
    <row r="362">
      <c r="A362" s="568"/>
      <c r="B362" s="730"/>
      <c r="C362" s="730"/>
      <c r="D362" s="730"/>
      <c r="E362" s="730"/>
      <c r="F362" s="730"/>
      <c r="G362" s="730"/>
      <c r="H362" s="730"/>
      <c r="I362" s="730"/>
      <c r="J362" s="730"/>
      <c r="K362" s="730"/>
      <c r="L362" s="730"/>
      <c r="M362" s="730"/>
      <c r="N362" s="571"/>
      <c r="O362" s="571"/>
      <c r="P362" s="571"/>
      <c r="Q362" s="571"/>
      <c r="R362" s="571"/>
      <c r="S362" s="571"/>
      <c r="T362" s="571"/>
      <c r="U362" s="571"/>
      <c r="V362" s="571"/>
      <c r="W362" s="571"/>
      <c r="X362" s="571"/>
      <c r="Y362" s="571"/>
      <c r="Z362" s="571"/>
      <c r="AA362" s="571"/>
      <c r="AB362" s="571"/>
      <c r="AC362" s="571"/>
      <c r="AD362" s="571"/>
      <c r="AE362" s="571"/>
      <c r="AF362" s="571"/>
      <c r="AG362" s="690"/>
      <c r="AH362" s="691"/>
    </row>
    <row r="363">
      <c r="A363" s="568"/>
      <c r="B363" s="730"/>
      <c r="C363" s="730"/>
      <c r="D363" s="730"/>
      <c r="E363" s="730"/>
      <c r="F363" s="730"/>
      <c r="G363" s="730"/>
      <c r="H363" s="730"/>
      <c r="I363" s="730"/>
      <c r="J363" s="730"/>
      <c r="K363" s="730"/>
      <c r="L363" s="730"/>
      <c r="M363" s="730"/>
      <c r="N363" s="571"/>
      <c r="O363" s="571"/>
      <c r="P363" s="571"/>
      <c r="Q363" s="571"/>
      <c r="R363" s="571"/>
      <c r="S363" s="571"/>
      <c r="T363" s="571"/>
      <c r="U363" s="571"/>
      <c r="V363" s="571"/>
      <c r="W363" s="571"/>
      <c r="X363" s="571"/>
      <c r="Y363" s="571"/>
      <c r="Z363" s="571"/>
      <c r="AA363" s="571"/>
      <c r="AB363" s="571"/>
      <c r="AC363" s="571"/>
      <c r="AD363" s="571"/>
      <c r="AE363" s="571"/>
      <c r="AF363" s="571"/>
      <c r="AG363" s="690"/>
      <c r="AH363" s="691"/>
    </row>
    <row r="364">
      <c r="A364" s="568"/>
      <c r="B364" s="730"/>
      <c r="C364" s="730"/>
      <c r="D364" s="730"/>
      <c r="E364" s="730"/>
      <c r="F364" s="730"/>
      <c r="G364" s="730"/>
      <c r="H364" s="730"/>
      <c r="I364" s="730"/>
      <c r="J364" s="730"/>
      <c r="K364" s="730"/>
      <c r="L364" s="730"/>
      <c r="M364" s="730"/>
      <c r="N364" s="571"/>
      <c r="O364" s="571"/>
      <c r="P364" s="571"/>
      <c r="Q364" s="571"/>
      <c r="R364" s="571"/>
      <c r="S364" s="571"/>
      <c r="T364" s="571"/>
      <c r="U364" s="571"/>
      <c r="V364" s="571"/>
      <c r="W364" s="571"/>
      <c r="X364" s="571"/>
      <c r="Y364" s="571"/>
      <c r="Z364" s="571"/>
      <c r="AA364" s="571"/>
      <c r="AB364" s="571"/>
      <c r="AC364" s="571"/>
      <c r="AD364" s="571"/>
      <c r="AE364" s="571"/>
      <c r="AF364" s="571"/>
      <c r="AG364" s="690"/>
      <c r="AH364" s="691"/>
    </row>
    <row r="365">
      <c r="A365" s="568"/>
      <c r="B365" s="730"/>
      <c r="C365" s="730"/>
      <c r="D365" s="730"/>
      <c r="E365" s="730"/>
      <c r="F365" s="730"/>
      <c r="G365" s="730"/>
      <c r="H365" s="730"/>
      <c r="I365" s="730"/>
      <c r="J365" s="730"/>
      <c r="K365" s="730"/>
      <c r="L365" s="730"/>
      <c r="M365" s="730"/>
      <c r="N365" s="571"/>
      <c r="O365" s="571"/>
      <c r="P365" s="571"/>
      <c r="Q365" s="571"/>
      <c r="R365" s="571"/>
      <c r="S365" s="571"/>
      <c r="T365" s="571"/>
      <c r="U365" s="571"/>
      <c r="V365" s="571"/>
      <c r="W365" s="571"/>
      <c r="X365" s="571"/>
      <c r="Y365" s="571"/>
      <c r="Z365" s="571"/>
      <c r="AA365" s="571"/>
      <c r="AB365" s="571"/>
      <c r="AC365" s="571"/>
      <c r="AD365" s="571"/>
      <c r="AE365" s="571"/>
      <c r="AF365" s="571"/>
      <c r="AG365" s="690"/>
      <c r="AH365" s="691"/>
    </row>
    <row r="366">
      <c r="A366" s="568"/>
      <c r="B366" s="730"/>
      <c r="C366" s="730"/>
      <c r="D366" s="730"/>
      <c r="E366" s="730"/>
      <c r="F366" s="730"/>
      <c r="G366" s="730"/>
      <c r="H366" s="730"/>
      <c r="I366" s="730"/>
      <c r="J366" s="730"/>
      <c r="K366" s="730"/>
      <c r="L366" s="730"/>
      <c r="M366" s="730"/>
      <c r="N366" s="571"/>
      <c r="O366" s="571"/>
      <c r="P366" s="571"/>
      <c r="Q366" s="571"/>
      <c r="R366" s="571"/>
      <c r="S366" s="571"/>
      <c r="T366" s="571"/>
      <c r="U366" s="571"/>
      <c r="V366" s="571"/>
      <c r="W366" s="571"/>
      <c r="X366" s="571"/>
      <c r="Y366" s="571"/>
      <c r="Z366" s="571"/>
      <c r="AA366" s="571"/>
      <c r="AB366" s="571"/>
      <c r="AC366" s="571"/>
      <c r="AD366" s="571"/>
      <c r="AE366" s="571"/>
      <c r="AF366" s="571"/>
      <c r="AG366" s="690"/>
      <c r="AH366" s="691"/>
    </row>
    <row r="367">
      <c r="A367" s="568"/>
      <c r="B367" s="730"/>
      <c r="C367" s="730"/>
      <c r="D367" s="730"/>
      <c r="E367" s="730"/>
      <c r="F367" s="730"/>
      <c r="G367" s="730"/>
      <c r="H367" s="730"/>
      <c r="I367" s="730"/>
      <c r="J367" s="730"/>
      <c r="K367" s="730"/>
      <c r="L367" s="730"/>
      <c r="M367" s="730"/>
      <c r="N367" s="571"/>
      <c r="O367" s="571"/>
      <c r="P367" s="571"/>
      <c r="Q367" s="571"/>
      <c r="R367" s="571"/>
      <c r="S367" s="571"/>
      <c r="T367" s="571"/>
      <c r="U367" s="571"/>
      <c r="V367" s="571"/>
      <c r="W367" s="571"/>
      <c r="X367" s="571"/>
      <c r="Y367" s="571"/>
      <c r="Z367" s="571"/>
      <c r="AA367" s="571"/>
      <c r="AB367" s="571"/>
      <c r="AC367" s="571"/>
      <c r="AD367" s="571"/>
      <c r="AE367" s="571"/>
      <c r="AF367" s="571"/>
      <c r="AG367" s="690"/>
      <c r="AH367" s="691"/>
    </row>
    <row r="368">
      <c r="A368" s="568"/>
      <c r="B368" s="730"/>
      <c r="C368" s="730"/>
      <c r="D368" s="730"/>
      <c r="E368" s="730"/>
      <c r="F368" s="730"/>
      <c r="G368" s="730"/>
      <c r="H368" s="730"/>
      <c r="I368" s="730"/>
      <c r="J368" s="730"/>
      <c r="K368" s="730"/>
      <c r="L368" s="730"/>
      <c r="M368" s="730"/>
      <c r="N368" s="571"/>
      <c r="O368" s="571"/>
      <c r="P368" s="571"/>
      <c r="Q368" s="571"/>
      <c r="R368" s="571"/>
      <c r="S368" s="571"/>
      <c r="T368" s="571"/>
      <c r="U368" s="571"/>
      <c r="V368" s="571"/>
      <c r="W368" s="571"/>
      <c r="X368" s="571"/>
      <c r="Y368" s="571"/>
      <c r="Z368" s="571"/>
      <c r="AA368" s="571"/>
      <c r="AB368" s="571"/>
      <c r="AC368" s="571"/>
      <c r="AD368" s="571"/>
      <c r="AE368" s="571"/>
      <c r="AF368" s="571"/>
      <c r="AG368" s="690"/>
      <c r="AH368" s="691"/>
    </row>
    <row r="369">
      <c r="A369" s="568"/>
      <c r="B369" s="730"/>
      <c r="C369" s="730"/>
      <c r="D369" s="730"/>
      <c r="E369" s="730"/>
      <c r="F369" s="730"/>
      <c r="G369" s="730"/>
      <c r="H369" s="730"/>
      <c r="I369" s="730"/>
      <c r="J369" s="730"/>
      <c r="K369" s="730"/>
      <c r="L369" s="730"/>
      <c r="M369" s="730"/>
      <c r="N369" s="571"/>
      <c r="O369" s="571"/>
      <c r="P369" s="571"/>
      <c r="Q369" s="571"/>
      <c r="R369" s="571"/>
      <c r="S369" s="571"/>
      <c r="T369" s="571"/>
      <c r="U369" s="571"/>
      <c r="V369" s="571"/>
      <c r="W369" s="571"/>
      <c r="X369" s="571"/>
      <c r="Y369" s="571"/>
      <c r="Z369" s="571"/>
      <c r="AA369" s="571"/>
      <c r="AB369" s="571"/>
      <c r="AC369" s="571"/>
      <c r="AD369" s="571"/>
      <c r="AE369" s="571"/>
      <c r="AF369" s="571"/>
      <c r="AG369" s="690"/>
      <c r="AH369" s="691"/>
    </row>
    <row r="370">
      <c r="A370" s="568"/>
      <c r="B370" s="730"/>
      <c r="C370" s="730"/>
      <c r="D370" s="730"/>
      <c r="E370" s="730"/>
      <c r="F370" s="730"/>
      <c r="G370" s="730"/>
      <c r="H370" s="730"/>
      <c r="I370" s="730"/>
      <c r="J370" s="730"/>
      <c r="K370" s="730"/>
      <c r="L370" s="730"/>
      <c r="M370" s="730"/>
      <c r="N370" s="571"/>
      <c r="O370" s="571"/>
      <c r="P370" s="571"/>
      <c r="Q370" s="571"/>
      <c r="R370" s="571"/>
      <c r="S370" s="571"/>
      <c r="T370" s="571"/>
      <c r="U370" s="571"/>
      <c r="V370" s="571"/>
      <c r="W370" s="571"/>
      <c r="X370" s="571"/>
      <c r="Y370" s="571"/>
      <c r="Z370" s="571"/>
      <c r="AA370" s="571"/>
      <c r="AB370" s="571"/>
      <c r="AC370" s="571"/>
      <c r="AD370" s="571"/>
      <c r="AE370" s="571"/>
      <c r="AF370" s="571"/>
      <c r="AG370" s="690"/>
      <c r="AH370" s="691"/>
    </row>
    <row r="371">
      <c r="A371" s="568"/>
      <c r="B371" s="730"/>
      <c r="C371" s="730"/>
      <c r="D371" s="730"/>
      <c r="E371" s="730"/>
      <c r="F371" s="730"/>
      <c r="G371" s="730"/>
      <c r="H371" s="730"/>
      <c r="I371" s="730"/>
      <c r="J371" s="730"/>
      <c r="K371" s="730"/>
      <c r="L371" s="730"/>
      <c r="M371" s="730"/>
      <c r="N371" s="571"/>
      <c r="O371" s="571"/>
      <c r="P371" s="571"/>
      <c r="Q371" s="571"/>
      <c r="R371" s="571"/>
      <c r="S371" s="571"/>
      <c r="T371" s="571"/>
      <c r="U371" s="571"/>
      <c r="V371" s="571"/>
      <c r="W371" s="571"/>
      <c r="X371" s="571"/>
      <c r="Y371" s="571"/>
      <c r="Z371" s="571"/>
      <c r="AA371" s="571"/>
      <c r="AB371" s="571"/>
      <c r="AC371" s="571"/>
      <c r="AD371" s="571"/>
      <c r="AE371" s="571"/>
      <c r="AF371" s="571"/>
      <c r="AG371" s="690"/>
      <c r="AH371" s="691"/>
    </row>
    <row r="372">
      <c r="A372" s="568"/>
      <c r="B372" s="730"/>
      <c r="C372" s="730"/>
      <c r="D372" s="730"/>
      <c r="E372" s="730"/>
      <c r="F372" s="730"/>
      <c r="G372" s="730"/>
      <c r="H372" s="730"/>
      <c r="I372" s="730"/>
      <c r="J372" s="730"/>
      <c r="K372" s="730"/>
      <c r="L372" s="730"/>
      <c r="M372" s="730"/>
      <c r="N372" s="571"/>
      <c r="O372" s="571"/>
      <c r="P372" s="571"/>
      <c r="Q372" s="571"/>
      <c r="R372" s="571"/>
      <c r="S372" s="571"/>
      <c r="T372" s="571"/>
      <c r="U372" s="571"/>
      <c r="V372" s="571"/>
      <c r="W372" s="571"/>
      <c r="X372" s="571"/>
      <c r="Y372" s="571"/>
      <c r="Z372" s="571"/>
      <c r="AA372" s="571"/>
      <c r="AB372" s="571"/>
      <c r="AC372" s="571"/>
      <c r="AD372" s="571"/>
      <c r="AE372" s="571"/>
      <c r="AF372" s="571"/>
      <c r="AG372" s="690"/>
      <c r="AH372" s="691"/>
    </row>
    <row r="373">
      <c r="A373" s="568"/>
      <c r="B373" s="730"/>
      <c r="C373" s="730"/>
      <c r="D373" s="730"/>
      <c r="E373" s="730"/>
      <c r="F373" s="730"/>
      <c r="G373" s="730"/>
      <c r="H373" s="730"/>
      <c r="I373" s="730"/>
      <c r="J373" s="730"/>
      <c r="K373" s="730"/>
      <c r="L373" s="730"/>
      <c r="M373" s="730"/>
      <c r="N373" s="571"/>
      <c r="O373" s="571"/>
      <c r="P373" s="571"/>
      <c r="Q373" s="571"/>
      <c r="R373" s="571"/>
      <c r="S373" s="571"/>
      <c r="T373" s="571"/>
      <c r="U373" s="571"/>
      <c r="V373" s="571"/>
      <c r="W373" s="571"/>
      <c r="X373" s="571"/>
      <c r="Y373" s="571"/>
      <c r="Z373" s="571"/>
      <c r="AA373" s="571"/>
      <c r="AB373" s="571"/>
      <c r="AC373" s="571"/>
      <c r="AD373" s="571"/>
      <c r="AE373" s="571"/>
      <c r="AF373" s="571"/>
      <c r="AG373" s="690"/>
      <c r="AH373" s="691"/>
    </row>
    <row r="374">
      <c r="A374" s="568"/>
      <c r="B374" s="730"/>
      <c r="C374" s="730"/>
      <c r="D374" s="730"/>
      <c r="E374" s="730"/>
      <c r="F374" s="730"/>
      <c r="G374" s="730"/>
      <c r="H374" s="730"/>
      <c r="I374" s="730"/>
      <c r="J374" s="730"/>
      <c r="K374" s="730"/>
      <c r="L374" s="730"/>
      <c r="M374" s="730"/>
      <c r="N374" s="571"/>
      <c r="O374" s="571"/>
      <c r="P374" s="571"/>
      <c r="Q374" s="571"/>
      <c r="R374" s="571"/>
      <c r="S374" s="571"/>
      <c r="T374" s="571"/>
      <c r="U374" s="571"/>
      <c r="V374" s="571"/>
      <c r="W374" s="571"/>
      <c r="X374" s="571"/>
      <c r="Y374" s="571"/>
      <c r="Z374" s="571"/>
      <c r="AA374" s="571"/>
      <c r="AB374" s="571"/>
      <c r="AC374" s="571"/>
      <c r="AD374" s="571"/>
      <c r="AE374" s="571"/>
      <c r="AF374" s="571"/>
      <c r="AG374" s="690"/>
      <c r="AH374" s="691"/>
    </row>
    <row r="375">
      <c r="A375" s="568"/>
      <c r="B375" s="730"/>
      <c r="C375" s="730"/>
      <c r="D375" s="730"/>
      <c r="E375" s="730"/>
      <c r="F375" s="730"/>
      <c r="G375" s="730"/>
      <c r="H375" s="730"/>
      <c r="I375" s="730"/>
      <c r="J375" s="730"/>
      <c r="K375" s="730"/>
      <c r="L375" s="730"/>
      <c r="M375" s="730"/>
      <c r="N375" s="571"/>
      <c r="O375" s="571"/>
      <c r="P375" s="571"/>
      <c r="Q375" s="571"/>
      <c r="R375" s="571"/>
      <c r="S375" s="571"/>
      <c r="T375" s="571"/>
      <c r="U375" s="571"/>
      <c r="V375" s="571"/>
      <c r="W375" s="571"/>
      <c r="X375" s="571"/>
      <c r="Y375" s="571"/>
      <c r="Z375" s="571"/>
      <c r="AA375" s="571"/>
      <c r="AB375" s="571"/>
      <c r="AC375" s="571"/>
      <c r="AD375" s="571"/>
      <c r="AE375" s="571"/>
      <c r="AF375" s="571"/>
      <c r="AG375" s="690"/>
      <c r="AH375" s="691"/>
    </row>
    <row r="376">
      <c r="A376" s="568"/>
      <c r="B376" s="730"/>
      <c r="C376" s="730"/>
      <c r="D376" s="730"/>
      <c r="E376" s="730"/>
      <c r="F376" s="730"/>
      <c r="G376" s="730"/>
      <c r="H376" s="730"/>
      <c r="I376" s="730"/>
      <c r="J376" s="730"/>
      <c r="K376" s="730"/>
      <c r="L376" s="730"/>
      <c r="M376" s="730"/>
      <c r="N376" s="571"/>
      <c r="O376" s="571"/>
      <c r="P376" s="571"/>
      <c r="Q376" s="571"/>
      <c r="R376" s="571"/>
      <c r="S376" s="571"/>
      <c r="T376" s="571"/>
      <c r="U376" s="571"/>
      <c r="V376" s="571"/>
      <c r="W376" s="571"/>
      <c r="X376" s="571"/>
      <c r="Y376" s="571"/>
      <c r="Z376" s="571"/>
      <c r="AA376" s="571"/>
      <c r="AB376" s="571"/>
      <c r="AC376" s="571"/>
      <c r="AD376" s="571"/>
      <c r="AE376" s="571"/>
      <c r="AF376" s="571"/>
      <c r="AG376" s="690"/>
      <c r="AH376" s="691"/>
    </row>
    <row r="377">
      <c r="A377" s="568"/>
      <c r="B377" s="730"/>
      <c r="C377" s="730"/>
      <c r="D377" s="730"/>
      <c r="E377" s="730"/>
      <c r="F377" s="730"/>
      <c r="G377" s="730"/>
      <c r="H377" s="730"/>
      <c r="I377" s="730"/>
      <c r="J377" s="730"/>
      <c r="K377" s="730"/>
      <c r="L377" s="730"/>
      <c r="M377" s="730"/>
      <c r="N377" s="571"/>
      <c r="O377" s="571"/>
      <c r="P377" s="571"/>
      <c r="Q377" s="571"/>
      <c r="R377" s="571"/>
      <c r="S377" s="571"/>
      <c r="T377" s="571"/>
      <c r="U377" s="571"/>
      <c r="V377" s="571"/>
      <c r="W377" s="571"/>
      <c r="X377" s="571"/>
      <c r="Y377" s="571"/>
      <c r="Z377" s="571"/>
      <c r="AA377" s="571"/>
      <c r="AB377" s="571"/>
      <c r="AC377" s="571"/>
      <c r="AD377" s="571"/>
      <c r="AE377" s="571"/>
      <c r="AF377" s="571"/>
      <c r="AG377" s="690"/>
      <c r="AH377" s="691"/>
    </row>
    <row r="378">
      <c r="A378" s="568"/>
      <c r="B378" s="730"/>
      <c r="C378" s="730"/>
      <c r="D378" s="730"/>
      <c r="E378" s="730"/>
      <c r="F378" s="730"/>
      <c r="G378" s="730"/>
      <c r="H378" s="730"/>
      <c r="I378" s="730"/>
      <c r="J378" s="730"/>
      <c r="K378" s="730"/>
      <c r="L378" s="730"/>
      <c r="M378" s="730"/>
      <c r="N378" s="571"/>
      <c r="O378" s="571"/>
      <c r="P378" s="571"/>
      <c r="Q378" s="571"/>
      <c r="R378" s="571"/>
      <c r="S378" s="571"/>
      <c r="T378" s="571"/>
      <c r="U378" s="571"/>
      <c r="V378" s="571"/>
      <c r="W378" s="571"/>
      <c r="X378" s="571"/>
      <c r="Y378" s="571"/>
      <c r="Z378" s="571"/>
      <c r="AA378" s="571"/>
      <c r="AB378" s="571"/>
      <c r="AC378" s="571"/>
      <c r="AD378" s="571"/>
      <c r="AE378" s="571"/>
      <c r="AF378" s="571"/>
      <c r="AG378" s="690"/>
      <c r="AH378" s="691"/>
    </row>
    <row r="379">
      <c r="A379" s="568"/>
      <c r="B379" s="730"/>
      <c r="C379" s="730"/>
      <c r="D379" s="730"/>
      <c r="E379" s="730"/>
      <c r="F379" s="730"/>
      <c r="G379" s="730"/>
      <c r="H379" s="730"/>
      <c r="I379" s="730"/>
      <c r="J379" s="730"/>
      <c r="K379" s="730"/>
      <c r="L379" s="730"/>
      <c r="M379" s="730"/>
      <c r="N379" s="571"/>
      <c r="O379" s="571"/>
      <c r="P379" s="571"/>
      <c r="Q379" s="571"/>
      <c r="R379" s="571"/>
      <c r="S379" s="571"/>
      <c r="T379" s="571"/>
      <c r="U379" s="571"/>
      <c r="V379" s="571"/>
      <c r="W379" s="571"/>
      <c r="X379" s="571"/>
      <c r="Y379" s="571"/>
      <c r="Z379" s="571"/>
      <c r="AA379" s="571"/>
      <c r="AB379" s="571"/>
      <c r="AC379" s="571"/>
      <c r="AD379" s="571"/>
      <c r="AE379" s="571"/>
      <c r="AF379" s="571"/>
      <c r="AG379" s="690"/>
      <c r="AH379" s="691"/>
    </row>
    <row r="380">
      <c r="A380" s="568"/>
      <c r="B380" s="730"/>
      <c r="C380" s="730"/>
      <c r="D380" s="730"/>
      <c r="E380" s="730"/>
      <c r="F380" s="730"/>
      <c r="G380" s="730"/>
      <c r="H380" s="730"/>
      <c r="I380" s="730"/>
      <c r="J380" s="730"/>
      <c r="K380" s="730"/>
      <c r="L380" s="730"/>
      <c r="M380" s="730"/>
      <c r="N380" s="571"/>
      <c r="O380" s="571"/>
      <c r="P380" s="571"/>
      <c r="Q380" s="571"/>
      <c r="R380" s="571"/>
      <c r="S380" s="571"/>
      <c r="T380" s="571"/>
      <c r="U380" s="571"/>
      <c r="V380" s="571"/>
      <c r="W380" s="571"/>
      <c r="X380" s="571"/>
      <c r="Y380" s="571"/>
      <c r="Z380" s="571"/>
      <c r="AA380" s="571"/>
      <c r="AB380" s="571"/>
      <c r="AC380" s="571"/>
      <c r="AD380" s="571"/>
      <c r="AE380" s="571"/>
      <c r="AF380" s="571"/>
      <c r="AG380" s="690"/>
      <c r="AH380" s="691"/>
    </row>
    <row r="381">
      <c r="A381" s="568"/>
      <c r="B381" s="730"/>
      <c r="C381" s="730"/>
      <c r="D381" s="730"/>
      <c r="E381" s="730"/>
      <c r="F381" s="730"/>
      <c r="G381" s="730"/>
      <c r="H381" s="730"/>
      <c r="I381" s="730"/>
      <c r="J381" s="730"/>
      <c r="K381" s="730"/>
      <c r="L381" s="730"/>
      <c r="M381" s="730"/>
      <c r="N381" s="571"/>
      <c r="O381" s="571"/>
      <c r="P381" s="571"/>
      <c r="Q381" s="571"/>
      <c r="R381" s="571"/>
      <c r="S381" s="571"/>
      <c r="T381" s="571"/>
      <c r="U381" s="571"/>
      <c r="V381" s="571"/>
      <c r="W381" s="571"/>
      <c r="X381" s="571"/>
      <c r="Y381" s="571"/>
      <c r="Z381" s="571"/>
      <c r="AA381" s="571"/>
      <c r="AB381" s="571"/>
      <c r="AC381" s="571"/>
      <c r="AD381" s="571"/>
      <c r="AE381" s="571"/>
      <c r="AF381" s="571"/>
      <c r="AG381" s="690"/>
      <c r="AH381" s="691"/>
    </row>
    <row r="382">
      <c r="A382" s="568"/>
      <c r="B382" s="730"/>
      <c r="C382" s="730"/>
      <c r="D382" s="730"/>
      <c r="E382" s="730"/>
      <c r="F382" s="730"/>
      <c r="G382" s="730"/>
      <c r="H382" s="730"/>
      <c r="I382" s="730"/>
      <c r="J382" s="730"/>
      <c r="K382" s="730"/>
      <c r="L382" s="730"/>
      <c r="M382" s="730"/>
      <c r="N382" s="571"/>
      <c r="O382" s="571"/>
      <c r="P382" s="571"/>
      <c r="Q382" s="571"/>
      <c r="R382" s="571"/>
      <c r="S382" s="571"/>
      <c r="T382" s="571"/>
      <c r="U382" s="571"/>
      <c r="V382" s="571"/>
      <c r="W382" s="571"/>
      <c r="X382" s="571"/>
      <c r="Y382" s="571"/>
      <c r="Z382" s="571"/>
      <c r="AA382" s="571"/>
      <c r="AB382" s="571"/>
      <c r="AC382" s="571"/>
      <c r="AD382" s="571"/>
      <c r="AE382" s="571"/>
      <c r="AF382" s="571"/>
      <c r="AG382" s="690"/>
      <c r="AH382" s="691"/>
    </row>
    <row r="383">
      <c r="A383" s="568"/>
      <c r="B383" s="730"/>
      <c r="C383" s="730"/>
      <c r="D383" s="730"/>
      <c r="E383" s="730"/>
      <c r="F383" s="730"/>
      <c r="G383" s="730"/>
      <c r="H383" s="730"/>
      <c r="I383" s="730"/>
      <c r="J383" s="730"/>
      <c r="K383" s="730"/>
      <c r="L383" s="730"/>
      <c r="M383" s="730"/>
      <c r="N383" s="571"/>
      <c r="O383" s="571"/>
      <c r="P383" s="571"/>
      <c r="Q383" s="571"/>
      <c r="R383" s="571"/>
      <c r="S383" s="571"/>
      <c r="T383" s="571"/>
      <c r="U383" s="571"/>
      <c r="V383" s="571"/>
      <c r="W383" s="571"/>
      <c r="X383" s="571"/>
      <c r="Y383" s="571"/>
      <c r="Z383" s="571"/>
      <c r="AA383" s="571"/>
      <c r="AB383" s="571"/>
      <c r="AC383" s="571"/>
      <c r="AD383" s="571"/>
      <c r="AE383" s="571"/>
      <c r="AF383" s="571"/>
      <c r="AG383" s="690"/>
      <c r="AH383" s="691"/>
    </row>
    <row r="384">
      <c r="A384" s="568"/>
      <c r="B384" s="730"/>
      <c r="C384" s="730"/>
      <c r="D384" s="730"/>
      <c r="E384" s="730"/>
      <c r="F384" s="730"/>
      <c r="G384" s="730"/>
      <c r="H384" s="730"/>
      <c r="I384" s="730"/>
      <c r="J384" s="730"/>
      <c r="K384" s="730"/>
      <c r="L384" s="730"/>
      <c r="M384" s="730"/>
      <c r="N384" s="571"/>
      <c r="O384" s="571"/>
      <c r="P384" s="571"/>
      <c r="Q384" s="571"/>
      <c r="R384" s="571"/>
      <c r="S384" s="571"/>
      <c r="T384" s="571"/>
      <c r="U384" s="571"/>
      <c r="V384" s="571"/>
      <c r="W384" s="571"/>
      <c r="X384" s="571"/>
      <c r="Y384" s="571"/>
      <c r="Z384" s="571"/>
      <c r="AA384" s="571"/>
      <c r="AB384" s="571"/>
      <c r="AC384" s="571"/>
      <c r="AD384" s="571"/>
      <c r="AE384" s="571"/>
      <c r="AF384" s="571"/>
      <c r="AG384" s="690"/>
      <c r="AH384" s="691"/>
    </row>
    <row r="385">
      <c r="A385" s="568"/>
      <c r="B385" s="730"/>
      <c r="C385" s="730"/>
      <c r="D385" s="730"/>
      <c r="E385" s="730"/>
      <c r="F385" s="730"/>
      <c r="G385" s="730"/>
      <c r="H385" s="730"/>
      <c r="I385" s="730"/>
      <c r="J385" s="730"/>
      <c r="K385" s="730"/>
      <c r="L385" s="730"/>
      <c r="M385" s="730"/>
      <c r="N385" s="571"/>
      <c r="O385" s="571"/>
      <c r="P385" s="571"/>
      <c r="Q385" s="571"/>
      <c r="R385" s="571"/>
      <c r="S385" s="571"/>
      <c r="T385" s="571"/>
      <c r="U385" s="571"/>
      <c r="V385" s="571"/>
      <c r="W385" s="571"/>
      <c r="X385" s="571"/>
      <c r="Y385" s="571"/>
      <c r="Z385" s="571"/>
      <c r="AA385" s="571"/>
      <c r="AB385" s="571"/>
      <c r="AC385" s="571"/>
      <c r="AD385" s="571"/>
      <c r="AE385" s="571"/>
      <c r="AF385" s="571"/>
      <c r="AG385" s="690"/>
      <c r="AH385" s="691"/>
    </row>
    <row r="386">
      <c r="A386" s="568"/>
      <c r="B386" s="730"/>
      <c r="C386" s="730"/>
      <c r="D386" s="730"/>
      <c r="E386" s="730"/>
      <c r="F386" s="730"/>
      <c r="G386" s="730"/>
      <c r="H386" s="730"/>
      <c r="I386" s="730"/>
      <c r="J386" s="730"/>
      <c r="K386" s="730"/>
      <c r="L386" s="730"/>
      <c r="M386" s="730"/>
      <c r="N386" s="571"/>
      <c r="O386" s="571"/>
      <c r="P386" s="571"/>
      <c r="Q386" s="571"/>
      <c r="R386" s="571"/>
      <c r="S386" s="571"/>
      <c r="T386" s="571"/>
      <c r="U386" s="571"/>
      <c r="V386" s="571"/>
      <c r="W386" s="571"/>
      <c r="X386" s="571"/>
      <c r="Y386" s="571"/>
      <c r="Z386" s="571"/>
      <c r="AA386" s="571"/>
      <c r="AB386" s="571"/>
      <c r="AC386" s="571"/>
      <c r="AD386" s="571"/>
      <c r="AE386" s="571"/>
      <c r="AF386" s="571"/>
      <c r="AG386" s="690"/>
      <c r="AH386" s="691"/>
    </row>
    <row r="387">
      <c r="A387" s="568"/>
      <c r="B387" s="730"/>
      <c r="C387" s="730"/>
      <c r="D387" s="730"/>
      <c r="E387" s="730"/>
      <c r="F387" s="730"/>
      <c r="G387" s="730"/>
      <c r="H387" s="730"/>
      <c r="I387" s="730"/>
      <c r="J387" s="730"/>
      <c r="K387" s="730"/>
      <c r="L387" s="730"/>
      <c r="M387" s="730"/>
      <c r="N387" s="571"/>
      <c r="O387" s="571"/>
      <c r="P387" s="571"/>
      <c r="Q387" s="571"/>
      <c r="R387" s="571"/>
      <c r="S387" s="571"/>
      <c r="T387" s="571"/>
      <c r="U387" s="571"/>
      <c r="V387" s="571"/>
      <c r="W387" s="571"/>
      <c r="X387" s="571"/>
      <c r="Y387" s="571"/>
      <c r="Z387" s="571"/>
      <c r="AA387" s="571"/>
      <c r="AB387" s="571"/>
      <c r="AC387" s="571"/>
      <c r="AD387" s="571"/>
      <c r="AE387" s="571"/>
      <c r="AF387" s="571"/>
      <c r="AG387" s="690"/>
      <c r="AH387" s="691"/>
    </row>
    <row r="388">
      <c r="A388" s="568"/>
      <c r="B388" s="730"/>
      <c r="C388" s="730"/>
      <c r="D388" s="730"/>
      <c r="E388" s="730"/>
      <c r="F388" s="730"/>
      <c r="G388" s="730"/>
      <c r="H388" s="730"/>
      <c r="I388" s="730"/>
      <c r="J388" s="730"/>
      <c r="K388" s="730"/>
      <c r="L388" s="730"/>
      <c r="M388" s="730"/>
      <c r="N388" s="571"/>
      <c r="O388" s="571"/>
      <c r="P388" s="571"/>
      <c r="Q388" s="571"/>
      <c r="R388" s="571"/>
      <c r="S388" s="571"/>
      <c r="T388" s="571"/>
      <c r="U388" s="571"/>
      <c r="V388" s="571"/>
      <c r="W388" s="571"/>
      <c r="X388" s="571"/>
      <c r="Y388" s="571"/>
      <c r="Z388" s="571"/>
      <c r="AA388" s="571"/>
      <c r="AB388" s="571"/>
      <c r="AC388" s="571"/>
      <c r="AD388" s="571"/>
      <c r="AE388" s="571"/>
      <c r="AF388" s="571"/>
      <c r="AG388" s="690"/>
      <c r="AH388" s="691"/>
    </row>
    <row r="389">
      <c r="A389" s="568"/>
      <c r="B389" s="730"/>
      <c r="C389" s="730"/>
      <c r="D389" s="730"/>
      <c r="E389" s="730"/>
      <c r="F389" s="730"/>
      <c r="G389" s="730"/>
      <c r="H389" s="730"/>
      <c r="I389" s="730"/>
      <c r="J389" s="730"/>
      <c r="K389" s="730"/>
      <c r="L389" s="730"/>
      <c r="M389" s="730"/>
      <c r="N389" s="571"/>
      <c r="O389" s="571"/>
      <c r="P389" s="571"/>
      <c r="Q389" s="571"/>
      <c r="R389" s="571"/>
      <c r="S389" s="571"/>
      <c r="T389" s="571"/>
      <c r="U389" s="571"/>
      <c r="V389" s="571"/>
      <c r="W389" s="571"/>
      <c r="X389" s="571"/>
      <c r="Y389" s="571"/>
      <c r="Z389" s="571"/>
      <c r="AA389" s="571"/>
      <c r="AB389" s="571"/>
      <c r="AC389" s="571"/>
      <c r="AD389" s="571"/>
      <c r="AE389" s="571"/>
      <c r="AF389" s="571"/>
      <c r="AG389" s="690"/>
      <c r="AH389" s="691"/>
    </row>
    <row r="390">
      <c r="A390" s="568"/>
      <c r="B390" s="730"/>
      <c r="C390" s="730"/>
      <c r="D390" s="730"/>
      <c r="E390" s="730"/>
      <c r="F390" s="730"/>
      <c r="G390" s="730"/>
      <c r="H390" s="730"/>
      <c r="I390" s="730"/>
      <c r="J390" s="730"/>
      <c r="K390" s="730"/>
      <c r="L390" s="730"/>
      <c r="M390" s="730"/>
      <c r="N390" s="571"/>
      <c r="O390" s="571"/>
      <c r="P390" s="571"/>
      <c r="Q390" s="571"/>
      <c r="R390" s="571"/>
      <c r="S390" s="571"/>
      <c r="T390" s="571"/>
      <c r="U390" s="571"/>
      <c r="V390" s="571"/>
      <c r="W390" s="571"/>
      <c r="X390" s="571"/>
      <c r="Y390" s="571"/>
      <c r="Z390" s="571"/>
      <c r="AA390" s="571"/>
      <c r="AB390" s="571"/>
      <c r="AC390" s="571"/>
      <c r="AD390" s="571"/>
      <c r="AE390" s="571"/>
      <c r="AF390" s="571"/>
      <c r="AG390" s="690"/>
      <c r="AH390" s="691"/>
    </row>
    <row r="391">
      <c r="A391" s="568"/>
      <c r="B391" s="730"/>
      <c r="C391" s="730"/>
      <c r="D391" s="730"/>
      <c r="E391" s="730"/>
      <c r="F391" s="730"/>
      <c r="G391" s="730"/>
      <c r="H391" s="730"/>
      <c r="I391" s="730"/>
      <c r="J391" s="730"/>
      <c r="K391" s="730"/>
      <c r="L391" s="730"/>
      <c r="M391" s="730"/>
      <c r="N391" s="571"/>
      <c r="O391" s="571"/>
      <c r="P391" s="571"/>
      <c r="Q391" s="571"/>
      <c r="R391" s="571"/>
      <c r="S391" s="571"/>
      <c r="T391" s="571"/>
      <c r="U391" s="571"/>
      <c r="V391" s="571"/>
      <c r="W391" s="571"/>
      <c r="X391" s="571"/>
      <c r="Y391" s="571"/>
      <c r="Z391" s="571"/>
      <c r="AA391" s="571"/>
      <c r="AB391" s="571"/>
      <c r="AC391" s="571"/>
      <c r="AD391" s="571"/>
      <c r="AE391" s="571"/>
      <c r="AF391" s="571"/>
      <c r="AG391" s="690"/>
      <c r="AH391" s="691"/>
    </row>
    <row r="392">
      <c r="A392" s="568"/>
      <c r="B392" s="730"/>
      <c r="C392" s="730"/>
      <c r="D392" s="730"/>
      <c r="E392" s="730"/>
      <c r="F392" s="730"/>
      <c r="G392" s="730"/>
      <c r="H392" s="730"/>
      <c r="I392" s="730"/>
      <c r="J392" s="730"/>
      <c r="K392" s="730"/>
      <c r="L392" s="730"/>
      <c r="M392" s="730"/>
      <c r="N392" s="571"/>
      <c r="O392" s="571"/>
      <c r="P392" s="571"/>
      <c r="Q392" s="571"/>
      <c r="R392" s="571"/>
      <c r="S392" s="571"/>
      <c r="T392" s="571"/>
      <c r="U392" s="571"/>
      <c r="V392" s="571"/>
      <c r="W392" s="571"/>
      <c r="X392" s="571"/>
      <c r="Y392" s="571"/>
      <c r="Z392" s="571"/>
      <c r="AA392" s="571"/>
      <c r="AB392" s="571"/>
      <c r="AC392" s="571"/>
      <c r="AD392" s="571"/>
      <c r="AE392" s="571"/>
      <c r="AF392" s="571"/>
      <c r="AG392" s="690"/>
      <c r="AH392" s="691"/>
    </row>
    <row r="393">
      <c r="A393" s="568"/>
      <c r="B393" s="730"/>
      <c r="C393" s="730"/>
      <c r="D393" s="730"/>
      <c r="E393" s="730"/>
      <c r="F393" s="730"/>
      <c r="G393" s="730"/>
      <c r="H393" s="730"/>
      <c r="I393" s="730"/>
      <c r="J393" s="730"/>
      <c r="K393" s="730"/>
      <c r="L393" s="730"/>
      <c r="M393" s="730"/>
      <c r="N393" s="571"/>
      <c r="O393" s="571"/>
      <c r="P393" s="571"/>
      <c r="Q393" s="571"/>
      <c r="R393" s="571"/>
      <c r="S393" s="571"/>
      <c r="T393" s="571"/>
      <c r="U393" s="571"/>
      <c r="V393" s="571"/>
      <c r="W393" s="571"/>
      <c r="X393" s="571"/>
      <c r="Y393" s="571"/>
      <c r="Z393" s="571"/>
      <c r="AA393" s="571"/>
      <c r="AB393" s="571"/>
      <c r="AC393" s="571"/>
      <c r="AD393" s="571"/>
      <c r="AE393" s="571"/>
      <c r="AF393" s="571"/>
      <c r="AG393" s="690"/>
      <c r="AH393" s="691"/>
    </row>
    <row r="394">
      <c r="A394" s="568"/>
      <c r="B394" s="730"/>
      <c r="C394" s="730"/>
      <c r="D394" s="730"/>
      <c r="E394" s="730"/>
      <c r="F394" s="730"/>
      <c r="G394" s="730"/>
      <c r="H394" s="730"/>
      <c r="I394" s="730"/>
      <c r="J394" s="730"/>
      <c r="K394" s="730"/>
      <c r="L394" s="730"/>
      <c r="M394" s="730"/>
      <c r="N394" s="571"/>
      <c r="O394" s="571"/>
      <c r="P394" s="571"/>
      <c r="Q394" s="571"/>
      <c r="R394" s="571"/>
      <c r="S394" s="571"/>
      <c r="T394" s="571"/>
      <c r="U394" s="571"/>
      <c r="V394" s="571"/>
      <c r="W394" s="571"/>
      <c r="X394" s="571"/>
      <c r="Y394" s="571"/>
      <c r="Z394" s="571"/>
      <c r="AA394" s="571"/>
      <c r="AB394" s="571"/>
      <c r="AC394" s="571"/>
      <c r="AD394" s="571"/>
      <c r="AE394" s="571"/>
      <c r="AF394" s="571"/>
      <c r="AG394" s="690"/>
      <c r="AH394" s="691"/>
    </row>
    <row r="395">
      <c r="A395" s="568"/>
      <c r="B395" s="730"/>
      <c r="C395" s="730"/>
      <c r="D395" s="730"/>
      <c r="E395" s="730"/>
      <c r="F395" s="730"/>
      <c r="G395" s="730"/>
      <c r="H395" s="730"/>
      <c r="I395" s="730"/>
      <c r="J395" s="730"/>
      <c r="K395" s="730"/>
      <c r="L395" s="730"/>
      <c r="M395" s="730"/>
      <c r="N395" s="571"/>
      <c r="O395" s="571"/>
      <c r="P395" s="571"/>
      <c r="Q395" s="571"/>
      <c r="R395" s="571"/>
      <c r="S395" s="571"/>
      <c r="T395" s="571"/>
      <c r="U395" s="571"/>
      <c r="V395" s="571"/>
      <c r="W395" s="571"/>
      <c r="X395" s="571"/>
      <c r="Y395" s="571"/>
      <c r="Z395" s="571"/>
      <c r="AA395" s="571"/>
      <c r="AB395" s="571"/>
      <c r="AC395" s="571"/>
      <c r="AD395" s="571"/>
      <c r="AE395" s="571"/>
      <c r="AF395" s="571"/>
      <c r="AG395" s="690"/>
      <c r="AH395" s="691"/>
    </row>
    <row r="396">
      <c r="A396" s="568"/>
      <c r="B396" s="730"/>
      <c r="C396" s="730"/>
      <c r="D396" s="730"/>
      <c r="E396" s="730"/>
      <c r="F396" s="730"/>
      <c r="G396" s="730"/>
      <c r="H396" s="730"/>
      <c r="I396" s="730"/>
      <c r="J396" s="730"/>
      <c r="K396" s="730"/>
      <c r="L396" s="730"/>
      <c r="M396" s="730"/>
      <c r="N396" s="571"/>
      <c r="O396" s="571"/>
      <c r="P396" s="571"/>
      <c r="Q396" s="571"/>
      <c r="R396" s="571"/>
      <c r="S396" s="571"/>
      <c r="T396" s="571"/>
      <c r="U396" s="571"/>
      <c r="V396" s="571"/>
      <c r="W396" s="571"/>
      <c r="X396" s="571"/>
      <c r="Y396" s="571"/>
      <c r="Z396" s="571"/>
      <c r="AA396" s="571"/>
      <c r="AB396" s="571"/>
      <c r="AC396" s="571"/>
      <c r="AD396" s="571"/>
      <c r="AE396" s="571"/>
      <c r="AF396" s="571"/>
      <c r="AG396" s="690"/>
      <c r="AH396" s="691"/>
    </row>
    <row r="397">
      <c r="A397" s="568"/>
      <c r="B397" s="730"/>
      <c r="C397" s="730"/>
      <c r="D397" s="730"/>
      <c r="E397" s="730"/>
      <c r="F397" s="730"/>
      <c r="G397" s="730"/>
      <c r="H397" s="730"/>
      <c r="I397" s="730"/>
      <c r="J397" s="730"/>
      <c r="K397" s="730"/>
      <c r="L397" s="730"/>
      <c r="M397" s="730"/>
      <c r="N397" s="571"/>
      <c r="O397" s="571"/>
      <c r="P397" s="571"/>
      <c r="Q397" s="571"/>
      <c r="R397" s="571"/>
      <c r="S397" s="571"/>
      <c r="T397" s="571"/>
      <c r="U397" s="571"/>
      <c r="V397" s="571"/>
      <c r="W397" s="571"/>
      <c r="X397" s="571"/>
      <c r="Y397" s="571"/>
      <c r="Z397" s="571"/>
      <c r="AA397" s="571"/>
      <c r="AB397" s="571"/>
      <c r="AC397" s="571"/>
      <c r="AD397" s="571"/>
      <c r="AE397" s="571"/>
      <c r="AF397" s="571"/>
      <c r="AG397" s="690"/>
      <c r="AH397" s="691"/>
    </row>
    <row r="398">
      <c r="A398" s="568"/>
      <c r="B398" s="730"/>
      <c r="C398" s="730"/>
      <c r="D398" s="730"/>
      <c r="E398" s="730"/>
      <c r="F398" s="730"/>
      <c r="G398" s="730"/>
      <c r="H398" s="730"/>
      <c r="I398" s="730"/>
      <c r="J398" s="730"/>
      <c r="K398" s="730"/>
      <c r="L398" s="730"/>
      <c r="M398" s="730"/>
      <c r="N398" s="571"/>
      <c r="O398" s="571"/>
      <c r="P398" s="571"/>
      <c r="Q398" s="571"/>
      <c r="R398" s="571"/>
      <c r="S398" s="571"/>
      <c r="T398" s="571"/>
      <c r="U398" s="571"/>
      <c r="V398" s="571"/>
      <c r="W398" s="571"/>
      <c r="X398" s="571"/>
      <c r="Y398" s="571"/>
      <c r="Z398" s="571"/>
      <c r="AA398" s="571"/>
      <c r="AB398" s="571"/>
      <c r="AC398" s="571"/>
      <c r="AD398" s="571"/>
      <c r="AE398" s="571"/>
      <c r="AF398" s="571"/>
      <c r="AG398" s="690"/>
      <c r="AH398" s="691"/>
    </row>
    <row r="399">
      <c r="A399" s="568"/>
      <c r="B399" s="730"/>
      <c r="C399" s="730"/>
      <c r="D399" s="730"/>
      <c r="E399" s="730"/>
      <c r="F399" s="730"/>
      <c r="G399" s="730"/>
      <c r="H399" s="730"/>
      <c r="I399" s="730"/>
      <c r="J399" s="730"/>
      <c r="K399" s="730"/>
      <c r="L399" s="730"/>
      <c r="M399" s="730"/>
      <c r="N399" s="571"/>
      <c r="O399" s="571"/>
      <c r="P399" s="571"/>
      <c r="Q399" s="571"/>
      <c r="R399" s="571"/>
      <c r="S399" s="571"/>
      <c r="T399" s="571"/>
      <c r="U399" s="571"/>
      <c r="V399" s="571"/>
      <c r="W399" s="571"/>
      <c r="X399" s="571"/>
      <c r="Y399" s="571"/>
      <c r="Z399" s="571"/>
      <c r="AA399" s="571"/>
      <c r="AB399" s="571"/>
      <c r="AC399" s="571"/>
      <c r="AD399" s="571"/>
      <c r="AE399" s="571"/>
      <c r="AF399" s="571"/>
      <c r="AG399" s="690"/>
      <c r="AH399" s="691"/>
    </row>
    <row r="400">
      <c r="A400" s="568"/>
      <c r="B400" s="730"/>
      <c r="C400" s="730"/>
      <c r="D400" s="730"/>
      <c r="E400" s="730"/>
      <c r="F400" s="730"/>
      <c r="G400" s="730"/>
      <c r="H400" s="730"/>
      <c r="I400" s="730"/>
      <c r="J400" s="730"/>
      <c r="K400" s="730"/>
      <c r="L400" s="730"/>
      <c r="M400" s="730"/>
      <c r="N400" s="571"/>
      <c r="O400" s="571"/>
      <c r="P400" s="571"/>
      <c r="Q400" s="571"/>
      <c r="R400" s="571"/>
      <c r="S400" s="571"/>
      <c r="T400" s="571"/>
      <c r="U400" s="571"/>
      <c r="V400" s="571"/>
      <c r="W400" s="571"/>
      <c r="X400" s="571"/>
      <c r="Y400" s="571"/>
      <c r="Z400" s="571"/>
      <c r="AA400" s="571"/>
      <c r="AB400" s="571"/>
      <c r="AC400" s="571"/>
      <c r="AD400" s="571"/>
      <c r="AE400" s="571"/>
      <c r="AF400" s="571"/>
      <c r="AG400" s="690"/>
      <c r="AH400" s="691"/>
    </row>
    <row r="401">
      <c r="A401" s="568"/>
      <c r="B401" s="730"/>
      <c r="C401" s="730"/>
      <c r="D401" s="730"/>
      <c r="E401" s="730"/>
      <c r="F401" s="730"/>
      <c r="G401" s="730"/>
      <c r="H401" s="730"/>
      <c r="I401" s="730"/>
      <c r="J401" s="730"/>
      <c r="K401" s="730"/>
      <c r="L401" s="730"/>
      <c r="M401" s="730"/>
      <c r="N401" s="571"/>
      <c r="O401" s="571"/>
      <c r="P401" s="571"/>
      <c r="Q401" s="571"/>
      <c r="R401" s="571"/>
      <c r="S401" s="571"/>
      <c r="T401" s="571"/>
      <c r="U401" s="571"/>
      <c r="V401" s="571"/>
      <c r="W401" s="571"/>
      <c r="X401" s="571"/>
      <c r="Y401" s="571"/>
      <c r="Z401" s="571"/>
      <c r="AA401" s="571"/>
      <c r="AB401" s="571"/>
      <c r="AC401" s="571"/>
      <c r="AD401" s="571"/>
      <c r="AE401" s="571"/>
      <c r="AF401" s="571"/>
      <c r="AG401" s="690"/>
      <c r="AH401" s="691"/>
    </row>
    <row r="402">
      <c r="A402" s="568"/>
      <c r="B402" s="730"/>
      <c r="C402" s="730"/>
      <c r="D402" s="730"/>
      <c r="E402" s="730"/>
      <c r="F402" s="730"/>
      <c r="G402" s="730"/>
      <c r="H402" s="730"/>
      <c r="I402" s="730"/>
      <c r="J402" s="730"/>
      <c r="K402" s="730"/>
      <c r="L402" s="730"/>
      <c r="M402" s="730"/>
      <c r="N402" s="571"/>
      <c r="O402" s="571"/>
      <c r="P402" s="571"/>
      <c r="Q402" s="571"/>
      <c r="R402" s="571"/>
      <c r="S402" s="571"/>
      <c r="T402" s="571"/>
      <c r="U402" s="571"/>
      <c r="V402" s="571"/>
      <c r="W402" s="571"/>
      <c r="X402" s="571"/>
      <c r="Y402" s="571"/>
      <c r="Z402" s="571"/>
      <c r="AA402" s="571"/>
      <c r="AB402" s="571"/>
      <c r="AC402" s="571"/>
      <c r="AD402" s="571"/>
      <c r="AE402" s="571"/>
      <c r="AF402" s="571"/>
      <c r="AG402" s="690"/>
      <c r="AH402" s="691"/>
    </row>
    <row r="403">
      <c r="A403" s="568"/>
      <c r="B403" s="730"/>
      <c r="C403" s="730"/>
      <c r="D403" s="730"/>
      <c r="E403" s="730"/>
      <c r="F403" s="730"/>
      <c r="G403" s="730"/>
      <c r="H403" s="730"/>
      <c r="I403" s="730"/>
      <c r="J403" s="730"/>
      <c r="K403" s="730"/>
      <c r="L403" s="730"/>
      <c r="M403" s="730"/>
      <c r="N403" s="571"/>
      <c r="O403" s="571"/>
      <c r="P403" s="571"/>
      <c r="Q403" s="571"/>
      <c r="R403" s="571"/>
      <c r="S403" s="571"/>
      <c r="T403" s="571"/>
      <c r="U403" s="571"/>
      <c r="V403" s="571"/>
      <c r="W403" s="571"/>
      <c r="X403" s="571"/>
      <c r="Y403" s="571"/>
      <c r="Z403" s="571"/>
      <c r="AA403" s="571"/>
      <c r="AB403" s="571"/>
      <c r="AC403" s="571"/>
      <c r="AD403" s="571"/>
      <c r="AE403" s="571"/>
      <c r="AF403" s="571"/>
      <c r="AG403" s="690"/>
      <c r="AH403" s="691"/>
    </row>
    <row r="404">
      <c r="A404" s="568"/>
      <c r="B404" s="730"/>
      <c r="C404" s="730"/>
      <c r="D404" s="730"/>
      <c r="E404" s="730"/>
      <c r="F404" s="730"/>
      <c r="G404" s="730"/>
      <c r="H404" s="730"/>
      <c r="I404" s="730"/>
      <c r="J404" s="730"/>
      <c r="K404" s="730"/>
      <c r="L404" s="730"/>
      <c r="M404" s="730"/>
      <c r="N404" s="571"/>
      <c r="O404" s="571"/>
      <c r="P404" s="571"/>
      <c r="Q404" s="571"/>
      <c r="R404" s="571"/>
      <c r="S404" s="571"/>
      <c r="T404" s="571"/>
      <c r="U404" s="571"/>
      <c r="V404" s="571"/>
      <c r="W404" s="571"/>
      <c r="X404" s="571"/>
      <c r="Y404" s="571"/>
      <c r="Z404" s="571"/>
      <c r="AA404" s="571"/>
      <c r="AB404" s="571"/>
      <c r="AC404" s="571"/>
      <c r="AD404" s="571"/>
      <c r="AE404" s="571"/>
      <c r="AF404" s="571"/>
      <c r="AG404" s="690"/>
      <c r="AH404" s="691"/>
    </row>
    <row r="405">
      <c r="A405" s="568"/>
      <c r="B405" s="730"/>
      <c r="C405" s="730"/>
      <c r="D405" s="730"/>
      <c r="E405" s="730"/>
      <c r="F405" s="730"/>
      <c r="G405" s="730"/>
      <c r="H405" s="730"/>
      <c r="I405" s="730"/>
      <c r="J405" s="730"/>
      <c r="K405" s="730"/>
      <c r="L405" s="730"/>
      <c r="M405" s="730"/>
      <c r="N405" s="571"/>
      <c r="O405" s="571"/>
      <c r="P405" s="571"/>
      <c r="Q405" s="571"/>
      <c r="R405" s="571"/>
      <c r="S405" s="571"/>
      <c r="T405" s="571"/>
      <c r="U405" s="571"/>
      <c r="V405" s="571"/>
      <c r="W405" s="571"/>
      <c r="X405" s="571"/>
      <c r="Y405" s="571"/>
      <c r="Z405" s="571"/>
      <c r="AA405" s="571"/>
      <c r="AB405" s="571"/>
      <c r="AC405" s="571"/>
      <c r="AD405" s="571"/>
      <c r="AE405" s="571"/>
      <c r="AF405" s="571"/>
      <c r="AG405" s="690"/>
      <c r="AH405" s="691"/>
    </row>
    <row r="406">
      <c r="A406" s="568"/>
      <c r="B406" s="730"/>
      <c r="C406" s="730"/>
      <c r="D406" s="730"/>
      <c r="E406" s="730"/>
      <c r="F406" s="730"/>
      <c r="G406" s="730"/>
      <c r="H406" s="730"/>
      <c r="I406" s="730"/>
      <c r="J406" s="730"/>
      <c r="K406" s="730"/>
      <c r="L406" s="730"/>
      <c r="M406" s="730"/>
      <c r="N406" s="571"/>
      <c r="O406" s="571"/>
      <c r="P406" s="571"/>
      <c r="Q406" s="571"/>
      <c r="R406" s="571"/>
      <c r="S406" s="571"/>
      <c r="T406" s="571"/>
      <c r="U406" s="571"/>
      <c r="V406" s="571"/>
      <c r="W406" s="571"/>
      <c r="X406" s="571"/>
      <c r="Y406" s="571"/>
      <c r="Z406" s="571"/>
      <c r="AA406" s="571"/>
      <c r="AB406" s="571"/>
      <c r="AC406" s="571"/>
      <c r="AD406" s="571"/>
      <c r="AE406" s="571"/>
      <c r="AF406" s="571"/>
      <c r="AG406" s="690"/>
      <c r="AH406" s="691"/>
    </row>
    <row r="407">
      <c r="A407" s="568"/>
      <c r="B407" s="730"/>
      <c r="C407" s="730"/>
      <c r="D407" s="730"/>
      <c r="E407" s="730"/>
      <c r="F407" s="730"/>
      <c r="G407" s="730"/>
      <c r="H407" s="730"/>
      <c r="I407" s="730"/>
      <c r="J407" s="730"/>
      <c r="K407" s="730"/>
      <c r="L407" s="730"/>
      <c r="M407" s="730"/>
      <c r="N407" s="571"/>
      <c r="O407" s="571"/>
      <c r="P407" s="571"/>
      <c r="Q407" s="571"/>
      <c r="R407" s="571"/>
      <c r="S407" s="571"/>
      <c r="T407" s="571"/>
      <c r="U407" s="571"/>
      <c r="V407" s="571"/>
      <c r="W407" s="571"/>
      <c r="X407" s="571"/>
      <c r="Y407" s="571"/>
      <c r="Z407" s="571"/>
      <c r="AA407" s="571"/>
      <c r="AB407" s="571"/>
      <c r="AC407" s="571"/>
      <c r="AD407" s="571"/>
      <c r="AE407" s="571"/>
      <c r="AF407" s="571"/>
      <c r="AG407" s="690"/>
      <c r="AH407" s="691"/>
    </row>
    <row r="408">
      <c r="A408" s="568"/>
      <c r="B408" s="730"/>
      <c r="C408" s="730"/>
      <c r="D408" s="730"/>
      <c r="E408" s="730"/>
      <c r="F408" s="730"/>
      <c r="G408" s="730"/>
      <c r="H408" s="730"/>
      <c r="I408" s="730"/>
      <c r="J408" s="730"/>
      <c r="K408" s="730"/>
      <c r="L408" s="730"/>
      <c r="M408" s="730"/>
      <c r="N408" s="571"/>
      <c r="O408" s="571"/>
      <c r="P408" s="571"/>
      <c r="Q408" s="571"/>
      <c r="R408" s="571"/>
      <c r="S408" s="571"/>
      <c r="T408" s="571"/>
      <c r="U408" s="571"/>
      <c r="V408" s="571"/>
      <c r="W408" s="571"/>
      <c r="X408" s="571"/>
      <c r="Y408" s="571"/>
      <c r="Z408" s="571"/>
      <c r="AA408" s="571"/>
      <c r="AB408" s="571"/>
      <c r="AC408" s="571"/>
      <c r="AD408" s="571"/>
      <c r="AE408" s="571"/>
      <c r="AF408" s="571"/>
      <c r="AG408" s="690"/>
      <c r="AH408" s="691"/>
    </row>
    <row r="409">
      <c r="A409" s="568"/>
      <c r="B409" s="730"/>
      <c r="C409" s="730"/>
      <c r="D409" s="730"/>
      <c r="E409" s="730"/>
      <c r="F409" s="730"/>
      <c r="G409" s="730"/>
      <c r="H409" s="730"/>
      <c r="I409" s="730"/>
      <c r="J409" s="730"/>
      <c r="K409" s="730"/>
      <c r="L409" s="730"/>
      <c r="M409" s="730"/>
      <c r="N409" s="571"/>
      <c r="O409" s="571"/>
      <c r="P409" s="571"/>
      <c r="Q409" s="571"/>
      <c r="R409" s="571"/>
      <c r="S409" s="571"/>
      <c r="T409" s="571"/>
      <c r="U409" s="571"/>
      <c r="V409" s="571"/>
      <c r="W409" s="571"/>
      <c r="X409" s="571"/>
      <c r="Y409" s="571"/>
      <c r="Z409" s="571"/>
      <c r="AA409" s="571"/>
      <c r="AB409" s="571"/>
      <c r="AC409" s="571"/>
      <c r="AD409" s="571"/>
      <c r="AE409" s="571"/>
      <c r="AF409" s="571"/>
      <c r="AG409" s="690"/>
      <c r="AH409" s="691"/>
    </row>
    <row r="410">
      <c r="A410" s="568"/>
      <c r="B410" s="730"/>
      <c r="C410" s="730"/>
      <c r="D410" s="730"/>
      <c r="E410" s="730"/>
      <c r="F410" s="730"/>
      <c r="G410" s="730"/>
      <c r="H410" s="730"/>
      <c r="I410" s="730"/>
      <c r="J410" s="730"/>
      <c r="K410" s="730"/>
      <c r="L410" s="730"/>
      <c r="M410" s="730"/>
      <c r="N410" s="571"/>
      <c r="O410" s="571"/>
      <c r="P410" s="571"/>
      <c r="Q410" s="571"/>
      <c r="R410" s="571"/>
      <c r="S410" s="571"/>
      <c r="T410" s="571"/>
      <c r="U410" s="571"/>
      <c r="V410" s="571"/>
      <c r="W410" s="571"/>
      <c r="X410" s="571"/>
      <c r="Y410" s="571"/>
      <c r="Z410" s="571"/>
      <c r="AA410" s="571"/>
      <c r="AB410" s="571"/>
      <c r="AC410" s="571"/>
      <c r="AD410" s="571"/>
      <c r="AE410" s="571"/>
      <c r="AF410" s="571"/>
      <c r="AG410" s="690"/>
      <c r="AH410" s="691"/>
    </row>
    <row r="411">
      <c r="A411" s="568"/>
      <c r="B411" s="730"/>
      <c r="C411" s="730"/>
      <c r="D411" s="730"/>
      <c r="E411" s="730"/>
      <c r="F411" s="730"/>
      <c r="G411" s="730"/>
      <c r="H411" s="730"/>
      <c r="I411" s="730"/>
      <c r="J411" s="730"/>
      <c r="K411" s="730"/>
      <c r="L411" s="730"/>
      <c r="M411" s="730"/>
      <c r="N411" s="571"/>
      <c r="O411" s="571"/>
      <c r="P411" s="571"/>
      <c r="Q411" s="571"/>
      <c r="R411" s="571"/>
      <c r="S411" s="571"/>
      <c r="T411" s="571"/>
      <c r="U411" s="571"/>
      <c r="V411" s="571"/>
      <c r="W411" s="571"/>
      <c r="X411" s="571"/>
      <c r="Y411" s="571"/>
      <c r="Z411" s="571"/>
      <c r="AA411" s="571"/>
      <c r="AB411" s="571"/>
      <c r="AC411" s="571"/>
      <c r="AD411" s="571"/>
      <c r="AE411" s="571"/>
      <c r="AF411" s="571"/>
      <c r="AG411" s="690"/>
      <c r="AH411" s="691"/>
    </row>
    <row r="412">
      <c r="A412" s="568"/>
      <c r="B412" s="730"/>
      <c r="C412" s="730"/>
      <c r="D412" s="730"/>
      <c r="E412" s="730"/>
      <c r="F412" s="730"/>
      <c r="G412" s="730"/>
      <c r="H412" s="730"/>
      <c r="I412" s="730"/>
      <c r="J412" s="730"/>
      <c r="K412" s="730"/>
      <c r="L412" s="730"/>
      <c r="M412" s="730"/>
      <c r="N412" s="571"/>
      <c r="O412" s="571"/>
      <c r="P412" s="571"/>
      <c r="Q412" s="571"/>
      <c r="R412" s="571"/>
      <c r="S412" s="571"/>
      <c r="T412" s="571"/>
      <c r="U412" s="571"/>
      <c r="V412" s="571"/>
      <c r="W412" s="571"/>
      <c r="X412" s="571"/>
      <c r="Y412" s="571"/>
      <c r="Z412" s="571"/>
      <c r="AA412" s="571"/>
      <c r="AB412" s="571"/>
      <c r="AC412" s="571"/>
      <c r="AD412" s="571"/>
      <c r="AE412" s="571"/>
      <c r="AF412" s="571"/>
      <c r="AG412" s="690"/>
      <c r="AH412" s="691"/>
    </row>
    <row r="413">
      <c r="A413" s="568"/>
      <c r="B413" s="730"/>
      <c r="C413" s="730"/>
      <c r="D413" s="730"/>
      <c r="E413" s="730"/>
      <c r="F413" s="730"/>
      <c r="G413" s="730"/>
      <c r="H413" s="730"/>
      <c r="I413" s="730"/>
      <c r="J413" s="730"/>
      <c r="K413" s="730"/>
      <c r="L413" s="730"/>
      <c r="M413" s="730"/>
      <c r="N413" s="571"/>
      <c r="O413" s="571"/>
      <c r="P413" s="571"/>
      <c r="Q413" s="571"/>
      <c r="R413" s="571"/>
      <c r="S413" s="571"/>
      <c r="T413" s="571"/>
      <c r="U413" s="571"/>
      <c r="V413" s="571"/>
      <c r="W413" s="571"/>
      <c r="X413" s="571"/>
      <c r="Y413" s="571"/>
      <c r="Z413" s="571"/>
      <c r="AA413" s="571"/>
      <c r="AB413" s="571"/>
      <c r="AC413" s="571"/>
      <c r="AD413" s="571"/>
      <c r="AE413" s="571"/>
      <c r="AF413" s="571"/>
      <c r="AG413" s="690"/>
      <c r="AH413" s="691"/>
    </row>
    <row r="414">
      <c r="A414" s="568"/>
      <c r="B414" s="730"/>
      <c r="C414" s="730"/>
      <c r="D414" s="730"/>
      <c r="E414" s="730"/>
      <c r="F414" s="730"/>
      <c r="G414" s="730"/>
      <c r="H414" s="730"/>
      <c r="I414" s="730"/>
      <c r="J414" s="730"/>
      <c r="K414" s="730"/>
      <c r="L414" s="730"/>
      <c r="M414" s="730"/>
      <c r="N414" s="571"/>
      <c r="O414" s="571"/>
      <c r="P414" s="571"/>
      <c r="Q414" s="571"/>
      <c r="R414" s="571"/>
      <c r="S414" s="571"/>
      <c r="T414" s="571"/>
      <c r="U414" s="571"/>
      <c r="V414" s="571"/>
      <c r="W414" s="571"/>
      <c r="X414" s="571"/>
      <c r="Y414" s="571"/>
      <c r="Z414" s="571"/>
      <c r="AA414" s="571"/>
      <c r="AB414" s="571"/>
      <c r="AC414" s="571"/>
      <c r="AD414" s="571"/>
      <c r="AE414" s="571"/>
      <c r="AF414" s="571"/>
      <c r="AG414" s="690"/>
      <c r="AH414" s="691"/>
    </row>
    <row r="415">
      <c r="A415" s="568"/>
      <c r="B415" s="730"/>
      <c r="C415" s="730"/>
      <c r="D415" s="730"/>
      <c r="E415" s="730"/>
      <c r="F415" s="730"/>
      <c r="G415" s="730"/>
      <c r="H415" s="730"/>
      <c r="I415" s="730"/>
      <c r="J415" s="730"/>
      <c r="K415" s="730"/>
      <c r="L415" s="730"/>
      <c r="M415" s="730"/>
      <c r="N415" s="571"/>
      <c r="O415" s="571"/>
      <c r="P415" s="571"/>
      <c r="Q415" s="571"/>
      <c r="R415" s="571"/>
      <c r="S415" s="571"/>
      <c r="T415" s="571"/>
      <c r="U415" s="571"/>
      <c r="V415" s="571"/>
      <c r="W415" s="571"/>
      <c r="X415" s="571"/>
      <c r="Y415" s="571"/>
      <c r="Z415" s="571"/>
      <c r="AA415" s="571"/>
      <c r="AB415" s="571"/>
      <c r="AC415" s="571"/>
      <c r="AD415" s="571"/>
      <c r="AE415" s="571"/>
      <c r="AF415" s="571"/>
      <c r="AG415" s="690"/>
      <c r="AH415" s="691"/>
    </row>
    <row r="416">
      <c r="A416" s="568"/>
      <c r="B416" s="730"/>
      <c r="C416" s="730"/>
      <c r="D416" s="730"/>
      <c r="E416" s="730"/>
      <c r="F416" s="730"/>
      <c r="G416" s="730"/>
      <c r="H416" s="730"/>
      <c r="I416" s="730"/>
      <c r="J416" s="730"/>
      <c r="K416" s="730"/>
      <c r="L416" s="730"/>
      <c r="M416" s="730"/>
      <c r="N416" s="571"/>
      <c r="O416" s="571"/>
      <c r="P416" s="571"/>
      <c r="Q416" s="571"/>
      <c r="R416" s="571"/>
      <c r="S416" s="571"/>
      <c r="T416" s="571"/>
      <c r="U416" s="571"/>
      <c r="V416" s="571"/>
      <c r="W416" s="571"/>
      <c r="X416" s="571"/>
      <c r="Y416" s="571"/>
      <c r="Z416" s="571"/>
      <c r="AA416" s="571"/>
      <c r="AB416" s="571"/>
      <c r="AC416" s="571"/>
      <c r="AD416" s="571"/>
      <c r="AE416" s="571"/>
      <c r="AF416" s="571"/>
      <c r="AG416" s="690"/>
      <c r="AH416" s="691"/>
    </row>
    <row r="417">
      <c r="A417" s="568"/>
      <c r="B417" s="730"/>
      <c r="C417" s="730"/>
      <c r="D417" s="730"/>
      <c r="E417" s="730"/>
      <c r="F417" s="730"/>
      <c r="G417" s="730"/>
      <c r="H417" s="730"/>
      <c r="I417" s="730"/>
      <c r="J417" s="730"/>
      <c r="K417" s="730"/>
      <c r="L417" s="730"/>
      <c r="M417" s="730"/>
      <c r="N417" s="571"/>
      <c r="O417" s="571"/>
      <c r="P417" s="571"/>
      <c r="Q417" s="571"/>
      <c r="R417" s="571"/>
      <c r="S417" s="571"/>
      <c r="T417" s="571"/>
      <c r="U417" s="571"/>
      <c r="V417" s="571"/>
      <c r="W417" s="571"/>
      <c r="X417" s="571"/>
      <c r="Y417" s="571"/>
      <c r="Z417" s="571"/>
      <c r="AA417" s="571"/>
      <c r="AB417" s="571"/>
      <c r="AC417" s="571"/>
      <c r="AD417" s="571"/>
      <c r="AE417" s="571"/>
      <c r="AF417" s="571"/>
      <c r="AG417" s="690"/>
      <c r="AH417" s="691"/>
    </row>
    <row r="418">
      <c r="A418" s="568"/>
      <c r="B418" s="730"/>
      <c r="C418" s="730"/>
      <c r="D418" s="730"/>
      <c r="E418" s="730"/>
      <c r="F418" s="730"/>
      <c r="G418" s="730"/>
      <c r="H418" s="730"/>
      <c r="I418" s="730"/>
      <c r="J418" s="730"/>
      <c r="K418" s="730"/>
      <c r="L418" s="730"/>
      <c r="M418" s="730"/>
      <c r="N418" s="571"/>
      <c r="O418" s="571"/>
      <c r="P418" s="571"/>
      <c r="Q418" s="571"/>
      <c r="R418" s="571"/>
      <c r="S418" s="571"/>
      <c r="T418" s="571"/>
      <c r="U418" s="571"/>
      <c r="V418" s="571"/>
      <c r="W418" s="571"/>
      <c r="X418" s="571"/>
      <c r="Y418" s="571"/>
      <c r="Z418" s="571"/>
      <c r="AA418" s="571"/>
      <c r="AB418" s="571"/>
      <c r="AC418" s="571"/>
      <c r="AD418" s="571"/>
      <c r="AE418" s="571"/>
      <c r="AF418" s="571"/>
      <c r="AG418" s="690"/>
      <c r="AH418" s="691"/>
    </row>
    <row r="419">
      <c r="A419" s="568"/>
      <c r="B419" s="730"/>
      <c r="C419" s="730"/>
      <c r="D419" s="730"/>
      <c r="E419" s="730"/>
      <c r="F419" s="730"/>
      <c r="G419" s="730"/>
      <c r="H419" s="730"/>
      <c r="I419" s="730"/>
      <c r="J419" s="730"/>
      <c r="K419" s="730"/>
      <c r="L419" s="730"/>
      <c r="M419" s="730"/>
      <c r="N419" s="571"/>
      <c r="O419" s="571"/>
      <c r="P419" s="571"/>
      <c r="Q419" s="571"/>
      <c r="R419" s="571"/>
      <c r="S419" s="571"/>
      <c r="T419" s="571"/>
      <c r="U419" s="571"/>
      <c r="V419" s="571"/>
      <c r="W419" s="571"/>
      <c r="X419" s="571"/>
      <c r="Y419" s="571"/>
      <c r="Z419" s="571"/>
      <c r="AA419" s="571"/>
      <c r="AB419" s="571"/>
      <c r="AC419" s="571"/>
      <c r="AD419" s="571"/>
      <c r="AE419" s="571"/>
      <c r="AF419" s="571"/>
      <c r="AG419" s="690"/>
      <c r="AH419" s="691"/>
    </row>
    <row r="420">
      <c r="A420" s="568"/>
      <c r="B420" s="730"/>
      <c r="C420" s="730"/>
      <c r="D420" s="730"/>
      <c r="E420" s="730"/>
      <c r="F420" s="730"/>
      <c r="G420" s="730"/>
      <c r="H420" s="730"/>
      <c r="I420" s="730"/>
      <c r="J420" s="730"/>
      <c r="K420" s="730"/>
      <c r="L420" s="730"/>
      <c r="M420" s="730"/>
      <c r="N420" s="571"/>
      <c r="O420" s="571"/>
      <c r="P420" s="571"/>
      <c r="Q420" s="571"/>
      <c r="R420" s="571"/>
      <c r="S420" s="571"/>
      <c r="T420" s="571"/>
      <c r="U420" s="571"/>
      <c r="V420" s="571"/>
      <c r="W420" s="571"/>
      <c r="X420" s="571"/>
      <c r="Y420" s="571"/>
      <c r="Z420" s="571"/>
      <c r="AA420" s="571"/>
      <c r="AB420" s="571"/>
      <c r="AC420" s="571"/>
      <c r="AD420" s="571"/>
      <c r="AE420" s="571"/>
      <c r="AF420" s="571"/>
      <c r="AG420" s="690"/>
      <c r="AH420" s="691"/>
    </row>
    <row r="421">
      <c r="A421" s="568"/>
      <c r="B421" s="730"/>
      <c r="C421" s="730"/>
      <c r="D421" s="730"/>
      <c r="E421" s="730"/>
      <c r="F421" s="730"/>
      <c r="G421" s="730"/>
      <c r="H421" s="730"/>
      <c r="I421" s="730"/>
      <c r="J421" s="730"/>
      <c r="K421" s="730"/>
      <c r="L421" s="730"/>
      <c r="M421" s="730"/>
      <c r="N421" s="571"/>
      <c r="O421" s="571"/>
      <c r="P421" s="571"/>
      <c r="Q421" s="571"/>
      <c r="R421" s="571"/>
      <c r="S421" s="571"/>
      <c r="T421" s="571"/>
      <c r="U421" s="571"/>
      <c r="V421" s="571"/>
      <c r="W421" s="571"/>
      <c r="X421" s="571"/>
      <c r="Y421" s="571"/>
      <c r="Z421" s="571"/>
      <c r="AA421" s="571"/>
      <c r="AB421" s="571"/>
      <c r="AC421" s="571"/>
      <c r="AD421" s="571"/>
      <c r="AE421" s="571"/>
      <c r="AF421" s="571"/>
      <c r="AG421" s="690"/>
      <c r="AH421" s="691"/>
    </row>
    <row r="422">
      <c r="A422" s="568"/>
      <c r="B422" s="730"/>
      <c r="C422" s="730"/>
      <c r="D422" s="730"/>
      <c r="E422" s="730"/>
      <c r="F422" s="730"/>
      <c r="G422" s="730"/>
      <c r="H422" s="730"/>
      <c r="I422" s="730"/>
      <c r="J422" s="730"/>
      <c r="K422" s="730"/>
      <c r="L422" s="730"/>
      <c r="M422" s="730"/>
      <c r="N422" s="571"/>
      <c r="O422" s="571"/>
      <c r="P422" s="571"/>
      <c r="Q422" s="571"/>
      <c r="R422" s="571"/>
      <c r="S422" s="571"/>
      <c r="T422" s="571"/>
      <c r="U422" s="571"/>
      <c r="V422" s="571"/>
      <c r="W422" s="571"/>
      <c r="X422" s="571"/>
      <c r="Y422" s="571"/>
      <c r="Z422" s="571"/>
      <c r="AA422" s="571"/>
      <c r="AB422" s="571"/>
      <c r="AC422" s="571"/>
      <c r="AD422" s="571"/>
      <c r="AE422" s="571"/>
      <c r="AF422" s="571"/>
      <c r="AG422" s="690"/>
      <c r="AH422" s="691"/>
    </row>
    <row r="423">
      <c r="A423" s="568"/>
      <c r="B423" s="730"/>
      <c r="C423" s="730"/>
      <c r="D423" s="730"/>
      <c r="E423" s="730"/>
      <c r="F423" s="730"/>
      <c r="G423" s="730"/>
      <c r="H423" s="730"/>
      <c r="I423" s="730"/>
      <c r="J423" s="730"/>
      <c r="K423" s="730"/>
      <c r="L423" s="730"/>
      <c r="M423" s="730"/>
      <c r="N423" s="571"/>
      <c r="O423" s="571"/>
      <c r="P423" s="571"/>
      <c r="Q423" s="571"/>
      <c r="R423" s="571"/>
      <c r="S423" s="571"/>
      <c r="T423" s="571"/>
      <c r="U423" s="571"/>
      <c r="V423" s="571"/>
      <c r="W423" s="571"/>
      <c r="X423" s="571"/>
      <c r="Y423" s="571"/>
      <c r="Z423" s="571"/>
      <c r="AA423" s="571"/>
      <c r="AB423" s="571"/>
      <c r="AC423" s="571"/>
      <c r="AD423" s="571"/>
      <c r="AE423" s="571"/>
      <c r="AF423" s="571"/>
      <c r="AG423" s="690"/>
      <c r="AH423" s="691"/>
    </row>
    <row r="424">
      <c r="A424" s="568"/>
      <c r="B424" s="730"/>
      <c r="C424" s="730"/>
      <c r="D424" s="730"/>
      <c r="E424" s="730"/>
      <c r="F424" s="730"/>
      <c r="G424" s="730"/>
      <c r="H424" s="730"/>
      <c r="I424" s="730"/>
      <c r="J424" s="730"/>
      <c r="K424" s="730"/>
      <c r="L424" s="730"/>
      <c r="M424" s="730"/>
      <c r="N424" s="571"/>
      <c r="O424" s="571"/>
      <c r="P424" s="571"/>
      <c r="Q424" s="571"/>
      <c r="R424" s="571"/>
      <c r="S424" s="571"/>
      <c r="T424" s="571"/>
      <c r="U424" s="571"/>
      <c r="V424" s="571"/>
      <c r="W424" s="571"/>
      <c r="X424" s="571"/>
      <c r="Y424" s="571"/>
      <c r="Z424" s="571"/>
      <c r="AA424" s="571"/>
      <c r="AB424" s="571"/>
      <c r="AC424" s="571"/>
      <c r="AD424" s="571"/>
      <c r="AE424" s="571"/>
      <c r="AF424" s="571"/>
      <c r="AG424" s="690"/>
      <c r="AH424" s="691"/>
    </row>
    <row r="425">
      <c r="A425" s="568"/>
      <c r="B425" s="730"/>
      <c r="C425" s="730"/>
      <c r="D425" s="730"/>
      <c r="E425" s="730"/>
      <c r="F425" s="730"/>
      <c r="G425" s="730"/>
      <c r="H425" s="730"/>
      <c r="I425" s="730"/>
      <c r="J425" s="730"/>
      <c r="K425" s="730"/>
      <c r="L425" s="730"/>
      <c r="M425" s="730"/>
      <c r="N425" s="571"/>
      <c r="O425" s="571"/>
      <c r="P425" s="571"/>
      <c r="Q425" s="571"/>
      <c r="R425" s="571"/>
      <c r="S425" s="571"/>
      <c r="T425" s="571"/>
      <c r="U425" s="571"/>
      <c r="V425" s="571"/>
      <c r="W425" s="571"/>
      <c r="X425" s="571"/>
      <c r="Y425" s="571"/>
      <c r="Z425" s="571"/>
      <c r="AA425" s="571"/>
      <c r="AB425" s="571"/>
      <c r="AC425" s="571"/>
      <c r="AD425" s="571"/>
      <c r="AE425" s="571"/>
      <c r="AF425" s="571"/>
      <c r="AG425" s="690"/>
      <c r="AH425" s="691"/>
    </row>
    <row r="426">
      <c r="A426" s="568"/>
      <c r="B426" s="730"/>
      <c r="C426" s="730"/>
      <c r="D426" s="730"/>
      <c r="E426" s="730"/>
      <c r="F426" s="730"/>
      <c r="G426" s="730"/>
      <c r="H426" s="730"/>
      <c r="I426" s="730"/>
      <c r="J426" s="730"/>
      <c r="K426" s="730"/>
      <c r="L426" s="730"/>
      <c r="M426" s="730"/>
      <c r="N426" s="571"/>
      <c r="O426" s="571"/>
      <c r="P426" s="571"/>
      <c r="Q426" s="571"/>
      <c r="R426" s="571"/>
      <c r="S426" s="571"/>
      <c r="T426" s="571"/>
      <c r="U426" s="571"/>
      <c r="V426" s="571"/>
      <c r="W426" s="571"/>
      <c r="X426" s="571"/>
      <c r="Y426" s="571"/>
      <c r="Z426" s="571"/>
      <c r="AA426" s="571"/>
      <c r="AB426" s="571"/>
      <c r="AC426" s="571"/>
      <c r="AD426" s="571"/>
      <c r="AE426" s="571"/>
      <c r="AF426" s="571"/>
      <c r="AG426" s="690"/>
      <c r="AH426" s="691"/>
    </row>
    <row r="427">
      <c r="A427" s="568"/>
      <c r="B427" s="730"/>
      <c r="C427" s="730"/>
      <c r="D427" s="730"/>
      <c r="E427" s="730"/>
      <c r="F427" s="730"/>
      <c r="G427" s="730"/>
      <c r="H427" s="730"/>
      <c r="I427" s="730"/>
      <c r="J427" s="730"/>
      <c r="K427" s="730"/>
      <c r="L427" s="730"/>
      <c r="M427" s="730"/>
      <c r="N427" s="571"/>
      <c r="O427" s="571"/>
      <c r="P427" s="571"/>
      <c r="Q427" s="571"/>
      <c r="R427" s="571"/>
      <c r="S427" s="571"/>
      <c r="T427" s="571"/>
      <c r="U427" s="571"/>
      <c r="V427" s="571"/>
      <c r="W427" s="571"/>
      <c r="X427" s="571"/>
      <c r="Y427" s="571"/>
      <c r="Z427" s="571"/>
      <c r="AA427" s="571"/>
      <c r="AB427" s="571"/>
      <c r="AC427" s="571"/>
      <c r="AD427" s="571"/>
      <c r="AE427" s="571"/>
      <c r="AF427" s="571"/>
      <c r="AG427" s="690"/>
      <c r="AH427" s="691"/>
    </row>
    <row r="428">
      <c r="A428" s="568"/>
      <c r="B428" s="730"/>
      <c r="C428" s="730"/>
      <c r="D428" s="730"/>
      <c r="E428" s="730"/>
      <c r="F428" s="730"/>
      <c r="G428" s="730"/>
      <c r="H428" s="730"/>
      <c r="I428" s="730"/>
      <c r="J428" s="730"/>
      <c r="K428" s="730"/>
      <c r="L428" s="730"/>
      <c r="M428" s="730"/>
      <c r="N428" s="571"/>
      <c r="O428" s="571"/>
      <c r="P428" s="571"/>
      <c r="Q428" s="571"/>
      <c r="R428" s="571"/>
      <c r="S428" s="571"/>
      <c r="T428" s="571"/>
      <c r="U428" s="571"/>
      <c r="V428" s="571"/>
      <c r="W428" s="571"/>
      <c r="X428" s="571"/>
      <c r="Y428" s="571"/>
      <c r="Z428" s="571"/>
      <c r="AA428" s="571"/>
      <c r="AB428" s="571"/>
      <c r="AC428" s="571"/>
      <c r="AD428" s="571"/>
      <c r="AE428" s="571"/>
      <c r="AF428" s="571"/>
      <c r="AG428" s="690"/>
      <c r="AH428" s="691"/>
    </row>
    <row r="429">
      <c r="A429" s="568"/>
      <c r="B429" s="730"/>
      <c r="C429" s="730"/>
      <c r="D429" s="730"/>
      <c r="E429" s="730"/>
      <c r="F429" s="730"/>
      <c r="G429" s="730"/>
      <c r="H429" s="730"/>
      <c r="I429" s="730"/>
      <c r="J429" s="730"/>
      <c r="K429" s="730"/>
      <c r="L429" s="730"/>
      <c r="M429" s="730"/>
      <c r="N429" s="571"/>
      <c r="O429" s="571"/>
      <c r="P429" s="571"/>
      <c r="Q429" s="571"/>
      <c r="R429" s="571"/>
      <c r="S429" s="571"/>
      <c r="T429" s="571"/>
      <c r="U429" s="571"/>
      <c r="V429" s="571"/>
      <c r="W429" s="571"/>
      <c r="X429" s="571"/>
      <c r="Y429" s="571"/>
      <c r="Z429" s="571"/>
      <c r="AA429" s="571"/>
      <c r="AB429" s="571"/>
      <c r="AC429" s="571"/>
      <c r="AD429" s="571"/>
      <c r="AE429" s="571"/>
      <c r="AF429" s="571"/>
      <c r="AG429" s="690"/>
      <c r="AH429" s="691"/>
    </row>
    <row r="430">
      <c r="A430" s="568"/>
      <c r="B430" s="730"/>
      <c r="C430" s="730"/>
      <c r="D430" s="730"/>
      <c r="E430" s="730"/>
      <c r="F430" s="730"/>
      <c r="G430" s="730"/>
      <c r="H430" s="730"/>
      <c r="I430" s="730"/>
      <c r="J430" s="730"/>
      <c r="K430" s="730"/>
      <c r="L430" s="730"/>
      <c r="M430" s="730"/>
      <c r="N430" s="571"/>
      <c r="O430" s="571"/>
      <c r="P430" s="571"/>
      <c r="Q430" s="571"/>
      <c r="R430" s="571"/>
      <c r="S430" s="571"/>
      <c r="T430" s="571"/>
      <c r="U430" s="571"/>
      <c r="V430" s="571"/>
      <c r="W430" s="571"/>
      <c r="X430" s="571"/>
      <c r="Y430" s="571"/>
      <c r="Z430" s="571"/>
      <c r="AA430" s="571"/>
      <c r="AB430" s="571"/>
      <c r="AC430" s="571"/>
      <c r="AD430" s="571"/>
      <c r="AE430" s="571"/>
      <c r="AF430" s="571"/>
      <c r="AG430" s="690"/>
      <c r="AH430" s="691"/>
    </row>
    <row r="431">
      <c r="A431" s="568"/>
      <c r="B431" s="730"/>
      <c r="C431" s="730"/>
      <c r="D431" s="730"/>
      <c r="E431" s="730"/>
      <c r="F431" s="730"/>
      <c r="G431" s="730"/>
      <c r="H431" s="730"/>
      <c r="I431" s="730"/>
      <c r="J431" s="730"/>
      <c r="K431" s="730"/>
      <c r="L431" s="730"/>
      <c r="M431" s="730"/>
      <c r="N431" s="571"/>
      <c r="O431" s="571"/>
      <c r="P431" s="571"/>
      <c r="Q431" s="571"/>
      <c r="R431" s="571"/>
      <c r="S431" s="571"/>
      <c r="T431" s="571"/>
      <c r="U431" s="571"/>
      <c r="V431" s="571"/>
      <c r="W431" s="571"/>
      <c r="X431" s="571"/>
      <c r="Y431" s="571"/>
      <c r="Z431" s="571"/>
      <c r="AA431" s="571"/>
      <c r="AB431" s="571"/>
      <c r="AC431" s="571"/>
      <c r="AD431" s="571"/>
      <c r="AE431" s="571"/>
      <c r="AF431" s="571"/>
      <c r="AG431" s="690"/>
      <c r="AH431" s="691"/>
    </row>
    <row r="432">
      <c r="A432" s="568"/>
      <c r="B432" s="730"/>
      <c r="C432" s="730"/>
      <c r="D432" s="730"/>
      <c r="E432" s="730"/>
      <c r="F432" s="730"/>
      <c r="G432" s="730"/>
      <c r="H432" s="730"/>
      <c r="I432" s="730"/>
      <c r="J432" s="730"/>
      <c r="K432" s="730"/>
      <c r="L432" s="730"/>
      <c r="M432" s="730"/>
      <c r="N432" s="571"/>
      <c r="O432" s="571"/>
      <c r="P432" s="571"/>
      <c r="Q432" s="571"/>
      <c r="R432" s="571"/>
      <c r="S432" s="571"/>
      <c r="T432" s="571"/>
      <c r="U432" s="571"/>
      <c r="V432" s="571"/>
      <c r="W432" s="571"/>
      <c r="X432" s="571"/>
      <c r="Y432" s="571"/>
      <c r="Z432" s="571"/>
      <c r="AA432" s="571"/>
      <c r="AB432" s="571"/>
      <c r="AC432" s="571"/>
      <c r="AD432" s="571"/>
      <c r="AE432" s="571"/>
      <c r="AF432" s="571"/>
      <c r="AG432" s="690"/>
      <c r="AH432" s="691"/>
    </row>
    <row r="433">
      <c r="A433" s="568"/>
      <c r="B433" s="730"/>
      <c r="C433" s="730"/>
      <c r="D433" s="730"/>
      <c r="E433" s="730"/>
      <c r="F433" s="730"/>
      <c r="G433" s="730"/>
      <c r="H433" s="730"/>
      <c r="I433" s="730"/>
      <c r="J433" s="730"/>
      <c r="K433" s="730"/>
      <c r="L433" s="730"/>
      <c r="M433" s="730"/>
      <c r="N433" s="571"/>
      <c r="O433" s="571"/>
      <c r="P433" s="571"/>
      <c r="Q433" s="571"/>
      <c r="R433" s="571"/>
      <c r="S433" s="571"/>
      <c r="T433" s="571"/>
      <c r="U433" s="571"/>
      <c r="V433" s="571"/>
      <c r="W433" s="571"/>
      <c r="X433" s="571"/>
      <c r="Y433" s="571"/>
      <c r="Z433" s="571"/>
      <c r="AA433" s="571"/>
      <c r="AB433" s="571"/>
      <c r="AC433" s="571"/>
      <c r="AD433" s="571"/>
      <c r="AE433" s="571"/>
      <c r="AF433" s="571"/>
      <c r="AG433" s="690"/>
      <c r="AH433" s="691"/>
    </row>
    <row r="434">
      <c r="A434" s="568"/>
      <c r="B434" s="730"/>
      <c r="C434" s="730"/>
      <c r="D434" s="730"/>
      <c r="E434" s="730"/>
      <c r="F434" s="730"/>
      <c r="G434" s="730"/>
      <c r="H434" s="730"/>
      <c r="I434" s="730"/>
      <c r="J434" s="730"/>
      <c r="K434" s="730"/>
      <c r="L434" s="730"/>
      <c r="M434" s="730"/>
      <c r="N434" s="571"/>
      <c r="O434" s="571"/>
      <c r="P434" s="571"/>
      <c r="Q434" s="571"/>
      <c r="R434" s="571"/>
      <c r="S434" s="571"/>
      <c r="T434" s="571"/>
      <c r="U434" s="571"/>
      <c r="V434" s="571"/>
      <c r="W434" s="571"/>
      <c r="X434" s="571"/>
      <c r="Y434" s="571"/>
      <c r="Z434" s="571"/>
      <c r="AA434" s="571"/>
      <c r="AB434" s="571"/>
      <c r="AC434" s="571"/>
      <c r="AD434" s="571"/>
      <c r="AE434" s="571"/>
      <c r="AF434" s="571"/>
      <c r="AG434" s="690"/>
      <c r="AH434" s="691"/>
    </row>
    <row r="435">
      <c r="A435" s="568"/>
      <c r="B435" s="730"/>
      <c r="C435" s="730"/>
      <c r="D435" s="730"/>
      <c r="E435" s="730"/>
      <c r="F435" s="730"/>
      <c r="G435" s="730"/>
      <c r="H435" s="730"/>
      <c r="I435" s="730"/>
      <c r="J435" s="730"/>
      <c r="K435" s="730"/>
      <c r="L435" s="730"/>
      <c r="M435" s="730"/>
      <c r="N435" s="571"/>
      <c r="O435" s="571"/>
      <c r="P435" s="571"/>
      <c r="Q435" s="571"/>
      <c r="R435" s="571"/>
      <c r="S435" s="571"/>
      <c r="T435" s="571"/>
      <c r="U435" s="571"/>
      <c r="V435" s="571"/>
      <c r="W435" s="571"/>
      <c r="X435" s="571"/>
      <c r="Y435" s="571"/>
      <c r="Z435" s="571"/>
      <c r="AA435" s="571"/>
      <c r="AB435" s="571"/>
      <c r="AC435" s="571"/>
      <c r="AD435" s="571"/>
      <c r="AE435" s="571"/>
      <c r="AF435" s="571"/>
      <c r="AG435" s="690"/>
      <c r="AH435" s="691"/>
    </row>
    <row r="436">
      <c r="A436" s="568"/>
      <c r="B436" s="730"/>
      <c r="C436" s="730"/>
      <c r="D436" s="730"/>
      <c r="E436" s="730"/>
      <c r="F436" s="730"/>
      <c r="G436" s="730"/>
      <c r="H436" s="730"/>
      <c r="I436" s="730"/>
      <c r="J436" s="730"/>
      <c r="K436" s="730"/>
      <c r="L436" s="730"/>
      <c r="M436" s="730"/>
      <c r="N436" s="571"/>
      <c r="O436" s="571"/>
      <c r="P436" s="571"/>
      <c r="Q436" s="571"/>
      <c r="R436" s="571"/>
      <c r="S436" s="571"/>
      <c r="T436" s="571"/>
      <c r="U436" s="571"/>
      <c r="V436" s="571"/>
      <c r="W436" s="571"/>
      <c r="X436" s="571"/>
      <c r="Y436" s="571"/>
      <c r="Z436" s="571"/>
      <c r="AA436" s="571"/>
      <c r="AB436" s="571"/>
      <c r="AC436" s="571"/>
      <c r="AD436" s="571"/>
      <c r="AE436" s="571"/>
      <c r="AF436" s="571"/>
      <c r="AG436" s="690"/>
      <c r="AH436" s="691"/>
    </row>
    <row r="437">
      <c r="A437" s="568"/>
      <c r="B437" s="730"/>
      <c r="C437" s="730"/>
      <c r="D437" s="730"/>
      <c r="E437" s="730"/>
      <c r="F437" s="730"/>
      <c r="G437" s="730"/>
      <c r="H437" s="730"/>
      <c r="I437" s="730"/>
      <c r="J437" s="730"/>
      <c r="K437" s="730"/>
      <c r="L437" s="730"/>
      <c r="M437" s="730"/>
      <c r="N437" s="571"/>
      <c r="O437" s="571"/>
      <c r="P437" s="571"/>
      <c r="Q437" s="571"/>
      <c r="R437" s="571"/>
      <c r="S437" s="571"/>
      <c r="T437" s="571"/>
      <c r="U437" s="571"/>
      <c r="V437" s="571"/>
      <c r="W437" s="571"/>
      <c r="X437" s="571"/>
      <c r="Y437" s="571"/>
      <c r="Z437" s="571"/>
      <c r="AA437" s="571"/>
      <c r="AB437" s="571"/>
      <c r="AC437" s="571"/>
      <c r="AD437" s="571"/>
      <c r="AE437" s="571"/>
      <c r="AF437" s="571"/>
      <c r="AG437" s="690"/>
      <c r="AH437" s="691"/>
    </row>
    <row r="438">
      <c r="A438" s="568"/>
      <c r="B438" s="730"/>
      <c r="C438" s="730"/>
      <c r="D438" s="730"/>
      <c r="E438" s="730"/>
      <c r="F438" s="730"/>
      <c r="G438" s="730"/>
      <c r="H438" s="730"/>
      <c r="I438" s="730"/>
      <c r="J438" s="730"/>
      <c r="K438" s="730"/>
      <c r="L438" s="730"/>
      <c r="M438" s="730"/>
      <c r="N438" s="571"/>
      <c r="O438" s="571"/>
      <c r="P438" s="571"/>
      <c r="Q438" s="571"/>
      <c r="R438" s="571"/>
      <c r="S438" s="571"/>
      <c r="T438" s="571"/>
      <c r="U438" s="571"/>
      <c r="V438" s="571"/>
      <c r="W438" s="571"/>
      <c r="X438" s="571"/>
      <c r="Y438" s="571"/>
      <c r="Z438" s="571"/>
      <c r="AA438" s="571"/>
      <c r="AB438" s="571"/>
      <c r="AC438" s="571"/>
      <c r="AD438" s="571"/>
      <c r="AE438" s="571"/>
      <c r="AF438" s="571"/>
      <c r="AG438" s="690"/>
      <c r="AH438" s="691"/>
    </row>
    <row r="439">
      <c r="A439" s="568"/>
      <c r="B439" s="730"/>
      <c r="C439" s="730"/>
      <c r="D439" s="730"/>
      <c r="E439" s="730"/>
      <c r="F439" s="730"/>
      <c r="G439" s="730"/>
      <c r="H439" s="730"/>
      <c r="I439" s="730"/>
      <c r="J439" s="730"/>
      <c r="K439" s="730"/>
      <c r="L439" s="730"/>
      <c r="M439" s="730"/>
      <c r="N439" s="571"/>
      <c r="O439" s="571"/>
      <c r="P439" s="571"/>
      <c r="Q439" s="571"/>
      <c r="R439" s="571"/>
      <c r="S439" s="571"/>
      <c r="T439" s="571"/>
      <c r="U439" s="571"/>
      <c r="V439" s="571"/>
      <c r="W439" s="571"/>
      <c r="X439" s="571"/>
      <c r="Y439" s="571"/>
      <c r="Z439" s="571"/>
      <c r="AA439" s="571"/>
      <c r="AB439" s="571"/>
      <c r="AC439" s="571"/>
      <c r="AD439" s="571"/>
      <c r="AE439" s="571"/>
      <c r="AF439" s="571"/>
      <c r="AG439" s="690"/>
      <c r="AH439" s="691"/>
    </row>
    <row r="440">
      <c r="A440" s="568"/>
      <c r="B440" s="730"/>
      <c r="C440" s="730"/>
      <c r="D440" s="730"/>
      <c r="E440" s="730"/>
      <c r="F440" s="730"/>
      <c r="G440" s="730"/>
      <c r="H440" s="730"/>
      <c r="I440" s="730"/>
      <c r="J440" s="730"/>
      <c r="K440" s="730"/>
      <c r="L440" s="730"/>
      <c r="M440" s="730"/>
      <c r="N440" s="571"/>
      <c r="O440" s="571"/>
      <c r="P440" s="571"/>
      <c r="Q440" s="571"/>
      <c r="R440" s="571"/>
      <c r="S440" s="571"/>
      <c r="T440" s="571"/>
      <c r="U440" s="571"/>
      <c r="V440" s="571"/>
      <c r="W440" s="571"/>
      <c r="X440" s="571"/>
      <c r="Y440" s="571"/>
      <c r="Z440" s="571"/>
      <c r="AA440" s="571"/>
      <c r="AB440" s="571"/>
      <c r="AC440" s="571"/>
      <c r="AD440" s="571"/>
      <c r="AE440" s="571"/>
      <c r="AF440" s="571"/>
      <c r="AG440" s="690"/>
      <c r="AH440" s="691"/>
    </row>
    <row r="441">
      <c r="A441" s="568"/>
      <c r="B441" s="730"/>
      <c r="C441" s="730"/>
      <c r="D441" s="730"/>
      <c r="E441" s="730"/>
      <c r="F441" s="730"/>
      <c r="G441" s="730"/>
      <c r="H441" s="730"/>
      <c r="I441" s="730"/>
      <c r="J441" s="730"/>
      <c r="K441" s="730"/>
      <c r="L441" s="730"/>
      <c r="M441" s="730"/>
      <c r="N441" s="571"/>
      <c r="O441" s="571"/>
      <c r="P441" s="571"/>
      <c r="Q441" s="571"/>
      <c r="R441" s="571"/>
      <c r="S441" s="571"/>
      <c r="T441" s="571"/>
      <c r="U441" s="571"/>
      <c r="V441" s="571"/>
      <c r="W441" s="571"/>
      <c r="X441" s="571"/>
      <c r="Y441" s="571"/>
      <c r="Z441" s="571"/>
      <c r="AA441" s="571"/>
      <c r="AB441" s="571"/>
      <c r="AC441" s="571"/>
      <c r="AD441" s="571"/>
      <c r="AE441" s="571"/>
      <c r="AF441" s="571"/>
      <c r="AG441" s="690"/>
      <c r="AH441" s="691"/>
    </row>
    <row r="442">
      <c r="A442" s="568"/>
      <c r="B442" s="730"/>
      <c r="C442" s="730"/>
      <c r="D442" s="730"/>
      <c r="E442" s="730"/>
      <c r="F442" s="730"/>
      <c r="G442" s="730"/>
      <c r="H442" s="730"/>
      <c r="I442" s="730"/>
      <c r="J442" s="730"/>
      <c r="K442" s="730"/>
      <c r="L442" s="730"/>
      <c r="M442" s="730"/>
      <c r="N442" s="571"/>
      <c r="O442" s="571"/>
      <c r="P442" s="571"/>
      <c r="Q442" s="571"/>
      <c r="R442" s="571"/>
      <c r="S442" s="571"/>
      <c r="T442" s="571"/>
      <c r="U442" s="571"/>
      <c r="V442" s="571"/>
      <c r="W442" s="571"/>
      <c r="X442" s="571"/>
      <c r="Y442" s="571"/>
      <c r="Z442" s="571"/>
      <c r="AA442" s="571"/>
      <c r="AB442" s="571"/>
      <c r="AC442" s="571"/>
      <c r="AD442" s="571"/>
      <c r="AE442" s="571"/>
      <c r="AF442" s="571"/>
      <c r="AG442" s="690"/>
      <c r="AH442" s="691"/>
    </row>
    <row r="443">
      <c r="A443" s="568"/>
      <c r="B443" s="730"/>
      <c r="C443" s="730"/>
      <c r="D443" s="730"/>
      <c r="E443" s="730"/>
      <c r="F443" s="730"/>
      <c r="G443" s="730"/>
      <c r="H443" s="730"/>
      <c r="I443" s="730"/>
      <c r="J443" s="730"/>
      <c r="K443" s="730"/>
      <c r="L443" s="730"/>
      <c r="M443" s="730"/>
      <c r="N443" s="571"/>
      <c r="O443" s="571"/>
      <c r="P443" s="571"/>
      <c r="Q443" s="571"/>
      <c r="R443" s="571"/>
      <c r="S443" s="571"/>
      <c r="T443" s="571"/>
      <c r="U443" s="571"/>
      <c r="V443" s="571"/>
      <c r="W443" s="571"/>
      <c r="X443" s="571"/>
      <c r="Y443" s="571"/>
      <c r="Z443" s="571"/>
      <c r="AA443" s="571"/>
      <c r="AB443" s="571"/>
      <c r="AC443" s="571"/>
      <c r="AD443" s="571"/>
      <c r="AE443" s="571"/>
      <c r="AF443" s="571"/>
      <c r="AG443" s="690"/>
      <c r="AH443" s="691"/>
    </row>
    <row r="444">
      <c r="A444" s="568"/>
      <c r="B444" s="730"/>
      <c r="C444" s="730"/>
      <c r="D444" s="730"/>
      <c r="E444" s="730"/>
      <c r="F444" s="730"/>
      <c r="G444" s="730"/>
      <c r="H444" s="730"/>
      <c r="I444" s="730"/>
      <c r="J444" s="730"/>
      <c r="K444" s="730"/>
      <c r="L444" s="730"/>
      <c r="M444" s="730"/>
      <c r="N444" s="571"/>
      <c r="O444" s="571"/>
      <c r="P444" s="571"/>
      <c r="Q444" s="571"/>
      <c r="R444" s="571"/>
      <c r="S444" s="571"/>
      <c r="T444" s="571"/>
      <c r="U444" s="571"/>
      <c r="V444" s="571"/>
      <c r="W444" s="571"/>
      <c r="X444" s="571"/>
      <c r="Y444" s="571"/>
      <c r="Z444" s="571"/>
      <c r="AA444" s="571"/>
      <c r="AB444" s="571"/>
      <c r="AC444" s="571"/>
      <c r="AD444" s="571"/>
      <c r="AE444" s="571"/>
      <c r="AF444" s="571"/>
      <c r="AG444" s="690"/>
      <c r="AH444" s="691"/>
    </row>
    <row r="445">
      <c r="A445" s="568"/>
      <c r="B445" s="730"/>
      <c r="C445" s="730"/>
      <c r="D445" s="730"/>
      <c r="E445" s="730"/>
      <c r="F445" s="730"/>
      <c r="G445" s="730"/>
      <c r="H445" s="730"/>
      <c r="I445" s="730"/>
      <c r="J445" s="730"/>
      <c r="K445" s="730"/>
      <c r="L445" s="730"/>
      <c r="M445" s="730"/>
      <c r="N445" s="571"/>
      <c r="O445" s="571"/>
      <c r="P445" s="571"/>
      <c r="Q445" s="571"/>
      <c r="R445" s="571"/>
      <c r="S445" s="571"/>
      <c r="T445" s="571"/>
      <c r="U445" s="571"/>
      <c r="V445" s="571"/>
      <c r="W445" s="571"/>
      <c r="X445" s="571"/>
      <c r="Y445" s="571"/>
      <c r="Z445" s="571"/>
      <c r="AA445" s="571"/>
      <c r="AB445" s="571"/>
      <c r="AC445" s="571"/>
      <c r="AD445" s="571"/>
      <c r="AE445" s="571"/>
      <c r="AF445" s="571"/>
      <c r="AG445" s="690"/>
      <c r="AH445" s="691"/>
    </row>
    <row r="446">
      <c r="A446" s="568"/>
      <c r="B446" s="730"/>
      <c r="C446" s="730"/>
      <c r="D446" s="730"/>
      <c r="E446" s="730"/>
      <c r="F446" s="730"/>
      <c r="G446" s="730"/>
      <c r="H446" s="730"/>
      <c r="I446" s="730"/>
      <c r="J446" s="730"/>
      <c r="K446" s="730"/>
      <c r="L446" s="730"/>
      <c r="M446" s="730"/>
      <c r="N446" s="571"/>
      <c r="O446" s="571"/>
      <c r="P446" s="571"/>
      <c r="Q446" s="571"/>
      <c r="R446" s="571"/>
      <c r="S446" s="571"/>
      <c r="T446" s="571"/>
      <c r="U446" s="571"/>
      <c r="V446" s="571"/>
      <c r="W446" s="571"/>
      <c r="X446" s="571"/>
      <c r="Y446" s="571"/>
      <c r="Z446" s="571"/>
      <c r="AA446" s="571"/>
      <c r="AB446" s="571"/>
      <c r="AC446" s="571"/>
      <c r="AD446" s="571"/>
      <c r="AE446" s="571"/>
      <c r="AF446" s="571"/>
      <c r="AG446" s="690"/>
      <c r="AH446" s="691"/>
    </row>
    <row r="447">
      <c r="A447" s="568"/>
      <c r="B447" s="730"/>
      <c r="C447" s="730"/>
      <c r="D447" s="730"/>
      <c r="E447" s="730"/>
      <c r="F447" s="730"/>
      <c r="G447" s="730"/>
      <c r="H447" s="730"/>
      <c r="I447" s="730"/>
      <c r="J447" s="730"/>
      <c r="K447" s="730"/>
      <c r="L447" s="730"/>
      <c r="M447" s="730"/>
      <c r="N447" s="571"/>
      <c r="O447" s="571"/>
      <c r="P447" s="571"/>
      <c r="Q447" s="571"/>
      <c r="R447" s="571"/>
      <c r="S447" s="571"/>
      <c r="T447" s="571"/>
      <c r="U447" s="571"/>
      <c r="V447" s="571"/>
      <c r="W447" s="571"/>
      <c r="X447" s="571"/>
      <c r="Y447" s="571"/>
      <c r="Z447" s="571"/>
      <c r="AA447" s="571"/>
      <c r="AB447" s="571"/>
      <c r="AC447" s="571"/>
      <c r="AD447" s="571"/>
      <c r="AE447" s="571"/>
      <c r="AF447" s="571"/>
      <c r="AG447" s="690"/>
      <c r="AH447" s="691"/>
    </row>
    <row r="448">
      <c r="A448" s="568"/>
      <c r="B448" s="730"/>
      <c r="C448" s="730"/>
      <c r="D448" s="730"/>
      <c r="E448" s="730"/>
      <c r="F448" s="730"/>
      <c r="G448" s="730"/>
      <c r="H448" s="730"/>
      <c r="I448" s="730"/>
      <c r="J448" s="730"/>
      <c r="K448" s="730"/>
      <c r="L448" s="730"/>
      <c r="M448" s="730"/>
      <c r="N448" s="571"/>
      <c r="O448" s="571"/>
      <c r="P448" s="571"/>
      <c r="Q448" s="571"/>
      <c r="R448" s="571"/>
      <c r="S448" s="571"/>
      <c r="T448" s="571"/>
      <c r="U448" s="571"/>
      <c r="V448" s="571"/>
      <c r="W448" s="571"/>
      <c r="X448" s="571"/>
      <c r="Y448" s="571"/>
      <c r="Z448" s="571"/>
      <c r="AA448" s="571"/>
      <c r="AB448" s="571"/>
      <c r="AC448" s="571"/>
      <c r="AD448" s="571"/>
      <c r="AE448" s="571"/>
      <c r="AF448" s="571"/>
      <c r="AG448" s="690"/>
      <c r="AH448" s="691"/>
    </row>
    <row r="449">
      <c r="A449" s="568"/>
      <c r="B449" s="730"/>
      <c r="C449" s="730"/>
      <c r="D449" s="730"/>
      <c r="E449" s="730"/>
      <c r="F449" s="730"/>
      <c r="G449" s="730"/>
      <c r="H449" s="730"/>
      <c r="I449" s="730"/>
      <c r="J449" s="730"/>
      <c r="K449" s="730"/>
      <c r="L449" s="730"/>
      <c r="M449" s="730"/>
      <c r="N449" s="571"/>
      <c r="O449" s="571"/>
      <c r="P449" s="571"/>
      <c r="Q449" s="571"/>
      <c r="R449" s="571"/>
      <c r="S449" s="571"/>
      <c r="T449" s="571"/>
      <c r="U449" s="571"/>
      <c r="V449" s="571"/>
      <c r="W449" s="571"/>
      <c r="X449" s="571"/>
      <c r="Y449" s="571"/>
      <c r="Z449" s="571"/>
      <c r="AA449" s="571"/>
      <c r="AB449" s="571"/>
      <c r="AC449" s="571"/>
      <c r="AD449" s="571"/>
      <c r="AE449" s="571"/>
      <c r="AF449" s="571"/>
      <c r="AG449" s="690"/>
      <c r="AH449" s="691"/>
    </row>
    <row r="450">
      <c r="A450" s="568"/>
      <c r="B450" s="730"/>
      <c r="C450" s="730"/>
      <c r="D450" s="730"/>
      <c r="E450" s="730"/>
      <c r="F450" s="730"/>
      <c r="G450" s="730"/>
      <c r="H450" s="730"/>
      <c r="I450" s="730"/>
      <c r="J450" s="730"/>
      <c r="K450" s="730"/>
      <c r="L450" s="730"/>
      <c r="M450" s="730"/>
      <c r="N450" s="571"/>
      <c r="O450" s="571"/>
      <c r="P450" s="571"/>
      <c r="Q450" s="571"/>
      <c r="R450" s="571"/>
      <c r="S450" s="571"/>
      <c r="T450" s="571"/>
      <c r="U450" s="571"/>
      <c r="V450" s="571"/>
      <c r="W450" s="571"/>
      <c r="X450" s="571"/>
      <c r="Y450" s="571"/>
      <c r="Z450" s="571"/>
      <c r="AA450" s="571"/>
      <c r="AB450" s="571"/>
      <c r="AC450" s="571"/>
      <c r="AD450" s="571"/>
      <c r="AE450" s="571"/>
      <c r="AF450" s="571"/>
      <c r="AG450" s="690"/>
      <c r="AH450" s="691"/>
    </row>
    <row r="451">
      <c r="A451" s="568"/>
      <c r="B451" s="730"/>
      <c r="C451" s="730"/>
      <c r="D451" s="730"/>
      <c r="E451" s="730"/>
      <c r="F451" s="730"/>
      <c r="G451" s="730"/>
      <c r="H451" s="730"/>
      <c r="I451" s="730"/>
      <c r="J451" s="730"/>
      <c r="K451" s="730"/>
      <c r="L451" s="730"/>
      <c r="M451" s="730"/>
      <c r="N451" s="571"/>
      <c r="O451" s="571"/>
      <c r="P451" s="571"/>
      <c r="Q451" s="571"/>
      <c r="R451" s="571"/>
      <c r="S451" s="571"/>
      <c r="T451" s="571"/>
      <c r="U451" s="571"/>
      <c r="V451" s="571"/>
      <c r="W451" s="571"/>
      <c r="X451" s="571"/>
      <c r="Y451" s="571"/>
      <c r="Z451" s="571"/>
      <c r="AA451" s="571"/>
      <c r="AB451" s="571"/>
      <c r="AC451" s="571"/>
      <c r="AD451" s="571"/>
      <c r="AE451" s="571"/>
      <c r="AF451" s="571"/>
      <c r="AG451" s="690"/>
      <c r="AH451" s="691"/>
    </row>
    <row r="452">
      <c r="A452" s="568"/>
      <c r="B452" s="730"/>
      <c r="C452" s="730"/>
      <c r="D452" s="730"/>
      <c r="E452" s="730"/>
      <c r="F452" s="730"/>
      <c r="G452" s="730"/>
      <c r="H452" s="730"/>
      <c r="I452" s="730"/>
      <c r="J452" s="730"/>
      <c r="K452" s="730"/>
      <c r="L452" s="730"/>
      <c r="M452" s="730"/>
      <c r="N452" s="571"/>
      <c r="O452" s="571"/>
      <c r="P452" s="571"/>
      <c r="Q452" s="571"/>
      <c r="R452" s="571"/>
      <c r="S452" s="571"/>
      <c r="T452" s="571"/>
      <c r="U452" s="571"/>
      <c r="V452" s="571"/>
      <c r="W452" s="571"/>
      <c r="X452" s="571"/>
      <c r="Y452" s="571"/>
      <c r="Z452" s="571"/>
      <c r="AA452" s="571"/>
      <c r="AB452" s="571"/>
      <c r="AC452" s="571"/>
      <c r="AD452" s="571"/>
      <c r="AE452" s="571"/>
      <c r="AF452" s="571"/>
      <c r="AG452" s="690"/>
      <c r="AH452" s="691"/>
    </row>
    <row r="453">
      <c r="A453" s="568"/>
      <c r="B453" s="730"/>
      <c r="C453" s="730"/>
      <c r="D453" s="730"/>
      <c r="E453" s="730"/>
      <c r="F453" s="730"/>
      <c r="G453" s="730"/>
      <c r="H453" s="730"/>
      <c r="I453" s="730"/>
      <c r="J453" s="730"/>
      <c r="K453" s="730"/>
      <c r="L453" s="730"/>
      <c r="M453" s="730"/>
      <c r="N453" s="571"/>
      <c r="O453" s="571"/>
      <c r="P453" s="571"/>
      <c r="Q453" s="571"/>
      <c r="R453" s="571"/>
      <c r="S453" s="571"/>
      <c r="T453" s="571"/>
      <c r="U453" s="571"/>
      <c r="V453" s="571"/>
      <c r="W453" s="571"/>
      <c r="X453" s="571"/>
      <c r="Y453" s="571"/>
      <c r="Z453" s="571"/>
      <c r="AA453" s="571"/>
      <c r="AB453" s="571"/>
      <c r="AC453" s="571"/>
      <c r="AD453" s="571"/>
      <c r="AE453" s="571"/>
      <c r="AF453" s="571"/>
      <c r="AG453" s="690"/>
      <c r="AH453" s="691"/>
    </row>
    <row r="454">
      <c r="A454" s="568"/>
      <c r="B454" s="730"/>
      <c r="C454" s="730"/>
      <c r="D454" s="730"/>
      <c r="E454" s="730"/>
      <c r="F454" s="730"/>
      <c r="G454" s="730"/>
      <c r="H454" s="730"/>
      <c r="I454" s="730"/>
      <c r="J454" s="730"/>
      <c r="K454" s="730"/>
      <c r="L454" s="730"/>
      <c r="M454" s="730"/>
      <c r="N454" s="571"/>
      <c r="O454" s="571"/>
      <c r="P454" s="571"/>
      <c r="Q454" s="571"/>
      <c r="R454" s="571"/>
      <c r="S454" s="571"/>
      <c r="T454" s="571"/>
      <c r="U454" s="571"/>
      <c r="V454" s="571"/>
      <c r="W454" s="571"/>
      <c r="X454" s="571"/>
      <c r="Y454" s="571"/>
      <c r="Z454" s="571"/>
      <c r="AA454" s="571"/>
      <c r="AB454" s="571"/>
      <c r="AC454" s="571"/>
      <c r="AD454" s="571"/>
      <c r="AE454" s="571"/>
      <c r="AF454" s="571"/>
      <c r="AG454" s="690"/>
      <c r="AH454" s="691"/>
    </row>
    <row r="455">
      <c r="A455" s="568"/>
      <c r="B455" s="730"/>
      <c r="C455" s="730"/>
      <c r="D455" s="730"/>
      <c r="E455" s="730"/>
      <c r="F455" s="730"/>
      <c r="G455" s="730"/>
      <c r="H455" s="730"/>
      <c r="I455" s="730"/>
      <c r="J455" s="730"/>
      <c r="K455" s="730"/>
      <c r="L455" s="730"/>
      <c r="M455" s="730"/>
      <c r="N455" s="571"/>
      <c r="O455" s="571"/>
      <c r="P455" s="571"/>
      <c r="Q455" s="571"/>
      <c r="R455" s="571"/>
      <c r="S455" s="571"/>
      <c r="T455" s="571"/>
      <c r="U455" s="571"/>
      <c r="V455" s="571"/>
      <c r="W455" s="571"/>
      <c r="X455" s="571"/>
      <c r="Y455" s="571"/>
      <c r="Z455" s="571"/>
      <c r="AA455" s="571"/>
      <c r="AB455" s="571"/>
      <c r="AC455" s="571"/>
      <c r="AD455" s="571"/>
      <c r="AE455" s="571"/>
      <c r="AF455" s="571"/>
      <c r="AG455" s="690"/>
      <c r="AH455" s="691"/>
    </row>
    <row r="456">
      <c r="A456" s="568"/>
      <c r="B456" s="730"/>
      <c r="C456" s="730"/>
      <c r="D456" s="730"/>
      <c r="E456" s="730"/>
      <c r="F456" s="730"/>
      <c r="G456" s="730"/>
      <c r="H456" s="730"/>
      <c r="I456" s="730"/>
      <c r="J456" s="730"/>
      <c r="K456" s="730"/>
      <c r="L456" s="730"/>
      <c r="M456" s="730"/>
      <c r="N456" s="571"/>
      <c r="O456" s="571"/>
      <c r="P456" s="571"/>
      <c r="Q456" s="571"/>
      <c r="R456" s="571"/>
      <c r="S456" s="571"/>
      <c r="T456" s="571"/>
      <c r="U456" s="571"/>
      <c r="V456" s="571"/>
      <c r="W456" s="571"/>
      <c r="X456" s="571"/>
      <c r="Y456" s="571"/>
      <c r="Z456" s="571"/>
      <c r="AA456" s="571"/>
      <c r="AB456" s="571"/>
      <c r="AC456" s="571"/>
      <c r="AD456" s="571"/>
      <c r="AE456" s="571"/>
      <c r="AF456" s="571"/>
      <c r="AG456" s="690"/>
      <c r="AH456" s="691"/>
    </row>
    <row r="457">
      <c r="A457" s="568"/>
      <c r="B457" s="730"/>
      <c r="C457" s="730"/>
      <c r="D457" s="730"/>
      <c r="E457" s="730"/>
      <c r="F457" s="730"/>
      <c r="G457" s="730"/>
      <c r="H457" s="730"/>
      <c r="I457" s="730"/>
      <c r="J457" s="730"/>
      <c r="K457" s="730"/>
      <c r="L457" s="730"/>
      <c r="M457" s="730"/>
      <c r="N457" s="571"/>
      <c r="O457" s="571"/>
      <c r="P457" s="571"/>
      <c r="Q457" s="571"/>
      <c r="R457" s="571"/>
      <c r="S457" s="571"/>
      <c r="T457" s="571"/>
      <c r="U457" s="571"/>
      <c r="V457" s="571"/>
      <c r="W457" s="571"/>
      <c r="X457" s="571"/>
      <c r="Y457" s="571"/>
      <c r="Z457" s="571"/>
      <c r="AA457" s="571"/>
      <c r="AB457" s="571"/>
      <c r="AC457" s="571"/>
      <c r="AD457" s="571"/>
      <c r="AE457" s="571"/>
      <c r="AF457" s="571"/>
      <c r="AG457" s="690"/>
      <c r="AH457" s="691"/>
    </row>
    <row r="458">
      <c r="A458" s="568"/>
      <c r="B458" s="730"/>
      <c r="C458" s="730"/>
      <c r="D458" s="730"/>
      <c r="E458" s="730"/>
      <c r="F458" s="730"/>
      <c r="G458" s="730"/>
      <c r="H458" s="730"/>
      <c r="I458" s="730"/>
      <c r="J458" s="730"/>
      <c r="K458" s="730"/>
      <c r="L458" s="730"/>
      <c r="M458" s="730"/>
      <c r="N458" s="571"/>
      <c r="O458" s="571"/>
      <c r="P458" s="571"/>
      <c r="Q458" s="571"/>
      <c r="R458" s="571"/>
      <c r="S458" s="571"/>
      <c r="T458" s="571"/>
      <c r="U458" s="571"/>
      <c r="V458" s="571"/>
      <c r="W458" s="571"/>
      <c r="X458" s="571"/>
      <c r="Y458" s="571"/>
      <c r="Z458" s="571"/>
      <c r="AA458" s="571"/>
      <c r="AB458" s="571"/>
      <c r="AC458" s="571"/>
      <c r="AD458" s="571"/>
      <c r="AE458" s="571"/>
      <c r="AF458" s="571"/>
      <c r="AG458" s="690"/>
      <c r="AH458" s="691"/>
    </row>
    <row r="459">
      <c r="A459" s="568"/>
      <c r="B459" s="730"/>
      <c r="C459" s="730"/>
      <c r="D459" s="730"/>
      <c r="E459" s="730"/>
      <c r="F459" s="730"/>
      <c r="G459" s="730"/>
      <c r="H459" s="730"/>
      <c r="I459" s="730"/>
      <c r="J459" s="730"/>
      <c r="K459" s="730"/>
      <c r="L459" s="730"/>
      <c r="M459" s="730"/>
      <c r="N459" s="571"/>
      <c r="O459" s="571"/>
      <c r="P459" s="571"/>
      <c r="Q459" s="571"/>
      <c r="R459" s="571"/>
      <c r="S459" s="571"/>
      <c r="T459" s="571"/>
      <c r="U459" s="571"/>
      <c r="V459" s="571"/>
      <c r="W459" s="571"/>
      <c r="X459" s="571"/>
      <c r="Y459" s="571"/>
      <c r="Z459" s="571"/>
      <c r="AA459" s="571"/>
      <c r="AB459" s="571"/>
      <c r="AC459" s="571"/>
      <c r="AD459" s="571"/>
      <c r="AE459" s="571"/>
      <c r="AF459" s="571"/>
      <c r="AG459" s="690"/>
      <c r="AH459" s="691"/>
    </row>
    <row r="460">
      <c r="A460" s="568"/>
      <c r="B460" s="730"/>
      <c r="C460" s="730"/>
      <c r="D460" s="730"/>
      <c r="E460" s="730"/>
      <c r="F460" s="730"/>
      <c r="G460" s="730"/>
      <c r="H460" s="730"/>
      <c r="I460" s="730"/>
      <c r="J460" s="730"/>
      <c r="K460" s="730"/>
      <c r="L460" s="730"/>
      <c r="M460" s="730"/>
      <c r="N460" s="571"/>
      <c r="O460" s="571"/>
      <c r="P460" s="571"/>
      <c r="Q460" s="571"/>
      <c r="R460" s="571"/>
      <c r="S460" s="571"/>
      <c r="T460" s="571"/>
      <c r="U460" s="571"/>
      <c r="V460" s="571"/>
      <c r="W460" s="571"/>
      <c r="X460" s="571"/>
      <c r="Y460" s="571"/>
      <c r="Z460" s="571"/>
      <c r="AA460" s="571"/>
      <c r="AB460" s="571"/>
      <c r="AC460" s="571"/>
      <c r="AD460" s="571"/>
      <c r="AE460" s="571"/>
      <c r="AF460" s="571"/>
      <c r="AG460" s="690"/>
      <c r="AH460" s="691"/>
    </row>
    <row r="461">
      <c r="A461" s="568"/>
      <c r="B461" s="730"/>
      <c r="C461" s="730"/>
      <c r="D461" s="730"/>
      <c r="E461" s="730"/>
      <c r="F461" s="730"/>
      <c r="G461" s="730"/>
      <c r="H461" s="730"/>
      <c r="I461" s="730"/>
      <c r="J461" s="730"/>
      <c r="K461" s="730"/>
      <c r="L461" s="730"/>
      <c r="M461" s="730"/>
      <c r="N461" s="571"/>
      <c r="O461" s="571"/>
      <c r="P461" s="571"/>
      <c r="Q461" s="571"/>
      <c r="R461" s="571"/>
      <c r="S461" s="571"/>
      <c r="T461" s="571"/>
      <c r="U461" s="571"/>
      <c r="V461" s="571"/>
      <c r="W461" s="571"/>
      <c r="X461" s="571"/>
      <c r="Y461" s="571"/>
      <c r="Z461" s="571"/>
      <c r="AA461" s="571"/>
      <c r="AB461" s="571"/>
      <c r="AC461" s="571"/>
      <c r="AD461" s="571"/>
      <c r="AE461" s="571"/>
      <c r="AF461" s="571"/>
      <c r="AG461" s="690"/>
      <c r="AH461" s="691"/>
    </row>
    <row r="462">
      <c r="A462" s="568"/>
      <c r="B462" s="730"/>
      <c r="C462" s="730"/>
      <c r="D462" s="730"/>
      <c r="E462" s="730"/>
      <c r="F462" s="730"/>
      <c r="G462" s="730"/>
      <c r="H462" s="730"/>
      <c r="I462" s="730"/>
      <c r="J462" s="730"/>
      <c r="K462" s="730"/>
      <c r="L462" s="730"/>
      <c r="M462" s="730"/>
      <c r="N462" s="571"/>
      <c r="O462" s="571"/>
      <c r="P462" s="571"/>
      <c r="Q462" s="571"/>
      <c r="R462" s="571"/>
      <c r="S462" s="571"/>
      <c r="T462" s="571"/>
      <c r="U462" s="571"/>
      <c r="V462" s="571"/>
      <c r="W462" s="571"/>
      <c r="X462" s="571"/>
      <c r="Y462" s="571"/>
      <c r="Z462" s="571"/>
      <c r="AA462" s="571"/>
      <c r="AB462" s="571"/>
      <c r="AC462" s="571"/>
      <c r="AD462" s="571"/>
      <c r="AE462" s="571"/>
      <c r="AF462" s="571"/>
      <c r="AG462" s="690"/>
      <c r="AH462" s="691"/>
    </row>
    <row r="463">
      <c r="A463" s="568"/>
      <c r="B463" s="730"/>
      <c r="C463" s="730"/>
      <c r="D463" s="730"/>
      <c r="E463" s="730"/>
      <c r="F463" s="730"/>
      <c r="G463" s="730"/>
      <c r="H463" s="730"/>
      <c r="I463" s="730"/>
      <c r="J463" s="730"/>
      <c r="K463" s="730"/>
      <c r="L463" s="730"/>
      <c r="M463" s="730"/>
      <c r="N463" s="571"/>
      <c r="O463" s="571"/>
      <c r="P463" s="571"/>
      <c r="Q463" s="571"/>
      <c r="R463" s="571"/>
      <c r="S463" s="571"/>
      <c r="T463" s="571"/>
      <c r="U463" s="571"/>
      <c r="V463" s="571"/>
      <c r="W463" s="571"/>
      <c r="X463" s="571"/>
      <c r="Y463" s="571"/>
      <c r="Z463" s="571"/>
      <c r="AA463" s="571"/>
      <c r="AB463" s="571"/>
      <c r="AC463" s="571"/>
      <c r="AD463" s="571"/>
      <c r="AE463" s="571"/>
      <c r="AF463" s="571"/>
      <c r="AG463" s="690"/>
      <c r="AH463" s="691"/>
    </row>
    <row r="464">
      <c r="A464" s="568"/>
      <c r="B464" s="730"/>
      <c r="C464" s="730"/>
      <c r="D464" s="730"/>
      <c r="E464" s="730"/>
      <c r="F464" s="730"/>
      <c r="G464" s="730"/>
      <c r="H464" s="730"/>
      <c r="I464" s="730"/>
      <c r="J464" s="730"/>
      <c r="K464" s="730"/>
      <c r="L464" s="730"/>
      <c r="M464" s="730"/>
      <c r="N464" s="571"/>
      <c r="O464" s="571"/>
      <c r="P464" s="571"/>
      <c r="Q464" s="571"/>
      <c r="R464" s="571"/>
      <c r="S464" s="571"/>
      <c r="T464" s="571"/>
      <c r="U464" s="571"/>
      <c r="V464" s="571"/>
      <c r="W464" s="571"/>
      <c r="X464" s="571"/>
      <c r="Y464" s="571"/>
      <c r="Z464" s="571"/>
      <c r="AA464" s="571"/>
      <c r="AB464" s="571"/>
      <c r="AC464" s="571"/>
      <c r="AD464" s="571"/>
      <c r="AE464" s="571"/>
      <c r="AF464" s="571"/>
      <c r="AG464" s="690"/>
      <c r="AH464" s="691"/>
    </row>
    <row r="465">
      <c r="A465" s="568"/>
      <c r="B465" s="730"/>
      <c r="C465" s="730"/>
      <c r="D465" s="730"/>
      <c r="E465" s="730"/>
      <c r="F465" s="730"/>
      <c r="G465" s="730"/>
      <c r="H465" s="730"/>
      <c r="I465" s="730"/>
      <c r="J465" s="730"/>
      <c r="K465" s="730"/>
      <c r="L465" s="730"/>
      <c r="M465" s="730"/>
      <c r="N465" s="571"/>
      <c r="O465" s="571"/>
      <c r="P465" s="571"/>
      <c r="Q465" s="571"/>
      <c r="R465" s="571"/>
      <c r="S465" s="571"/>
      <c r="T465" s="571"/>
      <c r="U465" s="571"/>
      <c r="V465" s="571"/>
      <c r="W465" s="571"/>
      <c r="X465" s="571"/>
      <c r="Y465" s="571"/>
      <c r="Z465" s="571"/>
      <c r="AA465" s="571"/>
      <c r="AB465" s="571"/>
      <c r="AC465" s="571"/>
      <c r="AD465" s="571"/>
      <c r="AE465" s="571"/>
      <c r="AF465" s="571"/>
      <c r="AG465" s="690"/>
      <c r="AH465" s="691"/>
    </row>
    <row r="466">
      <c r="A466" s="568"/>
      <c r="B466" s="730"/>
      <c r="C466" s="730"/>
      <c r="D466" s="730"/>
      <c r="E466" s="730"/>
      <c r="F466" s="730"/>
      <c r="G466" s="730"/>
      <c r="H466" s="730"/>
      <c r="I466" s="730"/>
      <c r="J466" s="730"/>
      <c r="K466" s="730"/>
      <c r="L466" s="730"/>
      <c r="M466" s="730"/>
      <c r="N466" s="571"/>
      <c r="O466" s="571"/>
      <c r="P466" s="571"/>
      <c r="Q466" s="571"/>
      <c r="R466" s="571"/>
      <c r="S466" s="571"/>
      <c r="T466" s="571"/>
      <c r="U466" s="571"/>
      <c r="V466" s="571"/>
      <c r="W466" s="571"/>
      <c r="X466" s="571"/>
      <c r="Y466" s="571"/>
      <c r="Z466" s="571"/>
      <c r="AA466" s="571"/>
      <c r="AB466" s="571"/>
      <c r="AC466" s="571"/>
      <c r="AD466" s="571"/>
      <c r="AE466" s="571"/>
      <c r="AF466" s="571"/>
      <c r="AG466" s="690"/>
      <c r="AH466" s="691"/>
    </row>
    <row r="467">
      <c r="A467" s="568"/>
      <c r="B467" s="730"/>
      <c r="C467" s="730"/>
      <c r="D467" s="730"/>
      <c r="E467" s="730"/>
      <c r="F467" s="730"/>
      <c r="G467" s="730"/>
      <c r="H467" s="730"/>
      <c r="I467" s="730"/>
      <c r="J467" s="730"/>
      <c r="K467" s="730"/>
      <c r="L467" s="730"/>
      <c r="M467" s="730"/>
      <c r="N467" s="571"/>
      <c r="O467" s="571"/>
      <c r="P467" s="571"/>
      <c r="Q467" s="571"/>
      <c r="R467" s="571"/>
      <c r="S467" s="571"/>
      <c r="T467" s="571"/>
      <c r="U467" s="571"/>
      <c r="V467" s="571"/>
      <c r="W467" s="571"/>
      <c r="X467" s="571"/>
      <c r="Y467" s="571"/>
      <c r="Z467" s="571"/>
      <c r="AA467" s="571"/>
      <c r="AB467" s="571"/>
      <c r="AC467" s="571"/>
      <c r="AD467" s="571"/>
      <c r="AE467" s="571"/>
      <c r="AF467" s="571"/>
      <c r="AG467" s="690"/>
      <c r="AH467" s="691"/>
    </row>
    <row r="468">
      <c r="A468" s="568"/>
      <c r="B468" s="730"/>
      <c r="C468" s="730"/>
      <c r="D468" s="730"/>
      <c r="E468" s="730"/>
      <c r="F468" s="730"/>
      <c r="G468" s="730"/>
      <c r="H468" s="730"/>
      <c r="I468" s="730"/>
      <c r="J468" s="730"/>
      <c r="K468" s="730"/>
      <c r="L468" s="730"/>
      <c r="M468" s="730"/>
      <c r="N468" s="571"/>
      <c r="O468" s="571"/>
      <c r="P468" s="571"/>
      <c r="Q468" s="571"/>
      <c r="R468" s="571"/>
      <c r="S468" s="571"/>
      <c r="T468" s="571"/>
      <c r="U468" s="571"/>
      <c r="V468" s="571"/>
      <c r="W468" s="571"/>
      <c r="X468" s="571"/>
      <c r="Y468" s="571"/>
      <c r="Z468" s="571"/>
      <c r="AA468" s="571"/>
      <c r="AB468" s="571"/>
      <c r="AC468" s="571"/>
      <c r="AD468" s="571"/>
      <c r="AE468" s="571"/>
      <c r="AF468" s="571"/>
      <c r="AG468" s="690"/>
      <c r="AH468" s="691"/>
    </row>
    <row r="469">
      <c r="A469" s="568"/>
      <c r="B469" s="730"/>
      <c r="C469" s="730"/>
      <c r="D469" s="730"/>
      <c r="E469" s="730"/>
      <c r="F469" s="730"/>
      <c r="G469" s="730"/>
      <c r="H469" s="730"/>
      <c r="I469" s="730"/>
      <c r="J469" s="730"/>
      <c r="K469" s="730"/>
      <c r="L469" s="730"/>
      <c r="M469" s="730"/>
      <c r="N469" s="571"/>
      <c r="O469" s="571"/>
      <c r="P469" s="571"/>
      <c r="Q469" s="571"/>
      <c r="R469" s="571"/>
      <c r="S469" s="571"/>
      <c r="T469" s="571"/>
      <c r="U469" s="571"/>
      <c r="V469" s="571"/>
      <c r="W469" s="571"/>
      <c r="X469" s="571"/>
      <c r="Y469" s="571"/>
      <c r="Z469" s="571"/>
      <c r="AA469" s="571"/>
      <c r="AB469" s="571"/>
      <c r="AC469" s="571"/>
      <c r="AD469" s="571"/>
      <c r="AE469" s="571"/>
      <c r="AF469" s="571"/>
      <c r="AG469" s="690"/>
      <c r="AH469" s="691"/>
    </row>
    <row r="470">
      <c r="A470" s="568"/>
      <c r="B470" s="730"/>
      <c r="C470" s="730"/>
      <c r="D470" s="730"/>
      <c r="E470" s="730"/>
      <c r="F470" s="730"/>
      <c r="G470" s="730"/>
      <c r="H470" s="730"/>
      <c r="I470" s="730"/>
      <c r="J470" s="730"/>
      <c r="K470" s="730"/>
      <c r="L470" s="730"/>
      <c r="M470" s="730"/>
      <c r="N470" s="571"/>
      <c r="O470" s="571"/>
      <c r="P470" s="571"/>
      <c r="Q470" s="571"/>
      <c r="R470" s="571"/>
      <c r="S470" s="571"/>
      <c r="T470" s="571"/>
      <c r="U470" s="571"/>
      <c r="V470" s="571"/>
      <c r="W470" s="571"/>
      <c r="X470" s="571"/>
      <c r="Y470" s="571"/>
      <c r="Z470" s="571"/>
      <c r="AA470" s="571"/>
      <c r="AB470" s="571"/>
      <c r="AC470" s="571"/>
      <c r="AD470" s="571"/>
      <c r="AE470" s="571"/>
      <c r="AF470" s="571"/>
      <c r="AG470" s="690"/>
      <c r="AH470" s="691"/>
    </row>
    <row r="471">
      <c r="A471" s="568"/>
      <c r="B471" s="730"/>
      <c r="C471" s="730"/>
      <c r="D471" s="730"/>
      <c r="E471" s="730"/>
      <c r="F471" s="730"/>
      <c r="G471" s="730"/>
      <c r="H471" s="730"/>
      <c r="I471" s="730"/>
      <c r="J471" s="730"/>
      <c r="K471" s="730"/>
      <c r="L471" s="730"/>
      <c r="M471" s="730"/>
      <c r="N471" s="571"/>
      <c r="O471" s="571"/>
      <c r="P471" s="571"/>
      <c r="Q471" s="571"/>
      <c r="R471" s="571"/>
      <c r="S471" s="571"/>
      <c r="T471" s="571"/>
      <c r="U471" s="571"/>
      <c r="V471" s="571"/>
      <c r="W471" s="571"/>
      <c r="X471" s="571"/>
      <c r="Y471" s="571"/>
      <c r="Z471" s="571"/>
      <c r="AA471" s="571"/>
      <c r="AB471" s="571"/>
      <c r="AC471" s="571"/>
      <c r="AD471" s="571"/>
      <c r="AE471" s="571"/>
      <c r="AF471" s="571"/>
      <c r="AG471" s="690"/>
      <c r="AH471" s="691"/>
    </row>
    <row r="472">
      <c r="A472" s="568"/>
      <c r="B472" s="730"/>
      <c r="C472" s="730"/>
      <c r="D472" s="730"/>
      <c r="E472" s="730"/>
      <c r="F472" s="730"/>
      <c r="G472" s="730"/>
      <c r="H472" s="730"/>
      <c r="I472" s="730"/>
      <c r="J472" s="730"/>
      <c r="K472" s="730"/>
      <c r="L472" s="730"/>
      <c r="M472" s="730"/>
      <c r="N472" s="571"/>
      <c r="O472" s="571"/>
      <c r="P472" s="571"/>
      <c r="Q472" s="571"/>
      <c r="R472" s="571"/>
      <c r="S472" s="571"/>
      <c r="T472" s="571"/>
      <c r="U472" s="571"/>
      <c r="V472" s="571"/>
      <c r="W472" s="571"/>
      <c r="X472" s="571"/>
      <c r="Y472" s="571"/>
      <c r="Z472" s="571"/>
      <c r="AA472" s="571"/>
      <c r="AB472" s="571"/>
      <c r="AC472" s="571"/>
      <c r="AD472" s="571"/>
      <c r="AE472" s="571"/>
      <c r="AF472" s="571"/>
      <c r="AG472" s="690"/>
      <c r="AH472" s="691"/>
    </row>
    <row r="473">
      <c r="A473" s="568"/>
      <c r="B473" s="730"/>
      <c r="C473" s="730"/>
      <c r="D473" s="730"/>
      <c r="E473" s="730"/>
      <c r="F473" s="730"/>
      <c r="G473" s="730"/>
      <c r="H473" s="730"/>
      <c r="I473" s="730"/>
      <c r="J473" s="730"/>
      <c r="K473" s="730"/>
      <c r="L473" s="730"/>
      <c r="M473" s="730"/>
      <c r="N473" s="571"/>
      <c r="O473" s="571"/>
      <c r="P473" s="571"/>
      <c r="Q473" s="571"/>
      <c r="R473" s="571"/>
      <c r="S473" s="571"/>
      <c r="T473" s="571"/>
      <c r="U473" s="571"/>
      <c r="V473" s="571"/>
      <c r="W473" s="571"/>
      <c r="X473" s="571"/>
      <c r="Y473" s="571"/>
      <c r="Z473" s="571"/>
      <c r="AA473" s="571"/>
      <c r="AB473" s="571"/>
      <c r="AC473" s="571"/>
      <c r="AD473" s="571"/>
      <c r="AE473" s="571"/>
      <c r="AF473" s="571"/>
      <c r="AG473" s="690"/>
      <c r="AH473" s="691"/>
    </row>
    <row r="474">
      <c r="A474" s="568"/>
      <c r="B474" s="730"/>
      <c r="C474" s="730"/>
      <c r="D474" s="730"/>
      <c r="E474" s="730"/>
      <c r="F474" s="730"/>
      <c r="G474" s="730"/>
      <c r="H474" s="730"/>
      <c r="I474" s="730"/>
      <c r="J474" s="730"/>
      <c r="K474" s="730"/>
      <c r="L474" s="730"/>
      <c r="M474" s="730"/>
      <c r="N474" s="571"/>
      <c r="O474" s="571"/>
      <c r="P474" s="571"/>
      <c r="Q474" s="571"/>
      <c r="R474" s="571"/>
      <c r="S474" s="571"/>
      <c r="T474" s="571"/>
      <c r="U474" s="571"/>
      <c r="V474" s="571"/>
      <c r="W474" s="571"/>
      <c r="X474" s="571"/>
      <c r="Y474" s="571"/>
      <c r="Z474" s="571"/>
      <c r="AA474" s="571"/>
      <c r="AB474" s="571"/>
      <c r="AC474" s="571"/>
      <c r="AD474" s="571"/>
      <c r="AE474" s="571"/>
      <c r="AF474" s="571"/>
      <c r="AG474" s="690"/>
      <c r="AH474" s="691"/>
    </row>
    <row r="475">
      <c r="A475" s="568"/>
      <c r="B475" s="730"/>
      <c r="C475" s="730"/>
      <c r="D475" s="730"/>
      <c r="E475" s="730"/>
      <c r="F475" s="730"/>
      <c r="G475" s="730"/>
      <c r="H475" s="730"/>
      <c r="I475" s="730"/>
      <c r="J475" s="730"/>
      <c r="K475" s="730"/>
      <c r="L475" s="730"/>
      <c r="M475" s="730"/>
      <c r="N475" s="571"/>
      <c r="O475" s="571"/>
      <c r="P475" s="571"/>
      <c r="Q475" s="571"/>
      <c r="R475" s="571"/>
      <c r="S475" s="571"/>
      <c r="T475" s="571"/>
      <c r="U475" s="571"/>
      <c r="V475" s="571"/>
      <c r="W475" s="571"/>
      <c r="X475" s="571"/>
      <c r="Y475" s="571"/>
      <c r="Z475" s="571"/>
      <c r="AA475" s="571"/>
      <c r="AB475" s="571"/>
      <c r="AC475" s="571"/>
      <c r="AD475" s="571"/>
      <c r="AE475" s="571"/>
      <c r="AF475" s="571"/>
      <c r="AG475" s="690"/>
      <c r="AH475" s="691"/>
    </row>
    <row r="476">
      <c r="A476" s="568"/>
      <c r="B476" s="730"/>
      <c r="C476" s="730"/>
      <c r="D476" s="730"/>
      <c r="E476" s="730"/>
      <c r="F476" s="730"/>
      <c r="G476" s="730"/>
      <c r="H476" s="730"/>
      <c r="I476" s="730"/>
      <c r="J476" s="730"/>
      <c r="K476" s="730"/>
      <c r="L476" s="730"/>
      <c r="M476" s="730"/>
      <c r="N476" s="571"/>
      <c r="O476" s="571"/>
      <c r="P476" s="571"/>
      <c r="Q476" s="571"/>
      <c r="R476" s="571"/>
      <c r="S476" s="571"/>
      <c r="T476" s="571"/>
      <c r="U476" s="571"/>
      <c r="V476" s="571"/>
      <c r="W476" s="571"/>
      <c r="X476" s="571"/>
      <c r="Y476" s="571"/>
      <c r="Z476" s="571"/>
      <c r="AA476" s="571"/>
      <c r="AB476" s="571"/>
      <c r="AC476" s="571"/>
      <c r="AD476" s="571"/>
      <c r="AE476" s="571"/>
      <c r="AF476" s="571"/>
      <c r="AG476" s="690"/>
      <c r="AH476" s="691"/>
    </row>
    <row r="477">
      <c r="A477" s="568"/>
      <c r="B477" s="730"/>
      <c r="C477" s="730"/>
      <c r="D477" s="730"/>
      <c r="E477" s="730"/>
      <c r="F477" s="730"/>
      <c r="G477" s="730"/>
      <c r="H477" s="730"/>
      <c r="I477" s="730"/>
      <c r="J477" s="730"/>
      <c r="K477" s="730"/>
      <c r="L477" s="730"/>
      <c r="M477" s="730"/>
      <c r="N477" s="571"/>
      <c r="O477" s="571"/>
      <c r="P477" s="571"/>
      <c r="Q477" s="571"/>
      <c r="R477" s="571"/>
      <c r="S477" s="571"/>
      <c r="T477" s="571"/>
      <c r="U477" s="571"/>
      <c r="V477" s="571"/>
      <c r="W477" s="571"/>
      <c r="X477" s="571"/>
      <c r="Y477" s="571"/>
      <c r="Z477" s="571"/>
      <c r="AA477" s="571"/>
      <c r="AB477" s="571"/>
      <c r="AC477" s="571"/>
      <c r="AD477" s="571"/>
      <c r="AE477" s="571"/>
      <c r="AF477" s="571"/>
      <c r="AG477" s="690"/>
      <c r="AH477" s="691"/>
    </row>
    <row r="478">
      <c r="A478" s="568"/>
      <c r="B478" s="730"/>
      <c r="C478" s="730"/>
      <c r="D478" s="730"/>
      <c r="E478" s="730"/>
      <c r="F478" s="730"/>
      <c r="G478" s="730"/>
      <c r="H478" s="730"/>
      <c r="I478" s="730"/>
      <c r="J478" s="730"/>
      <c r="K478" s="730"/>
      <c r="L478" s="730"/>
      <c r="M478" s="730"/>
      <c r="N478" s="571"/>
      <c r="O478" s="571"/>
      <c r="P478" s="571"/>
      <c r="Q478" s="571"/>
      <c r="R478" s="571"/>
      <c r="S478" s="571"/>
      <c r="T478" s="571"/>
      <c r="U478" s="571"/>
      <c r="V478" s="571"/>
      <c r="W478" s="571"/>
      <c r="X478" s="571"/>
      <c r="Y478" s="571"/>
      <c r="Z478" s="571"/>
      <c r="AA478" s="571"/>
      <c r="AB478" s="571"/>
      <c r="AC478" s="571"/>
      <c r="AD478" s="571"/>
      <c r="AE478" s="571"/>
      <c r="AF478" s="571"/>
      <c r="AG478" s="690"/>
      <c r="AH478" s="691"/>
    </row>
    <row r="479">
      <c r="A479" s="568"/>
      <c r="B479" s="730"/>
      <c r="C479" s="730"/>
      <c r="D479" s="730"/>
      <c r="E479" s="730"/>
      <c r="F479" s="730"/>
      <c r="G479" s="730"/>
      <c r="H479" s="730"/>
      <c r="I479" s="730"/>
      <c r="J479" s="730"/>
      <c r="K479" s="730"/>
      <c r="L479" s="730"/>
      <c r="M479" s="730"/>
      <c r="N479" s="571"/>
      <c r="O479" s="571"/>
      <c r="P479" s="571"/>
      <c r="Q479" s="571"/>
      <c r="R479" s="571"/>
      <c r="S479" s="571"/>
      <c r="T479" s="571"/>
      <c r="U479" s="571"/>
      <c r="V479" s="571"/>
      <c r="W479" s="571"/>
      <c r="X479" s="571"/>
      <c r="Y479" s="571"/>
      <c r="Z479" s="571"/>
      <c r="AA479" s="571"/>
      <c r="AB479" s="571"/>
      <c r="AC479" s="571"/>
      <c r="AD479" s="571"/>
      <c r="AE479" s="571"/>
      <c r="AF479" s="571"/>
      <c r="AG479" s="690"/>
      <c r="AH479" s="691"/>
    </row>
    <row r="480">
      <c r="A480" s="568"/>
      <c r="B480" s="730"/>
      <c r="C480" s="730"/>
      <c r="D480" s="730"/>
      <c r="E480" s="730"/>
      <c r="F480" s="730"/>
      <c r="G480" s="730"/>
      <c r="H480" s="730"/>
      <c r="I480" s="730"/>
      <c r="J480" s="730"/>
      <c r="K480" s="730"/>
      <c r="L480" s="730"/>
      <c r="M480" s="730"/>
      <c r="N480" s="571"/>
      <c r="O480" s="571"/>
      <c r="P480" s="571"/>
      <c r="Q480" s="571"/>
      <c r="R480" s="571"/>
      <c r="S480" s="571"/>
      <c r="T480" s="571"/>
      <c r="U480" s="571"/>
      <c r="V480" s="571"/>
      <c r="W480" s="571"/>
      <c r="X480" s="571"/>
      <c r="Y480" s="571"/>
      <c r="Z480" s="571"/>
      <c r="AA480" s="571"/>
      <c r="AB480" s="571"/>
      <c r="AC480" s="571"/>
      <c r="AD480" s="571"/>
      <c r="AE480" s="571"/>
      <c r="AF480" s="571"/>
      <c r="AG480" s="690"/>
      <c r="AH480" s="691"/>
    </row>
    <row r="481">
      <c r="A481" s="568"/>
      <c r="B481" s="730"/>
      <c r="C481" s="730"/>
      <c r="D481" s="730"/>
      <c r="E481" s="730"/>
      <c r="F481" s="730"/>
      <c r="G481" s="730"/>
      <c r="H481" s="730"/>
      <c r="I481" s="730"/>
      <c r="J481" s="730"/>
      <c r="K481" s="730"/>
      <c r="L481" s="730"/>
      <c r="M481" s="730"/>
      <c r="N481" s="571"/>
      <c r="O481" s="571"/>
      <c r="P481" s="571"/>
      <c r="Q481" s="571"/>
      <c r="R481" s="571"/>
      <c r="S481" s="571"/>
      <c r="T481" s="571"/>
      <c r="U481" s="571"/>
      <c r="V481" s="571"/>
      <c r="W481" s="571"/>
      <c r="X481" s="571"/>
      <c r="Y481" s="571"/>
      <c r="Z481" s="571"/>
      <c r="AA481" s="571"/>
      <c r="AB481" s="571"/>
      <c r="AC481" s="571"/>
      <c r="AD481" s="571"/>
      <c r="AE481" s="571"/>
      <c r="AF481" s="571"/>
      <c r="AG481" s="690"/>
      <c r="AH481" s="691"/>
    </row>
    <row r="482">
      <c r="A482" s="568"/>
      <c r="B482" s="730"/>
      <c r="C482" s="730"/>
      <c r="D482" s="730"/>
      <c r="E482" s="730"/>
      <c r="F482" s="730"/>
      <c r="G482" s="730"/>
      <c r="H482" s="730"/>
      <c r="I482" s="730"/>
      <c r="J482" s="730"/>
      <c r="K482" s="730"/>
      <c r="L482" s="730"/>
      <c r="M482" s="730"/>
      <c r="N482" s="571"/>
      <c r="O482" s="571"/>
      <c r="P482" s="571"/>
      <c r="Q482" s="571"/>
      <c r="R482" s="571"/>
      <c r="S482" s="571"/>
      <c r="T482" s="571"/>
      <c r="U482" s="571"/>
      <c r="V482" s="571"/>
      <c r="W482" s="571"/>
      <c r="X482" s="571"/>
      <c r="Y482" s="571"/>
      <c r="Z482" s="571"/>
      <c r="AA482" s="571"/>
      <c r="AB482" s="571"/>
      <c r="AC482" s="571"/>
      <c r="AD482" s="571"/>
      <c r="AE482" s="571"/>
      <c r="AF482" s="571"/>
      <c r="AG482" s="690"/>
      <c r="AH482" s="691"/>
    </row>
    <row r="483">
      <c r="A483" s="568"/>
      <c r="B483" s="730"/>
      <c r="C483" s="730"/>
      <c r="D483" s="730"/>
      <c r="E483" s="730"/>
      <c r="F483" s="730"/>
      <c r="G483" s="730"/>
      <c r="H483" s="730"/>
      <c r="I483" s="730"/>
      <c r="J483" s="730"/>
      <c r="K483" s="730"/>
      <c r="L483" s="730"/>
      <c r="M483" s="730"/>
      <c r="N483" s="571"/>
      <c r="O483" s="571"/>
      <c r="P483" s="571"/>
      <c r="Q483" s="571"/>
      <c r="R483" s="571"/>
      <c r="S483" s="571"/>
      <c r="T483" s="571"/>
      <c r="U483" s="571"/>
      <c r="V483" s="571"/>
      <c r="W483" s="571"/>
      <c r="X483" s="571"/>
      <c r="Y483" s="571"/>
      <c r="Z483" s="571"/>
      <c r="AA483" s="571"/>
      <c r="AB483" s="571"/>
      <c r="AC483" s="571"/>
      <c r="AD483" s="571"/>
      <c r="AE483" s="571"/>
      <c r="AF483" s="571"/>
      <c r="AG483" s="690"/>
      <c r="AH483" s="691"/>
    </row>
    <row r="484">
      <c r="A484" s="568"/>
      <c r="B484" s="730"/>
      <c r="C484" s="730"/>
      <c r="D484" s="730"/>
      <c r="E484" s="730"/>
      <c r="F484" s="730"/>
      <c r="G484" s="730"/>
      <c r="H484" s="730"/>
      <c r="I484" s="730"/>
      <c r="J484" s="730"/>
      <c r="K484" s="730"/>
      <c r="L484" s="730"/>
      <c r="M484" s="730"/>
      <c r="N484" s="571"/>
      <c r="O484" s="571"/>
      <c r="P484" s="571"/>
      <c r="Q484" s="571"/>
      <c r="R484" s="571"/>
      <c r="S484" s="571"/>
      <c r="T484" s="571"/>
      <c r="U484" s="571"/>
      <c r="V484" s="571"/>
      <c r="W484" s="571"/>
      <c r="X484" s="571"/>
      <c r="Y484" s="571"/>
      <c r="Z484" s="571"/>
      <c r="AA484" s="571"/>
      <c r="AB484" s="571"/>
      <c r="AC484" s="571"/>
      <c r="AD484" s="571"/>
      <c r="AE484" s="571"/>
      <c r="AF484" s="571"/>
      <c r="AG484" s="690"/>
      <c r="AH484" s="691"/>
    </row>
    <row r="485">
      <c r="A485" s="568"/>
      <c r="B485" s="730"/>
      <c r="C485" s="730"/>
      <c r="D485" s="730"/>
      <c r="E485" s="730"/>
      <c r="F485" s="730"/>
      <c r="G485" s="730"/>
      <c r="H485" s="730"/>
      <c r="I485" s="730"/>
      <c r="J485" s="730"/>
      <c r="K485" s="730"/>
      <c r="L485" s="730"/>
      <c r="M485" s="730"/>
      <c r="N485" s="571"/>
      <c r="O485" s="571"/>
      <c r="P485" s="571"/>
      <c r="Q485" s="571"/>
      <c r="R485" s="571"/>
      <c r="S485" s="571"/>
      <c r="T485" s="571"/>
      <c r="U485" s="571"/>
      <c r="V485" s="571"/>
      <c r="W485" s="571"/>
      <c r="X485" s="571"/>
      <c r="Y485" s="571"/>
      <c r="Z485" s="571"/>
      <c r="AA485" s="571"/>
      <c r="AB485" s="571"/>
      <c r="AC485" s="571"/>
      <c r="AD485" s="571"/>
      <c r="AE485" s="571"/>
      <c r="AF485" s="571"/>
      <c r="AG485" s="690"/>
      <c r="AH485" s="691"/>
    </row>
    <row r="486">
      <c r="A486" s="568"/>
      <c r="B486" s="730"/>
      <c r="C486" s="730"/>
      <c r="D486" s="730"/>
      <c r="E486" s="730"/>
      <c r="F486" s="730"/>
      <c r="G486" s="730"/>
      <c r="H486" s="730"/>
      <c r="I486" s="730"/>
      <c r="J486" s="730"/>
      <c r="K486" s="730"/>
      <c r="L486" s="730"/>
      <c r="M486" s="730"/>
      <c r="N486" s="571"/>
      <c r="O486" s="571"/>
      <c r="P486" s="571"/>
      <c r="Q486" s="571"/>
      <c r="R486" s="571"/>
      <c r="S486" s="571"/>
      <c r="T486" s="571"/>
      <c r="U486" s="571"/>
      <c r="V486" s="571"/>
      <c r="W486" s="571"/>
      <c r="X486" s="571"/>
      <c r="Y486" s="571"/>
      <c r="Z486" s="571"/>
      <c r="AA486" s="571"/>
      <c r="AB486" s="571"/>
      <c r="AC486" s="571"/>
      <c r="AD486" s="571"/>
      <c r="AE486" s="571"/>
      <c r="AF486" s="571"/>
      <c r="AG486" s="690"/>
      <c r="AH486" s="691"/>
    </row>
    <row r="487">
      <c r="A487" s="568"/>
      <c r="B487" s="730"/>
      <c r="C487" s="730"/>
      <c r="D487" s="730"/>
      <c r="E487" s="730"/>
      <c r="F487" s="730"/>
      <c r="G487" s="730"/>
      <c r="H487" s="730"/>
      <c r="I487" s="730"/>
      <c r="J487" s="730"/>
      <c r="K487" s="730"/>
      <c r="L487" s="730"/>
      <c r="M487" s="730"/>
      <c r="N487" s="571"/>
      <c r="O487" s="571"/>
      <c r="P487" s="571"/>
      <c r="Q487" s="571"/>
      <c r="R487" s="571"/>
      <c r="S487" s="571"/>
      <c r="T487" s="571"/>
      <c r="U487" s="571"/>
      <c r="V487" s="571"/>
      <c r="W487" s="571"/>
      <c r="X487" s="571"/>
      <c r="Y487" s="571"/>
      <c r="Z487" s="571"/>
      <c r="AA487" s="571"/>
      <c r="AB487" s="571"/>
      <c r="AC487" s="571"/>
      <c r="AD487" s="571"/>
      <c r="AE487" s="571"/>
      <c r="AF487" s="571"/>
      <c r="AG487" s="690"/>
      <c r="AH487" s="691"/>
    </row>
    <row r="488">
      <c r="A488" s="568"/>
      <c r="B488" s="730"/>
      <c r="C488" s="730"/>
      <c r="D488" s="730"/>
      <c r="E488" s="730"/>
      <c r="F488" s="730"/>
      <c r="G488" s="730"/>
      <c r="H488" s="730"/>
      <c r="I488" s="730"/>
      <c r="J488" s="730"/>
      <c r="K488" s="730"/>
      <c r="L488" s="730"/>
      <c r="M488" s="730"/>
      <c r="N488" s="571"/>
      <c r="O488" s="571"/>
      <c r="P488" s="571"/>
      <c r="Q488" s="571"/>
      <c r="R488" s="571"/>
      <c r="S488" s="571"/>
      <c r="T488" s="571"/>
      <c r="U488" s="571"/>
      <c r="V488" s="571"/>
      <c r="W488" s="571"/>
      <c r="X488" s="571"/>
      <c r="Y488" s="571"/>
      <c r="Z488" s="571"/>
      <c r="AA488" s="571"/>
      <c r="AB488" s="571"/>
      <c r="AC488" s="571"/>
      <c r="AD488" s="571"/>
      <c r="AE488" s="571"/>
      <c r="AF488" s="571"/>
      <c r="AG488" s="690"/>
      <c r="AH488" s="691"/>
    </row>
    <row r="489">
      <c r="A489" s="568"/>
      <c r="B489" s="730"/>
      <c r="C489" s="730"/>
      <c r="D489" s="730"/>
      <c r="E489" s="730"/>
      <c r="F489" s="730"/>
      <c r="G489" s="730"/>
      <c r="H489" s="730"/>
      <c r="I489" s="730"/>
      <c r="J489" s="730"/>
      <c r="K489" s="730"/>
      <c r="L489" s="730"/>
      <c r="M489" s="730"/>
      <c r="N489" s="571"/>
      <c r="O489" s="571"/>
      <c r="P489" s="571"/>
      <c r="Q489" s="571"/>
      <c r="R489" s="571"/>
      <c r="S489" s="571"/>
      <c r="T489" s="571"/>
      <c r="U489" s="571"/>
      <c r="V489" s="571"/>
      <c r="W489" s="571"/>
      <c r="X489" s="571"/>
      <c r="Y489" s="571"/>
      <c r="Z489" s="571"/>
      <c r="AA489" s="571"/>
      <c r="AB489" s="571"/>
      <c r="AC489" s="571"/>
      <c r="AD489" s="571"/>
      <c r="AE489" s="571"/>
      <c r="AF489" s="571"/>
      <c r="AG489" s="690"/>
      <c r="AH489" s="691"/>
    </row>
    <row r="490">
      <c r="A490" s="568"/>
      <c r="B490" s="730"/>
      <c r="C490" s="730"/>
      <c r="D490" s="730"/>
      <c r="E490" s="730"/>
      <c r="F490" s="730"/>
      <c r="G490" s="730"/>
      <c r="H490" s="730"/>
      <c r="I490" s="730"/>
      <c r="J490" s="730"/>
      <c r="K490" s="730"/>
      <c r="L490" s="730"/>
      <c r="M490" s="730"/>
      <c r="N490" s="571"/>
      <c r="O490" s="571"/>
      <c r="P490" s="571"/>
      <c r="Q490" s="571"/>
      <c r="R490" s="571"/>
      <c r="S490" s="571"/>
      <c r="T490" s="571"/>
      <c r="U490" s="571"/>
      <c r="V490" s="571"/>
      <c r="W490" s="571"/>
      <c r="X490" s="571"/>
      <c r="Y490" s="571"/>
      <c r="Z490" s="571"/>
      <c r="AA490" s="571"/>
      <c r="AB490" s="571"/>
      <c r="AC490" s="571"/>
      <c r="AD490" s="571"/>
      <c r="AE490" s="571"/>
      <c r="AF490" s="571"/>
      <c r="AG490" s="690"/>
      <c r="AH490" s="691"/>
    </row>
    <row r="491">
      <c r="A491" s="568"/>
      <c r="B491" s="730"/>
      <c r="C491" s="730"/>
      <c r="D491" s="730"/>
      <c r="E491" s="730"/>
      <c r="F491" s="730"/>
      <c r="G491" s="730"/>
      <c r="H491" s="730"/>
      <c r="I491" s="730"/>
      <c r="J491" s="730"/>
      <c r="K491" s="730"/>
      <c r="L491" s="730"/>
      <c r="M491" s="730"/>
      <c r="N491" s="571"/>
      <c r="O491" s="571"/>
      <c r="P491" s="571"/>
      <c r="Q491" s="571"/>
      <c r="R491" s="571"/>
      <c r="S491" s="571"/>
      <c r="T491" s="571"/>
      <c r="U491" s="571"/>
      <c r="V491" s="571"/>
      <c r="W491" s="571"/>
      <c r="X491" s="571"/>
      <c r="Y491" s="571"/>
      <c r="Z491" s="571"/>
      <c r="AA491" s="571"/>
      <c r="AB491" s="571"/>
      <c r="AC491" s="571"/>
      <c r="AD491" s="571"/>
      <c r="AE491" s="571"/>
      <c r="AF491" s="571"/>
      <c r="AG491" s="690"/>
      <c r="AH491" s="691"/>
    </row>
    <row r="492">
      <c r="A492" s="568"/>
      <c r="B492" s="730"/>
      <c r="C492" s="730"/>
      <c r="D492" s="730"/>
      <c r="E492" s="730"/>
      <c r="F492" s="730"/>
      <c r="G492" s="730"/>
      <c r="H492" s="730"/>
      <c r="I492" s="730"/>
      <c r="J492" s="730"/>
      <c r="K492" s="730"/>
      <c r="L492" s="730"/>
      <c r="M492" s="730"/>
      <c r="N492" s="571"/>
      <c r="O492" s="571"/>
      <c r="P492" s="571"/>
      <c r="Q492" s="571"/>
      <c r="R492" s="571"/>
      <c r="S492" s="571"/>
      <c r="T492" s="571"/>
      <c r="U492" s="571"/>
      <c r="V492" s="571"/>
      <c r="W492" s="571"/>
      <c r="X492" s="571"/>
      <c r="Y492" s="571"/>
      <c r="Z492" s="571"/>
      <c r="AA492" s="571"/>
      <c r="AB492" s="571"/>
      <c r="AC492" s="571"/>
      <c r="AD492" s="571"/>
      <c r="AE492" s="571"/>
      <c r="AF492" s="571"/>
      <c r="AG492" s="690"/>
      <c r="AH492" s="691"/>
    </row>
    <row r="493">
      <c r="A493" s="568"/>
      <c r="B493" s="730"/>
      <c r="C493" s="730"/>
      <c r="D493" s="730"/>
      <c r="E493" s="730"/>
      <c r="F493" s="730"/>
      <c r="G493" s="730"/>
      <c r="H493" s="730"/>
      <c r="I493" s="730"/>
      <c r="J493" s="730"/>
      <c r="K493" s="730"/>
      <c r="L493" s="730"/>
      <c r="M493" s="730"/>
      <c r="N493" s="571"/>
      <c r="O493" s="571"/>
      <c r="P493" s="571"/>
      <c r="Q493" s="571"/>
      <c r="R493" s="571"/>
      <c r="S493" s="571"/>
      <c r="T493" s="571"/>
      <c r="U493" s="571"/>
      <c r="V493" s="571"/>
      <c r="W493" s="571"/>
      <c r="X493" s="571"/>
      <c r="Y493" s="571"/>
      <c r="Z493" s="571"/>
      <c r="AA493" s="571"/>
      <c r="AB493" s="571"/>
      <c r="AC493" s="571"/>
      <c r="AD493" s="571"/>
      <c r="AE493" s="571"/>
      <c r="AF493" s="571"/>
      <c r="AG493" s="690"/>
      <c r="AH493" s="691"/>
    </row>
    <row r="494">
      <c r="A494" s="568"/>
      <c r="B494" s="730"/>
      <c r="C494" s="730"/>
      <c r="D494" s="730"/>
      <c r="E494" s="730"/>
      <c r="F494" s="730"/>
      <c r="G494" s="730"/>
      <c r="H494" s="730"/>
      <c r="I494" s="730"/>
      <c r="J494" s="730"/>
      <c r="K494" s="730"/>
      <c r="L494" s="730"/>
      <c r="M494" s="730"/>
      <c r="N494" s="571"/>
      <c r="O494" s="571"/>
      <c r="P494" s="571"/>
      <c r="Q494" s="571"/>
      <c r="R494" s="571"/>
      <c r="S494" s="571"/>
      <c r="T494" s="571"/>
      <c r="U494" s="571"/>
      <c r="V494" s="571"/>
      <c r="W494" s="571"/>
      <c r="X494" s="571"/>
      <c r="Y494" s="571"/>
      <c r="Z494" s="571"/>
      <c r="AA494" s="571"/>
      <c r="AB494" s="571"/>
      <c r="AC494" s="571"/>
      <c r="AD494" s="571"/>
      <c r="AE494" s="571"/>
      <c r="AF494" s="571"/>
      <c r="AG494" s="690"/>
      <c r="AH494" s="691"/>
    </row>
    <row r="495">
      <c r="A495" s="568"/>
      <c r="B495" s="730"/>
      <c r="C495" s="730"/>
      <c r="D495" s="730"/>
      <c r="E495" s="730"/>
      <c r="F495" s="730"/>
      <c r="G495" s="730"/>
      <c r="H495" s="730"/>
      <c r="I495" s="730"/>
      <c r="J495" s="730"/>
      <c r="K495" s="730"/>
      <c r="L495" s="730"/>
      <c r="M495" s="730"/>
      <c r="N495" s="571"/>
      <c r="O495" s="571"/>
      <c r="P495" s="571"/>
      <c r="Q495" s="571"/>
      <c r="R495" s="571"/>
      <c r="S495" s="571"/>
      <c r="T495" s="571"/>
      <c r="U495" s="571"/>
      <c r="V495" s="571"/>
      <c r="W495" s="571"/>
      <c r="X495" s="571"/>
      <c r="Y495" s="571"/>
      <c r="Z495" s="571"/>
      <c r="AA495" s="571"/>
      <c r="AB495" s="571"/>
      <c r="AC495" s="571"/>
      <c r="AD495" s="571"/>
      <c r="AE495" s="571"/>
      <c r="AF495" s="571"/>
      <c r="AG495" s="690"/>
      <c r="AH495" s="691"/>
    </row>
    <row r="496">
      <c r="A496" s="568"/>
      <c r="B496" s="730"/>
      <c r="C496" s="730"/>
      <c r="D496" s="730"/>
      <c r="E496" s="730"/>
      <c r="F496" s="730"/>
      <c r="G496" s="730"/>
      <c r="H496" s="730"/>
      <c r="I496" s="730"/>
      <c r="J496" s="730"/>
      <c r="K496" s="730"/>
      <c r="L496" s="730"/>
      <c r="M496" s="730"/>
      <c r="N496" s="571"/>
      <c r="O496" s="571"/>
      <c r="P496" s="571"/>
      <c r="Q496" s="571"/>
      <c r="R496" s="571"/>
      <c r="S496" s="571"/>
      <c r="T496" s="571"/>
      <c r="U496" s="571"/>
      <c r="V496" s="571"/>
      <c r="W496" s="571"/>
      <c r="X496" s="571"/>
      <c r="Y496" s="571"/>
      <c r="Z496" s="571"/>
      <c r="AA496" s="571"/>
      <c r="AB496" s="571"/>
      <c r="AC496" s="571"/>
      <c r="AD496" s="571"/>
      <c r="AE496" s="571"/>
      <c r="AF496" s="571"/>
      <c r="AG496" s="690"/>
      <c r="AH496" s="691"/>
    </row>
    <row r="497">
      <c r="A497" s="568"/>
      <c r="B497" s="730"/>
      <c r="C497" s="730"/>
      <c r="D497" s="730"/>
      <c r="E497" s="730"/>
      <c r="F497" s="730"/>
      <c r="G497" s="730"/>
      <c r="H497" s="730"/>
      <c r="I497" s="730"/>
      <c r="J497" s="730"/>
      <c r="K497" s="730"/>
      <c r="L497" s="730"/>
      <c r="M497" s="730"/>
      <c r="N497" s="571"/>
      <c r="O497" s="571"/>
      <c r="P497" s="571"/>
      <c r="Q497" s="571"/>
      <c r="R497" s="571"/>
      <c r="S497" s="571"/>
      <c r="T497" s="571"/>
      <c r="U497" s="571"/>
      <c r="V497" s="571"/>
      <c r="W497" s="571"/>
      <c r="X497" s="571"/>
      <c r="Y497" s="571"/>
      <c r="Z497" s="571"/>
      <c r="AA497" s="571"/>
      <c r="AB497" s="571"/>
      <c r="AC497" s="571"/>
      <c r="AD497" s="571"/>
      <c r="AE497" s="571"/>
      <c r="AF497" s="571"/>
      <c r="AG497" s="690"/>
      <c r="AH497" s="691"/>
    </row>
    <row r="498">
      <c r="A498" s="568"/>
      <c r="B498" s="730"/>
      <c r="C498" s="730"/>
      <c r="D498" s="730"/>
      <c r="E498" s="730"/>
      <c r="F498" s="730"/>
      <c r="G498" s="730"/>
      <c r="H498" s="730"/>
      <c r="I498" s="730"/>
      <c r="J498" s="730"/>
      <c r="K498" s="730"/>
      <c r="L498" s="730"/>
      <c r="M498" s="730"/>
      <c r="N498" s="571"/>
      <c r="O498" s="571"/>
      <c r="P498" s="571"/>
      <c r="Q498" s="571"/>
      <c r="R498" s="571"/>
      <c r="S498" s="571"/>
      <c r="T498" s="571"/>
      <c r="U498" s="571"/>
      <c r="V498" s="571"/>
      <c r="W498" s="571"/>
      <c r="X498" s="571"/>
      <c r="Y498" s="571"/>
      <c r="Z498" s="571"/>
      <c r="AA498" s="571"/>
      <c r="AB498" s="571"/>
      <c r="AC498" s="571"/>
      <c r="AD498" s="571"/>
      <c r="AE498" s="571"/>
      <c r="AF498" s="571"/>
      <c r="AG498" s="690"/>
      <c r="AH498" s="691"/>
    </row>
    <row r="499">
      <c r="A499" s="568"/>
      <c r="B499" s="730"/>
      <c r="C499" s="730"/>
      <c r="D499" s="730"/>
      <c r="E499" s="730"/>
      <c r="F499" s="730"/>
      <c r="G499" s="730"/>
      <c r="H499" s="730"/>
      <c r="I499" s="730"/>
      <c r="J499" s="730"/>
      <c r="K499" s="730"/>
      <c r="L499" s="730"/>
      <c r="M499" s="730"/>
      <c r="N499" s="571"/>
      <c r="O499" s="571"/>
      <c r="P499" s="571"/>
      <c r="Q499" s="571"/>
      <c r="R499" s="571"/>
      <c r="S499" s="571"/>
      <c r="T499" s="571"/>
      <c r="U499" s="571"/>
      <c r="V499" s="571"/>
      <c r="W499" s="571"/>
      <c r="X499" s="571"/>
      <c r="Y499" s="571"/>
      <c r="Z499" s="571"/>
      <c r="AA499" s="571"/>
      <c r="AB499" s="571"/>
      <c r="AC499" s="571"/>
      <c r="AD499" s="571"/>
      <c r="AE499" s="571"/>
      <c r="AF499" s="571"/>
      <c r="AG499" s="690"/>
      <c r="AH499" s="691"/>
    </row>
    <row r="500">
      <c r="A500" s="568"/>
      <c r="B500" s="730"/>
      <c r="C500" s="730"/>
      <c r="D500" s="730"/>
      <c r="E500" s="730"/>
      <c r="F500" s="730"/>
      <c r="G500" s="730"/>
      <c r="H500" s="730"/>
      <c r="I500" s="730"/>
      <c r="J500" s="730"/>
      <c r="K500" s="730"/>
      <c r="L500" s="730"/>
      <c r="M500" s="730"/>
      <c r="N500" s="571"/>
      <c r="O500" s="571"/>
      <c r="P500" s="571"/>
      <c r="Q500" s="571"/>
      <c r="R500" s="571"/>
      <c r="S500" s="571"/>
      <c r="T500" s="571"/>
      <c r="U500" s="571"/>
      <c r="V500" s="571"/>
      <c r="W500" s="571"/>
      <c r="X500" s="571"/>
      <c r="Y500" s="571"/>
      <c r="Z500" s="571"/>
      <c r="AA500" s="571"/>
      <c r="AB500" s="571"/>
      <c r="AC500" s="571"/>
      <c r="AD500" s="571"/>
      <c r="AE500" s="571"/>
      <c r="AF500" s="571"/>
      <c r="AG500" s="690"/>
      <c r="AH500" s="691"/>
    </row>
    <row r="501">
      <c r="A501" s="568"/>
      <c r="B501" s="730"/>
      <c r="C501" s="730"/>
      <c r="D501" s="730"/>
      <c r="E501" s="730"/>
      <c r="F501" s="730"/>
      <c r="G501" s="730"/>
      <c r="H501" s="730"/>
      <c r="I501" s="730"/>
      <c r="J501" s="730"/>
      <c r="K501" s="730"/>
      <c r="L501" s="730"/>
      <c r="M501" s="730"/>
      <c r="N501" s="571"/>
      <c r="O501" s="571"/>
      <c r="P501" s="571"/>
      <c r="Q501" s="571"/>
      <c r="R501" s="571"/>
      <c r="S501" s="571"/>
      <c r="T501" s="571"/>
      <c r="U501" s="571"/>
      <c r="V501" s="571"/>
      <c r="W501" s="571"/>
      <c r="X501" s="571"/>
      <c r="Y501" s="571"/>
      <c r="Z501" s="571"/>
      <c r="AA501" s="571"/>
      <c r="AB501" s="571"/>
      <c r="AC501" s="571"/>
      <c r="AD501" s="571"/>
      <c r="AE501" s="571"/>
      <c r="AF501" s="571"/>
      <c r="AG501" s="690"/>
      <c r="AH501" s="691"/>
    </row>
    <row r="502">
      <c r="A502" s="568"/>
      <c r="B502" s="730"/>
      <c r="C502" s="730"/>
      <c r="D502" s="730"/>
      <c r="E502" s="730"/>
      <c r="F502" s="730"/>
      <c r="G502" s="730"/>
      <c r="H502" s="730"/>
      <c r="I502" s="730"/>
      <c r="J502" s="730"/>
      <c r="K502" s="730"/>
      <c r="L502" s="730"/>
      <c r="M502" s="730"/>
      <c r="N502" s="571"/>
      <c r="O502" s="571"/>
      <c r="P502" s="571"/>
      <c r="Q502" s="571"/>
      <c r="R502" s="571"/>
      <c r="S502" s="571"/>
      <c r="T502" s="571"/>
      <c r="U502" s="571"/>
      <c r="V502" s="571"/>
      <c r="W502" s="571"/>
      <c r="X502" s="571"/>
      <c r="Y502" s="571"/>
      <c r="Z502" s="571"/>
      <c r="AA502" s="571"/>
      <c r="AB502" s="571"/>
      <c r="AC502" s="571"/>
      <c r="AD502" s="571"/>
      <c r="AE502" s="571"/>
      <c r="AF502" s="571"/>
      <c r="AG502" s="690"/>
      <c r="AH502" s="691"/>
    </row>
    <row r="503">
      <c r="A503" s="568"/>
      <c r="B503" s="730"/>
      <c r="C503" s="730"/>
      <c r="D503" s="730"/>
      <c r="E503" s="730"/>
      <c r="F503" s="730"/>
      <c r="G503" s="730"/>
      <c r="H503" s="730"/>
      <c r="I503" s="730"/>
      <c r="J503" s="730"/>
      <c r="K503" s="730"/>
      <c r="L503" s="730"/>
      <c r="M503" s="730"/>
      <c r="N503" s="571"/>
      <c r="O503" s="571"/>
      <c r="P503" s="571"/>
      <c r="Q503" s="571"/>
      <c r="R503" s="571"/>
      <c r="S503" s="571"/>
      <c r="T503" s="571"/>
      <c r="U503" s="571"/>
      <c r="V503" s="571"/>
      <c r="W503" s="571"/>
      <c r="X503" s="571"/>
      <c r="Y503" s="571"/>
      <c r="Z503" s="571"/>
      <c r="AA503" s="571"/>
      <c r="AB503" s="571"/>
      <c r="AC503" s="571"/>
      <c r="AD503" s="571"/>
      <c r="AE503" s="571"/>
      <c r="AF503" s="571"/>
      <c r="AG503" s="690"/>
      <c r="AH503" s="691"/>
    </row>
    <row r="504">
      <c r="A504" s="568"/>
      <c r="B504" s="730"/>
      <c r="C504" s="730"/>
      <c r="D504" s="730"/>
      <c r="E504" s="730"/>
      <c r="F504" s="730"/>
      <c r="G504" s="730"/>
      <c r="H504" s="730"/>
      <c r="I504" s="730"/>
      <c r="J504" s="730"/>
      <c r="K504" s="730"/>
      <c r="L504" s="730"/>
      <c r="M504" s="730"/>
      <c r="N504" s="571"/>
      <c r="O504" s="571"/>
      <c r="P504" s="571"/>
      <c r="Q504" s="571"/>
      <c r="R504" s="571"/>
      <c r="S504" s="571"/>
      <c r="T504" s="571"/>
      <c r="U504" s="571"/>
      <c r="V504" s="571"/>
      <c r="W504" s="571"/>
      <c r="X504" s="571"/>
      <c r="Y504" s="571"/>
      <c r="Z504" s="571"/>
      <c r="AA504" s="571"/>
      <c r="AB504" s="571"/>
      <c r="AC504" s="571"/>
      <c r="AD504" s="571"/>
      <c r="AE504" s="571"/>
      <c r="AF504" s="571"/>
      <c r="AG504" s="690"/>
      <c r="AH504" s="691"/>
    </row>
    <row r="505">
      <c r="A505" s="568"/>
      <c r="B505" s="730"/>
      <c r="C505" s="730"/>
      <c r="D505" s="730"/>
      <c r="E505" s="730"/>
      <c r="F505" s="730"/>
      <c r="G505" s="730"/>
      <c r="H505" s="730"/>
      <c r="I505" s="730"/>
      <c r="J505" s="730"/>
      <c r="K505" s="730"/>
      <c r="L505" s="730"/>
      <c r="M505" s="730"/>
      <c r="N505" s="571"/>
      <c r="O505" s="571"/>
      <c r="P505" s="571"/>
      <c r="Q505" s="571"/>
      <c r="R505" s="571"/>
      <c r="S505" s="571"/>
      <c r="T505" s="571"/>
      <c r="U505" s="571"/>
      <c r="V505" s="571"/>
      <c r="W505" s="571"/>
      <c r="X505" s="571"/>
      <c r="Y505" s="571"/>
      <c r="Z505" s="571"/>
      <c r="AA505" s="571"/>
      <c r="AB505" s="571"/>
      <c r="AC505" s="571"/>
      <c r="AD505" s="571"/>
      <c r="AE505" s="571"/>
      <c r="AF505" s="571"/>
      <c r="AG505" s="690"/>
      <c r="AH505" s="691"/>
    </row>
    <row r="506">
      <c r="A506" s="568"/>
      <c r="B506" s="730"/>
      <c r="C506" s="730"/>
      <c r="D506" s="730"/>
      <c r="E506" s="730"/>
      <c r="F506" s="730"/>
      <c r="G506" s="730"/>
      <c r="H506" s="730"/>
      <c r="I506" s="730"/>
      <c r="J506" s="730"/>
      <c r="K506" s="730"/>
      <c r="L506" s="730"/>
      <c r="M506" s="730"/>
      <c r="N506" s="571"/>
      <c r="O506" s="571"/>
      <c r="P506" s="571"/>
      <c r="Q506" s="571"/>
      <c r="R506" s="571"/>
      <c r="S506" s="571"/>
      <c r="T506" s="571"/>
      <c r="U506" s="571"/>
      <c r="V506" s="571"/>
      <c r="W506" s="571"/>
      <c r="X506" s="571"/>
      <c r="Y506" s="571"/>
      <c r="Z506" s="571"/>
      <c r="AA506" s="571"/>
      <c r="AB506" s="571"/>
      <c r="AC506" s="571"/>
      <c r="AD506" s="571"/>
      <c r="AE506" s="571"/>
      <c r="AF506" s="571"/>
      <c r="AG506" s="690"/>
      <c r="AH506" s="691"/>
    </row>
    <row r="507">
      <c r="A507" s="568"/>
      <c r="B507" s="730"/>
      <c r="C507" s="730"/>
      <c r="D507" s="730"/>
      <c r="E507" s="730"/>
      <c r="F507" s="730"/>
      <c r="G507" s="730"/>
      <c r="H507" s="730"/>
      <c r="I507" s="730"/>
      <c r="J507" s="730"/>
      <c r="K507" s="730"/>
      <c r="L507" s="730"/>
      <c r="M507" s="730"/>
      <c r="N507" s="571"/>
      <c r="O507" s="571"/>
      <c r="P507" s="571"/>
      <c r="Q507" s="571"/>
      <c r="R507" s="571"/>
      <c r="S507" s="571"/>
      <c r="T507" s="571"/>
      <c r="U507" s="571"/>
      <c r="V507" s="571"/>
      <c r="W507" s="571"/>
      <c r="X507" s="571"/>
      <c r="Y507" s="571"/>
      <c r="Z507" s="571"/>
      <c r="AA507" s="571"/>
      <c r="AB507" s="571"/>
      <c r="AC507" s="571"/>
      <c r="AD507" s="571"/>
      <c r="AE507" s="571"/>
      <c r="AF507" s="571"/>
      <c r="AG507" s="690"/>
      <c r="AH507" s="691"/>
    </row>
    <row r="508">
      <c r="A508" s="568"/>
      <c r="B508" s="730"/>
      <c r="C508" s="730"/>
      <c r="D508" s="730"/>
      <c r="E508" s="730"/>
      <c r="F508" s="730"/>
      <c r="G508" s="730"/>
      <c r="H508" s="730"/>
      <c r="I508" s="730"/>
      <c r="J508" s="730"/>
      <c r="K508" s="730"/>
      <c r="L508" s="730"/>
      <c r="M508" s="730"/>
      <c r="N508" s="571"/>
      <c r="O508" s="571"/>
      <c r="P508" s="571"/>
      <c r="Q508" s="571"/>
      <c r="R508" s="571"/>
      <c r="S508" s="571"/>
      <c r="T508" s="571"/>
      <c r="U508" s="571"/>
      <c r="V508" s="571"/>
      <c r="W508" s="571"/>
      <c r="X508" s="571"/>
      <c r="Y508" s="571"/>
      <c r="Z508" s="571"/>
      <c r="AA508" s="571"/>
      <c r="AB508" s="571"/>
      <c r="AC508" s="571"/>
      <c r="AD508" s="571"/>
      <c r="AE508" s="571"/>
      <c r="AF508" s="571"/>
      <c r="AG508" s="690"/>
      <c r="AH508" s="691"/>
    </row>
    <row r="509">
      <c r="A509" s="568"/>
      <c r="B509" s="730"/>
      <c r="C509" s="730"/>
      <c r="D509" s="730"/>
      <c r="E509" s="730"/>
      <c r="F509" s="730"/>
      <c r="G509" s="730"/>
      <c r="H509" s="730"/>
      <c r="I509" s="730"/>
      <c r="J509" s="730"/>
      <c r="K509" s="730"/>
      <c r="L509" s="730"/>
      <c r="M509" s="730"/>
      <c r="N509" s="571"/>
      <c r="O509" s="571"/>
      <c r="P509" s="571"/>
      <c r="Q509" s="571"/>
      <c r="R509" s="571"/>
      <c r="S509" s="571"/>
      <c r="T509" s="571"/>
      <c r="U509" s="571"/>
      <c r="V509" s="571"/>
      <c r="W509" s="571"/>
      <c r="X509" s="571"/>
      <c r="Y509" s="571"/>
      <c r="Z509" s="571"/>
      <c r="AA509" s="571"/>
      <c r="AB509" s="571"/>
      <c r="AC509" s="571"/>
      <c r="AD509" s="571"/>
      <c r="AE509" s="571"/>
      <c r="AF509" s="571"/>
      <c r="AG509" s="690"/>
      <c r="AH509" s="691"/>
    </row>
    <row r="510">
      <c r="A510" s="568"/>
      <c r="B510" s="730"/>
      <c r="C510" s="730"/>
      <c r="D510" s="730"/>
      <c r="E510" s="730"/>
      <c r="F510" s="730"/>
      <c r="G510" s="730"/>
      <c r="H510" s="730"/>
      <c r="I510" s="730"/>
      <c r="J510" s="730"/>
      <c r="K510" s="730"/>
      <c r="L510" s="730"/>
      <c r="M510" s="730"/>
      <c r="N510" s="571"/>
      <c r="O510" s="571"/>
      <c r="P510" s="571"/>
      <c r="Q510" s="571"/>
      <c r="R510" s="571"/>
      <c r="S510" s="571"/>
      <c r="T510" s="571"/>
      <c r="U510" s="571"/>
      <c r="V510" s="571"/>
      <c r="W510" s="571"/>
      <c r="X510" s="571"/>
      <c r="Y510" s="571"/>
      <c r="Z510" s="571"/>
      <c r="AA510" s="571"/>
      <c r="AB510" s="571"/>
      <c r="AC510" s="571"/>
      <c r="AD510" s="571"/>
      <c r="AE510" s="571"/>
      <c r="AF510" s="571"/>
      <c r="AG510" s="690"/>
      <c r="AH510" s="691"/>
    </row>
    <row r="511">
      <c r="A511" s="568"/>
      <c r="B511" s="730"/>
      <c r="C511" s="730"/>
      <c r="D511" s="730"/>
      <c r="E511" s="730"/>
      <c r="F511" s="730"/>
      <c r="G511" s="730"/>
      <c r="H511" s="730"/>
      <c r="I511" s="730"/>
      <c r="J511" s="730"/>
      <c r="K511" s="730"/>
      <c r="L511" s="730"/>
      <c r="M511" s="730"/>
      <c r="N511" s="571"/>
      <c r="O511" s="571"/>
      <c r="P511" s="571"/>
      <c r="Q511" s="571"/>
      <c r="R511" s="571"/>
      <c r="S511" s="571"/>
      <c r="T511" s="571"/>
      <c r="U511" s="571"/>
      <c r="V511" s="571"/>
      <c r="W511" s="571"/>
      <c r="X511" s="571"/>
      <c r="Y511" s="571"/>
      <c r="Z511" s="571"/>
      <c r="AA511" s="571"/>
      <c r="AB511" s="571"/>
      <c r="AC511" s="571"/>
      <c r="AD511" s="571"/>
      <c r="AE511" s="571"/>
      <c r="AF511" s="571"/>
      <c r="AG511" s="690"/>
      <c r="AH511" s="691"/>
    </row>
    <row r="512">
      <c r="A512" s="568"/>
      <c r="B512" s="730"/>
      <c r="C512" s="730"/>
      <c r="D512" s="730"/>
      <c r="E512" s="730"/>
      <c r="F512" s="730"/>
      <c r="G512" s="730"/>
      <c r="H512" s="730"/>
      <c r="I512" s="730"/>
      <c r="J512" s="730"/>
      <c r="K512" s="730"/>
      <c r="L512" s="730"/>
      <c r="M512" s="730"/>
      <c r="N512" s="571"/>
      <c r="O512" s="571"/>
      <c r="P512" s="571"/>
      <c r="Q512" s="571"/>
      <c r="R512" s="571"/>
      <c r="S512" s="571"/>
      <c r="T512" s="571"/>
      <c r="U512" s="571"/>
      <c r="V512" s="571"/>
      <c r="W512" s="571"/>
      <c r="X512" s="571"/>
      <c r="Y512" s="571"/>
      <c r="Z512" s="571"/>
      <c r="AA512" s="571"/>
      <c r="AB512" s="571"/>
      <c r="AC512" s="571"/>
      <c r="AD512" s="571"/>
      <c r="AE512" s="571"/>
      <c r="AF512" s="571"/>
      <c r="AG512" s="690"/>
      <c r="AH512" s="691"/>
    </row>
    <row r="513">
      <c r="A513" s="568"/>
      <c r="B513" s="730"/>
      <c r="C513" s="730"/>
      <c r="D513" s="730"/>
      <c r="E513" s="730"/>
      <c r="F513" s="730"/>
      <c r="G513" s="730"/>
      <c r="H513" s="730"/>
      <c r="I513" s="730"/>
      <c r="J513" s="730"/>
      <c r="K513" s="730"/>
      <c r="L513" s="730"/>
      <c r="M513" s="730"/>
      <c r="N513" s="571"/>
      <c r="O513" s="571"/>
      <c r="P513" s="571"/>
      <c r="Q513" s="571"/>
      <c r="R513" s="571"/>
      <c r="S513" s="571"/>
      <c r="T513" s="571"/>
      <c r="U513" s="571"/>
      <c r="V513" s="571"/>
      <c r="W513" s="571"/>
      <c r="X513" s="571"/>
      <c r="Y513" s="571"/>
      <c r="Z513" s="571"/>
      <c r="AA513" s="571"/>
      <c r="AB513" s="571"/>
      <c r="AC513" s="571"/>
      <c r="AD513" s="571"/>
      <c r="AE513" s="571"/>
      <c r="AF513" s="571"/>
      <c r="AG513" s="690"/>
      <c r="AH513" s="691"/>
    </row>
    <row r="514">
      <c r="A514" s="568"/>
      <c r="B514" s="730"/>
      <c r="C514" s="730"/>
      <c r="D514" s="730"/>
      <c r="E514" s="730"/>
      <c r="F514" s="730"/>
      <c r="G514" s="730"/>
      <c r="H514" s="730"/>
      <c r="I514" s="730"/>
      <c r="J514" s="730"/>
      <c r="K514" s="730"/>
      <c r="L514" s="730"/>
      <c r="M514" s="730"/>
      <c r="N514" s="571"/>
      <c r="O514" s="571"/>
      <c r="P514" s="571"/>
      <c r="Q514" s="571"/>
      <c r="R514" s="571"/>
      <c r="S514" s="571"/>
      <c r="T514" s="571"/>
      <c r="U514" s="571"/>
      <c r="V514" s="571"/>
      <c r="W514" s="571"/>
      <c r="X514" s="571"/>
      <c r="Y514" s="571"/>
      <c r="Z514" s="571"/>
      <c r="AA514" s="571"/>
      <c r="AB514" s="571"/>
      <c r="AC514" s="571"/>
      <c r="AD514" s="571"/>
      <c r="AE514" s="571"/>
      <c r="AF514" s="571"/>
      <c r="AG514" s="690"/>
      <c r="AH514" s="691"/>
    </row>
    <row r="515">
      <c r="A515" s="568"/>
      <c r="B515" s="730"/>
      <c r="C515" s="730"/>
      <c r="D515" s="730"/>
      <c r="E515" s="730"/>
      <c r="F515" s="730"/>
      <c r="G515" s="730"/>
      <c r="H515" s="730"/>
      <c r="I515" s="730"/>
      <c r="J515" s="730"/>
      <c r="K515" s="730"/>
      <c r="L515" s="730"/>
      <c r="M515" s="730"/>
      <c r="N515" s="571"/>
      <c r="O515" s="571"/>
      <c r="P515" s="571"/>
      <c r="Q515" s="571"/>
      <c r="R515" s="571"/>
      <c r="S515" s="571"/>
      <c r="T515" s="571"/>
      <c r="U515" s="571"/>
      <c r="V515" s="571"/>
      <c r="W515" s="571"/>
      <c r="X515" s="571"/>
      <c r="Y515" s="571"/>
      <c r="Z515" s="571"/>
      <c r="AA515" s="571"/>
      <c r="AB515" s="571"/>
      <c r="AC515" s="571"/>
      <c r="AD515" s="571"/>
      <c r="AE515" s="571"/>
      <c r="AF515" s="571"/>
      <c r="AG515" s="690"/>
      <c r="AH515" s="691"/>
    </row>
    <row r="516">
      <c r="A516" s="568"/>
      <c r="B516" s="730"/>
      <c r="C516" s="730"/>
      <c r="D516" s="730"/>
      <c r="E516" s="730"/>
      <c r="F516" s="730"/>
      <c r="G516" s="730"/>
      <c r="H516" s="730"/>
      <c r="I516" s="730"/>
      <c r="J516" s="730"/>
      <c r="K516" s="730"/>
      <c r="L516" s="730"/>
      <c r="M516" s="730"/>
      <c r="N516" s="571"/>
      <c r="O516" s="571"/>
      <c r="P516" s="571"/>
      <c r="Q516" s="571"/>
      <c r="R516" s="571"/>
      <c r="S516" s="571"/>
      <c r="T516" s="571"/>
      <c r="U516" s="571"/>
      <c r="V516" s="571"/>
      <c r="W516" s="571"/>
      <c r="X516" s="571"/>
      <c r="Y516" s="571"/>
      <c r="Z516" s="571"/>
      <c r="AA516" s="571"/>
      <c r="AB516" s="571"/>
      <c r="AC516" s="571"/>
      <c r="AD516" s="571"/>
      <c r="AE516" s="571"/>
      <c r="AF516" s="571"/>
      <c r="AG516" s="690"/>
      <c r="AH516" s="691"/>
    </row>
    <row r="517">
      <c r="A517" s="568"/>
      <c r="B517" s="730"/>
      <c r="C517" s="730"/>
      <c r="D517" s="730"/>
      <c r="E517" s="730"/>
      <c r="F517" s="730"/>
      <c r="G517" s="730"/>
      <c r="H517" s="730"/>
      <c r="I517" s="730"/>
      <c r="J517" s="730"/>
      <c r="K517" s="730"/>
      <c r="L517" s="730"/>
      <c r="M517" s="730"/>
      <c r="N517" s="571"/>
      <c r="O517" s="571"/>
      <c r="P517" s="571"/>
      <c r="Q517" s="571"/>
      <c r="R517" s="571"/>
      <c r="S517" s="571"/>
      <c r="T517" s="571"/>
      <c r="U517" s="571"/>
      <c r="V517" s="571"/>
      <c r="W517" s="571"/>
      <c r="X517" s="571"/>
      <c r="Y517" s="571"/>
      <c r="Z517" s="571"/>
      <c r="AA517" s="571"/>
      <c r="AB517" s="571"/>
      <c r="AC517" s="571"/>
      <c r="AD517" s="571"/>
      <c r="AE517" s="571"/>
      <c r="AF517" s="571"/>
      <c r="AG517" s="690"/>
      <c r="AH517" s="691"/>
    </row>
    <row r="518">
      <c r="A518" s="568"/>
      <c r="B518" s="730"/>
      <c r="C518" s="730"/>
      <c r="D518" s="730"/>
      <c r="E518" s="730"/>
      <c r="F518" s="730"/>
      <c r="G518" s="730"/>
      <c r="H518" s="730"/>
      <c r="I518" s="730"/>
      <c r="J518" s="730"/>
      <c r="K518" s="730"/>
      <c r="L518" s="730"/>
      <c r="M518" s="730"/>
      <c r="N518" s="571"/>
      <c r="O518" s="571"/>
      <c r="P518" s="571"/>
      <c r="Q518" s="571"/>
      <c r="R518" s="571"/>
      <c r="S518" s="571"/>
      <c r="T518" s="571"/>
      <c r="U518" s="571"/>
      <c r="V518" s="571"/>
      <c r="W518" s="571"/>
      <c r="X518" s="571"/>
      <c r="Y518" s="571"/>
      <c r="Z518" s="571"/>
      <c r="AA518" s="571"/>
      <c r="AB518" s="571"/>
      <c r="AC518" s="571"/>
      <c r="AD518" s="571"/>
      <c r="AE518" s="571"/>
      <c r="AF518" s="571"/>
      <c r="AG518" s="690"/>
      <c r="AH518" s="691"/>
    </row>
    <row r="519">
      <c r="A519" s="568"/>
      <c r="B519" s="730"/>
      <c r="C519" s="730"/>
      <c r="D519" s="730"/>
      <c r="E519" s="730"/>
      <c r="F519" s="730"/>
      <c r="G519" s="730"/>
      <c r="H519" s="730"/>
      <c r="I519" s="730"/>
      <c r="J519" s="730"/>
      <c r="K519" s="730"/>
      <c r="L519" s="730"/>
      <c r="M519" s="730"/>
      <c r="N519" s="571"/>
      <c r="O519" s="571"/>
      <c r="P519" s="571"/>
      <c r="Q519" s="571"/>
      <c r="R519" s="571"/>
      <c r="S519" s="571"/>
      <c r="T519" s="571"/>
      <c r="U519" s="571"/>
      <c r="V519" s="571"/>
      <c r="W519" s="571"/>
      <c r="X519" s="571"/>
      <c r="Y519" s="571"/>
      <c r="Z519" s="571"/>
      <c r="AA519" s="571"/>
      <c r="AB519" s="571"/>
      <c r="AC519" s="571"/>
      <c r="AD519" s="571"/>
      <c r="AE519" s="571"/>
      <c r="AF519" s="571"/>
      <c r="AG519" s="690"/>
      <c r="AH519" s="691"/>
    </row>
    <row r="520">
      <c r="A520" s="568"/>
      <c r="B520" s="730"/>
      <c r="C520" s="730"/>
      <c r="D520" s="730"/>
      <c r="E520" s="730"/>
      <c r="F520" s="730"/>
      <c r="G520" s="730"/>
      <c r="H520" s="730"/>
      <c r="I520" s="730"/>
      <c r="J520" s="730"/>
      <c r="K520" s="730"/>
      <c r="L520" s="730"/>
      <c r="M520" s="730"/>
      <c r="N520" s="571"/>
      <c r="O520" s="571"/>
      <c r="P520" s="571"/>
      <c r="Q520" s="571"/>
      <c r="R520" s="571"/>
      <c r="S520" s="571"/>
      <c r="T520" s="571"/>
      <c r="U520" s="571"/>
      <c r="V520" s="571"/>
      <c r="W520" s="571"/>
      <c r="X520" s="571"/>
      <c r="Y520" s="571"/>
      <c r="Z520" s="571"/>
      <c r="AA520" s="571"/>
      <c r="AB520" s="571"/>
      <c r="AC520" s="571"/>
      <c r="AD520" s="571"/>
      <c r="AE520" s="571"/>
      <c r="AF520" s="571"/>
      <c r="AG520" s="690"/>
      <c r="AH520" s="691"/>
    </row>
    <row r="521">
      <c r="A521" s="568"/>
      <c r="B521" s="730"/>
      <c r="C521" s="730"/>
      <c r="D521" s="730"/>
      <c r="E521" s="730"/>
      <c r="F521" s="730"/>
      <c r="G521" s="730"/>
      <c r="H521" s="730"/>
      <c r="I521" s="730"/>
      <c r="J521" s="730"/>
      <c r="K521" s="730"/>
      <c r="L521" s="730"/>
      <c r="M521" s="730"/>
      <c r="N521" s="571"/>
      <c r="O521" s="571"/>
      <c r="P521" s="571"/>
      <c r="Q521" s="571"/>
      <c r="R521" s="571"/>
      <c r="S521" s="571"/>
      <c r="T521" s="571"/>
      <c r="U521" s="571"/>
      <c r="V521" s="571"/>
      <c r="W521" s="571"/>
      <c r="X521" s="571"/>
      <c r="Y521" s="571"/>
      <c r="Z521" s="571"/>
      <c r="AA521" s="571"/>
      <c r="AB521" s="571"/>
      <c r="AC521" s="571"/>
      <c r="AD521" s="571"/>
      <c r="AE521" s="571"/>
      <c r="AF521" s="571"/>
      <c r="AG521" s="690"/>
      <c r="AH521" s="691"/>
    </row>
    <row r="522">
      <c r="A522" s="568"/>
      <c r="B522" s="730"/>
      <c r="C522" s="730"/>
      <c r="D522" s="730"/>
      <c r="E522" s="730"/>
      <c r="F522" s="730"/>
      <c r="G522" s="730"/>
      <c r="H522" s="730"/>
      <c r="I522" s="730"/>
      <c r="J522" s="730"/>
      <c r="K522" s="730"/>
      <c r="L522" s="730"/>
      <c r="M522" s="730"/>
      <c r="N522" s="571"/>
      <c r="O522" s="571"/>
      <c r="P522" s="571"/>
      <c r="Q522" s="571"/>
      <c r="R522" s="571"/>
      <c r="S522" s="571"/>
      <c r="T522" s="571"/>
      <c r="U522" s="571"/>
      <c r="V522" s="571"/>
      <c r="W522" s="571"/>
      <c r="X522" s="571"/>
      <c r="Y522" s="571"/>
      <c r="Z522" s="571"/>
      <c r="AA522" s="571"/>
      <c r="AB522" s="571"/>
      <c r="AC522" s="571"/>
      <c r="AD522" s="571"/>
      <c r="AE522" s="571"/>
      <c r="AF522" s="571"/>
      <c r="AG522" s="690"/>
      <c r="AH522" s="691"/>
    </row>
    <row r="523">
      <c r="A523" s="568"/>
      <c r="B523" s="730"/>
      <c r="C523" s="730"/>
      <c r="D523" s="730"/>
      <c r="E523" s="730"/>
      <c r="F523" s="730"/>
      <c r="G523" s="730"/>
      <c r="H523" s="730"/>
      <c r="I523" s="730"/>
      <c r="J523" s="730"/>
      <c r="K523" s="730"/>
      <c r="L523" s="730"/>
      <c r="M523" s="730"/>
      <c r="N523" s="571"/>
      <c r="O523" s="571"/>
      <c r="P523" s="571"/>
      <c r="Q523" s="571"/>
      <c r="R523" s="571"/>
      <c r="S523" s="571"/>
      <c r="T523" s="571"/>
      <c r="U523" s="571"/>
      <c r="V523" s="571"/>
      <c r="W523" s="571"/>
      <c r="X523" s="571"/>
      <c r="Y523" s="571"/>
      <c r="Z523" s="571"/>
      <c r="AA523" s="571"/>
      <c r="AB523" s="571"/>
      <c r="AC523" s="571"/>
      <c r="AD523" s="571"/>
      <c r="AE523" s="571"/>
      <c r="AF523" s="571"/>
      <c r="AG523" s="690"/>
      <c r="AH523" s="691"/>
    </row>
    <row r="524">
      <c r="A524" s="568"/>
      <c r="B524" s="730"/>
      <c r="C524" s="730"/>
      <c r="D524" s="730"/>
      <c r="E524" s="730"/>
      <c r="F524" s="730"/>
      <c r="G524" s="730"/>
      <c r="H524" s="730"/>
      <c r="I524" s="730"/>
      <c r="J524" s="730"/>
      <c r="K524" s="730"/>
      <c r="L524" s="730"/>
      <c r="M524" s="730"/>
      <c r="N524" s="571"/>
      <c r="O524" s="571"/>
      <c r="P524" s="571"/>
      <c r="Q524" s="571"/>
      <c r="R524" s="571"/>
      <c r="S524" s="571"/>
      <c r="T524" s="571"/>
      <c r="U524" s="571"/>
      <c r="V524" s="571"/>
      <c r="W524" s="571"/>
      <c r="X524" s="571"/>
      <c r="Y524" s="571"/>
      <c r="Z524" s="571"/>
      <c r="AA524" s="571"/>
      <c r="AB524" s="571"/>
      <c r="AC524" s="571"/>
      <c r="AD524" s="571"/>
      <c r="AE524" s="571"/>
      <c r="AF524" s="571"/>
      <c r="AG524" s="690"/>
      <c r="AH524" s="691"/>
    </row>
    <row r="525">
      <c r="A525" s="568"/>
      <c r="B525" s="730"/>
      <c r="C525" s="730"/>
      <c r="D525" s="730"/>
      <c r="E525" s="730"/>
      <c r="F525" s="730"/>
      <c r="G525" s="730"/>
      <c r="H525" s="730"/>
      <c r="I525" s="730"/>
      <c r="J525" s="730"/>
      <c r="K525" s="730"/>
      <c r="L525" s="730"/>
      <c r="M525" s="730"/>
      <c r="N525" s="571"/>
      <c r="O525" s="571"/>
      <c r="P525" s="571"/>
      <c r="Q525" s="571"/>
      <c r="R525" s="571"/>
      <c r="S525" s="571"/>
      <c r="T525" s="571"/>
      <c r="U525" s="571"/>
      <c r="V525" s="571"/>
      <c r="W525" s="571"/>
      <c r="X525" s="571"/>
      <c r="Y525" s="571"/>
      <c r="Z525" s="571"/>
      <c r="AA525" s="571"/>
      <c r="AB525" s="571"/>
      <c r="AC525" s="571"/>
      <c r="AD525" s="571"/>
      <c r="AE525" s="571"/>
      <c r="AF525" s="571"/>
      <c r="AG525" s="690"/>
      <c r="AH525" s="691"/>
    </row>
    <row r="526">
      <c r="A526" s="568"/>
      <c r="B526" s="730"/>
      <c r="C526" s="730"/>
      <c r="D526" s="730"/>
      <c r="E526" s="730"/>
      <c r="F526" s="730"/>
      <c r="G526" s="730"/>
      <c r="H526" s="730"/>
      <c r="I526" s="730"/>
      <c r="J526" s="730"/>
      <c r="K526" s="730"/>
      <c r="L526" s="730"/>
      <c r="M526" s="730"/>
      <c r="N526" s="571"/>
      <c r="O526" s="571"/>
      <c r="P526" s="571"/>
      <c r="Q526" s="571"/>
      <c r="R526" s="571"/>
      <c r="S526" s="571"/>
      <c r="T526" s="571"/>
      <c r="U526" s="571"/>
      <c r="V526" s="571"/>
      <c r="W526" s="571"/>
      <c r="X526" s="571"/>
      <c r="Y526" s="571"/>
      <c r="Z526" s="571"/>
      <c r="AA526" s="571"/>
      <c r="AB526" s="571"/>
      <c r="AC526" s="571"/>
      <c r="AD526" s="571"/>
      <c r="AE526" s="571"/>
      <c r="AF526" s="571"/>
      <c r="AG526" s="690"/>
      <c r="AH526" s="691"/>
    </row>
    <row r="527">
      <c r="A527" s="568"/>
      <c r="B527" s="730"/>
      <c r="C527" s="730"/>
      <c r="D527" s="730"/>
      <c r="E527" s="730"/>
      <c r="F527" s="730"/>
      <c r="G527" s="730"/>
      <c r="H527" s="730"/>
      <c r="I527" s="730"/>
      <c r="J527" s="730"/>
      <c r="K527" s="730"/>
      <c r="L527" s="730"/>
      <c r="M527" s="730"/>
      <c r="N527" s="571"/>
      <c r="O527" s="571"/>
      <c r="P527" s="571"/>
      <c r="Q527" s="571"/>
      <c r="R527" s="571"/>
      <c r="S527" s="571"/>
      <c r="T527" s="571"/>
      <c r="U527" s="571"/>
      <c r="V527" s="571"/>
      <c r="W527" s="571"/>
      <c r="X527" s="571"/>
      <c r="Y527" s="571"/>
      <c r="Z527" s="571"/>
      <c r="AA527" s="571"/>
      <c r="AB527" s="571"/>
      <c r="AC527" s="571"/>
      <c r="AD527" s="571"/>
      <c r="AE527" s="571"/>
      <c r="AF527" s="571"/>
      <c r="AG527" s="690"/>
      <c r="AH527" s="691"/>
    </row>
    <row r="528">
      <c r="A528" s="568"/>
      <c r="B528" s="730"/>
      <c r="C528" s="730"/>
      <c r="D528" s="730"/>
      <c r="E528" s="730"/>
      <c r="F528" s="730"/>
      <c r="G528" s="730"/>
      <c r="H528" s="730"/>
      <c r="I528" s="730"/>
      <c r="J528" s="730"/>
      <c r="K528" s="730"/>
      <c r="L528" s="730"/>
      <c r="M528" s="730"/>
      <c r="N528" s="571"/>
      <c r="O528" s="571"/>
      <c r="P528" s="571"/>
      <c r="Q528" s="571"/>
      <c r="R528" s="571"/>
      <c r="S528" s="571"/>
      <c r="T528" s="571"/>
      <c r="U528" s="571"/>
      <c r="V528" s="571"/>
      <c r="W528" s="571"/>
      <c r="X528" s="571"/>
      <c r="Y528" s="571"/>
      <c r="Z528" s="571"/>
      <c r="AA528" s="571"/>
      <c r="AB528" s="571"/>
      <c r="AC528" s="571"/>
      <c r="AD528" s="571"/>
      <c r="AE528" s="571"/>
      <c r="AF528" s="571"/>
      <c r="AG528" s="690"/>
      <c r="AH528" s="691"/>
    </row>
    <row r="529">
      <c r="A529" s="568"/>
      <c r="B529" s="730"/>
      <c r="C529" s="730"/>
      <c r="D529" s="730"/>
      <c r="E529" s="730"/>
      <c r="F529" s="730"/>
      <c r="G529" s="730"/>
      <c r="H529" s="730"/>
      <c r="I529" s="730"/>
      <c r="J529" s="730"/>
      <c r="K529" s="730"/>
      <c r="L529" s="730"/>
      <c r="M529" s="730"/>
      <c r="N529" s="571"/>
      <c r="O529" s="571"/>
      <c r="P529" s="571"/>
      <c r="Q529" s="571"/>
      <c r="R529" s="571"/>
      <c r="S529" s="571"/>
      <c r="T529" s="571"/>
      <c r="U529" s="571"/>
      <c r="V529" s="571"/>
      <c r="W529" s="571"/>
      <c r="X529" s="571"/>
      <c r="Y529" s="571"/>
      <c r="Z529" s="571"/>
      <c r="AA529" s="571"/>
      <c r="AB529" s="571"/>
      <c r="AC529" s="571"/>
      <c r="AD529" s="571"/>
      <c r="AE529" s="571"/>
      <c r="AF529" s="571"/>
      <c r="AG529" s="690"/>
      <c r="AH529" s="691"/>
    </row>
    <row r="530">
      <c r="A530" s="568"/>
      <c r="B530" s="730"/>
      <c r="C530" s="730"/>
      <c r="D530" s="730"/>
      <c r="E530" s="730"/>
      <c r="F530" s="730"/>
      <c r="G530" s="730"/>
      <c r="H530" s="730"/>
      <c r="I530" s="730"/>
      <c r="J530" s="730"/>
      <c r="K530" s="730"/>
      <c r="L530" s="730"/>
      <c r="M530" s="730"/>
      <c r="N530" s="571"/>
      <c r="O530" s="571"/>
      <c r="P530" s="571"/>
      <c r="Q530" s="571"/>
      <c r="R530" s="571"/>
      <c r="S530" s="571"/>
      <c r="T530" s="571"/>
      <c r="U530" s="571"/>
      <c r="V530" s="571"/>
      <c r="W530" s="571"/>
      <c r="X530" s="571"/>
      <c r="Y530" s="571"/>
      <c r="Z530" s="571"/>
      <c r="AA530" s="571"/>
      <c r="AB530" s="571"/>
      <c r="AC530" s="571"/>
      <c r="AD530" s="571"/>
      <c r="AE530" s="571"/>
      <c r="AF530" s="571"/>
      <c r="AG530" s="690"/>
      <c r="AH530" s="691"/>
    </row>
    <row r="531">
      <c r="A531" s="568"/>
      <c r="B531" s="730"/>
      <c r="C531" s="730"/>
      <c r="D531" s="730"/>
      <c r="E531" s="730"/>
      <c r="F531" s="730"/>
      <c r="G531" s="730"/>
      <c r="H531" s="730"/>
      <c r="I531" s="730"/>
      <c r="J531" s="730"/>
      <c r="K531" s="730"/>
      <c r="L531" s="730"/>
      <c r="M531" s="730"/>
      <c r="N531" s="571"/>
      <c r="O531" s="571"/>
      <c r="P531" s="571"/>
      <c r="Q531" s="571"/>
      <c r="R531" s="571"/>
      <c r="S531" s="571"/>
      <c r="T531" s="571"/>
      <c r="U531" s="571"/>
      <c r="V531" s="571"/>
      <c r="W531" s="571"/>
      <c r="X531" s="571"/>
      <c r="Y531" s="571"/>
      <c r="Z531" s="571"/>
      <c r="AA531" s="571"/>
      <c r="AB531" s="571"/>
      <c r="AC531" s="571"/>
      <c r="AD531" s="571"/>
      <c r="AE531" s="571"/>
      <c r="AF531" s="571"/>
      <c r="AG531" s="690"/>
      <c r="AH531" s="691"/>
    </row>
    <row r="532">
      <c r="A532" s="568"/>
      <c r="B532" s="730"/>
      <c r="C532" s="730"/>
      <c r="D532" s="730"/>
      <c r="E532" s="730"/>
      <c r="F532" s="730"/>
      <c r="G532" s="730"/>
      <c r="H532" s="730"/>
      <c r="I532" s="730"/>
      <c r="J532" s="730"/>
      <c r="K532" s="730"/>
      <c r="L532" s="730"/>
      <c r="M532" s="730"/>
      <c r="N532" s="571"/>
      <c r="O532" s="571"/>
      <c r="P532" s="571"/>
      <c r="Q532" s="571"/>
      <c r="R532" s="571"/>
      <c r="S532" s="571"/>
      <c r="T532" s="571"/>
      <c r="U532" s="571"/>
      <c r="V532" s="571"/>
      <c r="W532" s="571"/>
      <c r="X532" s="571"/>
      <c r="Y532" s="571"/>
      <c r="Z532" s="571"/>
      <c r="AA532" s="571"/>
      <c r="AB532" s="571"/>
      <c r="AC532" s="571"/>
      <c r="AD532" s="571"/>
      <c r="AE532" s="571"/>
      <c r="AF532" s="571"/>
      <c r="AG532" s="690"/>
      <c r="AH532" s="691"/>
    </row>
    <row r="533">
      <c r="A533" s="568"/>
      <c r="B533" s="730"/>
      <c r="C533" s="730"/>
      <c r="D533" s="730"/>
      <c r="E533" s="730"/>
      <c r="F533" s="730"/>
      <c r="G533" s="730"/>
      <c r="H533" s="730"/>
      <c r="I533" s="730"/>
      <c r="J533" s="730"/>
      <c r="K533" s="730"/>
      <c r="L533" s="730"/>
      <c r="M533" s="730"/>
      <c r="N533" s="571"/>
      <c r="O533" s="571"/>
      <c r="P533" s="571"/>
      <c r="Q533" s="571"/>
      <c r="R533" s="571"/>
      <c r="S533" s="571"/>
      <c r="T533" s="571"/>
      <c r="U533" s="571"/>
      <c r="V533" s="571"/>
      <c r="W533" s="571"/>
      <c r="X533" s="571"/>
      <c r="Y533" s="571"/>
      <c r="Z533" s="571"/>
      <c r="AA533" s="571"/>
      <c r="AB533" s="571"/>
      <c r="AC533" s="571"/>
      <c r="AD533" s="571"/>
      <c r="AE533" s="571"/>
      <c r="AF533" s="571"/>
      <c r="AG533" s="690"/>
      <c r="AH533" s="691"/>
    </row>
    <row r="534">
      <c r="A534" s="568"/>
      <c r="B534" s="730"/>
      <c r="C534" s="730"/>
      <c r="D534" s="730"/>
      <c r="E534" s="730"/>
      <c r="F534" s="730"/>
      <c r="G534" s="730"/>
      <c r="H534" s="730"/>
      <c r="I534" s="730"/>
      <c r="J534" s="730"/>
      <c r="K534" s="730"/>
      <c r="L534" s="730"/>
      <c r="M534" s="730"/>
      <c r="N534" s="571"/>
      <c r="O534" s="571"/>
      <c r="P534" s="571"/>
      <c r="Q534" s="571"/>
      <c r="R534" s="571"/>
      <c r="S534" s="571"/>
      <c r="T534" s="571"/>
      <c r="U534" s="571"/>
      <c r="V534" s="571"/>
      <c r="W534" s="571"/>
      <c r="X534" s="571"/>
      <c r="Y534" s="571"/>
      <c r="Z534" s="571"/>
      <c r="AA534" s="571"/>
      <c r="AB534" s="571"/>
      <c r="AC534" s="571"/>
      <c r="AD534" s="571"/>
      <c r="AE534" s="571"/>
      <c r="AF534" s="571"/>
      <c r="AG534" s="690"/>
      <c r="AH534" s="691"/>
    </row>
    <row r="535">
      <c r="A535" s="568"/>
      <c r="B535" s="730"/>
      <c r="C535" s="730"/>
      <c r="D535" s="730"/>
      <c r="E535" s="730"/>
      <c r="F535" s="730"/>
      <c r="G535" s="730"/>
      <c r="H535" s="730"/>
      <c r="I535" s="730"/>
      <c r="J535" s="730"/>
      <c r="K535" s="730"/>
      <c r="L535" s="730"/>
      <c r="M535" s="730"/>
      <c r="N535" s="571"/>
      <c r="O535" s="571"/>
      <c r="P535" s="571"/>
      <c r="Q535" s="571"/>
      <c r="R535" s="571"/>
      <c r="S535" s="571"/>
      <c r="T535" s="571"/>
      <c r="U535" s="571"/>
      <c r="V535" s="571"/>
      <c r="W535" s="571"/>
      <c r="X535" s="571"/>
      <c r="Y535" s="571"/>
      <c r="Z535" s="571"/>
      <c r="AA535" s="571"/>
      <c r="AB535" s="571"/>
      <c r="AC535" s="571"/>
      <c r="AD535" s="571"/>
      <c r="AE535" s="571"/>
      <c r="AF535" s="571"/>
      <c r="AG535" s="690"/>
      <c r="AH535" s="691"/>
    </row>
    <row r="536">
      <c r="A536" s="568"/>
      <c r="B536" s="730"/>
      <c r="C536" s="730"/>
      <c r="D536" s="730"/>
      <c r="E536" s="730"/>
      <c r="F536" s="730"/>
      <c r="G536" s="730"/>
      <c r="H536" s="730"/>
      <c r="I536" s="730"/>
      <c r="J536" s="730"/>
      <c r="K536" s="730"/>
      <c r="L536" s="730"/>
      <c r="M536" s="730"/>
      <c r="N536" s="571"/>
      <c r="O536" s="571"/>
      <c r="P536" s="571"/>
      <c r="Q536" s="571"/>
      <c r="R536" s="571"/>
      <c r="S536" s="571"/>
      <c r="T536" s="571"/>
      <c r="U536" s="571"/>
      <c r="V536" s="571"/>
      <c r="W536" s="571"/>
      <c r="X536" s="571"/>
      <c r="Y536" s="571"/>
      <c r="Z536" s="571"/>
      <c r="AA536" s="571"/>
      <c r="AB536" s="571"/>
      <c r="AC536" s="571"/>
      <c r="AD536" s="571"/>
      <c r="AE536" s="571"/>
      <c r="AF536" s="571"/>
      <c r="AG536" s="690"/>
      <c r="AH536" s="691"/>
    </row>
    <row r="537">
      <c r="A537" s="568"/>
      <c r="B537" s="730"/>
      <c r="C537" s="730"/>
      <c r="D537" s="730"/>
      <c r="E537" s="730"/>
      <c r="F537" s="730"/>
      <c r="G537" s="730"/>
      <c r="H537" s="730"/>
      <c r="I537" s="730"/>
      <c r="J537" s="730"/>
      <c r="K537" s="730"/>
      <c r="L537" s="730"/>
      <c r="M537" s="730"/>
      <c r="N537" s="571"/>
      <c r="O537" s="571"/>
      <c r="P537" s="571"/>
      <c r="Q537" s="571"/>
      <c r="R537" s="571"/>
      <c r="S537" s="571"/>
      <c r="T537" s="571"/>
      <c r="U537" s="571"/>
      <c r="V537" s="571"/>
      <c r="W537" s="571"/>
      <c r="X537" s="571"/>
      <c r="Y537" s="571"/>
      <c r="Z537" s="571"/>
      <c r="AA537" s="571"/>
      <c r="AB537" s="571"/>
      <c r="AC537" s="571"/>
      <c r="AD537" s="571"/>
      <c r="AE537" s="571"/>
      <c r="AF537" s="571"/>
      <c r="AG537" s="690"/>
      <c r="AH537" s="691"/>
    </row>
    <row r="538">
      <c r="A538" s="568"/>
      <c r="B538" s="730"/>
      <c r="C538" s="730"/>
      <c r="D538" s="730"/>
      <c r="E538" s="730"/>
      <c r="F538" s="730"/>
      <c r="G538" s="730"/>
      <c r="H538" s="730"/>
      <c r="I538" s="730"/>
      <c r="J538" s="730"/>
      <c r="K538" s="730"/>
      <c r="L538" s="730"/>
      <c r="M538" s="730"/>
      <c r="N538" s="571"/>
      <c r="O538" s="571"/>
      <c r="P538" s="571"/>
      <c r="Q538" s="571"/>
      <c r="R538" s="571"/>
      <c r="S538" s="571"/>
      <c r="T538" s="571"/>
      <c r="U538" s="571"/>
      <c r="V538" s="571"/>
      <c r="W538" s="571"/>
      <c r="X538" s="571"/>
      <c r="Y538" s="571"/>
      <c r="Z538" s="571"/>
      <c r="AA538" s="571"/>
      <c r="AB538" s="571"/>
      <c r="AC538" s="571"/>
      <c r="AD538" s="571"/>
      <c r="AE538" s="571"/>
      <c r="AF538" s="571"/>
      <c r="AG538" s="690"/>
      <c r="AH538" s="691"/>
    </row>
    <row r="539">
      <c r="A539" s="568"/>
      <c r="B539" s="730"/>
      <c r="C539" s="730"/>
      <c r="D539" s="730"/>
      <c r="E539" s="730"/>
      <c r="F539" s="730"/>
      <c r="G539" s="730"/>
      <c r="H539" s="730"/>
      <c r="I539" s="730"/>
      <c r="J539" s="730"/>
      <c r="K539" s="730"/>
      <c r="L539" s="730"/>
      <c r="M539" s="730"/>
      <c r="N539" s="571"/>
      <c r="O539" s="571"/>
      <c r="P539" s="571"/>
      <c r="Q539" s="571"/>
      <c r="R539" s="571"/>
      <c r="S539" s="571"/>
      <c r="T539" s="571"/>
      <c r="U539" s="571"/>
      <c r="V539" s="571"/>
      <c r="W539" s="571"/>
      <c r="X539" s="571"/>
      <c r="Y539" s="571"/>
      <c r="Z539" s="571"/>
      <c r="AA539" s="571"/>
      <c r="AB539" s="571"/>
      <c r="AC539" s="571"/>
      <c r="AD539" s="571"/>
      <c r="AE539" s="571"/>
      <c r="AF539" s="571"/>
      <c r="AG539" s="690"/>
      <c r="AH539" s="691"/>
    </row>
    <row r="540">
      <c r="A540" s="568"/>
      <c r="B540" s="730"/>
      <c r="C540" s="730"/>
      <c r="D540" s="730"/>
      <c r="E540" s="730"/>
      <c r="F540" s="730"/>
      <c r="G540" s="730"/>
      <c r="H540" s="730"/>
      <c r="I540" s="730"/>
      <c r="J540" s="730"/>
      <c r="K540" s="730"/>
      <c r="L540" s="730"/>
      <c r="M540" s="730"/>
      <c r="N540" s="571"/>
      <c r="O540" s="571"/>
      <c r="P540" s="571"/>
      <c r="Q540" s="571"/>
      <c r="R540" s="571"/>
      <c r="S540" s="571"/>
      <c r="T540" s="571"/>
      <c r="U540" s="571"/>
      <c r="V540" s="571"/>
      <c r="W540" s="571"/>
      <c r="X540" s="571"/>
      <c r="Y540" s="571"/>
      <c r="Z540" s="571"/>
      <c r="AA540" s="571"/>
      <c r="AB540" s="571"/>
      <c r="AC540" s="571"/>
      <c r="AD540" s="571"/>
      <c r="AE540" s="571"/>
      <c r="AF540" s="571"/>
      <c r="AG540" s="690"/>
      <c r="AH540" s="691"/>
    </row>
    <row r="541">
      <c r="A541" s="568"/>
      <c r="B541" s="730"/>
      <c r="C541" s="730"/>
      <c r="D541" s="730"/>
      <c r="E541" s="730"/>
      <c r="F541" s="730"/>
      <c r="G541" s="730"/>
      <c r="H541" s="730"/>
      <c r="I541" s="730"/>
      <c r="J541" s="730"/>
      <c r="K541" s="730"/>
      <c r="L541" s="730"/>
      <c r="M541" s="730"/>
      <c r="N541" s="571"/>
      <c r="O541" s="571"/>
      <c r="P541" s="571"/>
      <c r="Q541" s="571"/>
      <c r="R541" s="571"/>
      <c r="S541" s="571"/>
      <c r="T541" s="571"/>
      <c r="U541" s="571"/>
      <c r="V541" s="571"/>
      <c r="W541" s="571"/>
      <c r="X541" s="571"/>
      <c r="Y541" s="571"/>
      <c r="Z541" s="571"/>
      <c r="AA541" s="571"/>
      <c r="AB541" s="571"/>
      <c r="AC541" s="571"/>
      <c r="AD541" s="571"/>
      <c r="AE541" s="571"/>
      <c r="AF541" s="571"/>
      <c r="AG541" s="690"/>
      <c r="AH541" s="691"/>
    </row>
    <row r="542">
      <c r="A542" s="568"/>
      <c r="B542" s="730"/>
      <c r="C542" s="730"/>
      <c r="D542" s="730"/>
      <c r="E542" s="730"/>
      <c r="F542" s="730"/>
      <c r="G542" s="730"/>
      <c r="H542" s="730"/>
      <c r="I542" s="730"/>
      <c r="J542" s="730"/>
      <c r="K542" s="730"/>
      <c r="L542" s="730"/>
      <c r="M542" s="730"/>
      <c r="N542" s="571"/>
      <c r="O542" s="571"/>
      <c r="P542" s="571"/>
      <c r="Q542" s="571"/>
      <c r="R542" s="571"/>
      <c r="S542" s="571"/>
      <c r="T542" s="571"/>
      <c r="U542" s="571"/>
      <c r="V542" s="571"/>
      <c r="W542" s="571"/>
      <c r="X542" s="571"/>
      <c r="Y542" s="571"/>
      <c r="Z542" s="571"/>
      <c r="AA542" s="571"/>
      <c r="AB542" s="571"/>
      <c r="AC542" s="571"/>
      <c r="AD542" s="571"/>
      <c r="AE542" s="571"/>
      <c r="AF542" s="571"/>
      <c r="AG542" s="690"/>
      <c r="AH542" s="691"/>
    </row>
    <row r="543">
      <c r="A543" s="568"/>
      <c r="B543" s="730"/>
      <c r="C543" s="730"/>
      <c r="D543" s="730"/>
      <c r="E543" s="730"/>
      <c r="F543" s="730"/>
      <c r="G543" s="730"/>
      <c r="H543" s="730"/>
      <c r="I543" s="730"/>
      <c r="J543" s="730"/>
      <c r="K543" s="730"/>
      <c r="L543" s="730"/>
      <c r="M543" s="730"/>
      <c r="N543" s="571"/>
      <c r="O543" s="571"/>
      <c r="P543" s="571"/>
      <c r="Q543" s="571"/>
      <c r="R543" s="571"/>
      <c r="S543" s="571"/>
      <c r="T543" s="571"/>
      <c r="U543" s="571"/>
      <c r="V543" s="571"/>
      <c r="W543" s="571"/>
      <c r="X543" s="571"/>
      <c r="Y543" s="571"/>
      <c r="Z543" s="571"/>
      <c r="AA543" s="571"/>
      <c r="AB543" s="571"/>
      <c r="AC543" s="571"/>
      <c r="AD543" s="571"/>
      <c r="AE543" s="571"/>
      <c r="AF543" s="571"/>
      <c r="AG543" s="690"/>
      <c r="AH543" s="691"/>
    </row>
    <row r="544">
      <c r="A544" s="568"/>
      <c r="B544" s="730"/>
      <c r="C544" s="730"/>
      <c r="D544" s="730"/>
      <c r="E544" s="730"/>
      <c r="F544" s="730"/>
      <c r="G544" s="730"/>
      <c r="H544" s="730"/>
      <c r="I544" s="730"/>
      <c r="J544" s="730"/>
      <c r="K544" s="730"/>
      <c r="L544" s="730"/>
      <c r="M544" s="730"/>
      <c r="N544" s="571"/>
      <c r="O544" s="571"/>
      <c r="P544" s="571"/>
      <c r="Q544" s="571"/>
      <c r="R544" s="571"/>
      <c r="S544" s="571"/>
      <c r="T544" s="571"/>
      <c r="U544" s="571"/>
      <c r="V544" s="571"/>
      <c r="W544" s="571"/>
      <c r="X544" s="571"/>
      <c r="Y544" s="571"/>
      <c r="Z544" s="571"/>
      <c r="AA544" s="571"/>
      <c r="AB544" s="571"/>
      <c r="AC544" s="571"/>
      <c r="AD544" s="571"/>
      <c r="AE544" s="571"/>
      <c r="AF544" s="571"/>
      <c r="AG544" s="690"/>
      <c r="AH544" s="691"/>
    </row>
    <row r="545">
      <c r="A545" s="568"/>
      <c r="B545" s="730"/>
      <c r="C545" s="730"/>
      <c r="D545" s="730"/>
      <c r="E545" s="730"/>
      <c r="F545" s="730"/>
      <c r="G545" s="730"/>
      <c r="H545" s="730"/>
      <c r="I545" s="730"/>
      <c r="J545" s="730"/>
      <c r="K545" s="730"/>
      <c r="L545" s="730"/>
      <c r="M545" s="730"/>
      <c r="N545" s="571"/>
      <c r="O545" s="571"/>
      <c r="P545" s="571"/>
      <c r="Q545" s="571"/>
      <c r="R545" s="571"/>
      <c r="S545" s="571"/>
      <c r="T545" s="571"/>
      <c r="U545" s="571"/>
      <c r="V545" s="571"/>
      <c r="W545" s="571"/>
      <c r="X545" s="571"/>
      <c r="Y545" s="571"/>
      <c r="Z545" s="571"/>
      <c r="AA545" s="571"/>
      <c r="AB545" s="571"/>
      <c r="AC545" s="571"/>
      <c r="AD545" s="571"/>
      <c r="AE545" s="571"/>
      <c r="AF545" s="571"/>
      <c r="AG545" s="690"/>
      <c r="AH545" s="691"/>
    </row>
    <row r="546">
      <c r="A546" s="568"/>
      <c r="B546" s="730"/>
      <c r="C546" s="730"/>
      <c r="D546" s="730"/>
      <c r="E546" s="730"/>
      <c r="F546" s="730"/>
      <c r="G546" s="730"/>
      <c r="H546" s="730"/>
      <c r="I546" s="730"/>
      <c r="J546" s="730"/>
      <c r="K546" s="730"/>
      <c r="L546" s="730"/>
      <c r="M546" s="730"/>
      <c r="N546" s="571"/>
      <c r="O546" s="571"/>
      <c r="P546" s="571"/>
      <c r="Q546" s="571"/>
      <c r="R546" s="571"/>
      <c r="S546" s="571"/>
      <c r="T546" s="571"/>
      <c r="U546" s="571"/>
      <c r="V546" s="571"/>
      <c r="W546" s="571"/>
      <c r="X546" s="571"/>
      <c r="Y546" s="571"/>
      <c r="Z546" s="571"/>
      <c r="AA546" s="571"/>
      <c r="AB546" s="571"/>
      <c r="AC546" s="571"/>
      <c r="AD546" s="571"/>
      <c r="AE546" s="571"/>
      <c r="AF546" s="571"/>
      <c r="AG546" s="690"/>
      <c r="AH546" s="691"/>
    </row>
    <row r="547">
      <c r="A547" s="568"/>
      <c r="B547" s="730"/>
      <c r="C547" s="730"/>
      <c r="D547" s="730"/>
      <c r="E547" s="730"/>
      <c r="F547" s="730"/>
      <c r="G547" s="730"/>
      <c r="H547" s="730"/>
      <c r="I547" s="730"/>
      <c r="J547" s="730"/>
      <c r="K547" s="730"/>
      <c r="L547" s="730"/>
      <c r="M547" s="730"/>
      <c r="N547" s="571"/>
      <c r="O547" s="571"/>
      <c r="P547" s="571"/>
      <c r="Q547" s="571"/>
      <c r="R547" s="571"/>
      <c r="S547" s="571"/>
      <c r="T547" s="571"/>
      <c r="U547" s="571"/>
      <c r="V547" s="571"/>
      <c r="W547" s="571"/>
      <c r="X547" s="571"/>
      <c r="Y547" s="571"/>
      <c r="Z547" s="571"/>
      <c r="AA547" s="571"/>
      <c r="AB547" s="571"/>
      <c r="AC547" s="571"/>
      <c r="AD547" s="571"/>
      <c r="AE547" s="571"/>
      <c r="AF547" s="571"/>
      <c r="AG547" s="690"/>
      <c r="AH547" s="691"/>
    </row>
    <row r="548">
      <c r="A548" s="568"/>
      <c r="B548" s="730"/>
      <c r="C548" s="730"/>
      <c r="D548" s="730"/>
      <c r="E548" s="730"/>
      <c r="F548" s="730"/>
      <c r="G548" s="730"/>
      <c r="H548" s="730"/>
      <c r="I548" s="730"/>
      <c r="J548" s="730"/>
      <c r="K548" s="730"/>
      <c r="L548" s="730"/>
      <c r="M548" s="730"/>
      <c r="N548" s="571"/>
      <c r="O548" s="571"/>
      <c r="P548" s="571"/>
      <c r="Q548" s="571"/>
      <c r="R548" s="571"/>
      <c r="S548" s="571"/>
      <c r="T548" s="571"/>
      <c r="U548" s="571"/>
      <c r="V548" s="571"/>
      <c r="W548" s="571"/>
      <c r="X548" s="571"/>
      <c r="Y548" s="571"/>
      <c r="Z548" s="571"/>
      <c r="AA548" s="571"/>
      <c r="AB548" s="571"/>
      <c r="AC548" s="571"/>
      <c r="AD548" s="571"/>
      <c r="AE548" s="571"/>
      <c r="AF548" s="571"/>
      <c r="AG548" s="690"/>
      <c r="AH548" s="691"/>
    </row>
    <row r="549">
      <c r="A549" s="568"/>
      <c r="B549" s="730"/>
      <c r="C549" s="730"/>
      <c r="D549" s="730"/>
      <c r="E549" s="730"/>
      <c r="F549" s="730"/>
      <c r="G549" s="730"/>
      <c r="H549" s="730"/>
      <c r="I549" s="730"/>
      <c r="J549" s="730"/>
      <c r="K549" s="730"/>
      <c r="L549" s="730"/>
      <c r="M549" s="730"/>
      <c r="N549" s="571"/>
      <c r="O549" s="571"/>
      <c r="P549" s="571"/>
      <c r="Q549" s="571"/>
      <c r="R549" s="571"/>
      <c r="S549" s="571"/>
      <c r="T549" s="571"/>
      <c r="U549" s="571"/>
      <c r="V549" s="571"/>
      <c r="W549" s="571"/>
      <c r="X549" s="571"/>
      <c r="Y549" s="571"/>
      <c r="Z549" s="571"/>
      <c r="AA549" s="571"/>
      <c r="AB549" s="571"/>
      <c r="AC549" s="571"/>
      <c r="AD549" s="571"/>
      <c r="AE549" s="571"/>
      <c r="AF549" s="571"/>
      <c r="AG549" s="690"/>
      <c r="AH549" s="691"/>
    </row>
    <row r="550">
      <c r="A550" s="568"/>
      <c r="B550" s="730"/>
      <c r="C550" s="730"/>
      <c r="D550" s="730"/>
      <c r="E550" s="730"/>
      <c r="F550" s="730"/>
      <c r="G550" s="730"/>
      <c r="H550" s="730"/>
      <c r="I550" s="730"/>
      <c r="J550" s="730"/>
      <c r="K550" s="730"/>
      <c r="L550" s="730"/>
      <c r="M550" s="730"/>
      <c r="N550" s="571"/>
      <c r="O550" s="571"/>
      <c r="P550" s="571"/>
      <c r="Q550" s="571"/>
      <c r="R550" s="571"/>
      <c r="S550" s="571"/>
      <c r="T550" s="571"/>
      <c r="U550" s="571"/>
      <c r="V550" s="571"/>
      <c r="W550" s="571"/>
      <c r="X550" s="571"/>
      <c r="Y550" s="571"/>
      <c r="Z550" s="571"/>
      <c r="AA550" s="571"/>
      <c r="AB550" s="571"/>
      <c r="AC550" s="571"/>
      <c r="AD550" s="571"/>
      <c r="AE550" s="571"/>
      <c r="AF550" s="571"/>
      <c r="AG550" s="690"/>
      <c r="AH550" s="691"/>
    </row>
    <row r="551">
      <c r="A551" s="568"/>
      <c r="B551" s="730"/>
      <c r="C551" s="730"/>
      <c r="D551" s="730"/>
      <c r="E551" s="730"/>
      <c r="F551" s="730"/>
      <c r="G551" s="730"/>
      <c r="H551" s="730"/>
      <c r="I551" s="730"/>
      <c r="J551" s="730"/>
      <c r="K551" s="730"/>
      <c r="L551" s="730"/>
      <c r="M551" s="730"/>
      <c r="N551" s="571"/>
      <c r="O551" s="571"/>
      <c r="P551" s="571"/>
      <c r="Q551" s="571"/>
      <c r="R551" s="571"/>
      <c r="S551" s="571"/>
      <c r="T551" s="571"/>
      <c r="U551" s="571"/>
      <c r="V551" s="571"/>
      <c r="W551" s="571"/>
      <c r="X551" s="571"/>
      <c r="Y551" s="571"/>
      <c r="Z551" s="571"/>
      <c r="AA551" s="571"/>
      <c r="AB551" s="571"/>
      <c r="AC551" s="571"/>
      <c r="AD551" s="571"/>
      <c r="AE551" s="571"/>
      <c r="AF551" s="571"/>
      <c r="AG551" s="690"/>
      <c r="AH551" s="691"/>
    </row>
    <row r="552">
      <c r="A552" s="568"/>
      <c r="B552" s="730"/>
      <c r="C552" s="730"/>
      <c r="D552" s="730"/>
      <c r="E552" s="730"/>
      <c r="F552" s="730"/>
      <c r="G552" s="730"/>
      <c r="H552" s="730"/>
      <c r="I552" s="730"/>
      <c r="J552" s="730"/>
      <c r="K552" s="730"/>
      <c r="L552" s="730"/>
      <c r="M552" s="730"/>
      <c r="N552" s="571"/>
      <c r="O552" s="571"/>
      <c r="P552" s="571"/>
      <c r="Q552" s="571"/>
      <c r="R552" s="571"/>
      <c r="S552" s="571"/>
      <c r="T552" s="571"/>
      <c r="U552" s="571"/>
      <c r="V552" s="571"/>
      <c r="W552" s="571"/>
      <c r="X552" s="571"/>
      <c r="Y552" s="571"/>
      <c r="Z552" s="571"/>
      <c r="AA552" s="571"/>
      <c r="AB552" s="571"/>
      <c r="AC552" s="571"/>
      <c r="AD552" s="571"/>
      <c r="AE552" s="571"/>
      <c r="AF552" s="571"/>
      <c r="AG552" s="690"/>
      <c r="AH552" s="691"/>
    </row>
    <row r="553">
      <c r="A553" s="568"/>
      <c r="B553" s="730"/>
      <c r="C553" s="730"/>
      <c r="D553" s="730"/>
      <c r="E553" s="730"/>
      <c r="F553" s="730"/>
      <c r="G553" s="730"/>
      <c r="H553" s="730"/>
      <c r="I553" s="730"/>
      <c r="J553" s="730"/>
      <c r="K553" s="730"/>
      <c r="L553" s="730"/>
      <c r="M553" s="730"/>
      <c r="N553" s="571"/>
      <c r="O553" s="571"/>
      <c r="P553" s="571"/>
      <c r="Q553" s="571"/>
      <c r="R553" s="571"/>
      <c r="S553" s="571"/>
      <c r="T553" s="571"/>
      <c r="U553" s="571"/>
      <c r="V553" s="571"/>
      <c r="W553" s="571"/>
      <c r="X553" s="571"/>
      <c r="Y553" s="571"/>
      <c r="Z553" s="571"/>
      <c r="AA553" s="571"/>
      <c r="AB553" s="571"/>
      <c r="AC553" s="571"/>
      <c r="AD553" s="571"/>
      <c r="AE553" s="571"/>
      <c r="AF553" s="571"/>
      <c r="AG553" s="690"/>
      <c r="AH553" s="691"/>
    </row>
    <row r="554">
      <c r="A554" s="568"/>
      <c r="B554" s="730"/>
      <c r="C554" s="730"/>
      <c r="D554" s="730"/>
      <c r="E554" s="730"/>
      <c r="F554" s="730"/>
      <c r="G554" s="730"/>
      <c r="H554" s="730"/>
      <c r="I554" s="730"/>
      <c r="J554" s="730"/>
      <c r="K554" s="730"/>
      <c r="L554" s="730"/>
      <c r="M554" s="730"/>
      <c r="N554" s="571"/>
      <c r="O554" s="571"/>
      <c r="P554" s="571"/>
      <c r="Q554" s="571"/>
      <c r="R554" s="571"/>
      <c r="S554" s="571"/>
      <c r="T554" s="571"/>
      <c r="U554" s="571"/>
      <c r="V554" s="571"/>
      <c r="W554" s="571"/>
      <c r="X554" s="571"/>
      <c r="Y554" s="571"/>
      <c r="Z554" s="571"/>
      <c r="AA554" s="571"/>
      <c r="AB554" s="571"/>
      <c r="AC554" s="571"/>
      <c r="AD554" s="571"/>
      <c r="AE554" s="571"/>
      <c r="AF554" s="571"/>
      <c r="AG554" s="690"/>
      <c r="AH554" s="691"/>
    </row>
    <row r="555">
      <c r="A555" s="568"/>
      <c r="B555" s="730"/>
      <c r="C555" s="730"/>
      <c r="D555" s="730"/>
      <c r="E555" s="730"/>
      <c r="F555" s="730"/>
      <c r="G555" s="730"/>
      <c r="H555" s="730"/>
      <c r="I555" s="730"/>
      <c r="J555" s="730"/>
      <c r="K555" s="730"/>
      <c r="L555" s="730"/>
      <c r="M555" s="730"/>
      <c r="N555" s="571"/>
      <c r="O555" s="571"/>
      <c r="P555" s="571"/>
      <c r="Q555" s="571"/>
      <c r="R555" s="571"/>
      <c r="S555" s="571"/>
      <c r="T555" s="571"/>
      <c r="U555" s="571"/>
      <c r="V555" s="571"/>
      <c r="W555" s="571"/>
      <c r="X555" s="571"/>
      <c r="Y555" s="571"/>
      <c r="Z555" s="571"/>
      <c r="AA555" s="571"/>
      <c r="AB555" s="571"/>
      <c r="AC555" s="571"/>
      <c r="AD555" s="571"/>
      <c r="AE555" s="571"/>
      <c r="AF555" s="571"/>
      <c r="AG555" s="690"/>
      <c r="AH555" s="691"/>
    </row>
    <row r="556">
      <c r="A556" s="568"/>
      <c r="B556" s="730"/>
      <c r="C556" s="730"/>
      <c r="D556" s="730"/>
      <c r="E556" s="730"/>
      <c r="F556" s="730"/>
      <c r="G556" s="730"/>
      <c r="H556" s="730"/>
      <c r="I556" s="730"/>
      <c r="J556" s="730"/>
      <c r="K556" s="730"/>
      <c r="L556" s="730"/>
      <c r="M556" s="730"/>
      <c r="N556" s="571"/>
      <c r="O556" s="571"/>
      <c r="P556" s="571"/>
      <c r="Q556" s="571"/>
      <c r="R556" s="571"/>
      <c r="S556" s="571"/>
      <c r="T556" s="571"/>
      <c r="U556" s="571"/>
      <c r="V556" s="571"/>
      <c r="W556" s="571"/>
      <c r="X556" s="571"/>
      <c r="Y556" s="571"/>
      <c r="Z556" s="571"/>
      <c r="AA556" s="571"/>
      <c r="AB556" s="571"/>
      <c r="AC556" s="571"/>
      <c r="AD556" s="571"/>
      <c r="AE556" s="571"/>
      <c r="AF556" s="571"/>
      <c r="AG556" s="690"/>
      <c r="AH556" s="691"/>
    </row>
    <row r="557">
      <c r="A557" s="568"/>
      <c r="B557" s="730"/>
      <c r="C557" s="730"/>
      <c r="D557" s="730"/>
      <c r="E557" s="730"/>
      <c r="F557" s="730"/>
      <c r="G557" s="730"/>
      <c r="H557" s="730"/>
      <c r="I557" s="730"/>
      <c r="J557" s="730"/>
      <c r="K557" s="730"/>
      <c r="L557" s="730"/>
      <c r="M557" s="730"/>
      <c r="N557" s="571"/>
      <c r="O557" s="571"/>
      <c r="P557" s="571"/>
      <c r="Q557" s="571"/>
      <c r="R557" s="571"/>
      <c r="S557" s="571"/>
      <c r="T557" s="571"/>
      <c r="U557" s="571"/>
      <c r="V557" s="571"/>
      <c r="W557" s="571"/>
      <c r="X557" s="571"/>
      <c r="Y557" s="571"/>
      <c r="Z557" s="571"/>
      <c r="AA557" s="571"/>
      <c r="AB557" s="571"/>
      <c r="AC557" s="571"/>
      <c r="AD557" s="571"/>
      <c r="AE557" s="571"/>
      <c r="AF557" s="571"/>
      <c r="AG557" s="690"/>
      <c r="AH557" s="691"/>
    </row>
    <row r="558">
      <c r="A558" s="568"/>
      <c r="B558" s="730"/>
      <c r="C558" s="730"/>
      <c r="D558" s="730"/>
      <c r="E558" s="730"/>
      <c r="F558" s="730"/>
      <c r="G558" s="730"/>
      <c r="H558" s="730"/>
      <c r="I558" s="730"/>
      <c r="J558" s="730"/>
      <c r="K558" s="730"/>
      <c r="L558" s="730"/>
      <c r="M558" s="730"/>
      <c r="N558" s="571"/>
      <c r="O558" s="571"/>
      <c r="P558" s="571"/>
      <c r="Q558" s="571"/>
      <c r="R558" s="571"/>
      <c r="S558" s="571"/>
      <c r="T558" s="571"/>
      <c r="U558" s="571"/>
      <c r="V558" s="571"/>
      <c r="W558" s="571"/>
      <c r="X558" s="571"/>
      <c r="Y558" s="571"/>
      <c r="Z558" s="571"/>
      <c r="AA558" s="571"/>
      <c r="AB558" s="571"/>
      <c r="AC558" s="571"/>
      <c r="AD558" s="571"/>
      <c r="AE558" s="571"/>
      <c r="AF558" s="571"/>
      <c r="AG558" s="690"/>
      <c r="AH558" s="691"/>
    </row>
    <row r="559">
      <c r="A559" s="568"/>
      <c r="B559" s="730"/>
      <c r="C559" s="730"/>
      <c r="D559" s="730"/>
      <c r="E559" s="730"/>
      <c r="F559" s="730"/>
      <c r="G559" s="730"/>
      <c r="H559" s="730"/>
      <c r="I559" s="730"/>
      <c r="J559" s="730"/>
      <c r="K559" s="730"/>
      <c r="L559" s="730"/>
      <c r="M559" s="730"/>
      <c r="N559" s="571"/>
      <c r="O559" s="571"/>
      <c r="P559" s="571"/>
      <c r="Q559" s="571"/>
      <c r="R559" s="571"/>
      <c r="S559" s="571"/>
      <c r="T559" s="571"/>
      <c r="U559" s="571"/>
      <c r="V559" s="571"/>
      <c r="W559" s="571"/>
      <c r="X559" s="571"/>
      <c r="Y559" s="571"/>
      <c r="Z559" s="571"/>
      <c r="AA559" s="571"/>
      <c r="AB559" s="571"/>
      <c r="AC559" s="571"/>
      <c r="AD559" s="571"/>
      <c r="AE559" s="571"/>
      <c r="AF559" s="571"/>
      <c r="AG559" s="690"/>
      <c r="AH559" s="691"/>
    </row>
    <row r="560">
      <c r="A560" s="568"/>
      <c r="B560" s="730"/>
      <c r="C560" s="730"/>
      <c r="D560" s="730"/>
      <c r="E560" s="730"/>
      <c r="F560" s="730"/>
      <c r="G560" s="730"/>
      <c r="H560" s="730"/>
      <c r="I560" s="730"/>
      <c r="J560" s="730"/>
      <c r="K560" s="730"/>
      <c r="L560" s="730"/>
      <c r="M560" s="730"/>
      <c r="N560" s="571"/>
      <c r="O560" s="571"/>
      <c r="P560" s="571"/>
      <c r="Q560" s="571"/>
      <c r="R560" s="571"/>
      <c r="S560" s="571"/>
      <c r="T560" s="571"/>
      <c r="U560" s="571"/>
      <c r="V560" s="571"/>
      <c r="W560" s="571"/>
      <c r="X560" s="571"/>
      <c r="Y560" s="571"/>
      <c r="Z560" s="571"/>
      <c r="AA560" s="571"/>
      <c r="AB560" s="571"/>
      <c r="AC560" s="571"/>
      <c r="AD560" s="571"/>
      <c r="AE560" s="571"/>
      <c r="AF560" s="571"/>
      <c r="AG560" s="690"/>
      <c r="AH560" s="691"/>
    </row>
    <row r="561">
      <c r="A561" s="568"/>
      <c r="B561" s="730"/>
      <c r="C561" s="730"/>
      <c r="D561" s="730"/>
      <c r="E561" s="730"/>
      <c r="F561" s="730"/>
      <c r="G561" s="730"/>
      <c r="H561" s="730"/>
      <c r="I561" s="730"/>
      <c r="J561" s="730"/>
      <c r="K561" s="730"/>
      <c r="L561" s="730"/>
      <c r="M561" s="730"/>
      <c r="N561" s="571"/>
      <c r="O561" s="571"/>
      <c r="P561" s="571"/>
      <c r="Q561" s="571"/>
      <c r="R561" s="571"/>
      <c r="S561" s="571"/>
      <c r="T561" s="571"/>
      <c r="U561" s="571"/>
      <c r="V561" s="571"/>
      <c r="W561" s="571"/>
      <c r="X561" s="571"/>
      <c r="Y561" s="571"/>
      <c r="Z561" s="571"/>
      <c r="AA561" s="571"/>
      <c r="AB561" s="571"/>
      <c r="AC561" s="571"/>
      <c r="AD561" s="571"/>
      <c r="AE561" s="571"/>
      <c r="AF561" s="571"/>
      <c r="AG561" s="690"/>
      <c r="AH561" s="691"/>
    </row>
    <row r="562">
      <c r="A562" s="568"/>
      <c r="B562" s="730"/>
      <c r="C562" s="730"/>
      <c r="D562" s="730"/>
      <c r="E562" s="730"/>
      <c r="F562" s="730"/>
      <c r="G562" s="730"/>
      <c r="H562" s="730"/>
      <c r="I562" s="730"/>
      <c r="J562" s="730"/>
      <c r="K562" s="730"/>
      <c r="L562" s="730"/>
      <c r="M562" s="730"/>
      <c r="N562" s="571"/>
      <c r="O562" s="571"/>
      <c r="P562" s="571"/>
      <c r="Q562" s="571"/>
      <c r="R562" s="571"/>
      <c r="S562" s="571"/>
      <c r="T562" s="571"/>
      <c r="U562" s="571"/>
      <c r="V562" s="571"/>
      <c r="W562" s="571"/>
      <c r="X562" s="571"/>
      <c r="Y562" s="571"/>
      <c r="Z562" s="571"/>
      <c r="AA562" s="571"/>
      <c r="AB562" s="571"/>
      <c r="AC562" s="571"/>
      <c r="AD562" s="571"/>
      <c r="AE562" s="571"/>
      <c r="AF562" s="571"/>
      <c r="AG562" s="690"/>
      <c r="AH562" s="691"/>
    </row>
    <row r="563">
      <c r="A563" s="568"/>
      <c r="B563" s="730"/>
      <c r="C563" s="730"/>
      <c r="D563" s="730"/>
      <c r="E563" s="730"/>
      <c r="F563" s="730"/>
      <c r="G563" s="730"/>
      <c r="H563" s="730"/>
      <c r="I563" s="730"/>
      <c r="J563" s="730"/>
      <c r="K563" s="730"/>
      <c r="L563" s="730"/>
      <c r="M563" s="730"/>
      <c r="N563" s="571"/>
      <c r="O563" s="571"/>
      <c r="P563" s="571"/>
      <c r="Q563" s="571"/>
      <c r="R563" s="571"/>
      <c r="S563" s="571"/>
      <c r="T563" s="571"/>
      <c r="U563" s="571"/>
      <c r="V563" s="571"/>
      <c r="W563" s="571"/>
      <c r="X563" s="571"/>
      <c r="Y563" s="571"/>
      <c r="Z563" s="571"/>
      <c r="AA563" s="571"/>
      <c r="AB563" s="571"/>
      <c r="AC563" s="571"/>
      <c r="AD563" s="571"/>
      <c r="AE563" s="571"/>
      <c r="AF563" s="571"/>
      <c r="AG563" s="690"/>
      <c r="AH563" s="691"/>
    </row>
    <row r="564">
      <c r="A564" s="568"/>
      <c r="B564" s="730"/>
      <c r="C564" s="730"/>
      <c r="D564" s="730"/>
      <c r="E564" s="730"/>
      <c r="F564" s="730"/>
      <c r="G564" s="730"/>
      <c r="H564" s="730"/>
      <c r="I564" s="730"/>
      <c r="J564" s="730"/>
      <c r="K564" s="730"/>
      <c r="L564" s="730"/>
      <c r="M564" s="730"/>
      <c r="N564" s="571"/>
      <c r="O564" s="571"/>
      <c r="P564" s="571"/>
      <c r="Q564" s="571"/>
      <c r="R564" s="571"/>
      <c r="S564" s="571"/>
      <c r="T564" s="571"/>
      <c r="U564" s="571"/>
      <c r="V564" s="571"/>
      <c r="W564" s="571"/>
      <c r="X564" s="571"/>
      <c r="Y564" s="571"/>
      <c r="Z564" s="571"/>
      <c r="AA564" s="571"/>
      <c r="AB564" s="571"/>
      <c r="AC564" s="571"/>
      <c r="AD564" s="571"/>
      <c r="AE564" s="571"/>
      <c r="AF564" s="571"/>
      <c r="AG564" s="690"/>
      <c r="AH564" s="691"/>
    </row>
    <row r="565">
      <c r="A565" s="568"/>
      <c r="B565" s="730"/>
      <c r="C565" s="730"/>
      <c r="D565" s="730"/>
      <c r="E565" s="730"/>
      <c r="F565" s="730"/>
      <c r="G565" s="730"/>
      <c r="H565" s="730"/>
      <c r="I565" s="730"/>
      <c r="J565" s="730"/>
      <c r="K565" s="730"/>
      <c r="L565" s="730"/>
      <c r="M565" s="730"/>
      <c r="N565" s="571"/>
      <c r="O565" s="571"/>
      <c r="P565" s="571"/>
      <c r="Q565" s="571"/>
      <c r="R565" s="571"/>
      <c r="S565" s="571"/>
      <c r="T565" s="571"/>
      <c r="U565" s="571"/>
      <c r="V565" s="571"/>
      <c r="W565" s="571"/>
      <c r="X565" s="571"/>
      <c r="Y565" s="571"/>
      <c r="Z565" s="571"/>
      <c r="AA565" s="571"/>
      <c r="AB565" s="571"/>
      <c r="AC565" s="571"/>
      <c r="AD565" s="571"/>
      <c r="AE565" s="571"/>
      <c r="AF565" s="571"/>
      <c r="AG565" s="690"/>
      <c r="AH565" s="691"/>
    </row>
    <row r="566">
      <c r="A566" s="568"/>
      <c r="B566" s="730"/>
      <c r="C566" s="730"/>
      <c r="D566" s="730"/>
      <c r="E566" s="730"/>
      <c r="F566" s="730"/>
      <c r="G566" s="730"/>
      <c r="H566" s="730"/>
      <c r="I566" s="730"/>
      <c r="J566" s="730"/>
      <c r="K566" s="730"/>
      <c r="L566" s="730"/>
      <c r="M566" s="730"/>
      <c r="N566" s="571"/>
      <c r="O566" s="571"/>
      <c r="P566" s="571"/>
      <c r="Q566" s="571"/>
      <c r="R566" s="571"/>
      <c r="S566" s="571"/>
      <c r="T566" s="571"/>
      <c r="U566" s="571"/>
      <c r="V566" s="571"/>
      <c r="W566" s="571"/>
      <c r="X566" s="571"/>
      <c r="Y566" s="571"/>
      <c r="Z566" s="571"/>
      <c r="AA566" s="571"/>
      <c r="AB566" s="571"/>
      <c r="AC566" s="571"/>
      <c r="AD566" s="571"/>
      <c r="AE566" s="571"/>
      <c r="AF566" s="571"/>
      <c r="AG566" s="690"/>
      <c r="AH566" s="691"/>
    </row>
    <row r="567">
      <c r="A567" s="568"/>
      <c r="B567" s="730"/>
      <c r="C567" s="730"/>
      <c r="D567" s="730"/>
      <c r="E567" s="730"/>
      <c r="F567" s="730"/>
      <c r="G567" s="730"/>
      <c r="H567" s="730"/>
      <c r="I567" s="730"/>
      <c r="J567" s="730"/>
      <c r="K567" s="730"/>
      <c r="L567" s="730"/>
      <c r="M567" s="730"/>
      <c r="N567" s="571"/>
      <c r="O567" s="571"/>
      <c r="P567" s="571"/>
      <c r="Q567" s="571"/>
      <c r="R567" s="571"/>
      <c r="S567" s="571"/>
      <c r="T567" s="571"/>
      <c r="U567" s="571"/>
      <c r="V567" s="571"/>
      <c r="W567" s="571"/>
      <c r="X567" s="571"/>
      <c r="Y567" s="571"/>
      <c r="Z567" s="571"/>
      <c r="AA567" s="571"/>
      <c r="AB567" s="571"/>
      <c r="AC567" s="571"/>
      <c r="AD567" s="571"/>
      <c r="AE567" s="571"/>
      <c r="AF567" s="571"/>
      <c r="AG567" s="690"/>
      <c r="AH567" s="691"/>
    </row>
    <row r="568">
      <c r="A568" s="568"/>
      <c r="B568" s="730"/>
      <c r="C568" s="730"/>
      <c r="D568" s="730"/>
      <c r="E568" s="730"/>
      <c r="F568" s="730"/>
      <c r="G568" s="730"/>
      <c r="H568" s="730"/>
      <c r="I568" s="730"/>
      <c r="J568" s="730"/>
      <c r="K568" s="730"/>
      <c r="L568" s="730"/>
      <c r="M568" s="730"/>
      <c r="N568" s="571"/>
      <c r="O568" s="571"/>
      <c r="P568" s="571"/>
      <c r="Q568" s="571"/>
      <c r="R568" s="571"/>
      <c r="S568" s="571"/>
      <c r="T568" s="571"/>
      <c r="U568" s="571"/>
      <c r="V568" s="571"/>
      <c r="W568" s="571"/>
      <c r="X568" s="571"/>
      <c r="Y568" s="571"/>
      <c r="Z568" s="571"/>
      <c r="AA568" s="571"/>
      <c r="AB568" s="571"/>
      <c r="AC568" s="571"/>
      <c r="AD568" s="571"/>
      <c r="AE568" s="571"/>
      <c r="AF568" s="571"/>
      <c r="AG568" s="690"/>
      <c r="AH568" s="691"/>
    </row>
    <row r="569">
      <c r="A569" s="568"/>
      <c r="B569" s="730"/>
      <c r="C569" s="730"/>
      <c r="D569" s="730"/>
      <c r="E569" s="730"/>
      <c r="F569" s="730"/>
      <c r="G569" s="730"/>
      <c r="H569" s="730"/>
      <c r="I569" s="730"/>
      <c r="J569" s="730"/>
      <c r="K569" s="730"/>
      <c r="L569" s="730"/>
      <c r="M569" s="730"/>
      <c r="N569" s="571"/>
      <c r="O569" s="571"/>
      <c r="P569" s="571"/>
      <c r="Q569" s="571"/>
      <c r="R569" s="571"/>
      <c r="S569" s="571"/>
      <c r="T569" s="571"/>
      <c r="U569" s="571"/>
      <c r="V569" s="571"/>
      <c r="W569" s="571"/>
      <c r="X569" s="571"/>
      <c r="Y569" s="571"/>
      <c r="Z569" s="571"/>
      <c r="AA569" s="571"/>
      <c r="AB569" s="571"/>
      <c r="AC569" s="571"/>
      <c r="AD569" s="571"/>
      <c r="AE569" s="571"/>
      <c r="AF569" s="571"/>
      <c r="AG569" s="690"/>
      <c r="AH569" s="691"/>
    </row>
    <row r="570">
      <c r="A570" s="568"/>
      <c r="B570" s="730"/>
      <c r="C570" s="730"/>
      <c r="D570" s="730"/>
      <c r="E570" s="730"/>
      <c r="F570" s="730"/>
      <c r="G570" s="730"/>
      <c r="H570" s="730"/>
      <c r="I570" s="730"/>
      <c r="J570" s="730"/>
      <c r="K570" s="730"/>
      <c r="L570" s="730"/>
      <c r="M570" s="730"/>
      <c r="N570" s="571"/>
      <c r="O570" s="571"/>
      <c r="P570" s="571"/>
      <c r="Q570" s="571"/>
      <c r="R570" s="571"/>
      <c r="S570" s="571"/>
      <c r="T570" s="571"/>
      <c r="U570" s="571"/>
      <c r="V570" s="571"/>
      <c r="W570" s="571"/>
      <c r="X570" s="571"/>
      <c r="Y570" s="571"/>
      <c r="Z570" s="571"/>
      <c r="AA570" s="571"/>
      <c r="AB570" s="571"/>
      <c r="AC570" s="571"/>
      <c r="AD570" s="571"/>
      <c r="AE570" s="571"/>
      <c r="AF570" s="571"/>
      <c r="AG570" s="690"/>
      <c r="AH570" s="691"/>
    </row>
    <row r="571">
      <c r="A571" s="568"/>
      <c r="B571" s="730"/>
      <c r="C571" s="730"/>
      <c r="D571" s="730"/>
      <c r="E571" s="730"/>
      <c r="F571" s="730"/>
      <c r="G571" s="730"/>
      <c r="H571" s="730"/>
      <c r="I571" s="730"/>
      <c r="J571" s="730"/>
      <c r="K571" s="730"/>
      <c r="L571" s="730"/>
      <c r="M571" s="730"/>
      <c r="N571" s="571"/>
      <c r="O571" s="571"/>
      <c r="P571" s="571"/>
      <c r="Q571" s="571"/>
      <c r="R571" s="571"/>
      <c r="S571" s="571"/>
      <c r="T571" s="571"/>
      <c r="U571" s="571"/>
      <c r="V571" s="571"/>
      <c r="W571" s="571"/>
      <c r="X571" s="571"/>
      <c r="Y571" s="571"/>
      <c r="Z571" s="571"/>
      <c r="AA571" s="571"/>
      <c r="AB571" s="571"/>
      <c r="AC571" s="571"/>
      <c r="AD571" s="571"/>
      <c r="AE571" s="571"/>
      <c r="AF571" s="571"/>
      <c r="AG571" s="690"/>
      <c r="AH571" s="691"/>
    </row>
    <row r="572">
      <c r="A572" s="568"/>
      <c r="B572" s="730"/>
      <c r="C572" s="730"/>
      <c r="D572" s="730"/>
      <c r="E572" s="730"/>
      <c r="F572" s="730"/>
      <c r="G572" s="730"/>
      <c r="H572" s="730"/>
      <c r="I572" s="730"/>
      <c r="J572" s="730"/>
      <c r="K572" s="730"/>
      <c r="L572" s="730"/>
      <c r="M572" s="730"/>
      <c r="N572" s="571"/>
      <c r="O572" s="571"/>
      <c r="P572" s="571"/>
      <c r="Q572" s="571"/>
      <c r="R572" s="571"/>
      <c r="S572" s="571"/>
      <c r="T572" s="571"/>
      <c r="U572" s="571"/>
      <c r="V572" s="571"/>
      <c r="W572" s="571"/>
      <c r="X572" s="571"/>
      <c r="Y572" s="571"/>
      <c r="Z572" s="571"/>
      <c r="AA572" s="571"/>
      <c r="AB572" s="571"/>
      <c r="AC572" s="571"/>
      <c r="AD572" s="571"/>
      <c r="AE572" s="571"/>
      <c r="AF572" s="571"/>
      <c r="AG572" s="690"/>
      <c r="AH572" s="691"/>
    </row>
    <row r="573">
      <c r="A573" s="568"/>
      <c r="B573" s="730"/>
      <c r="C573" s="730"/>
      <c r="D573" s="730"/>
      <c r="E573" s="730"/>
      <c r="F573" s="730"/>
      <c r="G573" s="730"/>
      <c r="H573" s="730"/>
      <c r="I573" s="730"/>
      <c r="J573" s="730"/>
      <c r="K573" s="730"/>
      <c r="L573" s="730"/>
      <c r="M573" s="730"/>
      <c r="N573" s="571"/>
      <c r="O573" s="571"/>
      <c r="P573" s="571"/>
      <c r="Q573" s="571"/>
      <c r="R573" s="571"/>
      <c r="S573" s="571"/>
      <c r="T573" s="571"/>
      <c r="U573" s="571"/>
      <c r="V573" s="571"/>
      <c r="W573" s="571"/>
      <c r="X573" s="571"/>
      <c r="Y573" s="571"/>
      <c r="Z573" s="571"/>
      <c r="AA573" s="571"/>
      <c r="AB573" s="571"/>
      <c r="AC573" s="571"/>
      <c r="AD573" s="571"/>
      <c r="AE573" s="571"/>
      <c r="AF573" s="571"/>
      <c r="AG573" s="690"/>
      <c r="AH573" s="691"/>
    </row>
    <row r="574">
      <c r="A574" s="568"/>
      <c r="B574" s="730"/>
      <c r="C574" s="730"/>
      <c r="D574" s="730"/>
      <c r="E574" s="730"/>
      <c r="F574" s="730"/>
      <c r="G574" s="730"/>
      <c r="H574" s="730"/>
      <c r="I574" s="730"/>
      <c r="J574" s="730"/>
      <c r="K574" s="730"/>
      <c r="L574" s="730"/>
      <c r="M574" s="730"/>
      <c r="N574" s="571"/>
      <c r="O574" s="571"/>
      <c r="P574" s="571"/>
      <c r="Q574" s="571"/>
      <c r="R574" s="571"/>
      <c r="S574" s="571"/>
      <c r="T574" s="571"/>
      <c r="U574" s="571"/>
      <c r="V574" s="571"/>
      <c r="W574" s="571"/>
      <c r="X574" s="571"/>
      <c r="Y574" s="571"/>
      <c r="Z574" s="571"/>
      <c r="AA574" s="571"/>
      <c r="AB574" s="571"/>
      <c r="AC574" s="571"/>
      <c r="AD574" s="571"/>
      <c r="AE574" s="571"/>
      <c r="AF574" s="571"/>
      <c r="AG574" s="690"/>
      <c r="AH574" s="691"/>
    </row>
    <row r="575">
      <c r="A575" s="568"/>
      <c r="B575" s="730"/>
      <c r="C575" s="730"/>
      <c r="D575" s="730"/>
      <c r="E575" s="730"/>
      <c r="F575" s="730"/>
      <c r="G575" s="730"/>
      <c r="H575" s="730"/>
      <c r="I575" s="730"/>
      <c r="J575" s="730"/>
      <c r="K575" s="730"/>
      <c r="L575" s="730"/>
      <c r="M575" s="730"/>
      <c r="N575" s="571"/>
      <c r="O575" s="571"/>
      <c r="P575" s="571"/>
      <c r="Q575" s="571"/>
      <c r="R575" s="571"/>
      <c r="S575" s="571"/>
      <c r="T575" s="571"/>
      <c r="U575" s="571"/>
      <c r="V575" s="571"/>
      <c r="W575" s="571"/>
      <c r="X575" s="571"/>
      <c r="Y575" s="571"/>
      <c r="Z575" s="571"/>
      <c r="AA575" s="571"/>
      <c r="AB575" s="571"/>
      <c r="AC575" s="571"/>
      <c r="AD575" s="571"/>
      <c r="AE575" s="571"/>
      <c r="AF575" s="571"/>
      <c r="AG575" s="690"/>
      <c r="AH575" s="691"/>
    </row>
    <row r="576">
      <c r="A576" s="568"/>
      <c r="B576" s="730"/>
      <c r="C576" s="730"/>
      <c r="D576" s="730"/>
      <c r="E576" s="730"/>
      <c r="F576" s="730"/>
      <c r="G576" s="730"/>
      <c r="H576" s="730"/>
      <c r="I576" s="730"/>
      <c r="J576" s="730"/>
      <c r="K576" s="730"/>
      <c r="L576" s="730"/>
      <c r="M576" s="730"/>
      <c r="N576" s="571"/>
      <c r="O576" s="571"/>
      <c r="P576" s="571"/>
      <c r="Q576" s="571"/>
      <c r="R576" s="571"/>
      <c r="S576" s="571"/>
      <c r="T576" s="571"/>
      <c r="U576" s="571"/>
      <c r="V576" s="571"/>
      <c r="W576" s="571"/>
      <c r="X576" s="571"/>
      <c r="Y576" s="571"/>
      <c r="Z576" s="571"/>
      <c r="AA576" s="571"/>
      <c r="AB576" s="571"/>
      <c r="AC576" s="571"/>
      <c r="AD576" s="571"/>
      <c r="AE576" s="571"/>
      <c r="AF576" s="571"/>
      <c r="AG576" s="690"/>
      <c r="AH576" s="691"/>
    </row>
    <row r="577">
      <c r="A577" s="568"/>
      <c r="B577" s="730"/>
      <c r="C577" s="730"/>
      <c r="D577" s="730"/>
      <c r="E577" s="730"/>
      <c r="F577" s="730"/>
      <c r="G577" s="730"/>
      <c r="H577" s="730"/>
      <c r="I577" s="730"/>
      <c r="J577" s="730"/>
      <c r="K577" s="730"/>
      <c r="L577" s="730"/>
      <c r="M577" s="730"/>
      <c r="N577" s="571"/>
      <c r="O577" s="571"/>
      <c r="P577" s="571"/>
      <c r="Q577" s="571"/>
      <c r="R577" s="571"/>
      <c r="S577" s="571"/>
      <c r="T577" s="571"/>
      <c r="U577" s="571"/>
      <c r="V577" s="571"/>
      <c r="W577" s="571"/>
      <c r="X577" s="571"/>
      <c r="Y577" s="571"/>
      <c r="Z577" s="571"/>
      <c r="AA577" s="571"/>
      <c r="AB577" s="571"/>
      <c r="AC577" s="571"/>
      <c r="AD577" s="571"/>
      <c r="AE577" s="571"/>
      <c r="AF577" s="571"/>
      <c r="AG577" s="690"/>
      <c r="AH577" s="691"/>
    </row>
    <row r="578">
      <c r="A578" s="568"/>
      <c r="B578" s="730"/>
      <c r="C578" s="730"/>
      <c r="D578" s="730"/>
      <c r="E578" s="730"/>
      <c r="F578" s="730"/>
      <c r="G578" s="730"/>
      <c r="H578" s="730"/>
      <c r="I578" s="730"/>
      <c r="J578" s="730"/>
      <c r="K578" s="730"/>
      <c r="L578" s="730"/>
      <c r="M578" s="730"/>
      <c r="N578" s="571"/>
      <c r="O578" s="571"/>
      <c r="P578" s="571"/>
      <c r="Q578" s="571"/>
      <c r="R578" s="571"/>
      <c r="S578" s="571"/>
      <c r="T578" s="571"/>
      <c r="U578" s="571"/>
      <c r="V578" s="571"/>
      <c r="W578" s="571"/>
      <c r="X578" s="571"/>
      <c r="Y578" s="571"/>
      <c r="Z578" s="571"/>
      <c r="AA578" s="571"/>
      <c r="AB578" s="571"/>
      <c r="AC578" s="571"/>
      <c r="AD578" s="571"/>
      <c r="AE578" s="571"/>
      <c r="AF578" s="571"/>
      <c r="AG578" s="690"/>
      <c r="AH578" s="691"/>
    </row>
    <row r="579">
      <c r="A579" s="568"/>
      <c r="B579" s="730"/>
      <c r="C579" s="730"/>
      <c r="D579" s="730"/>
      <c r="E579" s="730"/>
      <c r="F579" s="730"/>
      <c r="G579" s="730"/>
      <c r="H579" s="730"/>
      <c r="I579" s="730"/>
      <c r="J579" s="730"/>
      <c r="K579" s="730"/>
      <c r="L579" s="730"/>
      <c r="M579" s="730"/>
      <c r="N579" s="571"/>
      <c r="O579" s="571"/>
      <c r="P579" s="571"/>
      <c r="Q579" s="571"/>
      <c r="R579" s="571"/>
      <c r="S579" s="571"/>
      <c r="T579" s="571"/>
      <c r="U579" s="571"/>
      <c r="V579" s="571"/>
      <c r="W579" s="571"/>
      <c r="X579" s="571"/>
      <c r="Y579" s="571"/>
      <c r="Z579" s="571"/>
      <c r="AA579" s="571"/>
      <c r="AB579" s="571"/>
      <c r="AC579" s="571"/>
      <c r="AD579" s="571"/>
      <c r="AE579" s="571"/>
      <c r="AF579" s="571"/>
      <c r="AG579" s="690"/>
      <c r="AH579" s="691"/>
    </row>
    <row r="580">
      <c r="A580" s="568"/>
      <c r="B580" s="730"/>
      <c r="C580" s="730"/>
      <c r="D580" s="730"/>
      <c r="E580" s="730"/>
      <c r="F580" s="730"/>
      <c r="G580" s="730"/>
      <c r="H580" s="730"/>
      <c r="I580" s="730"/>
      <c r="J580" s="730"/>
      <c r="K580" s="730"/>
      <c r="L580" s="730"/>
      <c r="M580" s="730"/>
      <c r="N580" s="571"/>
      <c r="O580" s="571"/>
      <c r="P580" s="571"/>
      <c r="Q580" s="571"/>
      <c r="R580" s="571"/>
      <c r="S580" s="571"/>
      <c r="T580" s="571"/>
      <c r="U580" s="571"/>
      <c r="V580" s="571"/>
      <c r="W580" s="571"/>
      <c r="X580" s="571"/>
      <c r="Y580" s="571"/>
      <c r="Z580" s="571"/>
      <c r="AA580" s="571"/>
      <c r="AB580" s="571"/>
      <c r="AC580" s="571"/>
      <c r="AD580" s="571"/>
      <c r="AE580" s="571"/>
      <c r="AF580" s="571"/>
      <c r="AG580" s="690"/>
      <c r="AH580" s="691"/>
    </row>
    <row r="581">
      <c r="A581" s="568"/>
      <c r="B581" s="730"/>
      <c r="C581" s="730"/>
      <c r="D581" s="730"/>
      <c r="E581" s="730"/>
      <c r="F581" s="730"/>
      <c r="G581" s="730"/>
      <c r="H581" s="730"/>
      <c r="I581" s="730"/>
      <c r="J581" s="730"/>
      <c r="K581" s="730"/>
      <c r="L581" s="730"/>
      <c r="M581" s="730"/>
      <c r="N581" s="571"/>
      <c r="O581" s="571"/>
      <c r="P581" s="571"/>
      <c r="Q581" s="571"/>
      <c r="R581" s="571"/>
      <c r="S581" s="571"/>
      <c r="T581" s="571"/>
      <c r="U581" s="571"/>
      <c r="V581" s="571"/>
      <c r="W581" s="571"/>
      <c r="X581" s="571"/>
      <c r="Y581" s="571"/>
      <c r="Z581" s="571"/>
      <c r="AA581" s="571"/>
      <c r="AB581" s="571"/>
      <c r="AC581" s="571"/>
      <c r="AD581" s="571"/>
      <c r="AE581" s="571"/>
      <c r="AF581" s="571"/>
      <c r="AG581" s="690"/>
      <c r="AH581" s="691"/>
    </row>
    <row r="582">
      <c r="A582" s="568"/>
      <c r="B582" s="730"/>
      <c r="C582" s="730"/>
      <c r="D582" s="730"/>
      <c r="E582" s="730"/>
      <c r="F582" s="730"/>
      <c r="G582" s="730"/>
      <c r="H582" s="730"/>
      <c r="I582" s="730"/>
      <c r="J582" s="730"/>
      <c r="K582" s="730"/>
      <c r="L582" s="730"/>
      <c r="M582" s="730"/>
      <c r="N582" s="571"/>
      <c r="O582" s="571"/>
      <c r="P582" s="571"/>
      <c r="Q582" s="571"/>
      <c r="R582" s="571"/>
      <c r="S582" s="571"/>
      <c r="T582" s="571"/>
      <c r="U582" s="571"/>
      <c r="V582" s="571"/>
      <c r="W582" s="571"/>
      <c r="X582" s="571"/>
      <c r="Y582" s="571"/>
      <c r="Z582" s="571"/>
      <c r="AA582" s="571"/>
      <c r="AB582" s="571"/>
      <c r="AC582" s="571"/>
      <c r="AD582" s="571"/>
      <c r="AE582" s="571"/>
      <c r="AF582" s="571"/>
      <c r="AG582" s="690"/>
      <c r="AH582" s="691"/>
    </row>
    <row r="583">
      <c r="A583" s="568"/>
      <c r="B583" s="730"/>
      <c r="C583" s="730"/>
      <c r="D583" s="730"/>
      <c r="E583" s="730"/>
      <c r="F583" s="730"/>
      <c r="G583" s="730"/>
      <c r="H583" s="730"/>
      <c r="I583" s="730"/>
      <c r="J583" s="730"/>
      <c r="K583" s="730"/>
      <c r="L583" s="730"/>
      <c r="M583" s="730"/>
      <c r="N583" s="571"/>
      <c r="O583" s="571"/>
      <c r="P583" s="571"/>
      <c r="Q583" s="571"/>
      <c r="R583" s="571"/>
      <c r="S583" s="571"/>
      <c r="T583" s="571"/>
      <c r="U583" s="571"/>
      <c r="V583" s="571"/>
      <c r="W583" s="571"/>
      <c r="X583" s="571"/>
      <c r="Y583" s="571"/>
      <c r="Z583" s="571"/>
      <c r="AA583" s="571"/>
      <c r="AB583" s="571"/>
      <c r="AC583" s="571"/>
      <c r="AD583" s="571"/>
      <c r="AE583" s="571"/>
      <c r="AF583" s="571"/>
      <c r="AG583" s="690"/>
      <c r="AH583" s="691"/>
    </row>
    <row r="584">
      <c r="A584" s="568"/>
      <c r="B584" s="730"/>
      <c r="C584" s="730"/>
      <c r="D584" s="730"/>
      <c r="E584" s="730"/>
      <c r="F584" s="730"/>
      <c r="G584" s="730"/>
      <c r="H584" s="730"/>
      <c r="I584" s="730"/>
      <c r="J584" s="730"/>
      <c r="K584" s="730"/>
      <c r="L584" s="730"/>
      <c r="M584" s="730"/>
      <c r="N584" s="571"/>
      <c r="O584" s="571"/>
      <c r="P584" s="571"/>
      <c r="Q584" s="571"/>
      <c r="R584" s="571"/>
      <c r="S584" s="571"/>
      <c r="T584" s="571"/>
      <c r="U584" s="571"/>
      <c r="V584" s="571"/>
      <c r="W584" s="571"/>
      <c r="X584" s="571"/>
      <c r="Y584" s="571"/>
      <c r="Z584" s="571"/>
      <c r="AA584" s="571"/>
      <c r="AB584" s="571"/>
      <c r="AC584" s="571"/>
      <c r="AD584" s="571"/>
      <c r="AE584" s="571"/>
      <c r="AF584" s="571"/>
      <c r="AG584" s="690"/>
      <c r="AH584" s="691"/>
    </row>
    <row r="585">
      <c r="A585" s="568"/>
      <c r="B585" s="730"/>
      <c r="C585" s="730"/>
      <c r="D585" s="730"/>
      <c r="E585" s="730"/>
      <c r="F585" s="730"/>
      <c r="G585" s="730"/>
      <c r="H585" s="730"/>
      <c r="I585" s="730"/>
      <c r="J585" s="730"/>
      <c r="K585" s="730"/>
      <c r="L585" s="730"/>
      <c r="M585" s="730"/>
      <c r="N585" s="571"/>
      <c r="O585" s="571"/>
      <c r="P585" s="571"/>
      <c r="Q585" s="571"/>
      <c r="R585" s="571"/>
      <c r="S585" s="571"/>
      <c r="T585" s="571"/>
      <c r="U585" s="571"/>
      <c r="V585" s="571"/>
      <c r="W585" s="571"/>
      <c r="X585" s="571"/>
      <c r="Y585" s="571"/>
      <c r="Z585" s="571"/>
      <c r="AA585" s="571"/>
      <c r="AB585" s="571"/>
      <c r="AC585" s="571"/>
      <c r="AD585" s="571"/>
      <c r="AE585" s="571"/>
      <c r="AF585" s="571"/>
      <c r="AG585" s="690"/>
      <c r="AH585" s="691"/>
    </row>
    <row r="586">
      <c r="A586" s="568"/>
      <c r="B586" s="730"/>
      <c r="C586" s="730"/>
      <c r="D586" s="730"/>
      <c r="E586" s="730"/>
      <c r="F586" s="730"/>
      <c r="G586" s="730"/>
      <c r="H586" s="730"/>
      <c r="I586" s="730"/>
      <c r="J586" s="730"/>
      <c r="K586" s="730"/>
      <c r="L586" s="730"/>
      <c r="M586" s="730"/>
      <c r="N586" s="571"/>
      <c r="O586" s="571"/>
      <c r="P586" s="571"/>
      <c r="Q586" s="571"/>
      <c r="R586" s="571"/>
      <c r="S586" s="571"/>
      <c r="T586" s="571"/>
      <c r="U586" s="571"/>
      <c r="V586" s="571"/>
      <c r="W586" s="571"/>
      <c r="X586" s="571"/>
      <c r="Y586" s="571"/>
      <c r="Z586" s="571"/>
      <c r="AA586" s="571"/>
      <c r="AB586" s="571"/>
      <c r="AC586" s="571"/>
      <c r="AD586" s="571"/>
      <c r="AE586" s="571"/>
      <c r="AF586" s="571"/>
      <c r="AG586" s="690"/>
      <c r="AH586" s="691"/>
    </row>
    <row r="587">
      <c r="A587" s="568"/>
      <c r="B587" s="730"/>
      <c r="C587" s="730"/>
      <c r="D587" s="730"/>
      <c r="E587" s="730"/>
      <c r="F587" s="730"/>
      <c r="G587" s="730"/>
      <c r="H587" s="730"/>
      <c r="I587" s="730"/>
      <c r="J587" s="730"/>
      <c r="K587" s="730"/>
      <c r="L587" s="730"/>
      <c r="M587" s="730"/>
      <c r="N587" s="571"/>
      <c r="O587" s="571"/>
      <c r="P587" s="571"/>
      <c r="Q587" s="571"/>
      <c r="R587" s="571"/>
      <c r="S587" s="571"/>
      <c r="T587" s="571"/>
      <c r="U587" s="571"/>
      <c r="V587" s="571"/>
      <c r="W587" s="571"/>
      <c r="X587" s="571"/>
      <c r="Y587" s="571"/>
      <c r="Z587" s="571"/>
      <c r="AA587" s="571"/>
      <c r="AB587" s="571"/>
      <c r="AC587" s="571"/>
      <c r="AD587" s="571"/>
      <c r="AE587" s="571"/>
      <c r="AF587" s="571"/>
      <c r="AG587" s="690"/>
      <c r="AH587" s="691"/>
    </row>
    <row r="588">
      <c r="A588" s="568"/>
      <c r="B588" s="730"/>
      <c r="C588" s="730"/>
      <c r="D588" s="730"/>
      <c r="E588" s="730"/>
      <c r="F588" s="730"/>
      <c r="G588" s="730"/>
      <c r="H588" s="730"/>
      <c r="I588" s="730"/>
      <c r="J588" s="730"/>
      <c r="K588" s="730"/>
      <c r="L588" s="730"/>
      <c r="M588" s="730"/>
      <c r="N588" s="571"/>
      <c r="O588" s="571"/>
      <c r="P588" s="571"/>
      <c r="Q588" s="571"/>
      <c r="R588" s="571"/>
      <c r="S588" s="571"/>
      <c r="T588" s="571"/>
      <c r="U588" s="571"/>
      <c r="V588" s="571"/>
      <c r="W588" s="571"/>
      <c r="X588" s="571"/>
      <c r="Y588" s="571"/>
      <c r="Z588" s="571"/>
      <c r="AA588" s="571"/>
      <c r="AB588" s="571"/>
      <c r="AC588" s="571"/>
      <c r="AD588" s="571"/>
      <c r="AE588" s="571"/>
      <c r="AF588" s="571"/>
      <c r="AG588" s="690"/>
      <c r="AH588" s="691"/>
    </row>
    <row r="589">
      <c r="A589" s="568"/>
      <c r="B589" s="730"/>
      <c r="C589" s="730"/>
      <c r="D589" s="730"/>
      <c r="E589" s="730"/>
      <c r="F589" s="730"/>
      <c r="G589" s="730"/>
      <c r="H589" s="730"/>
      <c r="I589" s="730"/>
      <c r="J589" s="730"/>
      <c r="K589" s="730"/>
      <c r="L589" s="730"/>
      <c r="M589" s="730"/>
      <c r="N589" s="571"/>
      <c r="O589" s="571"/>
      <c r="P589" s="571"/>
      <c r="Q589" s="571"/>
      <c r="R589" s="571"/>
      <c r="S589" s="571"/>
      <c r="T589" s="571"/>
      <c r="U589" s="571"/>
      <c r="V589" s="571"/>
      <c r="W589" s="571"/>
      <c r="X589" s="571"/>
      <c r="Y589" s="571"/>
      <c r="Z589" s="571"/>
      <c r="AA589" s="571"/>
      <c r="AB589" s="571"/>
      <c r="AC589" s="571"/>
      <c r="AD589" s="571"/>
      <c r="AE589" s="571"/>
      <c r="AF589" s="571"/>
      <c r="AG589" s="690"/>
      <c r="AH589" s="691"/>
    </row>
    <row r="590">
      <c r="A590" s="568"/>
      <c r="B590" s="730"/>
      <c r="C590" s="730"/>
      <c r="D590" s="730"/>
      <c r="E590" s="730"/>
      <c r="F590" s="730"/>
      <c r="G590" s="730"/>
      <c r="H590" s="730"/>
      <c r="I590" s="730"/>
      <c r="J590" s="730"/>
      <c r="K590" s="730"/>
      <c r="L590" s="730"/>
      <c r="M590" s="730"/>
      <c r="N590" s="571"/>
      <c r="O590" s="571"/>
      <c r="P590" s="571"/>
      <c r="Q590" s="571"/>
      <c r="R590" s="571"/>
      <c r="S590" s="571"/>
      <c r="T590" s="571"/>
      <c r="U590" s="571"/>
      <c r="V590" s="571"/>
      <c r="W590" s="571"/>
      <c r="X590" s="571"/>
      <c r="Y590" s="571"/>
      <c r="Z590" s="571"/>
      <c r="AA590" s="571"/>
      <c r="AB590" s="571"/>
      <c r="AC590" s="571"/>
      <c r="AD590" s="571"/>
      <c r="AE590" s="571"/>
      <c r="AF590" s="571"/>
      <c r="AG590" s="690"/>
      <c r="AH590" s="691"/>
    </row>
    <row r="591">
      <c r="A591" s="568"/>
      <c r="B591" s="730"/>
      <c r="C591" s="730"/>
      <c r="D591" s="730"/>
      <c r="E591" s="730"/>
      <c r="F591" s="730"/>
      <c r="G591" s="730"/>
      <c r="H591" s="730"/>
      <c r="I591" s="730"/>
      <c r="J591" s="730"/>
      <c r="K591" s="730"/>
      <c r="L591" s="730"/>
      <c r="M591" s="730"/>
      <c r="N591" s="571"/>
      <c r="O591" s="571"/>
      <c r="P591" s="571"/>
      <c r="Q591" s="571"/>
      <c r="R591" s="571"/>
      <c r="S591" s="571"/>
      <c r="T591" s="571"/>
      <c r="U591" s="571"/>
      <c r="V591" s="571"/>
      <c r="W591" s="571"/>
      <c r="X591" s="571"/>
      <c r="Y591" s="571"/>
      <c r="Z591" s="571"/>
      <c r="AA591" s="571"/>
      <c r="AB591" s="571"/>
      <c r="AC591" s="571"/>
      <c r="AD591" s="571"/>
      <c r="AE591" s="571"/>
      <c r="AF591" s="571"/>
      <c r="AG591" s="690"/>
      <c r="AH591" s="691"/>
    </row>
    <row r="592">
      <c r="A592" s="568"/>
      <c r="B592" s="730"/>
      <c r="C592" s="730"/>
      <c r="D592" s="730"/>
      <c r="E592" s="730"/>
      <c r="F592" s="730"/>
      <c r="G592" s="730"/>
      <c r="H592" s="730"/>
      <c r="I592" s="730"/>
      <c r="J592" s="730"/>
      <c r="K592" s="730"/>
      <c r="L592" s="730"/>
      <c r="M592" s="730"/>
      <c r="N592" s="571"/>
      <c r="O592" s="571"/>
      <c r="P592" s="571"/>
      <c r="Q592" s="571"/>
      <c r="R592" s="571"/>
      <c r="S592" s="571"/>
      <c r="T592" s="571"/>
      <c r="U592" s="571"/>
      <c r="V592" s="571"/>
      <c r="W592" s="571"/>
      <c r="X592" s="571"/>
      <c r="Y592" s="571"/>
      <c r="Z592" s="571"/>
      <c r="AA592" s="571"/>
      <c r="AB592" s="571"/>
      <c r="AC592" s="571"/>
      <c r="AD592" s="571"/>
      <c r="AE592" s="571"/>
      <c r="AF592" s="571"/>
      <c r="AG592" s="690"/>
      <c r="AH592" s="691"/>
    </row>
    <row r="593">
      <c r="A593" s="568"/>
      <c r="B593" s="730"/>
      <c r="C593" s="730"/>
      <c r="D593" s="730"/>
      <c r="E593" s="730"/>
      <c r="F593" s="730"/>
      <c r="G593" s="730"/>
      <c r="H593" s="730"/>
      <c r="I593" s="730"/>
      <c r="J593" s="730"/>
      <c r="K593" s="730"/>
      <c r="L593" s="730"/>
      <c r="M593" s="730"/>
      <c r="N593" s="571"/>
      <c r="O593" s="571"/>
      <c r="P593" s="571"/>
      <c r="Q593" s="571"/>
      <c r="R593" s="571"/>
      <c r="S593" s="571"/>
      <c r="T593" s="571"/>
      <c r="U593" s="571"/>
      <c r="V593" s="571"/>
      <c r="W593" s="571"/>
      <c r="X593" s="571"/>
      <c r="Y593" s="571"/>
      <c r="Z593" s="571"/>
      <c r="AA593" s="571"/>
      <c r="AB593" s="571"/>
      <c r="AC593" s="571"/>
      <c r="AD593" s="571"/>
      <c r="AE593" s="571"/>
      <c r="AF593" s="571"/>
      <c r="AG593" s="690"/>
      <c r="AH593" s="691"/>
    </row>
    <row r="594">
      <c r="A594" s="568"/>
      <c r="B594" s="730"/>
      <c r="C594" s="730"/>
      <c r="D594" s="730"/>
      <c r="E594" s="730"/>
      <c r="F594" s="730"/>
      <c r="G594" s="730"/>
      <c r="H594" s="730"/>
      <c r="I594" s="730"/>
      <c r="J594" s="730"/>
      <c r="K594" s="730"/>
      <c r="L594" s="730"/>
      <c r="M594" s="730"/>
      <c r="N594" s="571"/>
      <c r="O594" s="571"/>
      <c r="P594" s="571"/>
      <c r="Q594" s="571"/>
      <c r="R594" s="571"/>
      <c r="S594" s="571"/>
      <c r="T594" s="571"/>
      <c r="U594" s="571"/>
      <c r="V594" s="571"/>
      <c r="W594" s="571"/>
      <c r="X594" s="571"/>
      <c r="Y594" s="571"/>
      <c r="Z594" s="571"/>
      <c r="AA594" s="571"/>
      <c r="AB594" s="571"/>
      <c r="AC594" s="571"/>
      <c r="AD594" s="571"/>
      <c r="AE594" s="571"/>
      <c r="AF594" s="571"/>
      <c r="AG594" s="690"/>
      <c r="AH594" s="691"/>
    </row>
    <row r="595">
      <c r="A595" s="568"/>
      <c r="B595" s="730"/>
      <c r="C595" s="730"/>
      <c r="D595" s="730"/>
      <c r="E595" s="730"/>
      <c r="F595" s="730"/>
      <c r="G595" s="730"/>
      <c r="H595" s="730"/>
      <c r="I595" s="730"/>
      <c r="J595" s="730"/>
      <c r="K595" s="730"/>
      <c r="L595" s="730"/>
      <c r="M595" s="730"/>
      <c r="N595" s="571"/>
      <c r="O595" s="571"/>
      <c r="P595" s="571"/>
      <c r="Q595" s="571"/>
      <c r="R595" s="571"/>
      <c r="S595" s="571"/>
      <c r="T595" s="571"/>
      <c r="U595" s="571"/>
      <c r="V595" s="571"/>
      <c r="W595" s="571"/>
      <c r="X595" s="571"/>
      <c r="Y595" s="571"/>
      <c r="Z595" s="571"/>
      <c r="AA595" s="571"/>
      <c r="AB595" s="571"/>
      <c r="AC595" s="571"/>
      <c r="AD595" s="571"/>
      <c r="AE595" s="571"/>
      <c r="AF595" s="571"/>
      <c r="AG595" s="690"/>
      <c r="AH595" s="691"/>
    </row>
    <row r="596">
      <c r="A596" s="568"/>
      <c r="B596" s="730"/>
      <c r="C596" s="730"/>
      <c r="D596" s="730"/>
      <c r="E596" s="730"/>
      <c r="F596" s="730"/>
      <c r="G596" s="730"/>
      <c r="H596" s="730"/>
      <c r="I596" s="730"/>
      <c r="J596" s="730"/>
      <c r="K596" s="730"/>
      <c r="L596" s="730"/>
      <c r="M596" s="730"/>
      <c r="N596" s="571"/>
      <c r="O596" s="571"/>
      <c r="P596" s="571"/>
      <c r="Q596" s="571"/>
      <c r="R596" s="571"/>
      <c r="S596" s="571"/>
      <c r="T596" s="571"/>
      <c r="U596" s="571"/>
      <c r="V596" s="571"/>
      <c r="W596" s="571"/>
      <c r="X596" s="571"/>
      <c r="Y596" s="571"/>
      <c r="Z596" s="571"/>
      <c r="AA596" s="571"/>
      <c r="AB596" s="571"/>
      <c r="AC596" s="571"/>
      <c r="AD596" s="571"/>
      <c r="AE596" s="571"/>
      <c r="AF596" s="571"/>
      <c r="AG596" s="690"/>
      <c r="AH596" s="691"/>
    </row>
    <row r="597">
      <c r="A597" s="568"/>
      <c r="B597" s="730"/>
      <c r="C597" s="730"/>
      <c r="D597" s="730"/>
      <c r="E597" s="730"/>
      <c r="F597" s="730"/>
      <c r="G597" s="730"/>
      <c r="H597" s="730"/>
      <c r="I597" s="730"/>
      <c r="J597" s="730"/>
      <c r="K597" s="730"/>
      <c r="L597" s="730"/>
      <c r="M597" s="730"/>
      <c r="N597" s="571"/>
      <c r="O597" s="571"/>
      <c r="P597" s="571"/>
      <c r="Q597" s="571"/>
      <c r="R597" s="571"/>
      <c r="S597" s="571"/>
      <c r="T597" s="571"/>
      <c r="U597" s="571"/>
      <c r="V597" s="571"/>
      <c r="W597" s="571"/>
      <c r="X597" s="571"/>
      <c r="Y597" s="571"/>
      <c r="Z597" s="571"/>
      <c r="AA597" s="571"/>
      <c r="AB597" s="571"/>
      <c r="AC597" s="571"/>
      <c r="AD597" s="571"/>
      <c r="AE597" s="571"/>
      <c r="AF597" s="571"/>
      <c r="AG597" s="690"/>
      <c r="AH597" s="691"/>
    </row>
    <row r="598">
      <c r="A598" s="568"/>
      <c r="B598" s="730"/>
      <c r="C598" s="730"/>
      <c r="D598" s="730"/>
      <c r="E598" s="730"/>
      <c r="F598" s="730"/>
      <c r="G598" s="730"/>
      <c r="H598" s="730"/>
      <c r="I598" s="730"/>
      <c r="J598" s="730"/>
      <c r="K598" s="730"/>
      <c r="L598" s="730"/>
      <c r="M598" s="730"/>
      <c r="N598" s="571"/>
      <c r="O598" s="571"/>
      <c r="P598" s="571"/>
      <c r="Q598" s="571"/>
      <c r="R598" s="571"/>
      <c r="S598" s="571"/>
      <c r="T598" s="571"/>
      <c r="U598" s="571"/>
      <c r="V598" s="571"/>
      <c r="W598" s="571"/>
      <c r="X598" s="571"/>
      <c r="Y598" s="571"/>
      <c r="Z598" s="571"/>
      <c r="AA598" s="571"/>
      <c r="AB598" s="571"/>
      <c r="AC598" s="571"/>
      <c r="AD598" s="571"/>
      <c r="AE598" s="571"/>
      <c r="AF598" s="571"/>
      <c r="AG598" s="690"/>
      <c r="AH598" s="691"/>
    </row>
    <row r="599">
      <c r="A599" s="568"/>
      <c r="B599" s="730"/>
      <c r="C599" s="730"/>
      <c r="D599" s="730"/>
      <c r="E599" s="730"/>
      <c r="F599" s="730"/>
      <c r="G599" s="730"/>
      <c r="H599" s="730"/>
      <c r="I599" s="730"/>
      <c r="J599" s="730"/>
      <c r="K599" s="730"/>
      <c r="L599" s="730"/>
      <c r="M599" s="730"/>
      <c r="N599" s="571"/>
      <c r="O599" s="571"/>
      <c r="P599" s="571"/>
      <c r="Q599" s="571"/>
      <c r="R599" s="571"/>
      <c r="S599" s="571"/>
      <c r="T599" s="571"/>
      <c r="U599" s="571"/>
      <c r="V599" s="571"/>
      <c r="W599" s="571"/>
      <c r="X599" s="571"/>
      <c r="Y599" s="571"/>
      <c r="Z599" s="571"/>
      <c r="AA599" s="571"/>
      <c r="AB599" s="571"/>
      <c r="AC599" s="571"/>
      <c r="AD599" s="571"/>
      <c r="AE599" s="571"/>
      <c r="AF599" s="571"/>
      <c r="AG599" s="690"/>
      <c r="AH599" s="691"/>
    </row>
    <row r="600">
      <c r="A600" s="568"/>
      <c r="B600" s="730"/>
      <c r="C600" s="730"/>
      <c r="D600" s="730"/>
      <c r="E600" s="730"/>
      <c r="F600" s="730"/>
      <c r="G600" s="730"/>
      <c r="H600" s="730"/>
      <c r="I600" s="730"/>
      <c r="J600" s="730"/>
      <c r="K600" s="730"/>
      <c r="L600" s="730"/>
      <c r="M600" s="730"/>
      <c r="N600" s="571"/>
      <c r="O600" s="571"/>
      <c r="P600" s="571"/>
      <c r="Q600" s="571"/>
      <c r="R600" s="571"/>
      <c r="S600" s="571"/>
      <c r="T600" s="571"/>
      <c r="U600" s="571"/>
      <c r="V600" s="571"/>
      <c r="W600" s="571"/>
      <c r="X600" s="571"/>
      <c r="Y600" s="571"/>
      <c r="Z600" s="571"/>
      <c r="AA600" s="571"/>
      <c r="AB600" s="571"/>
      <c r="AC600" s="571"/>
      <c r="AD600" s="571"/>
      <c r="AE600" s="571"/>
      <c r="AF600" s="571"/>
      <c r="AG600" s="690"/>
      <c r="AH600" s="691"/>
    </row>
    <row r="601">
      <c r="A601" s="568"/>
      <c r="B601" s="730"/>
      <c r="C601" s="730"/>
      <c r="D601" s="730"/>
      <c r="E601" s="730"/>
      <c r="F601" s="730"/>
      <c r="G601" s="730"/>
      <c r="H601" s="730"/>
      <c r="I601" s="730"/>
      <c r="J601" s="730"/>
      <c r="K601" s="730"/>
      <c r="L601" s="730"/>
      <c r="M601" s="730"/>
      <c r="N601" s="571"/>
      <c r="O601" s="571"/>
      <c r="P601" s="571"/>
      <c r="Q601" s="571"/>
      <c r="R601" s="571"/>
      <c r="S601" s="571"/>
      <c r="T601" s="571"/>
      <c r="U601" s="571"/>
      <c r="V601" s="571"/>
      <c r="W601" s="571"/>
      <c r="X601" s="571"/>
      <c r="Y601" s="571"/>
      <c r="Z601" s="571"/>
      <c r="AA601" s="571"/>
      <c r="AB601" s="571"/>
      <c r="AC601" s="571"/>
      <c r="AD601" s="571"/>
      <c r="AE601" s="571"/>
      <c r="AF601" s="571"/>
      <c r="AG601" s="690"/>
      <c r="AH601" s="691"/>
    </row>
    <row r="602">
      <c r="A602" s="568"/>
      <c r="B602" s="730"/>
      <c r="C602" s="730"/>
      <c r="D602" s="730"/>
      <c r="E602" s="730"/>
      <c r="F602" s="730"/>
      <c r="G602" s="730"/>
      <c r="H602" s="730"/>
      <c r="I602" s="730"/>
      <c r="J602" s="730"/>
      <c r="K602" s="730"/>
      <c r="L602" s="730"/>
      <c r="M602" s="730"/>
      <c r="N602" s="571"/>
      <c r="O602" s="571"/>
      <c r="P602" s="571"/>
      <c r="Q602" s="571"/>
      <c r="R602" s="571"/>
      <c r="S602" s="571"/>
      <c r="T602" s="571"/>
      <c r="U602" s="571"/>
      <c r="V602" s="571"/>
      <c r="W602" s="571"/>
      <c r="X602" s="571"/>
      <c r="Y602" s="571"/>
      <c r="Z602" s="571"/>
      <c r="AA602" s="571"/>
      <c r="AB602" s="571"/>
      <c r="AC602" s="571"/>
      <c r="AD602" s="571"/>
      <c r="AE602" s="571"/>
      <c r="AF602" s="571"/>
      <c r="AG602" s="690"/>
      <c r="AH602" s="691"/>
    </row>
    <row r="603">
      <c r="A603" s="568"/>
      <c r="B603" s="730"/>
      <c r="C603" s="730"/>
      <c r="D603" s="730"/>
      <c r="E603" s="730"/>
      <c r="F603" s="730"/>
      <c r="G603" s="730"/>
      <c r="H603" s="730"/>
      <c r="I603" s="730"/>
      <c r="J603" s="730"/>
      <c r="K603" s="730"/>
      <c r="L603" s="730"/>
      <c r="M603" s="730"/>
      <c r="N603" s="571"/>
      <c r="O603" s="571"/>
      <c r="P603" s="571"/>
      <c r="Q603" s="571"/>
      <c r="R603" s="571"/>
      <c r="S603" s="571"/>
      <c r="T603" s="571"/>
      <c r="U603" s="571"/>
      <c r="V603" s="571"/>
      <c r="W603" s="571"/>
      <c r="X603" s="571"/>
      <c r="Y603" s="571"/>
      <c r="Z603" s="571"/>
      <c r="AA603" s="571"/>
      <c r="AB603" s="571"/>
      <c r="AC603" s="571"/>
      <c r="AD603" s="571"/>
      <c r="AE603" s="571"/>
      <c r="AF603" s="571"/>
      <c r="AG603" s="690"/>
      <c r="AH603" s="691"/>
    </row>
    <row r="604">
      <c r="A604" s="568"/>
      <c r="B604" s="730"/>
      <c r="C604" s="730"/>
      <c r="D604" s="730"/>
      <c r="E604" s="730"/>
      <c r="F604" s="730"/>
      <c r="G604" s="730"/>
      <c r="H604" s="730"/>
      <c r="I604" s="730"/>
      <c r="J604" s="730"/>
      <c r="K604" s="730"/>
      <c r="L604" s="730"/>
      <c r="M604" s="730"/>
      <c r="N604" s="571"/>
      <c r="O604" s="571"/>
      <c r="P604" s="571"/>
      <c r="Q604" s="571"/>
      <c r="R604" s="571"/>
      <c r="S604" s="571"/>
      <c r="T604" s="571"/>
      <c r="U604" s="571"/>
      <c r="V604" s="571"/>
      <c r="W604" s="571"/>
      <c r="X604" s="571"/>
      <c r="Y604" s="571"/>
      <c r="Z604" s="571"/>
      <c r="AA604" s="571"/>
      <c r="AB604" s="571"/>
      <c r="AC604" s="571"/>
      <c r="AD604" s="571"/>
      <c r="AE604" s="571"/>
      <c r="AF604" s="571"/>
      <c r="AG604" s="690"/>
      <c r="AH604" s="691"/>
    </row>
    <row r="605">
      <c r="A605" s="568"/>
      <c r="B605" s="730"/>
      <c r="C605" s="730"/>
      <c r="D605" s="730"/>
      <c r="E605" s="730"/>
      <c r="F605" s="730"/>
      <c r="G605" s="730"/>
      <c r="H605" s="730"/>
      <c r="I605" s="730"/>
      <c r="J605" s="730"/>
      <c r="K605" s="730"/>
      <c r="L605" s="730"/>
      <c r="M605" s="730"/>
      <c r="N605" s="571"/>
      <c r="O605" s="571"/>
      <c r="P605" s="571"/>
      <c r="Q605" s="571"/>
      <c r="R605" s="571"/>
      <c r="S605" s="571"/>
      <c r="T605" s="571"/>
      <c r="U605" s="571"/>
      <c r="V605" s="571"/>
      <c r="W605" s="571"/>
      <c r="X605" s="571"/>
      <c r="Y605" s="571"/>
      <c r="Z605" s="571"/>
      <c r="AA605" s="571"/>
      <c r="AB605" s="571"/>
      <c r="AC605" s="571"/>
      <c r="AD605" s="571"/>
      <c r="AE605" s="571"/>
      <c r="AF605" s="571"/>
      <c r="AG605" s="690"/>
      <c r="AH605" s="691"/>
    </row>
    <row r="606">
      <c r="A606" s="568"/>
      <c r="B606" s="730"/>
      <c r="C606" s="730"/>
      <c r="D606" s="730"/>
      <c r="E606" s="730"/>
      <c r="F606" s="730"/>
      <c r="G606" s="730"/>
      <c r="H606" s="730"/>
      <c r="I606" s="730"/>
      <c r="J606" s="730"/>
      <c r="K606" s="730"/>
      <c r="L606" s="730"/>
      <c r="M606" s="730"/>
      <c r="N606" s="571"/>
      <c r="O606" s="571"/>
      <c r="P606" s="571"/>
      <c r="Q606" s="571"/>
      <c r="R606" s="571"/>
      <c r="S606" s="571"/>
      <c r="T606" s="571"/>
      <c r="U606" s="571"/>
      <c r="V606" s="571"/>
      <c r="W606" s="571"/>
      <c r="X606" s="571"/>
      <c r="Y606" s="571"/>
      <c r="Z606" s="571"/>
      <c r="AA606" s="571"/>
      <c r="AB606" s="571"/>
      <c r="AC606" s="571"/>
      <c r="AD606" s="571"/>
      <c r="AE606" s="571"/>
      <c r="AF606" s="571"/>
      <c r="AG606" s="690"/>
      <c r="AH606" s="691"/>
    </row>
    <row r="607">
      <c r="A607" s="568"/>
      <c r="B607" s="730"/>
      <c r="C607" s="730"/>
      <c r="D607" s="730"/>
      <c r="E607" s="730"/>
      <c r="F607" s="730"/>
      <c r="G607" s="730"/>
      <c r="H607" s="730"/>
      <c r="I607" s="730"/>
      <c r="J607" s="730"/>
      <c r="K607" s="730"/>
      <c r="L607" s="730"/>
      <c r="M607" s="730"/>
      <c r="N607" s="571"/>
      <c r="O607" s="571"/>
      <c r="P607" s="571"/>
      <c r="Q607" s="571"/>
      <c r="R607" s="571"/>
      <c r="S607" s="571"/>
      <c r="T607" s="571"/>
      <c r="U607" s="571"/>
      <c r="V607" s="571"/>
      <c r="W607" s="571"/>
      <c r="X607" s="571"/>
      <c r="Y607" s="571"/>
      <c r="Z607" s="571"/>
      <c r="AA607" s="571"/>
      <c r="AB607" s="571"/>
      <c r="AC607" s="571"/>
      <c r="AD607" s="571"/>
      <c r="AE607" s="571"/>
      <c r="AF607" s="571"/>
      <c r="AG607" s="690"/>
      <c r="AH607" s="691"/>
    </row>
    <row r="608">
      <c r="A608" s="568"/>
      <c r="B608" s="730"/>
      <c r="C608" s="730"/>
      <c r="D608" s="730"/>
      <c r="E608" s="730"/>
      <c r="F608" s="730"/>
      <c r="G608" s="730"/>
      <c r="H608" s="730"/>
      <c r="I608" s="730"/>
      <c r="J608" s="730"/>
      <c r="K608" s="730"/>
      <c r="L608" s="730"/>
      <c r="M608" s="730"/>
      <c r="N608" s="571"/>
      <c r="O608" s="571"/>
      <c r="P608" s="571"/>
      <c r="Q608" s="571"/>
      <c r="R608" s="571"/>
      <c r="S608" s="571"/>
      <c r="T608" s="571"/>
      <c r="U608" s="571"/>
      <c r="V608" s="571"/>
      <c r="W608" s="571"/>
      <c r="X608" s="571"/>
      <c r="Y608" s="571"/>
      <c r="Z608" s="571"/>
      <c r="AA608" s="571"/>
      <c r="AB608" s="571"/>
      <c r="AC608" s="571"/>
      <c r="AD608" s="571"/>
      <c r="AE608" s="571"/>
      <c r="AF608" s="571"/>
      <c r="AG608" s="690"/>
      <c r="AH608" s="691"/>
    </row>
    <row r="609">
      <c r="A609" s="568"/>
      <c r="B609" s="730"/>
      <c r="C609" s="730"/>
      <c r="D609" s="730"/>
      <c r="E609" s="730"/>
      <c r="F609" s="730"/>
      <c r="G609" s="730"/>
      <c r="H609" s="730"/>
      <c r="I609" s="730"/>
      <c r="J609" s="730"/>
      <c r="K609" s="730"/>
      <c r="L609" s="730"/>
      <c r="M609" s="730"/>
      <c r="N609" s="571"/>
      <c r="O609" s="571"/>
      <c r="P609" s="571"/>
      <c r="Q609" s="571"/>
      <c r="R609" s="571"/>
      <c r="S609" s="571"/>
      <c r="T609" s="571"/>
      <c r="U609" s="571"/>
      <c r="V609" s="571"/>
      <c r="W609" s="571"/>
      <c r="X609" s="571"/>
      <c r="Y609" s="571"/>
      <c r="Z609" s="571"/>
      <c r="AA609" s="571"/>
      <c r="AB609" s="571"/>
      <c r="AC609" s="571"/>
      <c r="AD609" s="571"/>
      <c r="AE609" s="571"/>
      <c r="AF609" s="571"/>
      <c r="AG609" s="690"/>
      <c r="AH609" s="691"/>
    </row>
    <row r="610">
      <c r="A610" s="568"/>
      <c r="B610" s="730"/>
      <c r="C610" s="730"/>
      <c r="D610" s="730"/>
      <c r="E610" s="730"/>
      <c r="F610" s="730"/>
      <c r="G610" s="730"/>
      <c r="H610" s="730"/>
      <c r="I610" s="730"/>
      <c r="J610" s="730"/>
      <c r="K610" s="730"/>
      <c r="L610" s="730"/>
      <c r="M610" s="730"/>
      <c r="N610" s="571"/>
      <c r="O610" s="571"/>
      <c r="P610" s="571"/>
      <c r="Q610" s="571"/>
      <c r="R610" s="571"/>
      <c r="S610" s="571"/>
      <c r="T610" s="571"/>
      <c r="U610" s="571"/>
      <c r="V610" s="571"/>
      <c r="W610" s="571"/>
      <c r="X610" s="571"/>
      <c r="Y610" s="571"/>
      <c r="Z610" s="571"/>
      <c r="AA610" s="571"/>
      <c r="AB610" s="571"/>
      <c r="AC610" s="571"/>
      <c r="AD610" s="571"/>
      <c r="AE610" s="571"/>
      <c r="AF610" s="571"/>
      <c r="AG610" s="690"/>
      <c r="AH610" s="691"/>
    </row>
    <row r="611">
      <c r="A611" s="568"/>
      <c r="B611" s="730"/>
      <c r="C611" s="730"/>
      <c r="D611" s="730"/>
      <c r="E611" s="730"/>
      <c r="F611" s="730"/>
      <c r="G611" s="730"/>
      <c r="H611" s="730"/>
      <c r="I611" s="730"/>
      <c r="J611" s="730"/>
      <c r="K611" s="730"/>
      <c r="L611" s="730"/>
      <c r="M611" s="730"/>
      <c r="N611" s="571"/>
      <c r="O611" s="571"/>
      <c r="P611" s="571"/>
      <c r="Q611" s="571"/>
      <c r="R611" s="571"/>
      <c r="S611" s="571"/>
      <c r="T611" s="571"/>
      <c r="U611" s="571"/>
      <c r="V611" s="571"/>
      <c r="W611" s="571"/>
      <c r="X611" s="571"/>
      <c r="Y611" s="571"/>
      <c r="Z611" s="571"/>
      <c r="AA611" s="571"/>
      <c r="AB611" s="571"/>
      <c r="AC611" s="571"/>
      <c r="AD611" s="571"/>
      <c r="AE611" s="571"/>
      <c r="AF611" s="571"/>
      <c r="AG611" s="690"/>
      <c r="AH611" s="691"/>
    </row>
    <row r="612">
      <c r="A612" s="568"/>
      <c r="B612" s="730"/>
      <c r="C612" s="730"/>
      <c r="D612" s="730"/>
      <c r="E612" s="730"/>
      <c r="F612" s="730"/>
      <c r="G612" s="730"/>
      <c r="H612" s="730"/>
      <c r="I612" s="730"/>
      <c r="J612" s="730"/>
      <c r="K612" s="730"/>
      <c r="L612" s="730"/>
      <c r="M612" s="730"/>
      <c r="N612" s="571"/>
      <c r="O612" s="571"/>
      <c r="P612" s="571"/>
      <c r="Q612" s="571"/>
      <c r="R612" s="571"/>
      <c r="S612" s="571"/>
      <c r="T612" s="571"/>
      <c r="U612" s="571"/>
      <c r="V612" s="571"/>
      <c r="W612" s="571"/>
      <c r="X612" s="571"/>
      <c r="Y612" s="571"/>
      <c r="Z612" s="571"/>
      <c r="AA612" s="571"/>
      <c r="AB612" s="571"/>
      <c r="AC612" s="571"/>
      <c r="AD612" s="571"/>
      <c r="AE612" s="571"/>
      <c r="AF612" s="571"/>
      <c r="AG612" s="690"/>
      <c r="AH612" s="691"/>
    </row>
    <row r="613">
      <c r="A613" s="568"/>
      <c r="B613" s="730"/>
      <c r="C613" s="730"/>
      <c r="D613" s="730"/>
      <c r="E613" s="730"/>
      <c r="F613" s="730"/>
      <c r="G613" s="730"/>
      <c r="H613" s="730"/>
      <c r="I613" s="730"/>
      <c r="J613" s="730"/>
      <c r="K613" s="730"/>
      <c r="L613" s="730"/>
      <c r="M613" s="730"/>
      <c r="N613" s="571"/>
      <c r="O613" s="571"/>
      <c r="P613" s="571"/>
      <c r="Q613" s="571"/>
      <c r="R613" s="571"/>
      <c r="S613" s="571"/>
      <c r="T613" s="571"/>
      <c r="U613" s="571"/>
      <c r="V613" s="571"/>
      <c r="W613" s="571"/>
      <c r="X613" s="571"/>
      <c r="Y613" s="571"/>
      <c r="Z613" s="571"/>
      <c r="AA613" s="571"/>
      <c r="AB613" s="571"/>
      <c r="AC613" s="571"/>
      <c r="AD613" s="571"/>
      <c r="AE613" s="571"/>
      <c r="AF613" s="571"/>
      <c r="AG613" s="690"/>
      <c r="AH613" s="691"/>
    </row>
    <row r="614">
      <c r="A614" s="568"/>
      <c r="B614" s="730"/>
      <c r="C614" s="730"/>
      <c r="D614" s="730"/>
      <c r="E614" s="730"/>
      <c r="F614" s="730"/>
      <c r="G614" s="730"/>
      <c r="H614" s="730"/>
      <c r="I614" s="730"/>
      <c r="J614" s="730"/>
      <c r="K614" s="730"/>
      <c r="L614" s="730"/>
      <c r="M614" s="730"/>
      <c r="N614" s="571"/>
      <c r="O614" s="571"/>
      <c r="P614" s="571"/>
      <c r="Q614" s="571"/>
      <c r="R614" s="571"/>
      <c r="S614" s="571"/>
      <c r="T614" s="571"/>
      <c r="U614" s="571"/>
      <c r="V614" s="571"/>
      <c r="W614" s="571"/>
      <c r="X614" s="571"/>
      <c r="Y614" s="571"/>
      <c r="Z614" s="571"/>
      <c r="AA614" s="571"/>
      <c r="AB614" s="571"/>
      <c r="AC614" s="571"/>
      <c r="AD614" s="571"/>
      <c r="AE614" s="571"/>
      <c r="AF614" s="571"/>
      <c r="AG614" s="690"/>
      <c r="AH614" s="691"/>
    </row>
    <row r="615">
      <c r="A615" s="568"/>
      <c r="B615" s="730"/>
      <c r="C615" s="730"/>
      <c r="D615" s="730"/>
      <c r="E615" s="730"/>
      <c r="F615" s="730"/>
      <c r="G615" s="730"/>
      <c r="H615" s="730"/>
      <c r="I615" s="730"/>
      <c r="J615" s="730"/>
      <c r="K615" s="730"/>
      <c r="L615" s="730"/>
      <c r="M615" s="730"/>
      <c r="N615" s="571"/>
      <c r="O615" s="571"/>
      <c r="P615" s="571"/>
      <c r="Q615" s="571"/>
      <c r="R615" s="571"/>
      <c r="S615" s="571"/>
      <c r="T615" s="571"/>
      <c r="U615" s="571"/>
      <c r="V615" s="571"/>
      <c r="W615" s="571"/>
      <c r="X615" s="571"/>
      <c r="Y615" s="571"/>
      <c r="Z615" s="571"/>
      <c r="AA615" s="571"/>
      <c r="AB615" s="571"/>
      <c r="AC615" s="571"/>
      <c r="AD615" s="571"/>
      <c r="AE615" s="571"/>
      <c r="AF615" s="571"/>
      <c r="AG615" s="690"/>
      <c r="AH615" s="691"/>
    </row>
    <row r="616">
      <c r="A616" s="568"/>
      <c r="B616" s="730"/>
      <c r="C616" s="730"/>
      <c r="D616" s="730"/>
      <c r="E616" s="730"/>
      <c r="F616" s="730"/>
      <c r="G616" s="730"/>
      <c r="H616" s="730"/>
      <c r="I616" s="730"/>
      <c r="J616" s="730"/>
      <c r="K616" s="730"/>
      <c r="L616" s="730"/>
      <c r="M616" s="730"/>
      <c r="N616" s="571"/>
      <c r="O616" s="571"/>
      <c r="P616" s="571"/>
      <c r="Q616" s="571"/>
      <c r="R616" s="571"/>
      <c r="S616" s="571"/>
      <c r="T616" s="571"/>
      <c r="U616" s="571"/>
      <c r="V616" s="571"/>
      <c r="W616" s="571"/>
      <c r="X616" s="571"/>
      <c r="Y616" s="571"/>
      <c r="Z616" s="571"/>
      <c r="AA616" s="571"/>
      <c r="AB616" s="571"/>
      <c r="AC616" s="571"/>
      <c r="AD616" s="571"/>
      <c r="AE616" s="571"/>
      <c r="AF616" s="571"/>
      <c r="AG616" s="690"/>
      <c r="AH616" s="691"/>
    </row>
    <row r="617">
      <c r="A617" s="568"/>
      <c r="B617" s="730"/>
      <c r="C617" s="730"/>
      <c r="D617" s="730"/>
      <c r="E617" s="730"/>
      <c r="F617" s="730"/>
      <c r="G617" s="730"/>
      <c r="H617" s="730"/>
      <c r="I617" s="730"/>
      <c r="J617" s="730"/>
      <c r="K617" s="730"/>
      <c r="L617" s="730"/>
      <c r="M617" s="730"/>
      <c r="N617" s="571"/>
      <c r="O617" s="571"/>
      <c r="P617" s="571"/>
      <c r="Q617" s="571"/>
      <c r="R617" s="571"/>
      <c r="S617" s="571"/>
      <c r="T617" s="571"/>
      <c r="U617" s="571"/>
      <c r="V617" s="571"/>
      <c r="W617" s="571"/>
      <c r="X617" s="571"/>
      <c r="Y617" s="571"/>
      <c r="Z617" s="571"/>
      <c r="AA617" s="571"/>
      <c r="AB617" s="571"/>
      <c r="AC617" s="571"/>
      <c r="AD617" s="571"/>
      <c r="AE617" s="571"/>
      <c r="AF617" s="571"/>
      <c r="AG617" s="690"/>
      <c r="AH617" s="691"/>
    </row>
    <row r="618">
      <c r="A618" s="568"/>
      <c r="B618" s="730"/>
      <c r="C618" s="730"/>
      <c r="D618" s="730"/>
      <c r="E618" s="730"/>
      <c r="F618" s="730"/>
      <c r="G618" s="730"/>
      <c r="H618" s="730"/>
      <c r="I618" s="730"/>
      <c r="J618" s="730"/>
      <c r="K618" s="730"/>
      <c r="L618" s="730"/>
      <c r="M618" s="730"/>
      <c r="N618" s="571"/>
      <c r="O618" s="571"/>
      <c r="P618" s="571"/>
      <c r="Q618" s="571"/>
      <c r="R618" s="571"/>
      <c r="S618" s="571"/>
      <c r="T618" s="571"/>
      <c r="U618" s="571"/>
      <c r="V618" s="571"/>
      <c r="W618" s="571"/>
      <c r="X618" s="571"/>
      <c r="Y618" s="571"/>
      <c r="Z618" s="571"/>
      <c r="AA618" s="571"/>
      <c r="AB618" s="571"/>
      <c r="AC618" s="571"/>
      <c r="AD618" s="571"/>
      <c r="AE618" s="571"/>
      <c r="AF618" s="571"/>
      <c r="AG618" s="690"/>
      <c r="AH618" s="691"/>
    </row>
    <row r="619">
      <c r="A619" s="568"/>
      <c r="B619" s="730"/>
      <c r="C619" s="730"/>
      <c r="D619" s="730"/>
      <c r="E619" s="730"/>
      <c r="F619" s="730"/>
      <c r="G619" s="730"/>
      <c r="H619" s="730"/>
      <c r="I619" s="730"/>
      <c r="J619" s="730"/>
      <c r="K619" s="730"/>
      <c r="L619" s="730"/>
      <c r="M619" s="730"/>
      <c r="N619" s="571"/>
      <c r="O619" s="571"/>
      <c r="P619" s="571"/>
      <c r="Q619" s="571"/>
      <c r="R619" s="571"/>
      <c r="S619" s="571"/>
      <c r="T619" s="571"/>
      <c r="U619" s="571"/>
      <c r="V619" s="571"/>
      <c r="W619" s="571"/>
      <c r="X619" s="571"/>
      <c r="Y619" s="571"/>
      <c r="Z619" s="571"/>
      <c r="AA619" s="571"/>
      <c r="AB619" s="571"/>
      <c r="AC619" s="571"/>
      <c r="AD619" s="571"/>
      <c r="AE619" s="571"/>
      <c r="AF619" s="571"/>
      <c r="AG619" s="690"/>
      <c r="AH619" s="691"/>
    </row>
    <row r="620">
      <c r="A620" s="568"/>
      <c r="B620" s="730"/>
      <c r="C620" s="730"/>
      <c r="D620" s="730"/>
      <c r="E620" s="730"/>
      <c r="F620" s="730"/>
      <c r="G620" s="730"/>
      <c r="H620" s="730"/>
      <c r="I620" s="730"/>
      <c r="J620" s="730"/>
      <c r="K620" s="730"/>
      <c r="L620" s="730"/>
      <c r="M620" s="730"/>
      <c r="N620" s="571"/>
      <c r="O620" s="571"/>
      <c r="P620" s="571"/>
      <c r="Q620" s="571"/>
      <c r="R620" s="571"/>
      <c r="S620" s="571"/>
      <c r="T620" s="571"/>
      <c r="U620" s="571"/>
      <c r="V620" s="571"/>
      <c r="W620" s="571"/>
      <c r="X620" s="571"/>
      <c r="Y620" s="571"/>
      <c r="Z620" s="571"/>
      <c r="AA620" s="571"/>
      <c r="AB620" s="571"/>
      <c r="AC620" s="571"/>
      <c r="AD620" s="571"/>
      <c r="AE620" s="571"/>
      <c r="AF620" s="571"/>
      <c r="AG620" s="690"/>
      <c r="AH620" s="691"/>
    </row>
    <row r="621">
      <c r="A621" s="568"/>
      <c r="B621" s="730"/>
      <c r="C621" s="730"/>
      <c r="D621" s="730"/>
      <c r="E621" s="730"/>
      <c r="F621" s="730"/>
      <c r="G621" s="730"/>
      <c r="H621" s="730"/>
      <c r="I621" s="730"/>
      <c r="J621" s="730"/>
      <c r="K621" s="730"/>
      <c r="L621" s="730"/>
      <c r="M621" s="730"/>
      <c r="N621" s="571"/>
      <c r="O621" s="571"/>
      <c r="P621" s="571"/>
      <c r="Q621" s="571"/>
      <c r="R621" s="571"/>
      <c r="S621" s="571"/>
      <c r="T621" s="571"/>
      <c r="U621" s="571"/>
      <c r="V621" s="571"/>
      <c r="W621" s="571"/>
      <c r="X621" s="571"/>
      <c r="Y621" s="571"/>
      <c r="Z621" s="571"/>
      <c r="AA621" s="571"/>
      <c r="AB621" s="571"/>
      <c r="AC621" s="571"/>
      <c r="AD621" s="571"/>
      <c r="AE621" s="571"/>
      <c r="AF621" s="571"/>
      <c r="AG621" s="690"/>
      <c r="AH621" s="691"/>
    </row>
    <row r="622">
      <c r="A622" s="568"/>
      <c r="B622" s="730"/>
      <c r="C622" s="730"/>
      <c r="D622" s="730"/>
      <c r="E622" s="730"/>
      <c r="F622" s="730"/>
      <c r="G622" s="730"/>
      <c r="H622" s="730"/>
      <c r="I622" s="730"/>
      <c r="J622" s="730"/>
      <c r="K622" s="730"/>
      <c r="L622" s="730"/>
      <c r="M622" s="730"/>
      <c r="N622" s="571"/>
      <c r="O622" s="571"/>
      <c r="P622" s="571"/>
      <c r="Q622" s="571"/>
      <c r="R622" s="571"/>
      <c r="S622" s="571"/>
      <c r="T622" s="571"/>
      <c r="U622" s="571"/>
      <c r="V622" s="571"/>
      <c r="W622" s="571"/>
      <c r="X622" s="571"/>
      <c r="Y622" s="571"/>
      <c r="Z622" s="571"/>
      <c r="AA622" s="571"/>
      <c r="AB622" s="571"/>
      <c r="AC622" s="571"/>
      <c r="AD622" s="571"/>
      <c r="AE622" s="571"/>
      <c r="AF622" s="571"/>
      <c r="AG622" s="690"/>
      <c r="AH622" s="691"/>
    </row>
    <row r="623">
      <c r="A623" s="568"/>
      <c r="B623" s="730"/>
      <c r="C623" s="730"/>
      <c r="D623" s="730"/>
      <c r="E623" s="730"/>
      <c r="F623" s="730"/>
      <c r="G623" s="730"/>
      <c r="H623" s="730"/>
      <c r="I623" s="730"/>
      <c r="J623" s="730"/>
      <c r="K623" s="730"/>
      <c r="L623" s="730"/>
      <c r="M623" s="730"/>
      <c r="N623" s="571"/>
      <c r="O623" s="571"/>
      <c r="P623" s="571"/>
      <c r="Q623" s="571"/>
      <c r="R623" s="571"/>
      <c r="S623" s="571"/>
      <c r="T623" s="571"/>
      <c r="U623" s="571"/>
      <c r="V623" s="571"/>
      <c r="W623" s="571"/>
      <c r="X623" s="571"/>
      <c r="Y623" s="571"/>
      <c r="Z623" s="571"/>
      <c r="AA623" s="571"/>
      <c r="AB623" s="571"/>
      <c r="AC623" s="571"/>
      <c r="AD623" s="571"/>
      <c r="AE623" s="571"/>
      <c r="AF623" s="571"/>
      <c r="AG623" s="690"/>
      <c r="AH623" s="691"/>
    </row>
    <row r="624">
      <c r="A624" s="568"/>
      <c r="B624" s="730"/>
      <c r="C624" s="730"/>
      <c r="D624" s="730"/>
      <c r="E624" s="730"/>
      <c r="F624" s="730"/>
      <c r="G624" s="730"/>
      <c r="H624" s="730"/>
      <c r="I624" s="730"/>
      <c r="J624" s="730"/>
      <c r="K624" s="730"/>
      <c r="L624" s="730"/>
      <c r="M624" s="730"/>
      <c r="N624" s="571"/>
      <c r="O624" s="571"/>
      <c r="P624" s="571"/>
      <c r="Q624" s="571"/>
      <c r="R624" s="571"/>
      <c r="S624" s="571"/>
      <c r="T624" s="571"/>
      <c r="U624" s="571"/>
      <c r="V624" s="571"/>
      <c r="W624" s="571"/>
      <c r="X624" s="571"/>
      <c r="Y624" s="571"/>
      <c r="Z624" s="571"/>
      <c r="AA624" s="571"/>
      <c r="AB624" s="571"/>
      <c r="AC624" s="571"/>
      <c r="AD624" s="571"/>
      <c r="AE624" s="571"/>
      <c r="AF624" s="571"/>
      <c r="AG624" s="690"/>
      <c r="AH624" s="691"/>
    </row>
    <row r="625">
      <c r="A625" s="568"/>
      <c r="B625" s="730"/>
      <c r="C625" s="730"/>
      <c r="D625" s="730"/>
      <c r="E625" s="730"/>
      <c r="F625" s="730"/>
      <c r="G625" s="730"/>
      <c r="H625" s="730"/>
      <c r="I625" s="730"/>
      <c r="J625" s="730"/>
      <c r="K625" s="730"/>
      <c r="L625" s="730"/>
      <c r="M625" s="730"/>
      <c r="N625" s="571"/>
      <c r="O625" s="571"/>
      <c r="P625" s="571"/>
      <c r="Q625" s="571"/>
      <c r="R625" s="571"/>
      <c r="S625" s="571"/>
      <c r="T625" s="571"/>
      <c r="U625" s="571"/>
      <c r="V625" s="571"/>
      <c r="W625" s="571"/>
      <c r="X625" s="571"/>
      <c r="Y625" s="571"/>
      <c r="Z625" s="571"/>
      <c r="AA625" s="571"/>
      <c r="AB625" s="571"/>
      <c r="AC625" s="571"/>
      <c r="AD625" s="571"/>
      <c r="AE625" s="571"/>
      <c r="AF625" s="571"/>
      <c r="AG625" s="690"/>
      <c r="AH625" s="691"/>
    </row>
    <row r="626">
      <c r="A626" s="568"/>
      <c r="B626" s="730"/>
      <c r="C626" s="730"/>
      <c r="D626" s="730"/>
      <c r="E626" s="730"/>
      <c r="F626" s="730"/>
      <c r="G626" s="730"/>
      <c r="H626" s="730"/>
      <c r="I626" s="730"/>
      <c r="J626" s="730"/>
      <c r="K626" s="730"/>
      <c r="L626" s="730"/>
      <c r="M626" s="730"/>
      <c r="N626" s="571"/>
      <c r="O626" s="571"/>
      <c r="P626" s="571"/>
      <c r="Q626" s="571"/>
      <c r="R626" s="571"/>
      <c r="S626" s="571"/>
      <c r="T626" s="571"/>
      <c r="U626" s="571"/>
      <c r="V626" s="571"/>
      <c r="W626" s="571"/>
      <c r="X626" s="571"/>
      <c r="Y626" s="571"/>
      <c r="Z626" s="571"/>
      <c r="AA626" s="571"/>
      <c r="AB626" s="571"/>
      <c r="AC626" s="571"/>
      <c r="AD626" s="571"/>
      <c r="AE626" s="571"/>
      <c r="AF626" s="571"/>
      <c r="AG626" s="690"/>
      <c r="AH626" s="691"/>
    </row>
    <row r="627">
      <c r="A627" s="568"/>
      <c r="B627" s="730"/>
      <c r="C627" s="730"/>
      <c r="D627" s="730"/>
      <c r="E627" s="730"/>
      <c r="F627" s="730"/>
      <c r="G627" s="730"/>
      <c r="H627" s="730"/>
      <c r="I627" s="730"/>
      <c r="J627" s="730"/>
      <c r="K627" s="730"/>
      <c r="L627" s="730"/>
      <c r="M627" s="730"/>
      <c r="N627" s="571"/>
      <c r="O627" s="571"/>
      <c r="P627" s="571"/>
      <c r="Q627" s="571"/>
      <c r="R627" s="571"/>
      <c r="S627" s="571"/>
      <c r="T627" s="571"/>
      <c r="U627" s="571"/>
      <c r="V627" s="571"/>
      <c r="W627" s="571"/>
      <c r="X627" s="571"/>
      <c r="Y627" s="571"/>
      <c r="Z627" s="571"/>
      <c r="AA627" s="571"/>
      <c r="AB627" s="571"/>
      <c r="AC627" s="571"/>
      <c r="AD627" s="571"/>
      <c r="AE627" s="571"/>
      <c r="AF627" s="571"/>
      <c r="AG627" s="690"/>
      <c r="AH627" s="691"/>
    </row>
    <row r="628">
      <c r="A628" s="568"/>
      <c r="B628" s="730"/>
      <c r="C628" s="730"/>
      <c r="D628" s="730"/>
      <c r="E628" s="730"/>
      <c r="F628" s="730"/>
      <c r="G628" s="730"/>
      <c r="H628" s="730"/>
      <c r="I628" s="730"/>
      <c r="J628" s="730"/>
      <c r="K628" s="730"/>
      <c r="L628" s="730"/>
      <c r="M628" s="730"/>
      <c r="N628" s="571"/>
      <c r="O628" s="571"/>
      <c r="P628" s="571"/>
      <c r="Q628" s="571"/>
      <c r="R628" s="571"/>
      <c r="S628" s="571"/>
      <c r="T628" s="571"/>
      <c r="U628" s="571"/>
      <c r="V628" s="571"/>
      <c r="W628" s="571"/>
      <c r="X628" s="571"/>
      <c r="Y628" s="571"/>
      <c r="Z628" s="571"/>
      <c r="AA628" s="571"/>
      <c r="AB628" s="571"/>
      <c r="AC628" s="571"/>
      <c r="AD628" s="571"/>
      <c r="AE628" s="571"/>
      <c r="AF628" s="571"/>
      <c r="AG628" s="690"/>
      <c r="AH628" s="691"/>
    </row>
    <row r="629">
      <c r="A629" s="568"/>
      <c r="B629" s="730"/>
      <c r="C629" s="730"/>
      <c r="D629" s="730"/>
      <c r="E629" s="730"/>
      <c r="F629" s="730"/>
      <c r="G629" s="730"/>
      <c r="H629" s="730"/>
      <c r="I629" s="730"/>
      <c r="J629" s="730"/>
      <c r="K629" s="730"/>
      <c r="L629" s="730"/>
      <c r="M629" s="730"/>
      <c r="N629" s="571"/>
      <c r="O629" s="571"/>
      <c r="P629" s="571"/>
      <c r="Q629" s="571"/>
      <c r="R629" s="571"/>
      <c r="S629" s="571"/>
      <c r="T629" s="571"/>
      <c r="U629" s="571"/>
      <c r="V629" s="571"/>
      <c r="W629" s="571"/>
      <c r="X629" s="571"/>
      <c r="Y629" s="571"/>
      <c r="Z629" s="571"/>
      <c r="AA629" s="571"/>
      <c r="AB629" s="571"/>
      <c r="AC629" s="571"/>
      <c r="AD629" s="571"/>
      <c r="AE629" s="571"/>
      <c r="AF629" s="571"/>
      <c r="AG629" s="690"/>
      <c r="AH629" s="691"/>
    </row>
    <row r="630">
      <c r="A630" s="568"/>
      <c r="B630" s="730"/>
      <c r="C630" s="730"/>
      <c r="D630" s="730"/>
      <c r="E630" s="730"/>
      <c r="F630" s="730"/>
      <c r="G630" s="730"/>
      <c r="H630" s="730"/>
      <c r="I630" s="730"/>
      <c r="J630" s="730"/>
      <c r="K630" s="730"/>
      <c r="L630" s="730"/>
      <c r="M630" s="730"/>
      <c r="N630" s="571"/>
      <c r="O630" s="571"/>
      <c r="P630" s="571"/>
      <c r="Q630" s="571"/>
      <c r="R630" s="571"/>
      <c r="S630" s="571"/>
      <c r="T630" s="571"/>
      <c r="U630" s="571"/>
      <c r="V630" s="571"/>
      <c r="W630" s="571"/>
      <c r="X630" s="571"/>
      <c r="Y630" s="571"/>
      <c r="Z630" s="571"/>
      <c r="AA630" s="571"/>
      <c r="AB630" s="571"/>
      <c r="AC630" s="571"/>
      <c r="AD630" s="571"/>
      <c r="AE630" s="571"/>
      <c r="AF630" s="571"/>
      <c r="AG630" s="690"/>
      <c r="AH630" s="691"/>
    </row>
    <row r="631">
      <c r="A631" s="568"/>
      <c r="B631" s="730"/>
      <c r="C631" s="730"/>
      <c r="D631" s="730"/>
      <c r="E631" s="730"/>
      <c r="F631" s="730"/>
      <c r="G631" s="730"/>
      <c r="H631" s="730"/>
      <c r="I631" s="730"/>
      <c r="J631" s="730"/>
      <c r="K631" s="730"/>
      <c r="L631" s="730"/>
      <c r="M631" s="730"/>
      <c r="N631" s="571"/>
      <c r="O631" s="571"/>
      <c r="P631" s="571"/>
      <c r="Q631" s="571"/>
      <c r="R631" s="571"/>
      <c r="S631" s="571"/>
      <c r="T631" s="571"/>
      <c r="U631" s="571"/>
      <c r="V631" s="571"/>
      <c r="W631" s="571"/>
      <c r="X631" s="571"/>
      <c r="Y631" s="571"/>
      <c r="Z631" s="571"/>
      <c r="AA631" s="571"/>
      <c r="AB631" s="571"/>
      <c r="AC631" s="571"/>
      <c r="AD631" s="571"/>
      <c r="AE631" s="571"/>
      <c r="AF631" s="571"/>
      <c r="AG631" s="690"/>
      <c r="AH631" s="691"/>
    </row>
    <row r="632">
      <c r="A632" s="568"/>
      <c r="B632" s="730"/>
      <c r="C632" s="730"/>
      <c r="D632" s="730"/>
      <c r="E632" s="730"/>
      <c r="F632" s="730"/>
      <c r="G632" s="730"/>
      <c r="H632" s="730"/>
      <c r="I632" s="730"/>
      <c r="J632" s="730"/>
      <c r="K632" s="730"/>
      <c r="L632" s="730"/>
      <c r="M632" s="730"/>
      <c r="N632" s="571"/>
      <c r="O632" s="571"/>
      <c r="P632" s="571"/>
      <c r="Q632" s="571"/>
      <c r="R632" s="571"/>
      <c r="S632" s="571"/>
      <c r="T632" s="571"/>
      <c r="U632" s="571"/>
      <c r="V632" s="571"/>
      <c r="W632" s="571"/>
      <c r="X632" s="571"/>
      <c r="Y632" s="571"/>
      <c r="Z632" s="571"/>
      <c r="AA632" s="571"/>
      <c r="AB632" s="571"/>
      <c r="AC632" s="571"/>
      <c r="AD632" s="571"/>
      <c r="AE632" s="571"/>
      <c r="AF632" s="571"/>
      <c r="AG632" s="690"/>
      <c r="AH632" s="691"/>
    </row>
    <row r="633">
      <c r="A633" s="568"/>
      <c r="B633" s="730"/>
      <c r="C633" s="730"/>
      <c r="D633" s="730"/>
      <c r="E633" s="730"/>
      <c r="F633" s="730"/>
      <c r="G633" s="730"/>
      <c r="H633" s="730"/>
      <c r="I633" s="730"/>
      <c r="J633" s="730"/>
      <c r="K633" s="730"/>
      <c r="L633" s="730"/>
      <c r="M633" s="730"/>
      <c r="N633" s="571"/>
      <c r="O633" s="571"/>
      <c r="P633" s="571"/>
      <c r="Q633" s="571"/>
      <c r="R633" s="571"/>
      <c r="S633" s="571"/>
      <c r="T633" s="571"/>
      <c r="U633" s="571"/>
      <c r="V633" s="571"/>
      <c r="W633" s="571"/>
      <c r="X633" s="571"/>
      <c r="Y633" s="571"/>
      <c r="Z633" s="571"/>
      <c r="AA633" s="571"/>
      <c r="AB633" s="571"/>
      <c r="AC633" s="571"/>
      <c r="AD633" s="571"/>
      <c r="AE633" s="571"/>
      <c r="AF633" s="571"/>
      <c r="AG633" s="690"/>
      <c r="AH633" s="691"/>
    </row>
    <row r="634">
      <c r="A634" s="568"/>
      <c r="B634" s="730"/>
      <c r="C634" s="730"/>
      <c r="D634" s="730"/>
      <c r="E634" s="730"/>
      <c r="F634" s="730"/>
      <c r="G634" s="730"/>
      <c r="H634" s="730"/>
      <c r="I634" s="730"/>
      <c r="J634" s="730"/>
      <c r="K634" s="730"/>
      <c r="L634" s="730"/>
      <c r="M634" s="730"/>
      <c r="N634" s="571"/>
      <c r="O634" s="571"/>
      <c r="P634" s="571"/>
      <c r="Q634" s="571"/>
      <c r="R634" s="571"/>
      <c r="S634" s="571"/>
      <c r="T634" s="571"/>
      <c r="U634" s="571"/>
      <c r="V634" s="571"/>
      <c r="W634" s="571"/>
      <c r="X634" s="571"/>
      <c r="Y634" s="571"/>
      <c r="Z634" s="571"/>
      <c r="AA634" s="571"/>
      <c r="AB634" s="571"/>
      <c r="AC634" s="571"/>
      <c r="AD634" s="571"/>
      <c r="AE634" s="571"/>
      <c r="AF634" s="571"/>
      <c r="AG634" s="690"/>
      <c r="AH634" s="691"/>
    </row>
    <row r="635">
      <c r="A635" s="568"/>
      <c r="B635" s="730"/>
      <c r="C635" s="730"/>
      <c r="D635" s="730"/>
      <c r="E635" s="730"/>
      <c r="F635" s="730"/>
      <c r="G635" s="730"/>
      <c r="H635" s="730"/>
      <c r="I635" s="730"/>
      <c r="J635" s="730"/>
      <c r="K635" s="730"/>
      <c r="L635" s="730"/>
      <c r="M635" s="730"/>
      <c r="N635" s="571"/>
      <c r="O635" s="571"/>
      <c r="P635" s="571"/>
      <c r="Q635" s="571"/>
      <c r="R635" s="571"/>
      <c r="S635" s="571"/>
      <c r="T635" s="571"/>
      <c r="U635" s="571"/>
      <c r="V635" s="571"/>
      <c r="W635" s="571"/>
      <c r="X635" s="571"/>
      <c r="Y635" s="571"/>
      <c r="Z635" s="571"/>
      <c r="AA635" s="571"/>
      <c r="AB635" s="571"/>
      <c r="AC635" s="571"/>
      <c r="AD635" s="571"/>
      <c r="AE635" s="571"/>
      <c r="AF635" s="571"/>
      <c r="AG635" s="690"/>
      <c r="AH635" s="691"/>
    </row>
    <row r="636">
      <c r="A636" s="568"/>
      <c r="B636" s="730"/>
      <c r="C636" s="730"/>
      <c r="D636" s="730"/>
      <c r="E636" s="730"/>
      <c r="F636" s="730"/>
      <c r="G636" s="730"/>
      <c r="H636" s="730"/>
      <c r="I636" s="730"/>
      <c r="J636" s="730"/>
      <c r="K636" s="730"/>
      <c r="L636" s="730"/>
      <c r="M636" s="730"/>
      <c r="N636" s="571"/>
      <c r="O636" s="571"/>
      <c r="P636" s="571"/>
      <c r="Q636" s="571"/>
      <c r="R636" s="571"/>
      <c r="S636" s="571"/>
      <c r="T636" s="571"/>
      <c r="U636" s="571"/>
      <c r="V636" s="571"/>
      <c r="W636" s="571"/>
      <c r="X636" s="571"/>
      <c r="Y636" s="571"/>
      <c r="Z636" s="571"/>
      <c r="AA636" s="571"/>
      <c r="AB636" s="571"/>
      <c r="AC636" s="571"/>
      <c r="AD636" s="571"/>
      <c r="AE636" s="571"/>
      <c r="AF636" s="571"/>
      <c r="AG636" s="690"/>
      <c r="AH636" s="691"/>
    </row>
    <row r="637">
      <c r="A637" s="568"/>
      <c r="B637" s="730"/>
      <c r="C637" s="730"/>
      <c r="D637" s="730"/>
      <c r="E637" s="730"/>
      <c r="F637" s="730"/>
      <c r="G637" s="730"/>
      <c r="H637" s="730"/>
      <c r="I637" s="730"/>
      <c r="J637" s="730"/>
      <c r="K637" s="730"/>
      <c r="L637" s="730"/>
      <c r="M637" s="730"/>
      <c r="N637" s="571"/>
      <c r="O637" s="571"/>
      <c r="P637" s="571"/>
      <c r="Q637" s="571"/>
      <c r="R637" s="571"/>
      <c r="S637" s="571"/>
      <c r="T637" s="571"/>
      <c r="U637" s="571"/>
      <c r="V637" s="571"/>
      <c r="W637" s="571"/>
      <c r="X637" s="571"/>
      <c r="Y637" s="571"/>
      <c r="Z637" s="571"/>
      <c r="AA637" s="571"/>
      <c r="AB637" s="571"/>
      <c r="AC637" s="571"/>
      <c r="AD637" s="571"/>
      <c r="AE637" s="571"/>
      <c r="AF637" s="571"/>
      <c r="AG637" s="690"/>
      <c r="AH637" s="691"/>
    </row>
    <row r="638">
      <c r="A638" s="568"/>
      <c r="B638" s="730"/>
      <c r="C638" s="730"/>
      <c r="D638" s="730"/>
      <c r="E638" s="730"/>
      <c r="F638" s="730"/>
      <c r="G638" s="730"/>
      <c r="H638" s="730"/>
      <c r="I638" s="730"/>
      <c r="J638" s="730"/>
      <c r="K638" s="730"/>
      <c r="L638" s="730"/>
      <c r="M638" s="730"/>
      <c r="N638" s="571"/>
      <c r="O638" s="571"/>
      <c r="P638" s="571"/>
      <c r="Q638" s="571"/>
      <c r="R638" s="571"/>
      <c r="S638" s="571"/>
      <c r="T638" s="571"/>
      <c r="U638" s="571"/>
      <c r="V638" s="571"/>
      <c r="W638" s="571"/>
      <c r="X638" s="571"/>
      <c r="Y638" s="571"/>
      <c r="Z638" s="571"/>
      <c r="AA638" s="571"/>
      <c r="AB638" s="571"/>
      <c r="AC638" s="571"/>
      <c r="AD638" s="571"/>
      <c r="AE638" s="571"/>
      <c r="AF638" s="571"/>
      <c r="AG638" s="690"/>
      <c r="AH638" s="691"/>
    </row>
    <row r="639">
      <c r="A639" s="568"/>
      <c r="B639" s="730"/>
      <c r="C639" s="730"/>
      <c r="D639" s="730"/>
      <c r="E639" s="730"/>
      <c r="F639" s="730"/>
      <c r="G639" s="730"/>
      <c r="H639" s="730"/>
      <c r="I639" s="730"/>
      <c r="J639" s="730"/>
      <c r="K639" s="730"/>
      <c r="L639" s="730"/>
      <c r="M639" s="730"/>
      <c r="N639" s="571"/>
      <c r="O639" s="571"/>
      <c r="P639" s="571"/>
      <c r="Q639" s="571"/>
      <c r="R639" s="571"/>
      <c r="S639" s="571"/>
      <c r="T639" s="571"/>
      <c r="U639" s="571"/>
      <c r="V639" s="571"/>
      <c r="W639" s="571"/>
      <c r="X639" s="571"/>
      <c r="Y639" s="571"/>
      <c r="Z639" s="571"/>
      <c r="AA639" s="571"/>
      <c r="AB639" s="571"/>
      <c r="AC639" s="571"/>
      <c r="AD639" s="571"/>
      <c r="AE639" s="571"/>
      <c r="AF639" s="571"/>
      <c r="AG639" s="690"/>
      <c r="AH639" s="691"/>
    </row>
    <row r="640">
      <c r="A640" s="568"/>
      <c r="B640" s="730"/>
      <c r="C640" s="730"/>
      <c r="D640" s="730"/>
      <c r="E640" s="730"/>
      <c r="F640" s="730"/>
      <c r="G640" s="730"/>
      <c r="H640" s="730"/>
      <c r="I640" s="730"/>
      <c r="J640" s="730"/>
      <c r="K640" s="730"/>
      <c r="L640" s="730"/>
      <c r="M640" s="730"/>
      <c r="N640" s="571"/>
      <c r="O640" s="571"/>
      <c r="P640" s="571"/>
      <c r="Q640" s="571"/>
      <c r="R640" s="571"/>
      <c r="S640" s="571"/>
      <c r="T640" s="571"/>
      <c r="U640" s="571"/>
      <c r="V640" s="571"/>
      <c r="W640" s="571"/>
      <c r="X640" s="571"/>
      <c r="Y640" s="571"/>
      <c r="Z640" s="571"/>
      <c r="AA640" s="571"/>
      <c r="AB640" s="571"/>
      <c r="AC640" s="571"/>
      <c r="AD640" s="571"/>
      <c r="AE640" s="571"/>
      <c r="AF640" s="571"/>
      <c r="AG640" s="690"/>
      <c r="AH640" s="691"/>
    </row>
    <row r="641">
      <c r="A641" s="568"/>
      <c r="B641" s="730"/>
      <c r="C641" s="730"/>
      <c r="D641" s="730"/>
      <c r="E641" s="730"/>
      <c r="F641" s="730"/>
      <c r="G641" s="730"/>
      <c r="H641" s="730"/>
      <c r="I641" s="730"/>
      <c r="J641" s="730"/>
      <c r="K641" s="730"/>
      <c r="L641" s="730"/>
      <c r="M641" s="730"/>
      <c r="N641" s="571"/>
      <c r="O641" s="571"/>
      <c r="P641" s="571"/>
      <c r="Q641" s="571"/>
      <c r="R641" s="571"/>
      <c r="S641" s="571"/>
      <c r="T641" s="571"/>
      <c r="U641" s="571"/>
      <c r="V641" s="571"/>
      <c r="W641" s="571"/>
      <c r="X641" s="571"/>
      <c r="Y641" s="571"/>
      <c r="Z641" s="571"/>
      <c r="AA641" s="571"/>
      <c r="AB641" s="571"/>
      <c r="AC641" s="571"/>
      <c r="AD641" s="571"/>
      <c r="AE641" s="571"/>
      <c r="AF641" s="571"/>
      <c r="AG641" s="690"/>
      <c r="AH641" s="691"/>
    </row>
    <row r="642">
      <c r="A642" s="568"/>
      <c r="B642" s="730"/>
      <c r="C642" s="730"/>
      <c r="D642" s="730"/>
      <c r="E642" s="730"/>
      <c r="F642" s="730"/>
      <c r="G642" s="730"/>
      <c r="H642" s="730"/>
      <c r="I642" s="730"/>
      <c r="J642" s="730"/>
      <c r="K642" s="730"/>
      <c r="L642" s="730"/>
      <c r="M642" s="730"/>
      <c r="N642" s="571"/>
      <c r="O642" s="571"/>
      <c r="P642" s="571"/>
      <c r="Q642" s="571"/>
      <c r="R642" s="571"/>
      <c r="S642" s="571"/>
      <c r="T642" s="571"/>
      <c r="U642" s="571"/>
      <c r="V642" s="571"/>
      <c r="W642" s="571"/>
      <c r="X642" s="571"/>
      <c r="Y642" s="571"/>
      <c r="Z642" s="571"/>
      <c r="AA642" s="571"/>
      <c r="AB642" s="571"/>
      <c r="AC642" s="571"/>
      <c r="AD642" s="571"/>
      <c r="AE642" s="571"/>
      <c r="AF642" s="571"/>
      <c r="AG642" s="690"/>
      <c r="AH642" s="691"/>
    </row>
    <row r="643">
      <c r="A643" s="568"/>
      <c r="B643" s="730"/>
      <c r="C643" s="730"/>
      <c r="D643" s="730"/>
      <c r="E643" s="730"/>
      <c r="F643" s="730"/>
      <c r="G643" s="730"/>
      <c r="H643" s="730"/>
      <c r="I643" s="730"/>
      <c r="J643" s="730"/>
      <c r="K643" s="730"/>
      <c r="L643" s="730"/>
      <c r="M643" s="730"/>
      <c r="N643" s="571"/>
      <c r="O643" s="571"/>
      <c r="P643" s="571"/>
      <c r="Q643" s="571"/>
      <c r="R643" s="571"/>
      <c r="S643" s="571"/>
      <c r="T643" s="571"/>
      <c r="U643" s="571"/>
      <c r="V643" s="571"/>
      <c r="W643" s="571"/>
      <c r="X643" s="571"/>
      <c r="Y643" s="571"/>
      <c r="Z643" s="571"/>
      <c r="AA643" s="571"/>
      <c r="AB643" s="571"/>
      <c r="AC643" s="571"/>
      <c r="AD643" s="571"/>
      <c r="AE643" s="571"/>
      <c r="AF643" s="571"/>
      <c r="AG643" s="690"/>
      <c r="AH643" s="691"/>
    </row>
    <row r="644">
      <c r="A644" s="568"/>
      <c r="B644" s="730"/>
      <c r="C644" s="730"/>
      <c r="D644" s="730"/>
      <c r="E644" s="730"/>
      <c r="F644" s="730"/>
      <c r="G644" s="730"/>
      <c r="H644" s="730"/>
      <c r="I644" s="730"/>
      <c r="J644" s="730"/>
      <c r="K644" s="730"/>
      <c r="L644" s="730"/>
      <c r="M644" s="730"/>
      <c r="N644" s="571"/>
      <c r="O644" s="571"/>
      <c r="P644" s="571"/>
      <c r="Q644" s="571"/>
      <c r="R644" s="571"/>
      <c r="S644" s="571"/>
      <c r="T644" s="571"/>
      <c r="U644" s="571"/>
      <c r="V644" s="571"/>
      <c r="W644" s="571"/>
      <c r="X644" s="571"/>
      <c r="Y644" s="571"/>
      <c r="Z644" s="571"/>
      <c r="AA644" s="571"/>
      <c r="AB644" s="571"/>
      <c r="AC644" s="571"/>
      <c r="AD644" s="571"/>
      <c r="AE644" s="571"/>
      <c r="AF644" s="571"/>
      <c r="AG644" s="690"/>
      <c r="AH644" s="691"/>
    </row>
    <row r="645">
      <c r="A645" s="568"/>
      <c r="B645" s="730"/>
      <c r="C645" s="730"/>
      <c r="D645" s="730"/>
      <c r="E645" s="730"/>
      <c r="F645" s="730"/>
      <c r="G645" s="730"/>
      <c r="H645" s="730"/>
      <c r="I645" s="730"/>
      <c r="J645" s="730"/>
      <c r="K645" s="730"/>
      <c r="L645" s="730"/>
      <c r="M645" s="730"/>
      <c r="N645" s="571"/>
      <c r="O645" s="571"/>
      <c r="P645" s="571"/>
      <c r="Q645" s="571"/>
      <c r="R645" s="571"/>
      <c r="S645" s="571"/>
      <c r="T645" s="571"/>
      <c r="U645" s="571"/>
      <c r="V645" s="571"/>
      <c r="W645" s="571"/>
      <c r="X645" s="571"/>
      <c r="Y645" s="571"/>
      <c r="Z645" s="571"/>
      <c r="AA645" s="571"/>
      <c r="AB645" s="571"/>
      <c r="AC645" s="571"/>
      <c r="AD645" s="571"/>
      <c r="AE645" s="571"/>
      <c r="AF645" s="571"/>
      <c r="AG645" s="690"/>
      <c r="AH645" s="691"/>
    </row>
    <row r="646">
      <c r="A646" s="568"/>
      <c r="B646" s="730"/>
      <c r="C646" s="730"/>
      <c r="D646" s="730"/>
      <c r="E646" s="730"/>
      <c r="F646" s="730"/>
      <c r="G646" s="730"/>
      <c r="H646" s="730"/>
      <c r="I646" s="730"/>
      <c r="J646" s="730"/>
      <c r="K646" s="730"/>
      <c r="L646" s="730"/>
      <c r="M646" s="730"/>
      <c r="N646" s="571"/>
      <c r="O646" s="571"/>
      <c r="P646" s="571"/>
      <c r="Q646" s="571"/>
      <c r="R646" s="571"/>
      <c r="S646" s="571"/>
      <c r="T646" s="571"/>
      <c r="U646" s="571"/>
      <c r="V646" s="571"/>
      <c r="W646" s="571"/>
      <c r="X646" s="571"/>
      <c r="Y646" s="571"/>
      <c r="Z646" s="571"/>
      <c r="AA646" s="571"/>
      <c r="AB646" s="571"/>
      <c r="AC646" s="571"/>
      <c r="AD646" s="571"/>
      <c r="AE646" s="571"/>
      <c r="AF646" s="571"/>
      <c r="AG646" s="690"/>
      <c r="AH646" s="691"/>
    </row>
    <row r="647">
      <c r="A647" s="568"/>
      <c r="B647" s="730"/>
      <c r="C647" s="730"/>
      <c r="D647" s="730"/>
      <c r="E647" s="730"/>
      <c r="F647" s="730"/>
      <c r="G647" s="730"/>
      <c r="H647" s="730"/>
      <c r="I647" s="730"/>
      <c r="J647" s="730"/>
      <c r="K647" s="730"/>
      <c r="L647" s="730"/>
      <c r="M647" s="730"/>
      <c r="N647" s="571"/>
      <c r="O647" s="571"/>
      <c r="P647" s="571"/>
      <c r="Q647" s="571"/>
      <c r="R647" s="571"/>
      <c r="S647" s="571"/>
      <c r="T647" s="571"/>
      <c r="U647" s="571"/>
      <c r="V647" s="571"/>
      <c r="W647" s="571"/>
      <c r="X647" s="571"/>
      <c r="Y647" s="571"/>
      <c r="Z647" s="571"/>
      <c r="AA647" s="571"/>
      <c r="AB647" s="571"/>
      <c r="AC647" s="571"/>
      <c r="AD647" s="571"/>
      <c r="AE647" s="571"/>
      <c r="AF647" s="571"/>
      <c r="AG647" s="690"/>
      <c r="AH647" s="691"/>
    </row>
    <row r="648">
      <c r="A648" s="568"/>
      <c r="B648" s="730"/>
      <c r="C648" s="730"/>
      <c r="D648" s="730"/>
      <c r="E648" s="730"/>
      <c r="F648" s="730"/>
      <c r="G648" s="730"/>
      <c r="H648" s="730"/>
      <c r="I648" s="730"/>
      <c r="J648" s="730"/>
      <c r="K648" s="730"/>
      <c r="L648" s="730"/>
      <c r="M648" s="730"/>
      <c r="N648" s="571"/>
      <c r="O648" s="571"/>
      <c r="P648" s="571"/>
      <c r="Q648" s="571"/>
      <c r="R648" s="571"/>
      <c r="S648" s="571"/>
      <c r="T648" s="571"/>
      <c r="U648" s="571"/>
      <c r="V648" s="571"/>
      <c r="W648" s="571"/>
      <c r="X648" s="571"/>
      <c r="Y648" s="571"/>
      <c r="Z648" s="571"/>
      <c r="AA648" s="571"/>
      <c r="AB648" s="571"/>
      <c r="AC648" s="571"/>
      <c r="AD648" s="571"/>
      <c r="AE648" s="571"/>
      <c r="AF648" s="571"/>
      <c r="AG648" s="690"/>
      <c r="AH648" s="691"/>
    </row>
    <row r="649">
      <c r="A649" s="568"/>
      <c r="B649" s="730"/>
      <c r="C649" s="730"/>
      <c r="D649" s="730"/>
      <c r="E649" s="730"/>
      <c r="F649" s="730"/>
      <c r="G649" s="730"/>
      <c r="H649" s="730"/>
      <c r="I649" s="730"/>
      <c r="J649" s="730"/>
      <c r="K649" s="730"/>
      <c r="L649" s="730"/>
      <c r="M649" s="730"/>
      <c r="N649" s="571"/>
      <c r="O649" s="571"/>
      <c r="P649" s="571"/>
      <c r="Q649" s="571"/>
      <c r="R649" s="571"/>
      <c r="S649" s="571"/>
      <c r="T649" s="571"/>
      <c r="U649" s="571"/>
      <c r="V649" s="571"/>
      <c r="W649" s="571"/>
      <c r="X649" s="571"/>
      <c r="Y649" s="571"/>
      <c r="Z649" s="571"/>
      <c r="AA649" s="571"/>
      <c r="AB649" s="571"/>
      <c r="AC649" s="571"/>
      <c r="AD649" s="571"/>
      <c r="AE649" s="571"/>
      <c r="AF649" s="571"/>
      <c r="AG649" s="690"/>
      <c r="AH649" s="691"/>
    </row>
    <row r="650">
      <c r="A650" s="568"/>
      <c r="B650" s="730"/>
      <c r="C650" s="730"/>
      <c r="D650" s="730"/>
      <c r="E650" s="730"/>
      <c r="F650" s="730"/>
      <c r="G650" s="730"/>
      <c r="H650" s="730"/>
      <c r="I650" s="730"/>
      <c r="J650" s="730"/>
      <c r="K650" s="730"/>
      <c r="L650" s="730"/>
      <c r="M650" s="730"/>
      <c r="N650" s="571"/>
      <c r="O650" s="571"/>
      <c r="P650" s="571"/>
      <c r="Q650" s="571"/>
      <c r="R650" s="571"/>
      <c r="S650" s="571"/>
      <c r="T650" s="571"/>
      <c r="U650" s="571"/>
      <c r="V650" s="571"/>
      <c r="W650" s="571"/>
      <c r="X650" s="571"/>
      <c r="Y650" s="571"/>
      <c r="Z650" s="571"/>
      <c r="AA650" s="571"/>
      <c r="AB650" s="571"/>
      <c r="AC650" s="571"/>
      <c r="AD650" s="571"/>
      <c r="AE650" s="571"/>
      <c r="AF650" s="571"/>
      <c r="AG650" s="690"/>
      <c r="AH650" s="691"/>
    </row>
    <row r="651">
      <c r="A651" s="568"/>
      <c r="B651" s="730"/>
      <c r="C651" s="730"/>
      <c r="D651" s="730"/>
      <c r="E651" s="730"/>
      <c r="F651" s="730"/>
      <c r="G651" s="730"/>
      <c r="H651" s="730"/>
      <c r="I651" s="730"/>
      <c r="J651" s="730"/>
      <c r="K651" s="730"/>
      <c r="L651" s="730"/>
      <c r="M651" s="730"/>
      <c r="N651" s="571"/>
      <c r="O651" s="571"/>
      <c r="P651" s="571"/>
      <c r="Q651" s="571"/>
      <c r="R651" s="571"/>
      <c r="S651" s="571"/>
      <c r="T651" s="571"/>
      <c r="U651" s="571"/>
      <c r="V651" s="571"/>
      <c r="W651" s="571"/>
      <c r="X651" s="571"/>
      <c r="Y651" s="571"/>
      <c r="Z651" s="571"/>
      <c r="AA651" s="571"/>
      <c r="AB651" s="571"/>
      <c r="AC651" s="571"/>
      <c r="AD651" s="571"/>
      <c r="AE651" s="571"/>
      <c r="AF651" s="571"/>
      <c r="AG651" s="690"/>
      <c r="AH651" s="691"/>
    </row>
    <row r="652">
      <c r="A652" s="568"/>
      <c r="B652" s="730"/>
      <c r="C652" s="730"/>
      <c r="D652" s="730"/>
      <c r="E652" s="730"/>
      <c r="F652" s="730"/>
      <c r="G652" s="730"/>
      <c r="H652" s="730"/>
      <c r="I652" s="730"/>
      <c r="J652" s="730"/>
      <c r="K652" s="730"/>
      <c r="L652" s="730"/>
      <c r="M652" s="730"/>
      <c r="N652" s="571"/>
      <c r="O652" s="571"/>
      <c r="P652" s="571"/>
      <c r="Q652" s="571"/>
      <c r="R652" s="571"/>
      <c r="S652" s="571"/>
      <c r="T652" s="571"/>
      <c r="U652" s="571"/>
      <c r="V652" s="571"/>
      <c r="W652" s="571"/>
      <c r="X652" s="571"/>
      <c r="Y652" s="571"/>
      <c r="Z652" s="571"/>
      <c r="AA652" s="571"/>
      <c r="AB652" s="571"/>
      <c r="AC652" s="571"/>
      <c r="AD652" s="571"/>
      <c r="AE652" s="571"/>
      <c r="AF652" s="571"/>
      <c r="AG652" s="690"/>
      <c r="AH652" s="691"/>
    </row>
    <row r="653">
      <c r="A653" s="568"/>
      <c r="B653" s="730"/>
      <c r="C653" s="730"/>
      <c r="D653" s="730"/>
      <c r="E653" s="730"/>
      <c r="F653" s="730"/>
      <c r="G653" s="730"/>
      <c r="H653" s="730"/>
      <c r="I653" s="730"/>
      <c r="J653" s="730"/>
      <c r="K653" s="730"/>
      <c r="L653" s="730"/>
      <c r="M653" s="730"/>
      <c r="N653" s="571"/>
      <c r="O653" s="571"/>
      <c r="P653" s="571"/>
      <c r="Q653" s="571"/>
      <c r="R653" s="571"/>
      <c r="S653" s="571"/>
      <c r="T653" s="571"/>
      <c r="U653" s="571"/>
      <c r="V653" s="571"/>
      <c r="W653" s="571"/>
      <c r="X653" s="571"/>
      <c r="Y653" s="571"/>
      <c r="Z653" s="571"/>
      <c r="AA653" s="571"/>
      <c r="AB653" s="571"/>
      <c r="AC653" s="571"/>
      <c r="AD653" s="571"/>
      <c r="AE653" s="571"/>
      <c r="AF653" s="571"/>
      <c r="AG653" s="690"/>
      <c r="AH653" s="691"/>
    </row>
    <row r="654">
      <c r="A654" s="568"/>
      <c r="B654" s="730"/>
      <c r="C654" s="730"/>
      <c r="D654" s="730"/>
      <c r="E654" s="730"/>
      <c r="F654" s="730"/>
      <c r="G654" s="730"/>
      <c r="H654" s="730"/>
      <c r="I654" s="730"/>
      <c r="J654" s="730"/>
      <c r="K654" s="730"/>
      <c r="L654" s="730"/>
      <c r="M654" s="730"/>
      <c r="N654" s="571"/>
      <c r="O654" s="571"/>
      <c r="P654" s="571"/>
      <c r="Q654" s="571"/>
      <c r="R654" s="571"/>
      <c r="S654" s="571"/>
      <c r="T654" s="571"/>
      <c r="U654" s="571"/>
      <c r="V654" s="571"/>
      <c r="W654" s="571"/>
      <c r="X654" s="571"/>
      <c r="Y654" s="571"/>
      <c r="Z654" s="571"/>
      <c r="AA654" s="571"/>
      <c r="AB654" s="571"/>
      <c r="AC654" s="571"/>
      <c r="AD654" s="571"/>
      <c r="AE654" s="571"/>
      <c r="AF654" s="571"/>
      <c r="AG654" s="690"/>
      <c r="AH654" s="691"/>
    </row>
    <row r="655">
      <c r="A655" s="568"/>
      <c r="B655" s="730"/>
      <c r="C655" s="730"/>
      <c r="D655" s="730"/>
      <c r="E655" s="730"/>
      <c r="F655" s="730"/>
      <c r="G655" s="730"/>
      <c r="H655" s="730"/>
      <c r="I655" s="730"/>
      <c r="J655" s="730"/>
      <c r="K655" s="730"/>
      <c r="L655" s="730"/>
      <c r="M655" s="730"/>
      <c r="N655" s="571"/>
      <c r="O655" s="571"/>
      <c r="P655" s="571"/>
      <c r="Q655" s="571"/>
      <c r="R655" s="571"/>
      <c r="S655" s="571"/>
      <c r="T655" s="571"/>
      <c r="U655" s="571"/>
      <c r="V655" s="571"/>
      <c r="W655" s="571"/>
      <c r="X655" s="571"/>
      <c r="Y655" s="571"/>
      <c r="Z655" s="571"/>
      <c r="AA655" s="571"/>
      <c r="AB655" s="571"/>
      <c r="AC655" s="571"/>
      <c r="AD655" s="571"/>
      <c r="AE655" s="571"/>
      <c r="AF655" s="571"/>
      <c r="AG655" s="690"/>
      <c r="AH655" s="691"/>
    </row>
    <row r="656">
      <c r="A656" s="568"/>
      <c r="B656" s="730"/>
      <c r="C656" s="730"/>
      <c r="D656" s="730"/>
      <c r="E656" s="730"/>
      <c r="F656" s="730"/>
      <c r="G656" s="730"/>
      <c r="H656" s="730"/>
      <c r="I656" s="730"/>
      <c r="J656" s="730"/>
      <c r="K656" s="730"/>
      <c r="L656" s="730"/>
      <c r="M656" s="730"/>
      <c r="N656" s="571"/>
      <c r="O656" s="571"/>
      <c r="P656" s="571"/>
      <c r="Q656" s="571"/>
      <c r="R656" s="571"/>
      <c r="S656" s="571"/>
      <c r="T656" s="571"/>
      <c r="U656" s="571"/>
      <c r="V656" s="571"/>
      <c r="W656" s="571"/>
      <c r="X656" s="571"/>
      <c r="Y656" s="571"/>
      <c r="Z656" s="571"/>
      <c r="AA656" s="571"/>
      <c r="AB656" s="571"/>
      <c r="AC656" s="571"/>
      <c r="AD656" s="571"/>
      <c r="AE656" s="571"/>
      <c r="AF656" s="571"/>
      <c r="AG656" s="690"/>
      <c r="AH656" s="691"/>
    </row>
    <row r="657">
      <c r="A657" s="568"/>
      <c r="B657" s="730"/>
      <c r="C657" s="730"/>
      <c r="D657" s="730"/>
      <c r="E657" s="730"/>
      <c r="F657" s="730"/>
      <c r="G657" s="730"/>
      <c r="H657" s="730"/>
      <c r="I657" s="730"/>
      <c r="J657" s="730"/>
      <c r="K657" s="730"/>
      <c r="L657" s="730"/>
      <c r="M657" s="730"/>
      <c r="N657" s="571"/>
      <c r="O657" s="571"/>
      <c r="P657" s="571"/>
      <c r="Q657" s="571"/>
      <c r="R657" s="571"/>
      <c r="S657" s="571"/>
      <c r="T657" s="571"/>
      <c r="U657" s="571"/>
      <c r="V657" s="571"/>
      <c r="W657" s="571"/>
      <c r="X657" s="571"/>
      <c r="Y657" s="571"/>
      <c r="Z657" s="571"/>
      <c r="AA657" s="571"/>
      <c r="AB657" s="571"/>
      <c r="AC657" s="571"/>
      <c r="AD657" s="571"/>
      <c r="AE657" s="571"/>
      <c r="AF657" s="571"/>
      <c r="AG657" s="690"/>
      <c r="AH657" s="691"/>
    </row>
    <row r="658">
      <c r="A658" s="568"/>
      <c r="B658" s="730"/>
      <c r="C658" s="730"/>
      <c r="D658" s="730"/>
      <c r="E658" s="730"/>
      <c r="F658" s="730"/>
      <c r="G658" s="730"/>
      <c r="H658" s="730"/>
      <c r="I658" s="730"/>
      <c r="J658" s="730"/>
      <c r="K658" s="730"/>
      <c r="L658" s="730"/>
      <c r="M658" s="730"/>
      <c r="N658" s="571"/>
      <c r="O658" s="571"/>
      <c r="P658" s="571"/>
      <c r="Q658" s="571"/>
      <c r="R658" s="571"/>
      <c r="S658" s="571"/>
      <c r="T658" s="571"/>
      <c r="U658" s="571"/>
      <c r="V658" s="571"/>
      <c r="W658" s="571"/>
      <c r="X658" s="571"/>
      <c r="Y658" s="571"/>
      <c r="Z658" s="571"/>
      <c r="AA658" s="571"/>
      <c r="AB658" s="571"/>
      <c r="AC658" s="571"/>
      <c r="AD658" s="571"/>
      <c r="AE658" s="571"/>
      <c r="AF658" s="571"/>
      <c r="AG658" s="690"/>
      <c r="AH658" s="691"/>
    </row>
    <row r="659">
      <c r="A659" s="568"/>
      <c r="B659" s="730"/>
      <c r="C659" s="730"/>
      <c r="D659" s="730"/>
      <c r="E659" s="730"/>
      <c r="F659" s="730"/>
      <c r="G659" s="730"/>
      <c r="H659" s="730"/>
      <c r="I659" s="730"/>
      <c r="J659" s="730"/>
      <c r="K659" s="730"/>
      <c r="L659" s="730"/>
      <c r="M659" s="730"/>
      <c r="N659" s="571"/>
      <c r="O659" s="571"/>
      <c r="P659" s="571"/>
      <c r="Q659" s="571"/>
      <c r="R659" s="571"/>
      <c r="S659" s="571"/>
      <c r="T659" s="571"/>
      <c r="U659" s="571"/>
      <c r="V659" s="571"/>
      <c r="W659" s="571"/>
      <c r="X659" s="571"/>
      <c r="Y659" s="571"/>
      <c r="Z659" s="571"/>
      <c r="AA659" s="571"/>
      <c r="AB659" s="571"/>
      <c r="AC659" s="571"/>
      <c r="AD659" s="571"/>
      <c r="AE659" s="571"/>
      <c r="AF659" s="571"/>
      <c r="AG659" s="690"/>
      <c r="AH659" s="691"/>
    </row>
    <row r="660">
      <c r="A660" s="568"/>
      <c r="B660" s="730"/>
      <c r="C660" s="730"/>
      <c r="D660" s="730"/>
      <c r="E660" s="730"/>
      <c r="F660" s="730"/>
      <c r="G660" s="730"/>
      <c r="H660" s="730"/>
      <c r="I660" s="730"/>
      <c r="J660" s="730"/>
      <c r="K660" s="730"/>
      <c r="L660" s="730"/>
      <c r="M660" s="730"/>
      <c r="N660" s="571"/>
      <c r="O660" s="571"/>
      <c r="P660" s="571"/>
      <c r="Q660" s="571"/>
      <c r="R660" s="571"/>
      <c r="S660" s="571"/>
      <c r="T660" s="571"/>
      <c r="U660" s="571"/>
      <c r="V660" s="571"/>
      <c r="W660" s="571"/>
      <c r="X660" s="571"/>
      <c r="Y660" s="571"/>
      <c r="Z660" s="571"/>
      <c r="AA660" s="571"/>
      <c r="AB660" s="571"/>
      <c r="AC660" s="571"/>
      <c r="AD660" s="571"/>
      <c r="AE660" s="571"/>
      <c r="AF660" s="571"/>
      <c r="AG660" s="690"/>
      <c r="AH660" s="691"/>
    </row>
    <row r="661">
      <c r="A661" s="568"/>
      <c r="B661" s="730"/>
      <c r="C661" s="730"/>
      <c r="D661" s="730"/>
      <c r="E661" s="730"/>
      <c r="F661" s="730"/>
      <c r="G661" s="730"/>
      <c r="H661" s="730"/>
      <c r="I661" s="730"/>
      <c r="J661" s="730"/>
      <c r="K661" s="730"/>
      <c r="L661" s="730"/>
      <c r="M661" s="730"/>
      <c r="N661" s="571"/>
      <c r="O661" s="571"/>
      <c r="P661" s="571"/>
      <c r="Q661" s="571"/>
      <c r="R661" s="571"/>
      <c r="S661" s="571"/>
      <c r="T661" s="571"/>
      <c r="U661" s="571"/>
      <c r="V661" s="571"/>
      <c r="W661" s="571"/>
      <c r="X661" s="571"/>
      <c r="Y661" s="571"/>
      <c r="Z661" s="571"/>
      <c r="AA661" s="571"/>
      <c r="AB661" s="571"/>
      <c r="AC661" s="571"/>
      <c r="AD661" s="571"/>
      <c r="AE661" s="571"/>
      <c r="AF661" s="571"/>
      <c r="AG661" s="690"/>
      <c r="AH661" s="691"/>
    </row>
    <row r="662">
      <c r="A662" s="568"/>
      <c r="B662" s="730"/>
      <c r="C662" s="730"/>
      <c r="D662" s="730"/>
      <c r="E662" s="730"/>
      <c r="F662" s="730"/>
      <c r="G662" s="730"/>
      <c r="H662" s="730"/>
      <c r="I662" s="730"/>
      <c r="J662" s="730"/>
      <c r="K662" s="730"/>
      <c r="L662" s="730"/>
      <c r="M662" s="730"/>
      <c r="N662" s="571"/>
      <c r="O662" s="571"/>
      <c r="P662" s="571"/>
      <c r="Q662" s="571"/>
      <c r="R662" s="571"/>
      <c r="S662" s="571"/>
      <c r="T662" s="571"/>
      <c r="U662" s="571"/>
      <c r="V662" s="571"/>
      <c r="W662" s="571"/>
      <c r="X662" s="571"/>
      <c r="Y662" s="571"/>
      <c r="Z662" s="571"/>
      <c r="AA662" s="571"/>
      <c r="AB662" s="571"/>
      <c r="AC662" s="571"/>
      <c r="AD662" s="571"/>
      <c r="AE662" s="571"/>
      <c r="AF662" s="571"/>
      <c r="AG662" s="690"/>
      <c r="AH662" s="691"/>
    </row>
    <row r="663">
      <c r="A663" s="568"/>
      <c r="B663" s="730"/>
      <c r="C663" s="730"/>
      <c r="D663" s="730"/>
      <c r="E663" s="730"/>
      <c r="F663" s="730"/>
      <c r="G663" s="730"/>
      <c r="H663" s="730"/>
      <c r="I663" s="730"/>
      <c r="J663" s="730"/>
      <c r="K663" s="730"/>
      <c r="L663" s="730"/>
      <c r="M663" s="730"/>
      <c r="N663" s="571"/>
      <c r="O663" s="571"/>
      <c r="P663" s="571"/>
      <c r="Q663" s="571"/>
      <c r="R663" s="571"/>
      <c r="S663" s="571"/>
      <c r="T663" s="571"/>
      <c r="U663" s="571"/>
      <c r="V663" s="571"/>
      <c r="W663" s="571"/>
      <c r="X663" s="571"/>
      <c r="Y663" s="571"/>
      <c r="Z663" s="571"/>
      <c r="AA663" s="571"/>
      <c r="AB663" s="571"/>
      <c r="AC663" s="571"/>
      <c r="AD663" s="571"/>
      <c r="AE663" s="571"/>
      <c r="AF663" s="571"/>
      <c r="AG663" s="690"/>
      <c r="AH663" s="691"/>
    </row>
    <row r="664">
      <c r="A664" s="568"/>
      <c r="B664" s="730"/>
      <c r="C664" s="730"/>
      <c r="D664" s="730"/>
      <c r="E664" s="730"/>
      <c r="F664" s="730"/>
      <c r="G664" s="730"/>
      <c r="H664" s="730"/>
      <c r="I664" s="730"/>
      <c r="J664" s="730"/>
      <c r="K664" s="730"/>
      <c r="L664" s="730"/>
      <c r="M664" s="730"/>
      <c r="N664" s="571"/>
      <c r="O664" s="571"/>
      <c r="P664" s="571"/>
      <c r="Q664" s="571"/>
      <c r="R664" s="571"/>
      <c r="S664" s="571"/>
      <c r="T664" s="571"/>
      <c r="U664" s="571"/>
      <c r="V664" s="571"/>
      <c r="W664" s="571"/>
      <c r="X664" s="571"/>
      <c r="Y664" s="571"/>
      <c r="Z664" s="571"/>
      <c r="AA664" s="571"/>
      <c r="AB664" s="571"/>
      <c r="AC664" s="571"/>
      <c r="AD664" s="571"/>
      <c r="AE664" s="571"/>
      <c r="AF664" s="571"/>
      <c r="AG664" s="690"/>
      <c r="AH664" s="691"/>
    </row>
    <row r="665">
      <c r="A665" s="568"/>
      <c r="B665" s="730"/>
      <c r="C665" s="730"/>
      <c r="D665" s="730"/>
      <c r="E665" s="730"/>
      <c r="F665" s="730"/>
      <c r="G665" s="730"/>
      <c r="H665" s="730"/>
      <c r="I665" s="730"/>
      <c r="J665" s="730"/>
      <c r="K665" s="730"/>
      <c r="L665" s="730"/>
      <c r="M665" s="730"/>
      <c r="N665" s="571"/>
      <c r="O665" s="571"/>
      <c r="P665" s="571"/>
      <c r="Q665" s="571"/>
      <c r="R665" s="571"/>
      <c r="S665" s="571"/>
      <c r="T665" s="571"/>
      <c r="U665" s="571"/>
      <c r="V665" s="571"/>
      <c r="W665" s="571"/>
      <c r="X665" s="571"/>
      <c r="Y665" s="571"/>
      <c r="Z665" s="571"/>
      <c r="AA665" s="571"/>
      <c r="AB665" s="571"/>
      <c r="AC665" s="571"/>
      <c r="AD665" s="571"/>
      <c r="AE665" s="571"/>
      <c r="AF665" s="571"/>
      <c r="AG665" s="690"/>
      <c r="AH665" s="691"/>
    </row>
    <row r="666">
      <c r="A666" s="568"/>
      <c r="B666" s="730"/>
      <c r="C666" s="730"/>
      <c r="D666" s="730"/>
      <c r="E666" s="730"/>
      <c r="F666" s="730"/>
      <c r="G666" s="730"/>
      <c r="H666" s="730"/>
      <c r="I666" s="730"/>
      <c r="J666" s="730"/>
      <c r="K666" s="730"/>
      <c r="L666" s="730"/>
      <c r="M666" s="730"/>
      <c r="N666" s="571"/>
      <c r="O666" s="571"/>
      <c r="P666" s="571"/>
      <c r="Q666" s="571"/>
      <c r="R666" s="571"/>
      <c r="S666" s="571"/>
      <c r="T666" s="571"/>
      <c r="U666" s="571"/>
      <c r="V666" s="571"/>
      <c r="W666" s="571"/>
      <c r="X666" s="571"/>
      <c r="Y666" s="571"/>
      <c r="Z666" s="571"/>
      <c r="AA666" s="571"/>
      <c r="AB666" s="571"/>
      <c r="AC666" s="571"/>
      <c r="AD666" s="571"/>
      <c r="AE666" s="571"/>
      <c r="AF666" s="571"/>
      <c r="AG666" s="690"/>
      <c r="AH666" s="691"/>
    </row>
    <row r="667">
      <c r="A667" s="568"/>
      <c r="B667" s="730"/>
      <c r="C667" s="730"/>
      <c r="D667" s="730"/>
      <c r="E667" s="730"/>
      <c r="F667" s="730"/>
      <c r="G667" s="730"/>
      <c r="H667" s="730"/>
      <c r="I667" s="730"/>
      <c r="J667" s="730"/>
      <c r="K667" s="730"/>
      <c r="L667" s="730"/>
      <c r="M667" s="730"/>
      <c r="N667" s="571"/>
      <c r="O667" s="571"/>
      <c r="P667" s="571"/>
      <c r="Q667" s="571"/>
      <c r="R667" s="571"/>
      <c r="S667" s="571"/>
      <c r="T667" s="571"/>
      <c r="U667" s="571"/>
      <c r="V667" s="571"/>
      <c r="W667" s="571"/>
      <c r="X667" s="571"/>
      <c r="Y667" s="571"/>
      <c r="Z667" s="571"/>
      <c r="AA667" s="571"/>
      <c r="AB667" s="571"/>
      <c r="AC667" s="571"/>
      <c r="AD667" s="571"/>
      <c r="AE667" s="571"/>
      <c r="AF667" s="571"/>
      <c r="AG667" s="690"/>
      <c r="AH667" s="691"/>
    </row>
    <row r="668">
      <c r="A668" s="568"/>
      <c r="B668" s="730"/>
      <c r="C668" s="730"/>
      <c r="D668" s="730"/>
      <c r="E668" s="730"/>
      <c r="F668" s="730"/>
      <c r="G668" s="730"/>
      <c r="H668" s="730"/>
      <c r="I668" s="730"/>
      <c r="J668" s="730"/>
      <c r="K668" s="730"/>
      <c r="L668" s="730"/>
      <c r="M668" s="730"/>
      <c r="N668" s="571"/>
      <c r="O668" s="571"/>
      <c r="P668" s="571"/>
      <c r="Q668" s="571"/>
      <c r="R668" s="571"/>
      <c r="S668" s="571"/>
      <c r="T668" s="571"/>
      <c r="U668" s="571"/>
      <c r="V668" s="571"/>
      <c r="W668" s="571"/>
      <c r="X668" s="571"/>
      <c r="Y668" s="571"/>
      <c r="Z668" s="571"/>
      <c r="AA668" s="571"/>
      <c r="AB668" s="571"/>
      <c r="AC668" s="571"/>
      <c r="AD668" s="571"/>
      <c r="AE668" s="571"/>
      <c r="AF668" s="571"/>
      <c r="AG668" s="690"/>
      <c r="AH668" s="691"/>
    </row>
    <row r="669">
      <c r="A669" s="568"/>
      <c r="B669" s="730"/>
      <c r="C669" s="730"/>
      <c r="D669" s="730"/>
      <c r="E669" s="730"/>
      <c r="F669" s="730"/>
      <c r="G669" s="730"/>
      <c r="H669" s="730"/>
      <c r="I669" s="730"/>
      <c r="J669" s="730"/>
      <c r="K669" s="730"/>
      <c r="L669" s="730"/>
      <c r="M669" s="730"/>
      <c r="N669" s="571"/>
      <c r="O669" s="571"/>
      <c r="P669" s="571"/>
      <c r="Q669" s="571"/>
      <c r="R669" s="571"/>
      <c r="S669" s="571"/>
      <c r="T669" s="571"/>
      <c r="U669" s="571"/>
      <c r="V669" s="571"/>
      <c r="W669" s="571"/>
      <c r="X669" s="571"/>
      <c r="Y669" s="571"/>
      <c r="Z669" s="571"/>
      <c r="AA669" s="571"/>
      <c r="AB669" s="571"/>
      <c r="AC669" s="571"/>
      <c r="AD669" s="571"/>
      <c r="AE669" s="571"/>
      <c r="AF669" s="571"/>
      <c r="AG669" s="690"/>
      <c r="AH669" s="691"/>
    </row>
    <row r="670">
      <c r="A670" s="568"/>
      <c r="B670" s="730"/>
      <c r="C670" s="730"/>
      <c r="D670" s="730"/>
      <c r="E670" s="730"/>
      <c r="F670" s="730"/>
      <c r="G670" s="730"/>
      <c r="H670" s="730"/>
      <c r="I670" s="730"/>
      <c r="J670" s="730"/>
      <c r="K670" s="730"/>
      <c r="L670" s="730"/>
      <c r="M670" s="730"/>
      <c r="N670" s="571"/>
      <c r="O670" s="571"/>
      <c r="P670" s="571"/>
      <c r="Q670" s="571"/>
      <c r="R670" s="571"/>
      <c r="S670" s="571"/>
      <c r="T670" s="571"/>
      <c r="U670" s="571"/>
      <c r="V670" s="571"/>
      <c r="W670" s="571"/>
      <c r="X670" s="571"/>
      <c r="Y670" s="571"/>
      <c r="Z670" s="571"/>
      <c r="AA670" s="571"/>
      <c r="AB670" s="571"/>
      <c r="AC670" s="571"/>
      <c r="AD670" s="571"/>
      <c r="AE670" s="571"/>
      <c r="AF670" s="571"/>
      <c r="AG670" s="690"/>
      <c r="AH670" s="691"/>
    </row>
    <row r="671">
      <c r="A671" s="568"/>
      <c r="B671" s="730"/>
      <c r="C671" s="730"/>
      <c r="D671" s="730"/>
      <c r="E671" s="730"/>
      <c r="F671" s="730"/>
      <c r="G671" s="730"/>
      <c r="H671" s="730"/>
      <c r="I671" s="730"/>
      <c r="J671" s="730"/>
      <c r="K671" s="730"/>
      <c r="L671" s="730"/>
      <c r="M671" s="730"/>
      <c r="N671" s="571"/>
      <c r="O671" s="571"/>
      <c r="P671" s="571"/>
      <c r="Q671" s="571"/>
      <c r="R671" s="571"/>
      <c r="S671" s="571"/>
      <c r="T671" s="571"/>
      <c r="U671" s="571"/>
      <c r="V671" s="571"/>
      <c r="W671" s="571"/>
      <c r="X671" s="571"/>
      <c r="Y671" s="571"/>
      <c r="Z671" s="571"/>
      <c r="AA671" s="571"/>
      <c r="AB671" s="571"/>
      <c r="AC671" s="571"/>
      <c r="AD671" s="571"/>
      <c r="AE671" s="571"/>
      <c r="AF671" s="571"/>
      <c r="AG671" s="690"/>
      <c r="AH671" s="691"/>
    </row>
    <row r="672">
      <c r="A672" s="568"/>
      <c r="B672" s="730"/>
      <c r="C672" s="730"/>
      <c r="D672" s="730"/>
      <c r="E672" s="730"/>
      <c r="F672" s="730"/>
      <c r="G672" s="730"/>
      <c r="H672" s="730"/>
      <c r="I672" s="730"/>
      <c r="J672" s="730"/>
      <c r="K672" s="730"/>
      <c r="L672" s="730"/>
      <c r="M672" s="730"/>
      <c r="N672" s="571"/>
      <c r="O672" s="571"/>
      <c r="P672" s="571"/>
      <c r="Q672" s="571"/>
      <c r="R672" s="571"/>
      <c r="S672" s="571"/>
      <c r="T672" s="571"/>
      <c r="U672" s="571"/>
      <c r="V672" s="571"/>
      <c r="W672" s="571"/>
      <c r="X672" s="571"/>
      <c r="Y672" s="571"/>
      <c r="Z672" s="571"/>
      <c r="AA672" s="571"/>
      <c r="AB672" s="571"/>
      <c r="AC672" s="571"/>
      <c r="AD672" s="571"/>
      <c r="AE672" s="571"/>
      <c r="AF672" s="571"/>
      <c r="AG672" s="690"/>
      <c r="AH672" s="691"/>
    </row>
    <row r="673">
      <c r="A673" s="568"/>
      <c r="B673" s="730"/>
      <c r="C673" s="730"/>
      <c r="D673" s="730"/>
      <c r="E673" s="730"/>
      <c r="F673" s="730"/>
      <c r="G673" s="730"/>
      <c r="H673" s="730"/>
      <c r="I673" s="730"/>
      <c r="J673" s="730"/>
      <c r="K673" s="730"/>
      <c r="L673" s="730"/>
      <c r="M673" s="730"/>
      <c r="N673" s="571"/>
      <c r="O673" s="571"/>
      <c r="P673" s="571"/>
      <c r="Q673" s="571"/>
      <c r="R673" s="571"/>
      <c r="S673" s="571"/>
      <c r="T673" s="571"/>
      <c r="U673" s="571"/>
      <c r="V673" s="571"/>
      <c r="W673" s="571"/>
      <c r="X673" s="571"/>
      <c r="Y673" s="571"/>
      <c r="Z673" s="571"/>
      <c r="AA673" s="571"/>
      <c r="AB673" s="571"/>
      <c r="AC673" s="571"/>
      <c r="AD673" s="571"/>
      <c r="AE673" s="571"/>
      <c r="AF673" s="571"/>
      <c r="AG673" s="690"/>
      <c r="AH673" s="691"/>
    </row>
    <row r="674">
      <c r="A674" s="568"/>
      <c r="B674" s="730"/>
      <c r="C674" s="730"/>
      <c r="D674" s="730"/>
      <c r="E674" s="730"/>
      <c r="F674" s="730"/>
      <c r="G674" s="730"/>
      <c r="H674" s="730"/>
      <c r="I674" s="730"/>
      <c r="J674" s="730"/>
      <c r="K674" s="730"/>
      <c r="L674" s="730"/>
      <c r="M674" s="730"/>
      <c r="N674" s="571"/>
      <c r="O674" s="571"/>
      <c r="P674" s="571"/>
      <c r="Q674" s="571"/>
      <c r="R674" s="571"/>
      <c r="S674" s="571"/>
      <c r="T674" s="571"/>
      <c r="U674" s="571"/>
      <c r="V674" s="571"/>
      <c r="W674" s="571"/>
      <c r="X674" s="571"/>
      <c r="Y674" s="571"/>
      <c r="Z674" s="571"/>
      <c r="AA674" s="571"/>
      <c r="AB674" s="571"/>
      <c r="AC674" s="571"/>
      <c r="AD674" s="571"/>
      <c r="AE674" s="571"/>
      <c r="AF674" s="571"/>
      <c r="AG674" s="690"/>
      <c r="AH674" s="691"/>
    </row>
    <row r="675">
      <c r="A675" s="568"/>
      <c r="B675" s="730"/>
      <c r="C675" s="730"/>
      <c r="D675" s="730"/>
      <c r="E675" s="730"/>
      <c r="F675" s="730"/>
      <c r="G675" s="730"/>
      <c r="H675" s="730"/>
      <c r="I675" s="730"/>
      <c r="J675" s="730"/>
      <c r="K675" s="730"/>
      <c r="L675" s="730"/>
      <c r="M675" s="730"/>
      <c r="N675" s="571"/>
      <c r="O675" s="571"/>
      <c r="P675" s="571"/>
      <c r="Q675" s="571"/>
      <c r="R675" s="571"/>
      <c r="S675" s="571"/>
      <c r="T675" s="571"/>
      <c r="U675" s="571"/>
      <c r="V675" s="571"/>
      <c r="W675" s="571"/>
      <c r="X675" s="571"/>
      <c r="Y675" s="571"/>
      <c r="Z675" s="571"/>
      <c r="AA675" s="571"/>
      <c r="AB675" s="571"/>
      <c r="AC675" s="571"/>
      <c r="AD675" s="571"/>
      <c r="AE675" s="571"/>
      <c r="AF675" s="571"/>
      <c r="AG675" s="690"/>
      <c r="AH675" s="691"/>
    </row>
    <row r="676">
      <c r="A676" s="568"/>
      <c r="B676" s="730"/>
      <c r="C676" s="730"/>
      <c r="D676" s="730"/>
      <c r="E676" s="730"/>
      <c r="F676" s="730"/>
      <c r="G676" s="730"/>
      <c r="H676" s="730"/>
      <c r="I676" s="730"/>
      <c r="J676" s="730"/>
      <c r="K676" s="730"/>
      <c r="L676" s="730"/>
      <c r="M676" s="730"/>
      <c r="N676" s="571"/>
      <c r="O676" s="571"/>
      <c r="P676" s="571"/>
      <c r="Q676" s="571"/>
      <c r="R676" s="571"/>
      <c r="S676" s="571"/>
      <c r="T676" s="571"/>
      <c r="U676" s="571"/>
      <c r="V676" s="571"/>
      <c r="W676" s="571"/>
      <c r="X676" s="571"/>
      <c r="Y676" s="571"/>
      <c r="Z676" s="571"/>
      <c r="AA676" s="571"/>
      <c r="AB676" s="571"/>
      <c r="AC676" s="571"/>
      <c r="AD676" s="571"/>
      <c r="AE676" s="571"/>
      <c r="AF676" s="571"/>
      <c r="AG676" s="690"/>
      <c r="AH676" s="691"/>
    </row>
    <row r="677">
      <c r="A677" s="568"/>
      <c r="B677" s="730"/>
      <c r="C677" s="730"/>
      <c r="D677" s="730"/>
      <c r="E677" s="730"/>
      <c r="F677" s="730"/>
      <c r="G677" s="730"/>
      <c r="H677" s="730"/>
      <c r="I677" s="730"/>
      <c r="J677" s="730"/>
      <c r="K677" s="730"/>
      <c r="L677" s="730"/>
      <c r="M677" s="730"/>
      <c r="N677" s="571"/>
      <c r="O677" s="571"/>
      <c r="P677" s="571"/>
      <c r="Q677" s="571"/>
      <c r="R677" s="571"/>
      <c r="S677" s="571"/>
      <c r="T677" s="571"/>
      <c r="U677" s="571"/>
      <c r="V677" s="571"/>
      <c r="W677" s="571"/>
      <c r="X677" s="571"/>
      <c r="Y677" s="571"/>
      <c r="Z677" s="571"/>
      <c r="AA677" s="571"/>
      <c r="AB677" s="571"/>
      <c r="AC677" s="571"/>
      <c r="AD677" s="571"/>
      <c r="AE677" s="571"/>
      <c r="AF677" s="571"/>
      <c r="AG677" s="690"/>
      <c r="AH677" s="691"/>
    </row>
    <row r="678">
      <c r="A678" s="568"/>
      <c r="B678" s="730"/>
      <c r="C678" s="730"/>
      <c r="D678" s="730"/>
      <c r="E678" s="730"/>
      <c r="F678" s="730"/>
      <c r="G678" s="730"/>
      <c r="H678" s="730"/>
      <c r="I678" s="730"/>
      <c r="J678" s="730"/>
      <c r="K678" s="730"/>
      <c r="L678" s="730"/>
      <c r="M678" s="730"/>
      <c r="N678" s="571"/>
      <c r="O678" s="571"/>
      <c r="P678" s="571"/>
      <c r="Q678" s="571"/>
      <c r="R678" s="571"/>
      <c r="S678" s="571"/>
      <c r="T678" s="571"/>
      <c r="U678" s="571"/>
      <c r="V678" s="571"/>
      <c r="W678" s="571"/>
      <c r="X678" s="571"/>
      <c r="Y678" s="571"/>
      <c r="Z678" s="571"/>
      <c r="AA678" s="571"/>
      <c r="AB678" s="571"/>
      <c r="AC678" s="571"/>
      <c r="AD678" s="571"/>
      <c r="AE678" s="571"/>
      <c r="AF678" s="571"/>
      <c r="AG678" s="690"/>
      <c r="AH678" s="691"/>
    </row>
    <row r="679">
      <c r="A679" s="568"/>
      <c r="B679" s="730"/>
      <c r="C679" s="730"/>
      <c r="D679" s="730"/>
      <c r="E679" s="730"/>
      <c r="F679" s="730"/>
      <c r="G679" s="730"/>
      <c r="H679" s="730"/>
      <c r="I679" s="730"/>
      <c r="J679" s="730"/>
      <c r="K679" s="730"/>
      <c r="L679" s="730"/>
      <c r="M679" s="730"/>
      <c r="N679" s="571"/>
      <c r="O679" s="571"/>
      <c r="P679" s="571"/>
      <c r="Q679" s="571"/>
      <c r="R679" s="571"/>
      <c r="S679" s="571"/>
      <c r="T679" s="571"/>
      <c r="U679" s="571"/>
      <c r="V679" s="571"/>
      <c r="W679" s="571"/>
      <c r="X679" s="571"/>
      <c r="Y679" s="571"/>
      <c r="Z679" s="571"/>
      <c r="AA679" s="571"/>
      <c r="AB679" s="571"/>
      <c r="AC679" s="571"/>
      <c r="AD679" s="571"/>
      <c r="AE679" s="571"/>
      <c r="AF679" s="571"/>
      <c r="AG679" s="690"/>
      <c r="AH679" s="691"/>
    </row>
    <row r="680">
      <c r="A680" s="568"/>
      <c r="B680" s="730"/>
      <c r="C680" s="730"/>
      <c r="D680" s="730"/>
      <c r="E680" s="730"/>
      <c r="F680" s="730"/>
      <c r="G680" s="730"/>
      <c r="H680" s="730"/>
      <c r="I680" s="730"/>
      <c r="J680" s="730"/>
      <c r="K680" s="730"/>
      <c r="L680" s="730"/>
      <c r="M680" s="730"/>
      <c r="N680" s="571"/>
      <c r="O680" s="571"/>
      <c r="P680" s="571"/>
      <c r="Q680" s="571"/>
      <c r="R680" s="571"/>
      <c r="S680" s="571"/>
      <c r="T680" s="571"/>
      <c r="U680" s="571"/>
      <c r="V680" s="571"/>
      <c r="W680" s="571"/>
      <c r="X680" s="571"/>
      <c r="Y680" s="571"/>
      <c r="Z680" s="571"/>
      <c r="AA680" s="571"/>
      <c r="AB680" s="571"/>
      <c r="AC680" s="571"/>
      <c r="AD680" s="571"/>
      <c r="AE680" s="571"/>
      <c r="AF680" s="571"/>
      <c r="AG680" s="690"/>
      <c r="AH680" s="691"/>
    </row>
    <row r="681">
      <c r="A681" s="568"/>
      <c r="B681" s="730"/>
      <c r="C681" s="730"/>
      <c r="D681" s="730"/>
      <c r="E681" s="730"/>
      <c r="F681" s="730"/>
      <c r="G681" s="730"/>
      <c r="H681" s="730"/>
      <c r="I681" s="730"/>
      <c r="J681" s="730"/>
      <c r="K681" s="730"/>
      <c r="L681" s="730"/>
      <c r="M681" s="730"/>
      <c r="N681" s="571"/>
      <c r="O681" s="571"/>
      <c r="P681" s="571"/>
      <c r="Q681" s="571"/>
      <c r="R681" s="571"/>
      <c r="S681" s="571"/>
      <c r="T681" s="571"/>
      <c r="U681" s="571"/>
      <c r="V681" s="571"/>
      <c r="W681" s="571"/>
      <c r="X681" s="571"/>
      <c r="Y681" s="571"/>
      <c r="Z681" s="571"/>
      <c r="AA681" s="571"/>
      <c r="AB681" s="571"/>
      <c r="AC681" s="571"/>
      <c r="AD681" s="571"/>
      <c r="AE681" s="571"/>
      <c r="AF681" s="571"/>
      <c r="AG681" s="690"/>
      <c r="AH681" s="691"/>
    </row>
    <row r="682">
      <c r="A682" s="568"/>
      <c r="B682" s="730"/>
      <c r="C682" s="730"/>
      <c r="D682" s="730"/>
      <c r="E682" s="730"/>
      <c r="F682" s="730"/>
      <c r="G682" s="730"/>
      <c r="H682" s="730"/>
      <c r="I682" s="730"/>
      <c r="J682" s="730"/>
      <c r="K682" s="730"/>
      <c r="L682" s="730"/>
      <c r="M682" s="730"/>
      <c r="N682" s="571"/>
      <c r="O682" s="571"/>
      <c r="P682" s="571"/>
      <c r="Q682" s="571"/>
      <c r="R682" s="571"/>
      <c r="S682" s="571"/>
      <c r="T682" s="571"/>
      <c r="U682" s="571"/>
      <c r="V682" s="571"/>
      <c r="W682" s="571"/>
      <c r="X682" s="571"/>
      <c r="Y682" s="571"/>
      <c r="Z682" s="571"/>
      <c r="AA682" s="571"/>
      <c r="AB682" s="571"/>
      <c r="AC682" s="571"/>
      <c r="AD682" s="571"/>
      <c r="AE682" s="571"/>
      <c r="AF682" s="571"/>
      <c r="AG682" s="690"/>
      <c r="AH682" s="691"/>
    </row>
    <row r="683">
      <c r="A683" s="568"/>
      <c r="B683" s="730"/>
      <c r="C683" s="730"/>
      <c r="D683" s="730"/>
      <c r="E683" s="730"/>
      <c r="F683" s="730"/>
      <c r="G683" s="730"/>
      <c r="H683" s="730"/>
      <c r="I683" s="730"/>
      <c r="J683" s="730"/>
      <c r="K683" s="730"/>
      <c r="L683" s="730"/>
      <c r="M683" s="730"/>
      <c r="N683" s="571"/>
      <c r="O683" s="571"/>
      <c r="P683" s="571"/>
      <c r="Q683" s="571"/>
      <c r="R683" s="571"/>
      <c r="S683" s="571"/>
      <c r="T683" s="571"/>
      <c r="U683" s="571"/>
      <c r="V683" s="571"/>
      <c r="W683" s="571"/>
      <c r="X683" s="571"/>
      <c r="Y683" s="571"/>
      <c r="Z683" s="571"/>
      <c r="AA683" s="571"/>
      <c r="AB683" s="571"/>
      <c r="AC683" s="571"/>
      <c r="AD683" s="571"/>
      <c r="AE683" s="571"/>
      <c r="AF683" s="571"/>
      <c r="AG683" s="690"/>
      <c r="AH683" s="691"/>
    </row>
    <row r="684">
      <c r="A684" s="568"/>
      <c r="B684" s="730"/>
      <c r="C684" s="730"/>
      <c r="D684" s="730"/>
      <c r="E684" s="730"/>
      <c r="F684" s="730"/>
      <c r="G684" s="730"/>
      <c r="H684" s="730"/>
      <c r="I684" s="730"/>
      <c r="J684" s="730"/>
      <c r="K684" s="730"/>
      <c r="L684" s="730"/>
      <c r="M684" s="730"/>
      <c r="N684" s="571"/>
      <c r="O684" s="571"/>
      <c r="P684" s="571"/>
      <c r="Q684" s="571"/>
      <c r="R684" s="571"/>
      <c r="S684" s="571"/>
      <c r="T684" s="571"/>
      <c r="U684" s="571"/>
      <c r="V684" s="571"/>
      <c r="W684" s="571"/>
      <c r="X684" s="571"/>
      <c r="Y684" s="571"/>
      <c r="Z684" s="571"/>
      <c r="AA684" s="571"/>
      <c r="AB684" s="571"/>
      <c r="AC684" s="571"/>
      <c r="AD684" s="571"/>
      <c r="AE684" s="571"/>
      <c r="AF684" s="571"/>
      <c r="AG684" s="690"/>
      <c r="AH684" s="691"/>
    </row>
    <row r="685">
      <c r="A685" s="568"/>
      <c r="B685" s="730"/>
      <c r="C685" s="730"/>
      <c r="D685" s="730"/>
      <c r="E685" s="730"/>
      <c r="F685" s="730"/>
      <c r="G685" s="730"/>
      <c r="H685" s="730"/>
      <c r="I685" s="730"/>
      <c r="J685" s="730"/>
      <c r="K685" s="730"/>
      <c r="L685" s="730"/>
      <c r="M685" s="730"/>
      <c r="N685" s="571"/>
      <c r="O685" s="571"/>
      <c r="P685" s="571"/>
      <c r="Q685" s="571"/>
      <c r="R685" s="571"/>
      <c r="S685" s="571"/>
      <c r="T685" s="571"/>
      <c r="U685" s="571"/>
      <c r="V685" s="571"/>
      <c r="W685" s="571"/>
      <c r="X685" s="571"/>
      <c r="Y685" s="571"/>
      <c r="Z685" s="571"/>
      <c r="AA685" s="571"/>
      <c r="AB685" s="571"/>
      <c r="AC685" s="571"/>
      <c r="AD685" s="571"/>
      <c r="AE685" s="571"/>
      <c r="AF685" s="571"/>
      <c r="AG685" s="690"/>
      <c r="AH685" s="691"/>
    </row>
    <row r="686">
      <c r="A686" s="568"/>
      <c r="B686" s="730"/>
      <c r="C686" s="730"/>
      <c r="D686" s="730"/>
      <c r="E686" s="730"/>
      <c r="F686" s="730"/>
      <c r="G686" s="730"/>
      <c r="H686" s="730"/>
      <c r="I686" s="730"/>
      <c r="J686" s="730"/>
      <c r="K686" s="730"/>
      <c r="L686" s="730"/>
      <c r="M686" s="730"/>
      <c r="N686" s="571"/>
      <c r="O686" s="571"/>
      <c r="P686" s="571"/>
      <c r="Q686" s="571"/>
      <c r="R686" s="571"/>
      <c r="S686" s="571"/>
      <c r="T686" s="571"/>
      <c r="U686" s="571"/>
      <c r="V686" s="571"/>
      <c r="W686" s="571"/>
      <c r="X686" s="571"/>
      <c r="Y686" s="571"/>
      <c r="Z686" s="571"/>
      <c r="AA686" s="571"/>
      <c r="AB686" s="571"/>
      <c r="AC686" s="571"/>
      <c r="AD686" s="571"/>
      <c r="AE686" s="571"/>
      <c r="AF686" s="571"/>
      <c r="AG686" s="690"/>
      <c r="AH686" s="691"/>
    </row>
    <row r="687">
      <c r="A687" s="568"/>
      <c r="B687" s="730"/>
      <c r="C687" s="730"/>
      <c r="D687" s="730"/>
      <c r="E687" s="730"/>
      <c r="F687" s="730"/>
      <c r="G687" s="730"/>
      <c r="H687" s="730"/>
      <c r="I687" s="730"/>
      <c r="J687" s="730"/>
      <c r="K687" s="730"/>
      <c r="L687" s="730"/>
      <c r="M687" s="730"/>
      <c r="N687" s="571"/>
      <c r="O687" s="571"/>
      <c r="P687" s="571"/>
      <c r="Q687" s="571"/>
      <c r="R687" s="571"/>
      <c r="S687" s="571"/>
      <c r="T687" s="571"/>
      <c r="U687" s="571"/>
      <c r="V687" s="571"/>
      <c r="W687" s="571"/>
      <c r="X687" s="571"/>
      <c r="Y687" s="571"/>
      <c r="Z687" s="571"/>
      <c r="AA687" s="571"/>
      <c r="AB687" s="571"/>
      <c r="AC687" s="571"/>
      <c r="AD687" s="571"/>
      <c r="AE687" s="571"/>
      <c r="AF687" s="571"/>
      <c r="AG687" s="690"/>
      <c r="AH687" s="691"/>
    </row>
    <row r="688">
      <c r="A688" s="568"/>
      <c r="B688" s="730"/>
      <c r="C688" s="730"/>
      <c r="D688" s="730"/>
      <c r="E688" s="730"/>
      <c r="F688" s="730"/>
      <c r="G688" s="730"/>
      <c r="H688" s="730"/>
      <c r="I688" s="730"/>
      <c r="J688" s="730"/>
      <c r="K688" s="730"/>
      <c r="L688" s="730"/>
      <c r="M688" s="730"/>
      <c r="N688" s="571"/>
      <c r="O688" s="571"/>
      <c r="P688" s="571"/>
      <c r="Q688" s="571"/>
      <c r="R688" s="571"/>
      <c r="S688" s="571"/>
      <c r="T688" s="571"/>
      <c r="U688" s="571"/>
      <c r="V688" s="571"/>
      <c r="W688" s="571"/>
      <c r="X688" s="571"/>
      <c r="Y688" s="571"/>
      <c r="Z688" s="571"/>
      <c r="AA688" s="571"/>
      <c r="AB688" s="571"/>
      <c r="AC688" s="571"/>
      <c r="AD688" s="571"/>
      <c r="AE688" s="571"/>
      <c r="AF688" s="571"/>
      <c r="AG688" s="690"/>
      <c r="AH688" s="691"/>
    </row>
    <row r="689">
      <c r="A689" s="568"/>
      <c r="B689" s="730"/>
      <c r="C689" s="730"/>
      <c r="D689" s="730"/>
      <c r="E689" s="730"/>
      <c r="F689" s="730"/>
      <c r="G689" s="730"/>
      <c r="H689" s="730"/>
      <c r="I689" s="730"/>
      <c r="J689" s="730"/>
      <c r="K689" s="730"/>
      <c r="L689" s="730"/>
      <c r="M689" s="730"/>
      <c r="N689" s="571"/>
      <c r="O689" s="571"/>
      <c r="P689" s="571"/>
      <c r="Q689" s="571"/>
      <c r="R689" s="571"/>
      <c r="S689" s="571"/>
      <c r="T689" s="571"/>
      <c r="U689" s="571"/>
      <c r="V689" s="571"/>
      <c r="W689" s="571"/>
      <c r="X689" s="571"/>
      <c r="Y689" s="571"/>
      <c r="Z689" s="571"/>
      <c r="AA689" s="571"/>
      <c r="AB689" s="571"/>
      <c r="AC689" s="571"/>
      <c r="AD689" s="571"/>
      <c r="AE689" s="571"/>
      <c r="AF689" s="571"/>
      <c r="AG689" s="690"/>
      <c r="AH689" s="691"/>
    </row>
    <row r="690">
      <c r="A690" s="568"/>
      <c r="B690" s="730"/>
      <c r="C690" s="730"/>
      <c r="D690" s="730"/>
      <c r="E690" s="730"/>
      <c r="F690" s="730"/>
      <c r="G690" s="730"/>
      <c r="H690" s="730"/>
      <c r="I690" s="730"/>
      <c r="J690" s="730"/>
      <c r="K690" s="730"/>
      <c r="L690" s="730"/>
      <c r="M690" s="730"/>
      <c r="N690" s="571"/>
      <c r="O690" s="571"/>
      <c r="P690" s="571"/>
      <c r="Q690" s="571"/>
      <c r="R690" s="571"/>
      <c r="S690" s="571"/>
      <c r="T690" s="571"/>
      <c r="U690" s="571"/>
      <c r="V690" s="571"/>
      <c r="W690" s="571"/>
      <c r="X690" s="571"/>
      <c r="Y690" s="571"/>
      <c r="Z690" s="571"/>
      <c r="AA690" s="571"/>
      <c r="AB690" s="571"/>
      <c r="AC690" s="571"/>
      <c r="AD690" s="571"/>
      <c r="AE690" s="571"/>
      <c r="AF690" s="571"/>
      <c r="AG690" s="690"/>
      <c r="AH690" s="691"/>
    </row>
    <row r="691">
      <c r="A691" s="568"/>
      <c r="B691" s="730"/>
      <c r="C691" s="730"/>
      <c r="D691" s="730"/>
      <c r="E691" s="730"/>
      <c r="F691" s="730"/>
      <c r="G691" s="730"/>
      <c r="H691" s="730"/>
      <c r="I691" s="730"/>
      <c r="J691" s="730"/>
      <c r="K691" s="730"/>
      <c r="L691" s="730"/>
      <c r="M691" s="730"/>
      <c r="N691" s="571"/>
      <c r="O691" s="571"/>
      <c r="P691" s="571"/>
      <c r="Q691" s="571"/>
      <c r="R691" s="571"/>
      <c r="S691" s="571"/>
      <c r="T691" s="571"/>
      <c r="U691" s="571"/>
      <c r="V691" s="571"/>
      <c r="W691" s="571"/>
      <c r="X691" s="571"/>
      <c r="Y691" s="571"/>
      <c r="Z691" s="571"/>
      <c r="AA691" s="571"/>
      <c r="AB691" s="571"/>
      <c r="AC691" s="571"/>
      <c r="AD691" s="571"/>
      <c r="AE691" s="571"/>
      <c r="AF691" s="571"/>
      <c r="AG691" s="690"/>
      <c r="AH691" s="691"/>
    </row>
    <row r="692">
      <c r="A692" s="568"/>
      <c r="B692" s="730"/>
      <c r="C692" s="730"/>
      <c r="D692" s="730"/>
      <c r="E692" s="730"/>
      <c r="F692" s="730"/>
      <c r="G692" s="730"/>
      <c r="H692" s="730"/>
      <c r="I692" s="730"/>
      <c r="J692" s="730"/>
      <c r="K692" s="730"/>
      <c r="L692" s="730"/>
      <c r="M692" s="730"/>
      <c r="N692" s="571"/>
      <c r="O692" s="571"/>
      <c r="P692" s="571"/>
      <c r="Q692" s="571"/>
      <c r="R692" s="571"/>
      <c r="S692" s="571"/>
      <c r="T692" s="571"/>
      <c r="U692" s="571"/>
      <c r="V692" s="571"/>
      <c r="W692" s="571"/>
      <c r="X692" s="571"/>
      <c r="Y692" s="571"/>
      <c r="Z692" s="571"/>
      <c r="AA692" s="571"/>
      <c r="AB692" s="571"/>
      <c r="AC692" s="571"/>
      <c r="AD692" s="571"/>
      <c r="AE692" s="571"/>
      <c r="AF692" s="571"/>
      <c r="AG692" s="690"/>
      <c r="AH692" s="691"/>
    </row>
    <row r="693">
      <c r="A693" s="568"/>
      <c r="B693" s="730"/>
      <c r="C693" s="730"/>
      <c r="D693" s="730"/>
      <c r="E693" s="730"/>
      <c r="F693" s="730"/>
      <c r="G693" s="730"/>
      <c r="H693" s="730"/>
      <c r="I693" s="730"/>
      <c r="J693" s="730"/>
      <c r="K693" s="730"/>
      <c r="L693" s="730"/>
      <c r="M693" s="730"/>
      <c r="N693" s="571"/>
      <c r="O693" s="571"/>
      <c r="P693" s="571"/>
      <c r="Q693" s="571"/>
      <c r="R693" s="571"/>
      <c r="S693" s="571"/>
      <c r="T693" s="571"/>
      <c r="U693" s="571"/>
      <c r="V693" s="571"/>
      <c r="W693" s="571"/>
      <c r="X693" s="571"/>
      <c r="Y693" s="571"/>
      <c r="Z693" s="571"/>
      <c r="AA693" s="571"/>
      <c r="AB693" s="571"/>
      <c r="AC693" s="571"/>
      <c r="AD693" s="571"/>
      <c r="AE693" s="571"/>
      <c r="AF693" s="571"/>
      <c r="AG693" s="690"/>
      <c r="AH693" s="691"/>
    </row>
    <row r="694">
      <c r="A694" s="568"/>
      <c r="B694" s="730"/>
      <c r="C694" s="730"/>
      <c r="D694" s="730"/>
      <c r="E694" s="730"/>
      <c r="F694" s="730"/>
      <c r="G694" s="730"/>
      <c r="H694" s="730"/>
      <c r="I694" s="730"/>
      <c r="J694" s="730"/>
      <c r="K694" s="730"/>
      <c r="L694" s="730"/>
      <c r="M694" s="730"/>
      <c r="N694" s="571"/>
      <c r="O694" s="571"/>
      <c r="P694" s="571"/>
      <c r="Q694" s="571"/>
      <c r="R694" s="571"/>
      <c r="S694" s="571"/>
      <c r="T694" s="571"/>
      <c r="U694" s="571"/>
      <c r="V694" s="571"/>
      <c r="W694" s="571"/>
      <c r="X694" s="571"/>
      <c r="Y694" s="571"/>
      <c r="Z694" s="571"/>
      <c r="AA694" s="571"/>
      <c r="AB694" s="571"/>
      <c r="AC694" s="571"/>
      <c r="AD694" s="571"/>
      <c r="AE694" s="571"/>
      <c r="AF694" s="571"/>
      <c r="AG694" s="690"/>
      <c r="AH694" s="691"/>
    </row>
    <row r="695">
      <c r="A695" s="568"/>
      <c r="B695" s="730"/>
      <c r="C695" s="730"/>
      <c r="D695" s="730"/>
      <c r="E695" s="730"/>
      <c r="F695" s="730"/>
      <c r="G695" s="730"/>
      <c r="H695" s="730"/>
      <c r="I695" s="730"/>
      <c r="J695" s="730"/>
      <c r="K695" s="730"/>
      <c r="L695" s="730"/>
      <c r="M695" s="730"/>
      <c r="N695" s="571"/>
      <c r="O695" s="571"/>
      <c r="P695" s="571"/>
      <c r="Q695" s="571"/>
      <c r="R695" s="571"/>
      <c r="S695" s="571"/>
      <c r="T695" s="571"/>
      <c r="U695" s="571"/>
      <c r="V695" s="571"/>
      <c r="W695" s="571"/>
      <c r="X695" s="571"/>
      <c r="Y695" s="571"/>
      <c r="Z695" s="571"/>
      <c r="AA695" s="571"/>
      <c r="AB695" s="571"/>
      <c r="AC695" s="571"/>
      <c r="AD695" s="571"/>
      <c r="AE695" s="571"/>
      <c r="AF695" s="571"/>
      <c r="AG695" s="690"/>
      <c r="AH695" s="691"/>
    </row>
    <row r="696">
      <c r="A696" s="568"/>
      <c r="B696" s="730"/>
      <c r="C696" s="730"/>
      <c r="D696" s="730"/>
      <c r="E696" s="730"/>
      <c r="F696" s="730"/>
      <c r="G696" s="730"/>
      <c r="H696" s="730"/>
      <c r="I696" s="730"/>
      <c r="J696" s="730"/>
      <c r="K696" s="730"/>
      <c r="L696" s="730"/>
      <c r="M696" s="730"/>
      <c r="N696" s="571"/>
      <c r="O696" s="571"/>
      <c r="P696" s="571"/>
      <c r="Q696" s="571"/>
      <c r="R696" s="571"/>
      <c r="S696" s="571"/>
      <c r="T696" s="571"/>
      <c r="U696" s="571"/>
      <c r="V696" s="571"/>
      <c r="W696" s="571"/>
      <c r="X696" s="571"/>
      <c r="Y696" s="571"/>
      <c r="Z696" s="571"/>
      <c r="AA696" s="571"/>
      <c r="AB696" s="571"/>
      <c r="AC696" s="571"/>
      <c r="AD696" s="571"/>
      <c r="AE696" s="571"/>
      <c r="AF696" s="571"/>
      <c r="AG696" s="690"/>
      <c r="AH696" s="691"/>
    </row>
    <row r="697">
      <c r="A697" s="568"/>
      <c r="B697" s="730"/>
      <c r="C697" s="730"/>
      <c r="D697" s="730"/>
      <c r="E697" s="730"/>
      <c r="F697" s="730"/>
      <c r="G697" s="730"/>
      <c r="H697" s="730"/>
      <c r="I697" s="730"/>
      <c r="J697" s="730"/>
      <c r="K697" s="730"/>
      <c r="L697" s="730"/>
      <c r="M697" s="730"/>
      <c r="N697" s="571"/>
      <c r="O697" s="571"/>
      <c r="P697" s="571"/>
      <c r="Q697" s="571"/>
      <c r="R697" s="571"/>
      <c r="S697" s="571"/>
      <c r="T697" s="571"/>
      <c r="U697" s="571"/>
      <c r="V697" s="571"/>
      <c r="W697" s="571"/>
      <c r="X697" s="571"/>
      <c r="Y697" s="571"/>
      <c r="Z697" s="571"/>
      <c r="AA697" s="571"/>
      <c r="AB697" s="571"/>
      <c r="AC697" s="571"/>
      <c r="AD697" s="571"/>
      <c r="AE697" s="571"/>
      <c r="AF697" s="571"/>
      <c r="AG697" s="690"/>
      <c r="AH697" s="691"/>
    </row>
    <row r="698">
      <c r="A698" s="568"/>
      <c r="B698" s="730"/>
      <c r="C698" s="730"/>
      <c r="D698" s="730"/>
      <c r="E698" s="730"/>
      <c r="F698" s="730"/>
      <c r="G698" s="730"/>
      <c r="H698" s="730"/>
      <c r="I698" s="730"/>
      <c r="J698" s="730"/>
      <c r="K698" s="730"/>
      <c r="L698" s="730"/>
      <c r="M698" s="730"/>
      <c r="N698" s="571"/>
      <c r="O698" s="571"/>
      <c r="P698" s="571"/>
      <c r="Q698" s="571"/>
      <c r="R698" s="571"/>
      <c r="S698" s="571"/>
      <c r="T698" s="571"/>
      <c r="U698" s="571"/>
      <c r="V698" s="571"/>
      <c r="W698" s="571"/>
      <c r="X698" s="571"/>
      <c r="Y698" s="571"/>
      <c r="Z698" s="571"/>
      <c r="AA698" s="571"/>
      <c r="AB698" s="571"/>
      <c r="AC698" s="571"/>
      <c r="AD698" s="571"/>
      <c r="AE698" s="571"/>
      <c r="AF698" s="571"/>
      <c r="AG698" s="690"/>
      <c r="AH698" s="691"/>
    </row>
    <row r="699">
      <c r="A699" s="568"/>
      <c r="B699" s="730"/>
      <c r="C699" s="730"/>
      <c r="D699" s="730"/>
      <c r="E699" s="730"/>
      <c r="F699" s="730"/>
      <c r="G699" s="730"/>
      <c r="H699" s="730"/>
      <c r="I699" s="730"/>
      <c r="J699" s="730"/>
      <c r="K699" s="730"/>
      <c r="L699" s="730"/>
      <c r="M699" s="730"/>
      <c r="N699" s="571"/>
      <c r="O699" s="571"/>
      <c r="P699" s="571"/>
      <c r="Q699" s="571"/>
      <c r="R699" s="571"/>
      <c r="S699" s="571"/>
      <c r="T699" s="571"/>
      <c r="U699" s="571"/>
      <c r="V699" s="571"/>
      <c r="W699" s="571"/>
      <c r="X699" s="571"/>
      <c r="Y699" s="571"/>
      <c r="Z699" s="571"/>
      <c r="AA699" s="571"/>
      <c r="AB699" s="571"/>
      <c r="AC699" s="571"/>
      <c r="AD699" s="571"/>
      <c r="AE699" s="571"/>
      <c r="AF699" s="571"/>
      <c r="AG699" s="690"/>
      <c r="AH699" s="691"/>
    </row>
    <row r="700">
      <c r="A700" s="568"/>
      <c r="B700" s="730"/>
      <c r="C700" s="730"/>
      <c r="D700" s="730"/>
      <c r="E700" s="730"/>
      <c r="F700" s="730"/>
      <c r="G700" s="730"/>
      <c r="H700" s="730"/>
      <c r="I700" s="730"/>
      <c r="J700" s="730"/>
      <c r="K700" s="730"/>
      <c r="L700" s="730"/>
      <c r="M700" s="730"/>
      <c r="N700" s="571"/>
      <c r="O700" s="571"/>
      <c r="P700" s="571"/>
      <c r="Q700" s="571"/>
      <c r="R700" s="571"/>
      <c r="S700" s="571"/>
      <c r="T700" s="571"/>
      <c r="U700" s="571"/>
      <c r="V700" s="571"/>
      <c r="W700" s="571"/>
      <c r="X700" s="571"/>
      <c r="Y700" s="571"/>
      <c r="Z700" s="571"/>
      <c r="AA700" s="571"/>
      <c r="AB700" s="571"/>
      <c r="AC700" s="571"/>
      <c r="AD700" s="571"/>
      <c r="AE700" s="571"/>
      <c r="AF700" s="571"/>
      <c r="AG700" s="690"/>
      <c r="AH700" s="691"/>
    </row>
    <row r="701">
      <c r="A701" s="568"/>
      <c r="B701" s="730"/>
      <c r="C701" s="730"/>
      <c r="D701" s="730"/>
      <c r="E701" s="730"/>
      <c r="F701" s="730"/>
      <c r="G701" s="730"/>
      <c r="H701" s="730"/>
      <c r="I701" s="730"/>
      <c r="J701" s="730"/>
      <c r="K701" s="730"/>
      <c r="L701" s="730"/>
      <c r="M701" s="730"/>
      <c r="N701" s="571"/>
      <c r="O701" s="571"/>
      <c r="P701" s="571"/>
      <c r="Q701" s="571"/>
      <c r="R701" s="571"/>
      <c r="S701" s="571"/>
      <c r="T701" s="571"/>
      <c r="U701" s="571"/>
      <c r="V701" s="571"/>
      <c r="W701" s="571"/>
      <c r="X701" s="571"/>
      <c r="Y701" s="571"/>
      <c r="Z701" s="571"/>
      <c r="AA701" s="571"/>
      <c r="AB701" s="571"/>
      <c r="AC701" s="571"/>
      <c r="AD701" s="571"/>
      <c r="AE701" s="571"/>
      <c r="AF701" s="571"/>
      <c r="AG701" s="690"/>
      <c r="AH701" s="691"/>
    </row>
    <row r="702">
      <c r="A702" s="568"/>
      <c r="B702" s="730"/>
      <c r="C702" s="730"/>
      <c r="D702" s="730"/>
      <c r="E702" s="730"/>
      <c r="F702" s="730"/>
      <c r="G702" s="730"/>
      <c r="H702" s="730"/>
      <c r="I702" s="730"/>
      <c r="J702" s="730"/>
      <c r="K702" s="730"/>
      <c r="L702" s="730"/>
      <c r="M702" s="730"/>
      <c r="N702" s="571"/>
      <c r="O702" s="571"/>
      <c r="P702" s="571"/>
      <c r="Q702" s="571"/>
      <c r="R702" s="571"/>
      <c r="S702" s="571"/>
      <c r="T702" s="571"/>
      <c r="U702" s="571"/>
      <c r="V702" s="571"/>
      <c r="W702" s="571"/>
      <c r="X702" s="571"/>
      <c r="Y702" s="571"/>
      <c r="Z702" s="571"/>
      <c r="AA702" s="571"/>
      <c r="AB702" s="571"/>
      <c r="AC702" s="571"/>
      <c r="AD702" s="571"/>
      <c r="AE702" s="571"/>
      <c r="AF702" s="571"/>
      <c r="AG702" s="690"/>
      <c r="AH702" s="691"/>
    </row>
    <row r="703">
      <c r="A703" s="568"/>
      <c r="B703" s="730"/>
      <c r="C703" s="730"/>
      <c r="D703" s="730"/>
      <c r="E703" s="730"/>
      <c r="F703" s="730"/>
      <c r="G703" s="730"/>
      <c r="H703" s="730"/>
      <c r="I703" s="730"/>
      <c r="J703" s="730"/>
      <c r="K703" s="730"/>
      <c r="L703" s="730"/>
      <c r="M703" s="730"/>
      <c r="N703" s="571"/>
      <c r="O703" s="571"/>
      <c r="P703" s="571"/>
      <c r="Q703" s="571"/>
      <c r="R703" s="571"/>
      <c r="S703" s="571"/>
      <c r="T703" s="571"/>
      <c r="U703" s="571"/>
      <c r="V703" s="571"/>
      <c r="W703" s="571"/>
      <c r="X703" s="571"/>
      <c r="Y703" s="571"/>
      <c r="Z703" s="571"/>
      <c r="AA703" s="571"/>
      <c r="AB703" s="571"/>
      <c r="AC703" s="571"/>
      <c r="AD703" s="571"/>
      <c r="AE703" s="571"/>
      <c r="AF703" s="571"/>
      <c r="AG703" s="690"/>
      <c r="AH703" s="691"/>
    </row>
    <row r="704">
      <c r="A704" s="568"/>
      <c r="B704" s="730"/>
      <c r="C704" s="730"/>
      <c r="D704" s="730"/>
      <c r="E704" s="730"/>
      <c r="F704" s="730"/>
      <c r="G704" s="730"/>
      <c r="H704" s="730"/>
      <c r="I704" s="730"/>
      <c r="J704" s="730"/>
      <c r="K704" s="730"/>
      <c r="L704" s="730"/>
      <c r="M704" s="730"/>
      <c r="N704" s="571"/>
      <c r="O704" s="571"/>
      <c r="P704" s="571"/>
      <c r="Q704" s="571"/>
      <c r="R704" s="571"/>
      <c r="S704" s="571"/>
      <c r="T704" s="571"/>
      <c r="U704" s="571"/>
      <c r="V704" s="571"/>
      <c r="W704" s="571"/>
      <c r="X704" s="571"/>
      <c r="Y704" s="571"/>
      <c r="Z704" s="571"/>
      <c r="AA704" s="571"/>
      <c r="AB704" s="571"/>
      <c r="AC704" s="571"/>
      <c r="AD704" s="571"/>
      <c r="AE704" s="571"/>
      <c r="AF704" s="571"/>
      <c r="AG704" s="690"/>
      <c r="AH704" s="691"/>
    </row>
    <row r="705">
      <c r="A705" s="568"/>
      <c r="B705" s="730"/>
      <c r="C705" s="730"/>
      <c r="D705" s="730"/>
      <c r="E705" s="730"/>
      <c r="F705" s="730"/>
      <c r="G705" s="730"/>
      <c r="H705" s="730"/>
      <c r="I705" s="730"/>
      <c r="J705" s="730"/>
      <c r="K705" s="730"/>
      <c r="L705" s="730"/>
      <c r="M705" s="730"/>
      <c r="N705" s="571"/>
      <c r="O705" s="571"/>
      <c r="P705" s="571"/>
      <c r="Q705" s="571"/>
      <c r="R705" s="571"/>
      <c r="S705" s="571"/>
      <c r="T705" s="571"/>
      <c r="U705" s="571"/>
      <c r="V705" s="571"/>
      <c r="W705" s="571"/>
      <c r="X705" s="571"/>
      <c r="Y705" s="571"/>
      <c r="Z705" s="571"/>
      <c r="AA705" s="571"/>
      <c r="AB705" s="571"/>
      <c r="AC705" s="571"/>
      <c r="AD705" s="571"/>
      <c r="AE705" s="571"/>
      <c r="AF705" s="571"/>
      <c r="AG705" s="690"/>
      <c r="AH705" s="691"/>
    </row>
    <row r="706">
      <c r="A706" s="568"/>
      <c r="B706" s="730"/>
      <c r="C706" s="730"/>
      <c r="D706" s="730"/>
      <c r="E706" s="730"/>
      <c r="F706" s="730"/>
      <c r="G706" s="730"/>
      <c r="H706" s="730"/>
      <c r="I706" s="730"/>
      <c r="J706" s="730"/>
      <c r="K706" s="730"/>
      <c r="L706" s="730"/>
      <c r="M706" s="730"/>
      <c r="N706" s="571"/>
      <c r="O706" s="571"/>
      <c r="P706" s="571"/>
      <c r="Q706" s="571"/>
      <c r="R706" s="571"/>
      <c r="S706" s="571"/>
      <c r="T706" s="571"/>
      <c r="U706" s="571"/>
      <c r="V706" s="571"/>
      <c r="W706" s="571"/>
      <c r="X706" s="571"/>
      <c r="Y706" s="571"/>
      <c r="Z706" s="571"/>
      <c r="AA706" s="571"/>
      <c r="AB706" s="571"/>
      <c r="AC706" s="571"/>
      <c r="AD706" s="571"/>
      <c r="AE706" s="571"/>
      <c r="AF706" s="571"/>
      <c r="AG706" s="690"/>
      <c r="AH706" s="691"/>
    </row>
    <row r="707">
      <c r="A707" s="568"/>
      <c r="B707" s="730"/>
      <c r="C707" s="730"/>
      <c r="D707" s="730"/>
      <c r="E707" s="730"/>
      <c r="F707" s="730"/>
      <c r="G707" s="730"/>
      <c r="H707" s="730"/>
      <c r="I707" s="730"/>
      <c r="J707" s="730"/>
      <c r="K707" s="730"/>
      <c r="L707" s="730"/>
      <c r="M707" s="730"/>
      <c r="N707" s="571"/>
      <c r="O707" s="571"/>
      <c r="P707" s="571"/>
      <c r="Q707" s="571"/>
      <c r="R707" s="571"/>
      <c r="S707" s="571"/>
      <c r="T707" s="571"/>
      <c r="U707" s="571"/>
      <c r="V707" s="571"/>
      <c r="W707" s="571"/>
      <c r="X707" s="571"/>
      <c r="Y707" s="571"/>
      <c r="Z707" s="571"/>
      <c r="AA707" s="571"/>
      <c r="AB707" s="571"/>
      <c r="AC707" s="571"/>
      <c r="AD707" s="571"/>
      <c r="AE707" s="571"/>
      <c r="AF707" s="571"/>
      <c r="AG707" s="690"/>
      <c r="AH707" s="691"/>
    </row>
    <row r="708">
      <c r="A708" s="568"/>
      <c r="B708" s="730"/>
      <c r="C708" s="730"/>
      <c r="D708" s="730"/>
      <c r="E708" s="730"/>
      <c r="F708" s="730"/>
      <c r="G708" s="730"/>
      <c r="H708" s="730"/>
      <c r="I708" s="730"/>
      <c r="J708" s="730"/>
      <c r="K708" s="730"/>
      <c r="L708" s="730"/>
      <c r="M708" s="730"/>
      <c r="N708" s="571"/>
      <c r="O708" s="571"/>
      <c r="P708" s="571"/>
      <c r="Q708" s="571"/>
      <c r="R708" s="571"/>
      <c r="S708" s="571"/>
      <c r="T708" s="571"/>
      <c r="U708" s="571"/>
      <c r="V708" s="571"/>
      <c r="W708" s="571"/>
      <c r="X708" s="571"/>
      <c r="Y708" s="571"/>
      <c r="Z708" s="571"/>
      <c r="AA708" s="571"/>
      <c r="AB708" s="571"/>
      <c r="AC708" s="571"/>
      <c r="AD708" s="571"/>
      <c r="AE708" s="571"/>
      <c r="AF708" s="571"/>
      <c r="AG708" s="690"/>
      <c r="AH708" s="691"/>
    </row>
    <row r="709">
      <c r="A709" s="568"/>
      <c r="B709" s="730"/>
      <c r="C709" s="730"/>
      <c r="D709" s="730"/>
      <c r="E709" s="730"/>
      <c r="F709" s="730"/>
      <c r="G709" s="730"/>
      <c r="H709" s="730"/>
      <c r="I709" s="730"/>
      <c r="J709" s="730"/>
      <c r="K709" s="730"/>
      <c r="L709" s="730"/>
      <c r="M709" s="730"/>
      <c r="N709" s="571"/>
      <c r="O709" s="571"/>
      <c r="P709" s="571"/>
      <c r="Q709" s="571"/>
      <c r="R709" s="571"/>
      <c r="S709" s="571"/>
      <c r="T709" s="571"/>
      <c r="U709" s="571"/>
      <c r="V709" s="571"/>
      <c r="W709" s="571"/>
      <c r="X709" s="571"/>
      <c r="Y709" s="571"/>
      <c r="Z709" s="571"/>
      <c r="AA709" s="571"/>
      <c r="AB709" s="571"/>
      <c r="AC709" s="571"/>
      <c r="AD709" s="571"/>
      <c r="AE709" s="571"/>
      <c r="AF709" s="571"/>
      <c r="AG709" s="690"/>
      <c r="AH709" s="691"/>
    </row>
    <row r="710">
      <c r="A710" s="568"/>
      <c r="B710" s="730"/>
      <c r="C710" s="730"/>
      <c r="D710" s="730"/>
      <c r="E710" s="730"/>
      <c r="F710" s="730"/>
      <c r="G710" s="730"/>
      <c r="H710" s="730"/>
      <c r="I710" s="730"/>
      <c r="J710" s="730"/>
      <c r="K710" s="730"/>
      <c r="L710" s="730"/>
      <c r="M710" s="730"/>
      <c r="N710" s="571"/>
      <c r="O710" s="571"/>
      <c r="P710" s="571"/>
      <c r="Q710" s="571"/>
      <c r="R710" s="571"/>
      <c r="S710" s="571"/>
      <c r="T710" s="571"/>
      <c r="U710" s="571"/>
      <c r="V710" s="571"/>
      <c r="W710" s="571"/>
      <c r="X710" s="571"/>
      <c r="Y710" s="571"/>
      <c r="Z710" s="571"/>
      <c r="AA710" s="571"/>
      <c r="AB710" s="571"/>
      <c r="AC710" s="571"/>
      <c r="AD710" s="571"/>
      <c r="AE710" s="571"/>
      <c r="AF710" s="571"/>
      <c r="AG710" s="690"/>
      <c r="AH710" s="691"/>
    </row>
    <row r="711">
      <c r="A711" s="568"/>
      <c r="B711" s="730"/>
      <c r="C711" s="730"/>
      <c r="D711" s="730"/>
      <c r="E711" s="730"/>
      <c r="F711" s="730"/>
      <c r="G711" s="730"/>
      <c r="H711" s="730"/>
      <c r="I711" s="730"/>
      <c r="J711" s="730"/>
      <c r="K711" s="730"/>
      <c r="L711" s="730"/>
      <c r="M711" s="730"/>
      <c r="N711" s="571"/>
      <c r="O711" s="571"/>
      <c r="P711" s="571"/>
      <c r="Q711" s="571"/>
      <c r="R711" s="571"/>
      <c r="S711" s="571"/>
      <c r="T711" s="571"/>
      <c r="U711" s="571"/>
      <c r="V711" s="571"/>
      <c r="W711" s="571"/>
      <c r="X711" s="571"/>
      <c r="Y711" s="571"/>
      <c r="Z711" s="571"/>
      <c r="AA711" s="571"/>
      <c r="AB711" s="571"/>
      <c r="AC711" s="571"/>
      <c r="AD711" s="571"/>
      <c r="AE711" s="571"/>
      <c r="AF711" s="571"/>
      <c r="AG711" s="690"/>
      <c r="AH711" s="691"/>
    </row>
    <row r="712">
      <c r="A712" s="568"/>
      <c r="B712" s="730"/>
      <c r="C712" s="730"/>
      <c r="D712" s="730"/>
      <c r="E712" s="730"/>
      <c r="F712" s="730"/>
      <c r="G712" s="730"/>
      <c r="H712" s="730"/>
      <c r="I712" s="730"/>
      <c r="J712" s="730"/>
      <c r="K712" s="730"/>
      <c r="L712" s="730"/>
      <c r="M712" s="730"/>
      <c r="N712" s="571"/>
      <c r="O712" s="571"/>
      <c r="P712" s="571"/>
      <c r="Q712" s="571"/>
      <c r="R712" s="571"/>
      <c r="S712" s="571"/>
      <c r="T712" s="571"/>
      <c r="U712" s="571"/>
      <c r="V712" s="571"/>
      <c r="W712" s="571"/>
      <c r="X712" s="571"/>
      <c r="Y712" s="571"/>
      <c r="Z712" s="571"/>
      <c r="AA712" s="571"/>
      <c r="AB712" s="571"/>
      <c r="AC712" s="571"/>
      <c r="AD712" s="571"/>
      <c r="AE712" s="571"/>
      <c r="AF712" s="571"/>
      <c r="AG712" s="690"/>
      <c r="AH712" s="691"/>
    </row>
    <row r="713">
      <c r="A713" s="568"/>
      <c r="B713" s="730"/>
      <c r="C713" s="730"/>
      <c r="D713" s="730"/>
      <c r="E713" s="730"/>
      <c r="F713" s="730"/>
      <c r="G713" s="730"/>
      <c r="H713" s="730"/>
      <c r="I713" s="730"/>
      <c r="J713" s="730"/>
      <c r="K713" s="730"/>
      <c r="L713" s="730"/>
      <c r="M713" s="730"/>
      <c r="N713" s="571"/>
      <c r="O713" s="571"/>
      <c r="P713" s="571"/>
      <c r="Q713" s="571"/>
      <c r="R713" s="571"/>
      <c r="S713" s="571"/>
      <c r="T713" s="571"/>
      <c r="U713" s="571"/>
      <c r="V713" s="571"/>
      <c r="W713" s="571"/>
      <c r="X713" s="571"/>
      <c r="Y713" s="571"/>
      <c r="Z713" s="571"/>
      <c r="AA713" s="571"/>
      <c r="AB713" s="571"/>
      <c r="AC713" s="571"/>
      <c r="AD713" s="571"/>
      <c r="AE713" s="571"/>
      <c r="AF713" s="571"/>
      <c r="AG713" s="690"/>
      <c r="AH713" s="691"/>
    </row>
    <row r="714">
      <c r="A714" s="568"/>
      <c r="B714" s="730"/>
      <c r="C714" s="730"/>
      <c r="D714" s="730"/>
      <c r="E714" s="730"/>
      <c r="F714" s="730"/>
      <c r="G714" s="730"/>
      <c r="H714" s="730"/>
      <c r="I714" s="730"/>
      <c r="J714" s="730"/>
      <c r="K714" s="730"/>
      <c r="L714" s="730"/>
      <c r="M714" s="730"/>
      <c r="N714" s="571"/>
      <c r="O714" s="571"/>
      <c r="P714" s="571"/>
      <c r="Q714" s="571"/>
      <c r="R714" s="571"/>
      <c r="S714" s="571"/>
      <c r="T714" s="571"/>
      <c r="U714" s="571"/>
      <c r="V714" s="571"/>
      <c r="W714" s="571"/>
      <c r="X714" s="571"/>
      <c r="Y714" s="571"/>
      <c r="Z714" s="571"/>
      <c r="AA714" s="571"/>
      <c r="AB714" s="571"/>
      <c r="AC714" s="571"/>
      <c r="AD714" s="571"/>
      <c r="AE714" s="571"/>
      <c r="AF714" s="571"/>
      <c r="AG714" s="690"/>
      <c r="AH714" s="691"/>
    </row>
    <row r="715">
      <c r="A715" s="568"/>
      <c r="B715" s="730"/>
      <c r="C715" s="730"/>
      <c r="D715" s="730"/>
      <c r="E715" s="730"/>
      <c r="F715" s="730"/>
      <c r="G715" s="730"/>
      <c r="H715" s="730"/>
      <c r="I715" s="730"/>
      <c r="J715" s="730"/>
      <c r="K715" s="730"/>
      <c r="L715" s="730"/>
      <c r="M715" s="730"/>
      <c r="N715" s="571"/>
      <c r="O715" s="571"/>
      <c r="P715" s="571"/>
      <c r="Q715" s="571"/>
      <c r="R715" s="571"/>
      <c r="S715" s="571"/>
      <c r="T715" s="571"/>
      <c r="U715" s="571"/>
      <c r="V715" s="571"/>
      <c r="W715" s="571"/>
      <c r="X715" s="571"/>
      <c r="Y715" s="571"/>
      <c r="Z715" s="571"/>
      <c r="AA715" s="571"/>
      <c r="AB715" s="571"/>
      <c r="AC715" s="571"/>
      <c r="AD715" s="571"/>
      <c r="AE715" s="571"/>
      <c r="AF715" s="571"/>
      <c r="AG715" s="690"/>
      <c r="AH715" s="691"/>
    </row>
    <row r="716">
      <c r="A716" s="568"/>
      <c r="B716" s="730"/>
      <c r="C716" s="730"/>
      <c r="D716" s="730"/>
      <c r="E716" s="730"/>
      <c r="F716" s="730"/>
      <c r="G716" s="730"/>
      <c r="H716" s="730"/>
      <c r="I716" s="730"/>
      <c r="J716" s="730"/>
      <c r="K716" s="730"/>
      <c r="L716" s="730"/>
      <c r="M716" s="730"/>
      <c r="N716" s="571"/>
      <c r="O716" s="571"/>
      <c r="P716" s="571"/>
      <c r="Q716" s="571"/>
      <c r="R716" s="571"/>
      <c r="S716" s="571"/>
      <c r="T716" s="571"/>
      <c r="U716" s="571"/>
      <c r="V716" s="571"/>
      <c r="W716" s="571"/>
      <c r="X716" s="571"/>
      <c r="Y716" s="571"/>
      <c r="Z716" s="571"/>
      <c r="AA716" s="571"/>
      <c r="AB716" s="571"/>
      <c r="AC716" s="571"/>
      <c r="AD716" s="571"/>
      <c r="AE716" s="571"/>
      <c r="AF716" s="571"/>
      <c r="AG716" s="690"/>
      <c r="AH716" s="691"/>
    </row>
    <row r="717">
      <c r="A717" s="568"/>
      <c r="B717" s="730"/>
      <c r="C717" s="730"/>
      <c r="D717" s="730"/>
      <c r="E717" s="730"/>
      <c r="F717" s="730"/>
      <c r="G717" s="730"/>
      <c r="H717" s="730"/>
      <c r="I717" s="730"/>
      <c r="J717" s="730"/>
      <c r="K717" s="730"/>
      <c r="L717" s="730"/>
      <c r="M717" s="730"/>
      <c r="N717" s="571"/>
      <c r="O717" s="571"/>
      <c r="P717" s="571"/>
      <c r="Q717" s="571"/>
      <c r="R717" s="571"/>
      <c r="S717" s="571"/>
      <c r="T717" s="571"/>
      <c r="U717" s="571"/>
      <c r="V717" s="571"/>
      <c r="W717" s="571"/>
      <c r="X717" s="571"/>
      <c r="Y717" s="571"/>
      <c r="Z717" s="571"/>
      <c r="AA717" s="571"/>
      <c r="AB717" s="571"/>
      <c r="AC717" s="571"/>
      <c r="AD717" s="571"/>
      <c r="AE717" s="571"/>
      <c r="AF717" s="571"/>
      <c r="AG717" s="690"/>
      <c r="AH717" s="691"/>
    </row>
    <row r="718">
      <c r="A718" s="568"/>
      <c r="B718" s="730"/>
      <c r="C718" s="730"/>
      <c r="D718" s="730"/>
      <c r="E718" s="730"/>
      <c r="F718" s="730"/>
      <c r="G718" s="730"/>
      <c r="H718" s="730"/>
      <c r="I718" s="730"/>
      <c r="J718" s="730"/>
      <c r="K718" s="730"/>
      <c r="L718" s="730"/>
      <c r="M718" s="730"/>
      <c r="N718" s="571"/>
      <c r="O718" s="571"/>
      <c r="P718" s="571"/>
      <c r="Q718" s="571"/>
      <c r="R718" s="571"/>
      <c r="S718" s="571"/>
      <c r="T718" s="571"/>
      <c r="U718" s="571"/>
      <c r="V718" s="571"/>
      <c r="W718" s="571"/>
      <c r="X718" s="571"/>
      <c r="Y718" s="571"/>
      <c r="Z718" s="571"/>
      <c r="AA718" s="571"/>
      <c r="AB718" s="571"/>
      <c r="AC718" s="571"/>
      <c r="AD718" s="571"/>
      <c r="AE718" s="571"/>
      <c r="AF718" s="571"/>
      <c r="AG718" s="690"/>
      <c r="AH718" s="691"/>
    </row>
    <row r="719">
      <c r="A719" s="568"/>
      <c r="B719" s="730"/>
      <c r="C719" s="730"/>
      <c r="D719" s="730"/>
      <c r="E719" s="730"/>
      <c r="F719" s="730"/>
      <c r="G719" s="730"/>
      <c r="H719" s="730"/>
      <c r="I719" s="730"/>
      <c r="J719" s="730"/>
      <c r="K719" s="730"/>
      <c r="L719" s="730"/>
      <c r="M719" s="730"/>
      <c r="N719" s="571"/>
      <c r="O719" s="571"/>
      <c r="P719" s="571"/>
      <c r="Q719" s="571"/>
      <c r="R719" s="571"/>
      <c r="S719" s="571"/>
      <c r="T719" s="571"/>
      <c r="U719" s="571"/>
      <c r="V719" s="571"/>
      <c r="W719" s="571"/>
      <c r="X719" s="571"/>
      <c r="Y719" s="571"/>
      <c r="Z719" s="571"/>
      <c r="AA719" s="571"/>
      <c r="AB719" s="571"/>
      <c r="AC719" s="571"/>
      <c r="AD719" s="571"/>
      <c r="AE719" s="571"/>
      <c r="AF719" s="571"/>
      <c r="AG719" s="690"/>
      <c r="AH719" s="691"/>
    </row>
    <row r="720">
      <c r="A720" s="568"/>
      <c r="B720" s="730"/>
      <c r="C720" s="730"/>
      <c r="D720" s="730"/>
      <c r="E720" s="730"/>
      <c r="F720" s="730"/>
      <c r="G720" s="730"/>
      <c r="H720" s="730"/>
      <c r="I720" s="730"/>
      <c r="J720" s="730"/>
      <c r="K720" s="730"/>
      <c r="L720" s="730"/>
      <c r="M720" s="730"/>
      <c r="N720" s="571"/>
      <c r="O720" s="571"/>
      <c r="P720" s="571"/>
      <c r="Q720" s="571"/>
      <c r="R720" s="571"/>
      <c r="S720" s="571"/>
      <c r="T720" s="571"/>
      <c r="U720" s="571"/>
      <c r="V720" s="571"/>
      <c r="W720" s="571"/>
      <c r="X720" s="571"/>
      <c r="Y720" s="571"/>
      <c r="Z720" s="571"/>
      <c r="AA720" s="571"/>
      <c r="AB720" s="571"/>
      <c r="AC720" s="571"/>
      <c r="AD720" s="571"/>
      <c r="AE720" s="571"/>
      <c r="AF720" s="571"/>
      <c r="AG720" s="690"/>
      <c r="AH720" s="691"/>
    </row>
    <row r="721">
      <c r="A721" s="568"/>
      <c r="B721" s="730"/>
      <c r="C721" s="730"/>
      <c r="D721" s="730"/>
      <c r="E721" s="730"/>
      <c r="F721" s="730"/>
      <c r="G721" s="730"/>
      <c r="H721" s="730"/>
      <c r="I721" s="730"/>
      <c r="J721" s="730"/>
      <c r="K721" s="730"/>
      <c r="L721" s="730"/>
      <c r="M721" s="730"/>
      <c r="N721" s="571"/>
      <c r="O721" s="571"/>
      <c r="P721" s="571"/>
      <c r="Q721" s="571"/>
      <c r="R721" s="571"/>
      <c r="S721" s="571"/>
      <c r="T721" s="571"/>
      <c r="U721" s="571"/>
      <c r="V721" s="571"/>
      <c r="W721" s="571"/>
      <c r="X721" s="571"/>
      <c r="Y721" s="571"/>
      <c r="Z721" s="571"/>
      <c r="AA721" s="571"/>
      <c r="AB721" s="571"/>
      <c r="AC721" s="571"/>
      <c r="AD721" s="571"/>
      <c r="AE721" s="571"/>
      <c r="AF721" s="571"/>
      <c r="AG721" s="690"/>
      <c r="AH721" s="691"/>
    </row>
    <row r="722">
      <c r="A722" s="568"/>
      <c r="B722" s="730"/>
      <c r="C722" s="730"/>
      <c r="D722" s="730"/>
      <c r="E722" s="730"/>
      <c r="F722" s="730"/>
      <c r="G722" s="730"/>
      <c r="H722" s="730"/>
      <c r="I722" s="730"/>
      <c r="J722" s="730"/>
      <c r="K722" s="730"/>
      <c r="L722" s="730"/>
      <c r="M722" s="730"/>
      <c r="N722" s="571"/>
      <c r="O722" s="571"/>
      <c r="P722" s="571"/>
      <c r="Q722" s="571"/>
      <c r="R722" s="571"/>
      <c r="S722" s="571"/>
      <c r="T722" s="571"/>
      <c r="U722" s="571"/>
      <c r="V722" s="571"/>
      <c r="W722" s="571"/>
      <c r="X722" s="571"/>
      <c r="Y722" s="571"/>
      <c r="Z722" s="571"/>
      <c r="AA722" s="571"/>
      <c r="AB722" s="571"/>
      <c r="AC722" s="571"/>
      <c r="AD722" s="571"/>
      <c r="AE722" s="571"/>
      <c r="AF722" s="571"/>
      <c r="AG722" s="690"/>
      <c r="AH722" s="691"/>
    </row>
    <row r="723">
      <c r="A723" s="568"/>
      <c r="B723" s="730"/>
      <c r="C723" s="730"/>
      <c r="D723" s="730"/>
      <c r="E723" s="730"/>
      <c r="F723" s="730"/>
      <c r="G723" s="730"/>
      <c r="H723" s="730"/>
      <c r="I723" s="730"/>
      <c r="J723" s="730"/>
      <c r="K723" s="730"/>
      <c r="L723" s="730"/>
      <c r="M723" s="730"/>
      <c r="N723" s="571"/>
      <c r="O723" s="571"/>
      <c r="P723" s="571"/>
      <c r="Q723" s="571"/>
      <c r="R723" s="571"/>
      <c r="S723" s="571"/>
      <c r="T723" s="571"/>
      <c r="U723" s="571"/>
      <c r="V723" s="571"/>
      <c r="W723" s="571"/>
      <c r="X723" s="571"/>
      <c r="Y723" s="571"/>
      <c r="Z723" s="571"/>
      <c r="AA723" s="571"/>
      <c r="AB723" s="571"/>
      <c r="AC723" s="571"/>
      <c r="AD723" s="571"/>
      <c r="AE723" s="571"/>
      <c r="AF723" s="571"/>
      <c r="AG723" s="690"/>
      <c r="AH723" s="691"/>
    </row>
    <row r="724">
      <c r="A724" s="568"/>
      <c r="B724" s="730"/>
      <c r="C724" s="730"/>
      <c r="D724" s="730"/>
      <c r="E724" s="730"/>
      <c r="F724" s="730"/>
      <c r="G724" s="730"/>
      <c r="H724" s="730"/>
      <c r="I724" s="730"/>
      <c r="J724" s="730"/>
      <c r="K724" s="730"/>
      <c r="L724" s="730"/>
      <c r="M724" s="730"/>
      <c r="N724" s="571"/>
      <c r="O724" s="571"/>
      <c r="P724" s="571"/>
      <c r="Q724" s="571"/>
      <c r="R724" s="571"/>
      <c r="S724" s="571"/>
      <c r="T724" s="571"/>
      <c r="U724" s="571"/>
      <c r="V724" s="571"/>
      <c r="W724" s="571"/>
      <c r="X724" s="571"/>
      <c r="Y724" s="571"/>
      <c r="Z724" s="571"/>
      <c r="AA724" s="571"/>
      <c r="AB724" s="571"/>
      <c r="AC724" s="571"/>
      <c r="AD724" s="571"/>
      <c r="AE724" s="571"/>
      <c r="AF724" s="571"/>
      <c r="AG724" s="690"/>
      <c r="AH724" s="691"/>
    </row>
    <row r="725">
      <c r="A725" s="568"/>
      <c r="B725" s="730"/>
      <c r="C725" s="730"/>
      <c r="D725" s="730"/>
      <c r="E725" s="730"/>
      <c r="F725" s="730"/>
      <c r="G725" s="730"/>
      <c r="H725" s="730"/>
      <c r="I725" s="730"/>
      <c r="J725" s="730"/>
      <c r="K725" s="730"/>
      <c r="L725" s="730"/>
      <c r="M725" s="730"/>
      <c r="N725" s="571"/>
      <c r="O725" s="571"/>
      <c r="P725" s="571"/>
      <c r="Q725" s="571"/>
      <c r="R725" s="571"/>
      <c r="S725" s="571"/>
      <c r="T725" s="571"/>
      <c r="U725" s="571"/>
      <c r="V725" s="571"/>
      <c r="W725" s="571"/>
      <c r="X725" s="571"/>
      <c r="Y725" s="571"/>
      <c r="Z725" s="571"/>
      <c r="AA725" s="571"/>
      <c r="AB725" s="571"/>
      <c r="AC725" s="571"/>
      <c r="AD725" s="571"/>
      <c r="AE725" s="571"/>
      <c r="AF725" s="571"/>
      <c r="AG725" s="690"/>
      <c r="AH725" s="691"/>
    </row>
    <row r="726">
      <c r="A726" s="568"/>
      <c r="B726" s="730"/>
      <c r="C726" s="730"/>
      <c r="D726" s="730"/>
      <c r="E726" s="730"/>
      <c r="F726" s="730"/>
      <c r="G726" s="730"/>
      <c r="H726" s="730"/>
      <c r="I726" s="730"/>
      <c r="J726" s="730"/>
      <c r="K726" s="730"/>
      <c r="L726" s="730"/>
      <c r="M726" s="730"/>
      <c r="N726" s="571"/>
      <c r="O726" s="571"/>
      <c r="P726" s="571"/>
      <c r="Q726" s="571"/>
      <c r="R726" s="571"/>
      <c r="S726" s="571"/>
      <c r="T726" s="571"/>
      <c r="U726" s="571"/>
      <c r="V726" s="571"/>
      <c r="W726" s="571"/>
      <c r="X726" s="571"/>
      <c r="Y726" s="571"/>
      <c r="Z726" s="571"/>
      <c r="AA726" s="571"/>
      <c r="AB726" s="571"/>
      <c r="AC726" s="571"/>
      <c r="AD726" s="571"/>
      <c r="AE726" s="571"/>
      <c r="AF726" s="571"/>
      <c r="AG726" s="690"/>
      <c r="AH726" s="691"/>
    </row>
    <row r="727">
      <c r="A727" s="568"/>
      <c r="B727" s="730"/>
      <c r="C727" s="730"/>
      <c r="D727" s="730"/>
      <c r="E727" s="730"/>
      <c r="F727" s="730"/>
      <c r="G727" s="730"/>
      <c r="H727" s="730"/>
      <c r="I727" s="730"/>
      <c r="J727" s="730"/>
      <c r="K727" s="730"/>
      <c r="L727" s="730"/>
      <c r="M727" s="730"/>
      <c r="N727" s="571"/>
      <c r="O727" s="571"/>
      <c r="P727" s="571"/>
      <c r="Q727" s="571"/>
      <c r="R727" s="571"/>
      <c r="S727" s="571"/>
      <c r="T727" s="571"/>
      <c r="U727" s="571"/>
      <c r="V727" s="571"/>
      <c r="W727" s="571"/>
      <c r="X727" s="571"/>
      <c r="Y727" s="571"/>
      <c r="Z727" s="571"/>
      <c r="AA727" s="571"/>
      <c r="AB727" s="571"/>
      <c r="AC727" s="571"/>
      <c r="AD727" s="571"/>
      <c r="AE727" s="571"/>
      <c r="AF727" s="571"/>
      <c r="AG727" s="690"/>
      <c r="AH727" s="691"/>
    </row>
    <row r="728">
      <c r="A728" s="568"/>
      <c r="B728" s="730"/>
      <c r="C728" s="730"/>
      <c r="D728" s="730"/>
      <c r="E728" s="730"/>
      <c r="F728" s="730"/>
      <c r="G728" s="730"/>
      <c r="H728" s="730"/>
      <c r="I728" s="730"/>
      <c r="J728" s="730"/>
      <c r="K728" s="730"/>
      <c r="L728" s="730"/>
      <c r="M728" s="730"/>
      <c r="N728" s="571"/>
      <c r="O728" s="571"/>
      <c r="P728" s="571"/>
      <c r="Q728" s="571"/>
      <c r="R728" s="571"/>
      <c r="S728" s="571"/>
      <c r="T728" s="571"/>
      <c r="U728" s="571"/>
      <c r="V728" s="571"/>
      <c r="W728" s="571"/>
      <c r="X728" s="571"/>
      <c r="Y728" s="571"/>
      <c r="Z728" s="571"/>
      <c r="AA728" s="571"/>
      <c r="AB728" s="571"/>
      <c r="AC728" s="571"/>
      <c r="AD728" s="571"/>
      <c r="AE728" s="571"/>
      <c r="AF728" s="571"/>
      <c r="AG728" s="690"/>
      <c r="AH728" s="691"/>
    </row>
    <row r="729">
      <c r="A729" s="568"/>
      <c r="B729" s="730"/>
      <c r="C729" s="730"/>
      <c r="D729" s="730"/>
      <c r="E729" s="730"/>
      <c r="F729" s="730"/>
      <c r="G729" s="730"/>
      <c r="H729" s="730"/>
      <c r="I729" s="730"/>
      <c r="J729" s="730"/>
      <c r="K729" s="730"/>
      <c r="L729" s="730"/>
      <c r="M729" s="730"/>
      <c r="N729" s="571"/>
      <c r="O729" s="571"/>
      <c r="P729" s="571"/>
      <c r="Q729" s="571"/>
      <c r="R729" s="571"/>
      <c r="S729" s="571"/>
      <c r="T729" s="571"/>
      <c r="U729" s="571"/>
      <c r="V729" s="571"/>
      <c r="W729" s="571"/>
      <c r="X729" s="571"/>
      <c r="Y729" s="571"/>
      <c r="Z729" s="571"/>
      <c r="AA729" s="571"/>
      <c r="AB729" s="571"/>
      <c r="AC729" s="571"/>
      <c r="AD729" s="571"/>
      <c r="AE729" s="571"/>
      <c r="AF729" s="571"/>
      <c r="AG729" s="690"/>
      <c r="AH729" s="691"/>
    </row>
    <row r="730">
      <c r="A730" s="568"/>
      <c r="B730" s="730"/>
      <c r="C730" s="730"/>
      <c r="D730" s="730"/>
      <c r="E730" s="730"/>
      <c r="F730" s="730"/>
      <c r="G730" s="730"/>
      <c r="H730" s="730"/>
      <c r="I730" s="730"/>
      <c r="J730" s="730"/>
      <c r="K730" s="730"/>
      <c r="L730" s="730"/>
      <c r="M730" s="730"/>
      <c r="N730" s="571"/>
      <c r="O730" s="571"/>
      <c r="P730" s="571"/>
      <c r="Q730" s="571"/>
      <c r="R730" s="571"/>
      <c r="S730" s="571"/>
      <c r="T730" s="571"/>
      <c r="U730" s="571"/>
      <c r="V730" s="571"/>
      <c r="W730" s="571"/>
      <c r="X730" s="571"/>
      <c r="Y730" s="571"/>
      <c r="Z730" s="571"/>
      <c r="AA730" s="571"/>
      <c r="AB730" s="571"/>
      <c r="AC730" s="571"/>
      <c r="AD730" s="571"/>
      <c r="AE730" s="571"/>
      <c r="AF730" s="571"/>
      <c r="AG730" s="690"/>
      <c r="AH730" s="691"/>
    </row>
    <row r="731">
      <c r="A731" s="568"/>
      <c r="B731" s="730"/>
      <c r="C731" s="730"/>
      <c r="D731" s="730"/>
      <c r="E731" s="730"/>
      <c r="F731" s="730"/>
      <c r="G731" s="730"/>
      <c r="H731" s="730"/>
      <c r="I731" s="730"/>
      <c r="J731" s="730"/>
      <c r="K731" s="730"/>
      <c r="L731" s="730"/>
      <c r="M731" s="730"/>
      <c r="N731" s="571"/>
      <c r="O731" s="571"/>
      <c r="P731" s="571"/>
      <c r="Q731" s="571"/>
      <c r="R731" s="571"/>
      <c r="S731" s="571"/>
      <c r="T731" s="571"/>
      <c r="U731" s="571"/>
      <c r="V731" s="571"/>
      <c r="W731" s="571"/>
      <c r="X731" s="571"/>
      <c r="Y731" s="571"/>
      <c r="Z731" s="571"/>
      <c r="AA731" s="571"/>
      <c r="AB731" s="571"/>
      <c r="AC731" s="571"/>
      <c r="AD731" s="571"/>
      <c r="AE731" s="571"/>
      <c r="AF731" s="571"/>
      <c r="AG731" s="690"/>
      <c r="AH731" s="691"/>
    </row>
    <row r="732">
      <c r="A732" s="568"/>
      <c r="B732" s="730"/>
      <c r="C732" s="730"/>
      <c r="D732" s="730"/>
      <c r="E732" s="730"/>
      <c r="F732" s="730"/>
      <c r="G732" s="730"/>
      <c r="H732" s="730"/>
      <c r="I732" s="730"/>
      <c r="J732" s="730"/>
      <c r="K732" s="730"/>
      <c r="L732" s="730"/>
      <c r="M732" s="730"/>
      <c r="N732" s="571"/>
      <c r="O732" s="571"/>
      <c r="P732" s="571"/>
      <c r="Q732" s="571"/>
      <c r="R732" s="571"/>
      <c r="S732" s="571"/>
      <c r="T732" s="571"/>
      <c r="U732" s="571"/>
      <c r="V732" s="571"/>
      <c r="W732" s="571"/>
      <c r="X732" s="571"/>
      <c r="Y732" s="571"/>
      <c r="Z732" s="571"/>
      <c r="AA732" s="571"/>
      <c r="AB732" s="571"/>
      <c r="AC732" s="571"/>
      <c r="AD732" s="571"/>
      <c r="AE732" s="571"/>
      <c r="AF732" s="571"/>
      <c r="AG732" s="690"/>
      <c r="AH732" s="691"/>
    </row>
    <row r="733">
      <c r="A733" s="568"/>
      <c r="B733" s="730"/>
      <c r="C733" s="730"/>
      <c r="D733" s="730"/>
      <c r="E733" s="730"/>
      <c r="F733" s="730"/>
      <c r="G733" s="730"/>
      <c r="H733" s="730"/>
      <c r="I733" s="730"/>
      <c r="J733" s="730"/>
      <c r="K733" s="730"/>
      <c r="L733" s="730"/>
      <c r="M733" s="730"/>
      <c r="N733" s="571"/>
      <c r="O733" s="571"/>
      <c r="P733" s="571"/>
      <c r="Q733" s="571"/>
      <c r="R733" s="571"/>
      <c r="S733" s="571"/>
      <c r="T733" s="571"/>
      <c r="U733" s="571"/>
      <c r="V733" s="571"/>
      <c r="W733" s="571"/>
      <c r="X733" s="571"/>
      <c r="Y733" s="571"/>
      <c r="Z733" s="571"/>
      <c r="AA733" s="571"/>
      <c r="AB733" s="571"/>
      <c r="AC733" s="571"/>
      <c r="AD733" s="571"/>
      <c r="AE733" s="571"/>
      <c r="AF733" s="571"/>
      <c r="AG733" s="690"/>
      <c r="AH733" s="691"/>
    </row>
    <row r="734">
      <c r="A734" s="568"/>
      <c r="B734" s="730"/>
      <c r="C734" s="730"/>
      <c r="D734" s="730"/>
      <c r="E734" s="730"/>
      <c r="F734" s="730"/>
      <c r="G734" s="730"/>
      <c r="H734" s="730"/>
      <c r="I734" s="730"/>
      <c r="J734" s="730"/>
      <c r="K734" s="730"/>
      <c r="L734" s="730"/>
      <c r="M734" s="730"/>
      <c r="N734" s="571"/>
      <c r="O734" s="571"/>
      <c r="P734" s="571"/>
      <c r="Q734" s="571"/>
      <c r="R734" s="571"/>
      <c r="S734" s="571"/>
      <c r="T734" s="571"/>
      <c r="U734" s="571"/>
      <c r="V734" s="571"/>
      <c r="W734" s="571"/>
      <c r="X734" s="571"/>
      <c r="Y734" s="571"/>
      <c r="Z734" s="571"/>
      <c r="AA734" s="571"/>
      <c r="AB734" s="571"/>
      <c r="AC734" s="571"/>
      <c r="AD734" s="571"/>
      <c r="AE734" s="571"/>
      <c r="AF734" s="571"/>
      <c r="AG734" s="690"/>
      <c r="AH734" s="691"/>
    </row>
    <row r="735">
      <c r="A735" s="568"/>
      <c r="B735" s="730"/>
      <c r="C735" s="730"/>
      <c r="D735" s="730"/>
      <c r="E735" s="730"/>
      <c r="F735" s="730"/>
      <c r="G735" s="730"/>
      <c r="H735" s="730"/>
      <c r="I735" s="730"/>
      <c r="J735" s="730"/>
      <c r="K735" s="730"/>
      <c r="L735" s="730"/>
      <c r="M735" s="730"/>
      <c r="N735" s="571"/>
      <c r="O735" s="571"/>
      <c r="P735" s="571"/>
      <c r="Q735" s="571"/>
      <c r="R735" s="571"/>
      <c r="S735" s="571"/>
      <c r="T735" s="571"/>
      <c r="U735" s="571"/>
      <c r="V735" s="571"/>
      <c r="W735" s="571"/>
      <c r="X735" s="571"/>
      <c r="Y735" s="571"/>
      <c r="Z735" s="571"/>
      <c r="AA735" s="571"/>
      <c r="AB735" s="571"/>
      <c r="AC735" s="571"/>
      <c r="AD735" s="571"/>
      <c r="AE735" s="571"/>
      <c r="AF735" s="571"/>
      <c r="AG735" s="690"/>
      <c r="AH735" s="691"/>
    </row>
    <row r="736">
      <c r="A736" s="568"/>
      <c r="B736" s="730"/>
      <c r="C736" s="730"/>
      <c r="D736" s="730"/>
      <c r="E736" s="730"/>
      <c r="F736" s="730"/>
      <c r="G736" s="730"/>
      <c r="H736" s="730"/>
      <c r="I736" s="730"/>
      <c r="J736" s="730"/>
      <c r="K736" s="730"/>
      <c r="L736" s="730"/>
      <c r="M736" s="730"/>
      <c r="N736" s="571"/>
      <c r="O736" s="571"/>
      <c r="P736" s="571"/>
      <c r="Q736" s="571"/>
      <c r="R736" s="571"/>
      <c r="S736" s="571"/>
      <c r="T736" s="571"/>
      <c r="U736" s="571"/>
      <c r="V736" s="571"/>
      <c r="W736" s="571"/>
      <c r="X736" s="571"/>
      <c r="Y736" s="571"/>
      <c r="Z736" s="571"/>
      <c r="AA736" s="571"/>
      <c r="AB736" s="571"/>
      <c r="AC736" s="571"/>
      <c r="AD736" s="571"/>
      <c r="AE736" s="571"/>
      <c r="AF736" s="571"/>
      <c r="AG736" s="690"/>
      <c r="AH736" s="691"/>
    </row>
    <row r="737">
      <c r="A737" s="568"/>
      <c r="B737" s="730"/>
      <c r="C737" s="730"/>
      <c r="D737" s="730"/>
      <c r="E737" s="730"/>
      <c r="F737" s="730"/>
      <c r="G737" s="730"/>
      <c r="H737" s="730"/>
      <c r="I737" s="730"/>
      <c r="J737" s="730"/>
      <c r="K737" s="730"/>
      <c r="L737" s="730"/>
      <c r="M737" s="730"/>
      <c r="N737" s="571"/>
      <c r="O737" s="571"/>
      <c r="P737" s="571"/>
      <c r="Q737" s="571"/>
      <c r="R737" s="571"/>
      <c r="S737" s="571"/>
      <c r="T737" s="571"/>
      <c r="U737" s="571"/>
      <c r="V737" s="571"/>
      <c r="W737" s="571"/>
      <c r="X737" s="571"/>
      <c r="Y737" s="571"/>
      <c r="Z737" s="571"/>
      <c r="AA737" s="571"/>
      <c r="AB737" s="571"/>
      <c r="AC737" s="571"/>
      <c r="AD737" s="571"/>
      <c r="AE737" s="571"/>
      <c r="AF737" s="571"/>
      <c r="AG737" s="690"/>
      <c r="AH737" s="691"/>
    </row>
    <row r="738">
      <c r="A738" s="568"/>
      <c r="B738" s="730"/>
      <c r="C738" s="730"/>
      <c r="D738" s="730"/>
      <c r="E738" s="730"/>
      <c r="F738" s="730"/>
      <c r="G738" s="730"/>
      <c r="H738" s="730"/>
      <c r="I738" s="730"/>
      <c r="J738" s="730"/>
      <c r="K738" s="730"/>
      <c r="L738" s="730"/>
      <c r="M738" s="730"/>
      <c r="N738" s="571"/>
      <c r="O738" s="571"/>
      <c r="P738" s="571"/>
      <c r="Q738" s="571"/>
      <c r="R738" s="571"/>
      <c r="S738" s="571"/>
      <c r="T738" s="571"/>
      <c r="U738" s="571"/>
      <c r="V738" s="571"/>
      <c r="W738" s="571"/>
      <c r="X738" s="571"/>
      <c r="Y738" s="571"/>
      <c r="Z738" s="571"/>
      <c r="AA738" s="571"/>
      <c r="AB738" s="571"/>
      <c r="AC738" s="571"/>
      <c r="AD738" s="571"/>
      <c r="AE738" s="571"/>
      <c r="AF738" s="571"/>
      <c r="AG738" s="690"/>
      <c r="AH738" s="691"/>
    </row>
    <row r="739">
      <c r="A739" s="568"/>
      <c r="B739" s="730"/>
      <c r="C739" s="730"/>
      <c r="D739" s="730"/>
      <c r="E739" s="730"/>
      <c r="F739" s="730"/>
      <c r="G739" s="730"/>
      <c r="H739" s="730"/>
      <c r="I739" s="730"/>
      <c r="J739" s="730"/>
      <c r="K739" s="730"/>
      <c r="L739" s="730"/>
      <c r="M739" s="730"/>
      <c r="N739" s="571"/>
      <c r="O739" s="571"/>
      <c r="P739" s="571"/>
      <c r="Q739" s="571"/>
      <c r="R739" s="571"/>
      <c r="S739" s="571"/>
      <c r="T739" s="571"/>
      <c r="U739" s="571"/>
      <c r="V739" s="571"/>
      <c r="W739" s="571"/>
      <c r="X739" s="571"/>
      <c r="Y739" s="571"/>
      <c r="Z739" s="571"/>
      <c r="AA739" s="571"/>
      <c r="AB739" s="571"/>
      <c r="AC739" s="571"/>
      <c r="AD739" s="571"/>
      <c r="AE739" s="571"/>
      <c r="AF739" s="571"/>
      <c r="AG739" s="690"/>
      <c r="AH739" s="691"/>
    </row>
    <row r="740">
      <c r="A740" s="568"/>
      <c r="B740" s="730"/>
      <c r="C740" s="730"/>
      <c r="D740" s="730"/>
      <c r="E740" s="730"/>
      <c r="F740" s="730"/>
      <c r="G740" s="730"/>
      <c r="H740" s="730"/>
      <c r="I740" s="730"/>
      <c r="J740" s="730"/>
      <c r="K740" s="730"/>
      <c r="L740" s="730"/>
      <c r="M740" s="730"/>
      <c r="N740" s="571"/>
      <c r="O740" s="571"/>
      <c r="P740" s="571"/>
      <c r="Q740" s="571"/>
      <c r="R740" s="571"/>
      <c r="S740" s="571"/>
      <c r="T740" s="571"/>
      <c r="U740" s="571"/>
      <c r="V740" s="571"/>
      <c r="W740" s="571"/>
      <c r="X740" s="571"/>
      <c r="Y740" s="571"/>
      <c r="Z740" s="571"/>
      <c r="AA740" s="571"/>
      <c r="AB740" s="571"/>
      <c r="AC740" s="571"/>
      <c r="AD740" s="571"/>
      <c r="AE740" s="571"/>
      <c r="AF740" s="571"/>
      <c r="AG740" s="690"/>
      <c r="AH740" s="691"/>
    </row>
    <row r="741">
      <c r="A741" s="568"/>
      <c r="B741" s="730"/>
      <c r="C741" s="730"/>
      <c r="D741" s="730"/>
      <c r="E741" s="730"/>
      <c r="F741" s="730"/>
      <c r="G741" s="730"/>
      <c r="H741" s="730"/>
      <c r="I741" s="730"/>
      <c r="J741" s="730"/>
      <c r="K741" s="730"/>
      <c r="L741" s="730"/>
      <c r="M741" s="730"/>
      <c r="N741" s="571"/>
      <c r="O741" s="571"/>
      <c r="P741" s="571"/>
      <c r="Q741" s="571"/>
      <c r="R741" s="571"/>
      <c r="S741" s="571"/>
      <c r="T741" s="571"/>
      <c r="U741" s="571"/>
      <c r="V741" s="571"/>
      <c r="W741" s="571"/>
      <c r="X741" s="571"/>
      <c r="Y741" s="571"/>
      <c r="Z741" s="571"/>
      <c r="AA741" s="571"/>
      <c r="AB741" s="571"/>
      <c r="AC741" s="571"/>
      <c r="AD741" s="571"/>
      <c r="AE741" s="571"/>
      <c r="AF741" s="571"/>
      <c r="AG741" s="690"/>
      <c r="AH741" s="691"/>
    </row>
    <row r="742">
      <c r="A742" s="568"/>
      <c r="B742" s="730"/>
      <c r="C742" s="730"/>
      <c r="D742" s="730"/>
      <c r="E742" s="730"/>
      <c r="F742" s="730"/>
      <c r="G742" s="730"/>
      <c r="H742" s="730"/>
      <c r="I742" s="730"/>
      <c r="J742" s="730"/>
      <c r="K742" s="730"/>
      <c r="L742" s="730"/>
      <c r="M742" s="730"/>
      <c r="N742" s="571"/>
      <c r="O742" s="571"/>
      <c r="P742" s="571"/>
      <c r="Q742" s="571"/>
      <c r="R742" s="571"/>
      <c r="S742" s="571"/>
      <c r="T742" s="571"/>
      <c r="U742" s="571"/>
      <c r="V742" s="571"/>
      <c r="W742" s="571"/>
      <c r="X742" s="571"/>
      <c r="Y742" s="571"/>
      <c r="Z742" s="571"/>
      <c r="AA742" s="571"/>
      <c r="AB742" s="571"/>
      <c r="AC742" s="571"/>
      <c r="AD742" s="571"/>
      <c r="AE742" s="571"/>
      <c r="AF742" s="571"/>
      <c r="AG742" s="690"/>
      <c r="AH742" s="691"/>
    </row>
    <row r="743">
      <c r="A743" s="568"/>
      <c r="B743" s="730"/>
      <c r="C743" s="730"/>
      <c r="D743" s="730"/>
      <c r="E743" s="730"/>
      <c r="F743" s="730"/>
      <c r="G743" s="730"/>
      <c r="H743" s="730"/>
      <c r="I743" s="730"/>
      <c r="J743" s="730"/>
      <c r="K743" s="730"/>
      <c r="L743" s="730"/>
      <c r="M743" s="730"/>
      <c r="N743" s="571"/>
      <c r="O743" s="571"/>
      <c r="P743" s="571"/>
      <c r="Q743" s="571"/>
      <c r="R743" s="571"/>
      <c r="S743" s="571"/>
      <c r="T743" s="571"/>
      <c r="U743" s="571"/>
      <c r="V743" s="571"/>
      <c r="W743" s="571"/>
      <c r="X743" s="571"/>
      <c r="Y743" s="571"/>
      <c r="Z743" s="571"/>
      <c r="AA743" s="571"/>
      <c r="AB743" s="571"/>
      <c r="AC743" s="571"/>
      <c r="AD743" s="571"/>
      <c r="AE743" s="571"/>
      <c r="AF743" s="571"/>
      <c r="AG743" s="690"/>
      <c r="AH743" s="691"/>
    </row>
    <row r="744">
      <c r="A744" s="568"/>
      <c r="B744" s="730"/>
      <c r="C744" s="730"/>
      <c r="D744" s="730"/>
      <c r="E744" s="730"/>
      <c r="F744" s="730"/>
      <c r="G744" s="730"/>
      <c r="H744" s="730"/>
      <c r="I744" s="730"/>
      <c r="J744" s="730"/>
      <c r="K744" s="730"/>
      <c r="L744" s="730"/>
      <c r="M744" s="730"/>
      <c r="N744" s="571"/>
      <c r="O744" s="571"/>
      <c r="P744" s="571"/>
      <c r="Q744" s="571"/>
      <c r="R744" s="571"/>
      <c r="S744" s="571"/>
      <c r="T744" s="571"/>
      <c r="U744" s="571"/>
      <c r="V744" s="571"/>
      <c r="W744" s="571"/>
      <c r="X744" s="571"/>
      <c r="Y744" s="571"/>
      <c r="Z744" s="571"/>
      <c r="AA744" s="571"/>
      <c r="AB744" s="571"/>
      <c r="AC744" s="571"/>
      <c r="AD744" s="571"/>
      <c r="AE744" s="571"/>
      <c r="AF744" s="571"/>
      <c r="AG744" s="690"/>
      <c r="AH744" s="691"/>
    </row>
    <row r="745">
      <c r="A745" s="568"/>
      <c r="B745" s="730"/>
      <c r="C745" s="730"/>
      <c r="D745" s="730"/>
      <c r="E745" s="730"/>
      <c r="F745" s="730"/>
      <c r="G745" s="730"/>
      <c r="H745" s="730"/>
      <c r="I745" s="730"/>
      <c r="J745" s="730"/>
      <c r="K745" s="730"/>
      <c r="L745" s="730"/>
      <c r="M745" s="730"/>
      <c r="N745" s="571"/>
      <c r="O745" s="571"/>
      <c r="P745" s="571"/>
      <c r="Q745" s="571"/>
      <c r="R745" s="571"/>
      <c r="S745" s="571"/>
      <c r="T745" s="571"/>
      <c r="U745" s="571"/>
      <c r="V745" s="571"/>
      <c r="W745" s="571"/>
      <c r="X745" s="571"/>
      <c r="Y745" s="571"/>
      <c r="Z745" s="571"/>
      <c r="AA745" s="571"/>
      <c r="AB745" s="571"/>
      <c r="AC745" s="571"/>
      <c r="AD745" s="571"/>
      <c r="AE745" s="571"/>
      <c r="AF745" s="571"/>
      <c r="AG745" s="690"/>
      <c r="AH745" s="691"/>
    </row>
    <row r="746">
      <c r="A746" s="568"/>
      <c r="B746" s="730"/>
      <c r="C746" s="730"/>
      <c r="D746" s="730"/>
      <c r="E746" s="730"/>
      <c r="F746" s="730"/>
      <c r="G746" s="730"/>
      <c r="H746" s="730"/>
      <c r="I746" s="730"/>
      <c r="J746" s="730"/>
      <c r="K746" s="730"/>
      <c r="L746" s="730"/>
      <c r="M746" s="730"/>
      <c r="N746" s="571"/>
      <c r="O746" s="571"/>
      <c r="P746" s="571"/>
      <c r="Q746" s="571"/>
      <c r="R746" s="571"/>
      <c r="S746" s="571"/>
      <c r="T746" s="571"/>
      <c r="U746" s="571"/>
      <c r="V746" s="571"/>
      <c r="W746" s="571"/>
      <c r="X746" s="571"/>
      <c r="Y746" s="571"/>
      <c r="Z746" s="571"/>
      <c r="AA746" s="571"/>
      <c r="AB746" s="571"/>
      <c r="AC746" s="571"/>
      <c r="AD746" s="571"/>
      <c r="AE746" s="571"/>
      <c r="AF746" s="571"/>
      <c r="AG746" s="690"/>
      <c r="AH746" s="691"/>
    </row>
    <row r="747">
      <c r="A747" s="568"/>
      <c r="B747" s="730"/>
      <c r="C747" s="730"/>
      <c r="D747" s="730"/>
      <c r="E747" s="730"/>
      <c r="F747" s="730"/>
      <c r="G747" s="730"/>
      <c r="H747" s="730"/>
      <c r="I747" s="730"/>
      <c r="J747" s="730"/>
      <c r="K747" s="730"/>
      <c r="L747" s="730"/>
      <c r="M747" s="730"/>
      <c r="N747" s="571"/>
      <c r="O747" s="571"/>
      <c r="P747" s="571"/>
      <c r="Q747" s="571"/>
      <c r="R747" s="571"/>
      <c r="S747" s="571"/>
      <c r="T747" s="571"/>
      <c r="U747" s="571"/>
      <c r="V747" s="571"/>
      <c r="W747" s="571"/>
      <c r="X747" s="571"/>
      <c r="Y747" s="571"/>
      <c r="Z747" s="571"/>
      <c r="AA747" s="571"/>
      <c r="AB747" s="571"/>
      <c r="AC747" s="571"/>
      <c r="AD747" s="571"/>
      <c r="AE747" s="571"/>
      <c r="AF747" s="571"/>
      <c r="AG747" s="690"/>
      <c r="AH747" s="691"/>
    </row>
    <row r="748">
      <c r="A748" s="568"/>
      <c r="B748" s="730"/>
      <c r="C748" s="730"/>
      <c r="D748" s="730"/>
      <c r="E748" s="730"/>
      <c r="F748" s="730"/>
      <c r="G748" s="730"/>
      <c r="H748" s="730"/>
      <c r="I748" s="730"/>
      <c r="J748" s="730"/>
      <c r="K748" s="730"/>
      <c r="L748" s="730"/>
      <c r="M748" s="730"/>
      <c r="N748" s="571"/>
      <c r="O748" s="571"/>
      <c r="P748" s="571"/>
      <c r="Q748" s="571"/>
      <c r="R748" s="571"/>
      <c r="S748" s="571"/>
      <c r="T748" s="571"/>
      <c r="U748" s="571"/>
      <c r="V748" s="571"/>
      <c r="W748" s="571"/>
      <c r="X748" s="571"/>
      <c r="Y748" s="571"/>
      <c r="Z748" s="571"/>
      <c r="AA748" s="571"/>
      <c r="AB748" s="571"/>
      <c r="AC748" s="571"/>
      <c r="AD748" s="571"/>
      <c r="AE748" s="571"/>
      <c r="AF748" s="571"/>
      <c r="AG748" s="690"/>
      <c r="AH748" s="691"/>
    </row>
    <row r="749">
      <c r="A749" s="568"/>
      <c r="B749" s="730"/>
      <c r="C749" s="730"/>
      <c r="D749" s="730"/>
      <c r="E749" s="730"/>
      <c r="F749" s="730"/>
      <c r="G749" s="730"/>
      <c r="H749" s="730"/>
      <c r="I749" s="730"/>
      <c r="J749" s="730"/>
      <c r="K749" s="730"/>
      <c r="L749" s="730"/>
      <c r="M749" s="730"/>
      <c r="N749" s="571"/>
      <c r="O749" s="571"/>
      <c r="P749" s="571"/>
      <c r="Q749" s="571"/>
      <c r="R749" s="571"/>
      <c r="S749" s="571"/>
      <c r="T749" s="571"/>
      <c r="U749" s="571"/>
      <c r="V749" s="571"/>
      <c r="W749" s="571"/>
      <c r="X749" s="571"/>
      <c r="Y749" s="571"/>
      <c r="Z749" s="571"/>
      <c r="AA749" s="571"/>
      <c r="AB749" s="571"/>
      <c r="AC749" s="571"/>
      <c r="AD749" s="571"/>
      <c r="AE749" s="571"/>
      <c r="AF749" s="571"/>
      <c r="AG749" s="690"/>
      <c r="AH749" s="691"/>
    </row>
    <row r="750">
      <c r="A750" s="568"/>
      <c r="B750" s="730"/>
      <c r="C750" s="730"/>
      <c r="D750" s="730"/>
      <c r="E750" s="730"/>
      <c r="F750" s="730"/>
      <c r="G750" s="730"/>
      <c r="H750" s="730"/>
      <c r="I750" s="730"/>
      <c r="J750" s="730"/>
      <c r="K750" s="730"/>
      <c r="L750" s="730"/>
      <c r="M750" s="730"/>
      <c r="N750" s="571"/>
      <c r="O750" s="571"/>
      <c r="P750" s="571"/>
      <c r="Q750" s="571"/>
      <c r="R750" s="571"/>
      <c r="S750" s="571"/>
      <c r="T750" s="571"/>
      <c r="U750" s="571"/>
      <c r="V750" s="571"/>
      <c r="W750" s="571"/>
      <c r="X750" s="571"/>
      <c r="Y750" s="571"/>
      <c r="Z750" s="571"/>
      <c r="AA750" s="571"/>
      <c r="AB750" s="571"/>
      <c r="AC750" s="571"/>
      <c r="AD750" s="571"/>
      <c r="AE750" s="571"/>
      <c r="AF750" s="571"/>
      <c r="AG750" s="690"/>
      <c r="AH750" s="691"/>
    </row>
    <row r="751">
      <c r="A751" s="568"/>
      <c r="B751" s="730"/>
      <c r="C751" s="730"/>
      <c r="D751" s="730"/>
      <c r="E751" s="730"/>
      <c r="F751" s="730"/>
      <c r="G751" s="730"/>
      <c r="H751" s="730"/>
      <c r="I751" s="730"/>
      <c r="J751" s="730"/>
      <c r="K751" s="730"/>
      <c r="L751" s="730"/>
      <c r="M751" s="730"/>
      <c r="N751" s="571"/>
      <c r="O751" s="571"/>
      <c r="P751" s="571"/>
      <c r="Q751" s="571"/>
      <c r="R751" s="571"/>
      <c r="S751" s="571"/>
      <c r="T751" s="571"/>
      <c r="U751" s="571"/>
      <c r="V751" s="571"/>
      <c r="W751" s="571"/>
      <c r="X751" s="571"/>
      <c r="Y751" s="571"/>
      <c r="Z751" s="571"/>
      <c r="AA751" s="571"/>
      <c r="AB751" s="571"/>
      <c r="AC751" s="571"/>
      <c r="AD751" s="571"/>
      <c r="AE751" s="571"/>
      <c r="AF751" s="571"/>
      <c r="AG751" s="690"/>
      <c r="AH751" s="691"/>
    </row>
    <row r="752">
      <c r="A752" s="568"/>
      <c r="B752" s="730"/>
      <c r="C752" s="730"/>
      <c r="D752" s="730"/>
      <c r="E752" s="730"/>
      <c r="F752" s="730"/>
      <c r="G752" s="730"/>
      <c r="H752" s="730"/>
      <c r="I752" s="730"/>
      <c r="J752" s="730"/>
      <c r="K752" s="730"/>
      <c r="L752" s="730"/>
      <c r="M752" s="730"/>
      <c r="N752" s="571"/>
      <c r="O752" s="571"/>
      <c r="P752" s="571"/>
      <c r="Q752" s="571"/>
      <c r="R752" s="571"/>
      <c r="S752" s="571"/>
      <c r="T752" s="571"/>
      <c r="U752" s="571"/>
      <c r="V752" s="571"/>
      <c r="W752" s="571"/>
      <c r="X752" s="571"/>
      <c r="Y752" s="571"/>
      <c r="Z752" s="571"/>
      <c r="AA752" s="571"/>
      <c r="AB752" s="571"/>
      <c r="AC752" s="571"/>
      <c r="AD752" s="571"/>
      <c r="AE752" s="571"/>
      <c r="AF752" s="571"/>
      <c r="AG752" s="690"/>
      <c r="AH752" s="691"/>
    </row>
    <row r="753">
      <c r="A753" s="568"/>
      <c r="B753" s="730"/>
      <c r="C753" s="730"/>
      <c r="D753" s="730"/>
      <c r="E753" s="730"/>
      <c r="F753" s="730"/>
      <c r="G753" s="730"/>
      <c r="H753" s="730"/>
      <c r="I753" s="730"/>
      <c r="J753" s="730"/>
      <c r="K753" s="730"/>
      <c r="L753" s="730"/>
      <c r="M753" s="730"/>
      <c r="N753" s="571"/>
      <c r="O753" s="571"/>
      <c r="P753" s="571"/>
      <c r="Q753" s="571"/>
      <c r="R753" s="571"/>
      <c r="S753" s="571"/>
      <c r="T753" s="571"/>
      <c r="U753" s="571"/>
      <c r="V753" s="571"/>
      <c r="W753" s="571"/>
      <c r="X753" s="571"/>
      <c r="Y753" s="571"/>
      <c r="Z753" s="571"/>
      <c r="AA753" s="571"/>
      <c r="AB753" s="571"/>
      <c r="AC753" s="571"/>
      <c r="AD753" s="571"/>
      <c r="AE753" s="571"/>
      <c r="AF753" s="571"/>
      <c r="AG753" s="690"/>
      <c r="AH753" s="691"/>
    </row>
    <row r="754">
      <c r="A754" s="568"/>
      <c r="B754" s="730"/>
      <c r="C754" s="730"/>
      <c r="D754" s="730"/>
      <c r="E754" s="730"/>
      <c r="F754" s="730"/>
      <c r="G754" s="730"/>
      <c r="H754" s="730"/>
      <c r="I754" s="730"/>
      <c r="J754" s="730"/>
      <c r="K754" s="730"/>
      <c r="L754" s="730"/>
      <c r="M754" s="730"/>
      <c r="N754" s="571"/>
      <c r="O754" s="571"/>
      <c r="P754" s="571"/>
      <c r="Q754" s="571"/>
      <c r="R754" s="571"/>
      <c r="S754" s="571"/>
      <c r="T754" s="571"/>
      <c r="U754" s="571"/>
      <c r="V754" s="571"/>
      <c r="W754" s="571"/>
      <c r="X754" s="571"/>
      <c r="Y754" s="571"/>
      <c r="Z754" s="571"/>
      <c r="AA754" s="571"/>
      <c r="AB754" s="571"/>
      <c r="AC754" s="571"/>
      <c r="AD754" s="571"/>
      <c r="AE754" s="571"/>
      <c r="AF754" s="571"/>
      <c r="AG754" s="690"/>
      <c r="AH754" s="691"/>
    </row>
    <row r="755">
      <c r="A755" s="568"/>
      <c r="B755" s="730"/>
      <c r="C755" s="730"/>
      <c r="D755" s="730"/>
      <c r="E755" s="730"/>
      <c r="F755" s="730"/>
      <c r="G755" s="730"/>
      <c r="H755" s="730"/>
      <c r="I755" s="730"/>
      <c r="J755" s="730"/>
      <c r="K755" s="730"/>
      <c r="L755" s="730"/>
      <c r="M755" s="730"/>
      <c r="N755" s="571"/>
      <c r="O755" s="571"/>
      <c r="P755" s="571"/>
      <c r="Q755" s="571"/>
      <c r="R755" s="571"/>
      <c r="S755" s="571"/>
      <c r="T755" s="571"/>
      <c r="U755" s="571"/>
      <c r="V755" s="571"/>
      <c r="W755" s="571"/>
      <c r="X755" s="571"/>
      <c r="Y755" s="571"/>
      <c r="Z755" s="571"/>
      <c r="AA755" s="571"/>
      <c r="AB755" s="571"/>
      <c r="AC755" s="571"/>
      <c r="AD755" s="571"/>
      <c r="AE755" s="571"/>
      <c r="AF755" s="571"/>
      <c r="AG755" s="690"/>
      <c r="AH755" s="691"/>
    </row>
    <row r="756">
      <c r="A756" s="568"/>
      <c r="B756" s="730"/>
      <c r="C756" s="730"/>
      <c r="D756" s="730"/>
      <c r="E756" s="730"/>
      <c r="F756" s="730"/>
      <c r="G756" s="730"/>
      <c r="H756" s="730"/>
      <c r="I756" s="730"/>
      <c r="J756" s="730"/>
      <c r="K756" s="730"/>
      <c r="L756" s="730"/>
      <c r="M756" s="730"/>
      <c r="N756" s="571"/>
      <c r="O756" s="571"/>
      <c r="P756" s="571"/>
      <c r="Q756" s="571"/>
      <c r="R756" s="571"/>
      <c r="S756" s="571"/>
      <c r="T756" s="571"/>
      <c r="U756" s="571"/>
      <c r="V756" s="571"/>
      <c r="W756" s="571"/>
      <c r="X756" s="571"/>
      <c r="Y756" s="571"/>
      <c r="Z756" s="571"/>
      <c r="AA756" s="571"/>
      <c r="AB756" s="571"/>
      <c r="AC756" s="571"/>
      <c r="AD756" s="571"/>
      <c r="AE756" s="571"/>
      <c r="AF756" s="571"/>
      <c r="AG756" s="690"/>
      <c r="AH756" s="691"/>
    </row>
    <row r="757">
      <c r="A757" s="568"/>
      <c r="B757" s="730"/>
      <c r="C757" s="730"/>
      <c r="D757" s="730"/>
      <c r="E757" s="730"/>
      <c r="F757" s="730"/>
      <c r="G757" s="730"/>
      <c r="H757" s="730"/>
      <c r="I757" s="730"/>
      <c r="J757" s="730"/>
      <c r="K757" s="730"/>
      <c r="L757" s="730"/>
      <c r="M757" s="730"/>
      <c r="N757" s="571"/>
      <c r="O757" s="571"/>
      <c r="P757" s="571"/>
      <c r="Q757" s="571"/>
      <c r="R757" s="571"/>
      <c r="S757" s="571"/>
      <c r="T757" s="571"/>
      <c r="U757" s="571"/>
      <c r="V757" s="571"/>
      <c r="W757" s="571"/>
      <c r="X757" s="571"/>
      <c r="Y757" s="571"/>
      <c r="Z757" s="571"/>
      <c r="AA757" s="571"/>
      <c r="AB757" s="571"/>
      <c r="AC757" s="571"/>
      <c r="AD757" s="571"/>
      <c r="AE757" s="571"/>
      <c r="AF757" s="571"/>
      <c r="AG757" s="690"/>
      <c r="AH757" s="691"/>
    </row>
    <row r="758">
      <c r="A758" s="568"/>
      <c r="B758" s="730"/>
      <c r="C758" s="730"/>
      <c r="D758" s="730"/>
      <c r="E758" s="730"/>
      <c r="F758" s="730"/>
      <c r="G758" s="730"/>
      <c r="H758" s="730"/>
      <c r="I758" s="730"/>
      <c r="J758" s="730"/>
      <c r="K758" s="730"/>
      <c r="L758" s="730"/>
      <c r="M758" s="730"/>
      <c r="N758" s="571"/>
      <c r="O758" s="571"/>
      <c r="P758" s="571"/>
      <c r="Q758" s="571"/>
      <c r="R758" s="571"/>
      <c r="S758" s="571"/>
      <c r="T758" s="571"/>
      <c r="U758" s="571"/>
      <c r="V758" s="571"/>
      <c r="W758" s="571"/>
      <c r="X758" s="571"/>
      <c r="Y758" s="571"/>
      <c r="Z758" s="571"/>
      <c r="AA758" s="571"/>
      <c r="AB758" s="571"/>
      <c r="AC758" s="571"/>
      <c r="AD758" s="571"/>
      <c r="AE758" s="571"/>
      <c r="AF758" s="571"/>
      <c r="AG758" s="690"/>
      <c r="AH758" s="691"/>
    </row>
    <row r="759">
      <c r="A759" s="568"/>
      <c r="B759" s="730"/>
      <c r="C759" s="730"/>
      <c r="D759" s="730"/>
      <c r="E759" s="730"/>
      <c r="F759" s="730"/>
      <c r="G759" s="730"/>
      <c r="H759" s="730"/>
      <c r="I759" s="730"/>
      <c r="J759" s="730"/>
      <c r="K759" s="730"/>
      <c r="L759" s="730"/>
      <c r="M759" s="730"/>
      <c r="N759" s="571"/>
      <c r="O759" s="571"/>
      <c r="P759" s="571"/>
      <c r="Q759" s="571"/>
      <c r="R759" s="571"/>
      <c r="S759" s="571"/>
      <c r="T759" s="571"/>
      <c r="U759" s="571"/>
      <c r="V759" s="571"/>
      <c r="W759" s="571"/>
      <c r="X759" s="571"/>
      <c r="Y759" s="571"/>
      <c r="Z759" s="571"/>
      <c r="AA759" s="571"/>
      <c r="AB759" s="571"/>
      <c r="AC759" s="571"/>
      <c r="AD759" s="571"/>
      <c r="AE759" s="571"/>
      <c r="AF759" s="571"/>
      <c r="AG759" s="690"/>
      <c r="AH759" s="691"/>
    </row>
    <row r="760">
      <c r="A760" s="568"/>
      <c r="B760" s="730"/>
      <c r="C760" s="730"/>
      <c r="D760" s="730"/>
      <c r="E760" s="730"/>
      <c r="F760" s="730"/>
      <c r="G760" s="730"/>
      <c r="H760" s="730"/>
      <c r="I760" s="730"/>
      <c r="J760" s="730"/>
      <c r="K760" s="730"/>
      <c r="L760" s="730"/>
      <c r="M760" s="730"/>
      <c r="N760" s="571"/>
      <c r="O760" s="571"/>
      <c r="P760" s="571"/>
      <c r="Q760" s="571"/>
      <c r="R760" s="571"/>
      <c r="S760" s="571"/>
      <c r="T760" s="571"/>
      <c r="U760" s="571"/>
      <c r="V760" s="571"/>
      <c r="W760" s="571"/>
      <c r="X760" s="571"/>
      <c r="Y760" s="571"/>
      <c r="Z760" s="571"/>
      <c r="AA760" s="571"/>
      <c r="AB760" s="571"/>
      <c r="AC760" s="571"/>
      <c r="AD760" s="571"/>
      <c r="AE760" s="571"/>
      <c r="AF760" s="571"/>
      <c r="AG760" s="690"/>
      <c r="AH760" s="691"/>
    </row>
    <row r="761">
      <c r="A761" s="568"/>
      <c r="B761" s="730"/>
      <c r="C761" s="730"/>
      <c r="D761" s="730"/>
      <c r="E761" s="730"/>
      <c r="F761" s="730"/>
      <c r="G761" s="730"/>
      <c r="H761" s="730"/>
      <c r="I761" s="730"/>
      <c r="J761" s="730"/>
      <c r="K761" s="730"/>
      <c r="L761" s="730"/>
      <c r="M761" s="730"/>
      <c r="N761" s="571"/>
      <c r="O761" s="571"/>
      <c r="P761" s="571"/>
      <c r="Q761" s="571"/>
      <c r="R761" s="571"/>
      <c r="S761" s="571"/>
      <c r="T761" s="571"/>
      <c r="U761" s="571"/>
      <c r="V761" s="571"/>
      <c r="W761" s="571"/>
      <c r="X761" s="571"/>
      <c r="Y761" s="571"/>
      <c r="Z761" s="571"/>
      <c r="AA761" s="571"/>
      <c r="AB761" s="571"/>
      <c r="AC761" s="571"/>
      <c r="AD761" s="571"/>
      <c r="AE761" s="571"/>
      <c r="AF761" s="571"/>
      <c r="AG761" s="690"/>
      <c r="AH761" s="691"/>
    </row>
    <row r="762">
      <c r="A762" s="568"/>
      <c r="B762" s="730"/>
      <c r="C762" s="730"/>
      <c r="D762" s="730"/>
      <c r="E762" s="730"/>
      <c r="F762" s="730"/>
      <c r="G762" s="730"/>
      <c r="H762" s="730"/>
      <c r="I762" s="730"/>
      <c r="J762" s="730"/>
      <c r="K762" s="730"/>
      <c r="L762" s="730"/>
      <c r="M762" s="730"/>
      <c r="N762" s="571"/>
      <c r="O762" s="571"/>
      <c r="P762" s="571"/>
      <c r="Q762" s="571"/>
      <c r="R762" s="571"/>
      <c r="S762" s="571"/>
      <c r="T762" s="571"/>
      <c r="U762" s="571"/>
      <c r="V762" s="571"/>
      <c r="W762" s="571"/>
      <c r="X762" s="571"/>
      <c r="Y762" s="571"/>
      <c r="Z762" s="571"/>
      <c r="AA762" s="571"/>
      <c r="AB762" s="571"/>
      <c r="AC762" s="571"/>
      <c r="AD762" s="571"/>
      <c r="AE762" s="571"/>
      <c r="AF762" s="571"/>
      <c r="AG762" s="690"/>
      <c r="AH762" s="691"/>
    </row>
    <row r="763">
      <c r="A763" s="568"/>
      <c r="B763" s="730"/>
      <c r="C763" s="730"/>
      <c r="D763" s="730"/>
      <c r="E763" s="730"/>
      <c r="F763" s="730"/>
      <c r="G763" s="730"/>
      <c r="H763" s="730"/>
      <c r="I763" s="730"/>
      <c r="J763" s="730"/>
      <c r="K763" s="730"/>
      <c r="L763" s="730"/>
      <c r="M763" s="730"/>
      <c r="N763" s="571"/>
      <c r="O763" s="571"/>
      <c r="P763" s="571"/>
      <c r="Q763" s="571"/>
      <c r="R763" s="571"/>
      <c r="S763" s="571"/>
      <c r="T763" s="571"/>
      <c r="U763" s="571"/>
      <c r="V763" s="571"/>
      <c r="W763" s="571"/>
      <c r="X763" s="571"/>
      <c r="Y763" s="571"/>
      <c r="Z763" s="571"/>
      <c r="AA763" s="571"/>
      <c r="AB763" s="571"/>
      <c r="AC763" s="571"/>
      <c r="AD763" s="571"/>
      <c r="AE763" s="571"/>
      <c r="AF763" s="571"/>
      <c r="AG763" s="690"/>
      <c r="AH763" s="691"/>
    </row>
    <row r="764">
      <c r="A764" s="568"/>
      <c r="B764" s="730"/>
      <c r="C764" s="730"/>
      <c r="D764" s="730"/>
      <c r="E764" s="730"/>
      <c r="F764" s="730"/>
      <c r="G764" s="730"/>
      <c r="H764" s="730"/>
      <c r="I764" s="730"/>
      <c r="J764" s="730"/>
      <c r="K764" s="730"/>
      <c r="L764" s="730"/>
      <c r="M764" s="730"/>
      <c r="N764" s="571"/>
      <c r="O764" s="571"/>
      <c r="P764" s="571"/>
      <c r="Q764" s="571"/>
      <c r="R764" s="571"/>
      <c r="S764" s="571"/>
      <c r="T764" s="571"/>
      <c r="U764" s="571"/>
      <c r="V764" s="571"/>
      <c r="W764" s="571"/>
      <c r="X764" s="571"/>
      <c r="Y764" s="571"/>
      <c r="Z764" s="571"/>
      <c r="AA764" s="571"/>
      <c r="AB764" s="571"/>
      <c r="AC764" s="571"/>
      <c r="AD764" s="571"/>
      <c r="AE764" s="571"/>
      <c r="AF764" s="571"/>
      <c r="AG764" s="690"/>
      <c r="AH764" s="691"/>
    </row>
    <row r="765">
      <c r="A765" s="568"/>
      <c r="B765" s="730"/>
      <c r="C765" s="730"/>
      <c r="D765" s="730"/>
      <c r="E765" s="730"/>
      <c r="F765" s="730"/>
      <c r="G765" s="730"/>
      <c r="H765" s="730"/>
      <c r="I765" s="730"/>
      <c r="J765" s="730"/>
      <c r="K765" s="730"/>
      <c r="L765" s="730"/>
      <c r="M765" s="730"/>
      <c r="N765" s="571"/>
      <c r="O765" s="571"/>
      <c r="P765" s="571"/>
      <c r="Q765" s="571"/>
      <c r="R765" s="571"/>
      <c r="S765" s="571"/>
      <c r="T765" s="571"/>
      <c r="U765" s="571"/>
      <c r="V765" s="571"/>
      <c r="W765" s="571"/>
      <c r="X765" s="571"/>
      <c r="Y765" s="571"/>
      <c r="Z765" s="571"/>
      <c r="AA765" s="571"/>
      <c r="AB765" s="571"/>
      <c r="AC765" s="571"/>
      <c r="AD765" s="571"/>
      <c r="AE765" s="571"/>
      <c r="AF765" s="571"/>
      <c r="AG765" s="690"/>
      <c r="AH765" s="691"/>
    </row>
    <row r="766">
      <c r="A766" s="568"/>
      <c r="B766" s="730"/>
      <c r="C766" s="730"/>
      <c r="D766" s="730"/>
      <c r="E766" s="730"/>
      <c r="F766" s="730"/>
      <c r="G766" s="730"/>
      <c r="H766" s="730"/>
      <c r="I766" s="730"/>
      <c r="J766" s="730"/>
      <c r="K766" s="730"/>
      <c r="L766" s="730"/>
      <c r="M766" s="730"/>
      <c r="N766" s="571"/>
      <c r="O766" s="571"/>
      <c r="P766" s="571"/>
      <c r="Q766" s="571"/>
      <c r="R766" s="571"/>
      <c r="S766" s="571"/>
      <c r="T766" s="571"/>
      <c r="U766" s="571"/>
      <c r="V766" s="571"/>
      <c r="W766" s="571"/>
      <c r="X766" s="571"/>
      <c r="Y766" s="571"/>
      <c r="Z766" s="571"/>
      <c r="AA766" s="571"/>
      <c r="AB766" s="571"/>
      <c r="AC766" s="571"/>
      <c r="AD766" s="571"/>
      <c r="AE766" s="571"/>
      <c r="AF766" s="571"/>
      <c r="AG766" s="690"/>
      <c r="AH766" s="691"/>
    </row>
    <row r="767">
      <c r="A767" s="568"/>
      <c r="B767" s="730"/>
      <c r="C767" s="730"/>
      <c r="D767" s="730"/>
      <c r="E767" s="730"/>
      <c r="F767" s="730"/>
      <c r="G767" s="730"/>
      <c r="H767" s="730"/>
      <c r="I767" s="730"/>
      <c r="J767" s="730"/>
      <c r="K767" s="730"/>
      <c r="L767" s="730"/>
      <c r="M767" s="730"/>
      <c r="N767" s="571"/>
      <c r="O767" s="571"/>
      <c r="P767" s="571"/>
      <c r="Q767" s="571"/>
      <c r="R767" s="571"/>
      <c r="S767" s="571"/>
      <c r="T767" s="571"/>
      <c r="U767" s="571"/>
      <c r="V767" s="571"/>
      <c r="W767" s="571"/>
      <c r="X767" s="571"/>
      <c r="Y767" s="571"/>
      <c r="Z767" s="571"/>
      <c r="AA767" s="571"/>
      <c r="AB767" s="571"/>
      <c r="AC767" s="571"/>
      <c r="AD767" s="571"/>
      <c r="AE767" s="571"/>
      <c r="AF767" s="571"/>
      <c r="AG767" s="690"/>
      <c r="AH767" s="691"/>
    </row>
    <row r="768">
      <c r="A768" s="568"/>
      <c r="B768" s="730"/>
      <c r="C768" s="730"/>
      <c r="D768" s="730"/>
      <c r="E768" s="730"/>
      <c r="F768" s="730"/>
      <c r="G768" s="730"/>
      <c r="H768" s="730"/>
      <c r="I768" s="730"/>
      <c r="J768" s="730"/>
      <c r="K768" s="730"/>
      <c r="L768" s="730"/>
      <c r="M768" s="730"/>
      <c r="N768" s="571"/>
      <c r="O768" s="571"/>
      <c r="P768" s="571"/>
      <c r="Q768" s="571"/>
      <c r="R768" s="571"/>
      <c r="S768" s="571"/>
      <c r="T768" s="571"/>
      <c r="U768" s="571"/>
      <c r="V768" s="571"/>
      <c r="W768" s="571"/>
      <c r="X768" s="571"/>
      <c r="Y768" s="571"/>
      <c r="Z768" s="571"/>
      <c r="AA768" s="571"/>
      <c r="AB768" s="571"/>
      <c r="AC768" s="571"/>
      <c r="AD768" s="571"/>
      <c r="AE768" s="571"/>
      <c r="AF768" s="571"/>
      <c r="AG768" s="690"/>
      <c r="AH768" s="691"/>
    </row>
    <row r="769">
      <c r="A769" s="568"/>
      <c r="B769" s="730"/>
      <c r="C769" s="730"/>
      <c r="D769" s="730"/>
      <c r="E769" s="730"/>
      <c r="F769" s="730"/>
      <c r="G769" s="730"/>
      <c r="H769" s="730"/>
      <c r="I769" s="730"/>
      <c r="J769" s="730"/>
      <c r="K769" s="730"/>
      <c r="L769" s="730"/>
      <c r="M769" s="730"/>
      <c r="N769" s="571"/>
      <c r="O769" s="571"/>
      <c r="P769" s="571"/>
      <c r="Q769" s="571"/>
      <c r="R769" s="571"/>
      <c r="S769" s="571"/>
      <c r="T769" s="571"/>
      <c r="U769" s="571"/>
      <c r="V769" s="571"/>
      <c r="W769" s="571"/>
      <c r="X769" s="571"/>
      <c r="Y769" s="571"/>
      <c r="Z769" s="571"/>
      <c r="AA769" s="571"/>
      <c r="AB769" s="571"/>
      <c r="AC769" s="571"/>
      <c r="AD769" s="571"/>
      <c r="AE769" s="571"/>
      <c r="AF769" s="571"/>
      <c r="AG769" s="690"/>
      <c r="AH769" s="691"/>
    </row>
    <row r="770">
      <c r="A770" s="568"/>
      <c r="B770" s="730"/>
      <c r="C770" s="730"/>
      <c r="D770" s="730"/>
      <c r="E770" s="730"/>
      <c r="F770" s="730"/>
      <c r="G770" s="730"/>
      <c r="H770" s="730"/>
      <c r="I770" s="730"/>
      <c r="J770" s="730"/>
      <c r="K770" s="730"/>
      <c r="L770" s="730"/>
      <c r="M770" s="730"/>
      <c r="N770" s="571"/>
      <c r="O770" s="571"/>
      <c r="P770" s="571"/>
      <c r="Q770" s="571"/>
      <c r="R770" s="571"/>
      <c r="S770" s="571"/>
      <c r="T770" s="571"/>
      <c r="U770" s="571"/>
      <c r="V770" s="571"/>
      <c r="W770" s="571"/>
      <c r="X770" s="571"/>
      <c r="Y770" s="571"/>
      <c r="Z770" s="571"/>
      <c r="AA770" s="571"/>
      <c r="AB770" s="571"/>
      <c r="AC770" s="571"/>
      <c r="AD770" s="571"/>
      <c r="AE770" s="571"/>
      <c r="AF770" s="571"/>
      <c r="AG770" s="690"/>
      <c r="AH770" s="691"/>
    </row>
    <row r="771">
      <c r="A771" s="568"/>
      <c r="B771" s="730"/>
      <c r="C771" s="730"/>
      <c r="D771" s="730"/>
      <c r="E771" s="730"/>
      <c r="F771" s="730"/>
      <c r="G771" s="730"/>
      <c r="H771" s="730"/>
      <c r="I771" s="730"/>
      <c r="J771" s="730"/>
      <c r="K771" s="730"/>
      <c r="L771" s="730"/>
      <c r="M771" s="730"/>
      <c r="N771" s="571"/>
      <c r="O771" s="571"/>
      <c r="P771" s="571"/>
      <c r="Q771" s="571"/>
      <c r="R771" s="571"/>
      <c r="S771" s="571"/>
      <c r="T771" s="571"/>
      <c r="U771" s="571"/>
      <c r="V771" s="571"/>
      <c r="W771" s="571"/>
      <c r="X771" s="571"/>
      <c r="Y771" s="571"/>
      <c r="Z771" s="571"/>
      <c r="AA771" s="571"/>
      <c r="AB771" s="571"/>
      <c r="AC771" s="571"/>
      <c r="AD771" s="571"/>
      <c r="AE771" s="571"/>
      <c r="AF771" s="571"/>
      <c r="AG771" s="690"/>
      <c r="AH771" s="691"/>
    </row>
    <row r="772">
      <c r="A772" s="568"/>
      <c r="B772" s="730"/>
      <c r="C772" s="730"/>
      <c r="D772" s="730"/>
      <c r="E772" s="730"/>
      <c r="F772" s="730"/>
      <c r="G772" s="730"/>
      <c r="H772" s="730"/>
      <c r="I772" s="730"/>
      <c r="J772" s="730"/>
      <c r="K772" s="730"/>
      <c r="L772" s="730"/>
      <c r="M772" s="730"/>
      <c r="N772" s="571"/>
      <c r="O772" s="571"/>
      <c r="P772" s="571"/>
      <c r="Q772" s="571"/>
      <c r="R772" s="571"/>
      <c r="S772" s="571"/>
      <c r="T772" s="571"/>
      <c r="U772" s="571"/>
      <c r="V772" s="571"/>
      <c r="W772" s="571"/>
      <c r="X772" s="571"/>
      <c r="Y772" s="571"/>
      <c r="Z772" s="571"/>
      <c r="AA772" s="571"/>
      <c r="AB772" s="571"/>
      <c r="AC772" s="571"/>
      <c r="AD772" s="571"/>
      <c r="AE772" s="571"/>
      <c r="AF772" s="571"/>
      <c r="AG772" s="690"/>
      <c r="AH772" s="691"/>
    </row>
    <row r="773">
      <c r="A773" s="568"/>
      <c r="B773" s="730"/>
      <c r="C773" s="730"/>
      <c r="D773" s="730"/>
      <c r="E773" s="730"/>
      <c r="F773" s="730"/>
      <c r="G773" s="730"/>
      <c r="H773" s="730"/>
      <c r="I773" s="730"/>
      <c r="J773" s="730"/>
      <c r="K773" s="730"/>
      <c r="L773" s="730"/>
      <c r="M773" s="730"/>
      <c r="N773" s="571"/>
      <c r="O773" s="571"/>
      <c r="P773" s="571"/>
      <c r="Q773" s="571"/>
      <c r="R773" s="571"/>
      <c r="S773" s="571"/>
      <c r="T773" s="571"/>
      <c r="U773" s="571"/>
      <c r="V773" s="571"/>
      <c r="W773" s="571"/>
      <c r="X773" s="571"/>
      <c r="Y773" s="571"/>
      <c r="Z773" s="571"/>
      <c r="AA773" s="571"/>
      <c r="AB773" s="571"/>
      <c r="AC773" s="571"/>
      <c r="AD773" s="571"/>
      <c r="AE773" s="571"/>
      <c r="AF773" s="571"/>
      <c r="AG773" s="690"/>
      <c r="AH773" s="691"/>
    </row>
    <row r="774">
      <c r="A774" s="568"/>
      <c r="B774" s="730"/>
      <c r="C774" s="730"/>
      <c r="D774" s="730"/>
      <c r="E774" s="730"/>
      <c r="F774" s="730"/>
      <c r="G774" s="730"/>
      <c r="H774" s="730"/>
      <c r="I774" s="730"/>
      <c r="J774" s="730"/>
      <c r="K774" s="730"/>
      <c r="L774" s="730"/>
      <c r="M774" s="730"/>
      <c r="N774" s="571"/>
      <c r="O774" s="571"/>
      <c r="P774" s="571"/>
      <c r="Q774" s="571"/>
      <c r="R774" s="571"/>
      <c r="S774" s="571"/>
      <c r="T774" s="571"/>
      <c r="U774" s="571"/>
      <c r="V774" s="571"/>
      <c r="W774" s="571"/>
      <c r="X774" s="571"/>
      <c r="Y774" s="571"/>
      <c r="Z774" s="571"/>
      <c r="AA774" s="571"/>
      <c r="AB774" s="571"/>
      <c r="AC774" s="571"/>
      <c r="AD774" s="571"/>
      <c r="AE774" s="571"/>
      <c r="AF774" s="571"/>
      <c r="AG774" s="690"/>
      <c r="AH774" s="691"/>
    </row>
    <row r="775">
      <c r="A775" s="568"/>
      <c r="B775" s="730"/>
      <c r="C775" s="730"/>
      <c r="D775" s="730"/>
      <c r="E775" s="730"/>
      <c r="F775" s="730"/>
      <c r="G775" s="730"/>
      <c r="H775" s="730"/>
      <c r="I775" s="730"/>
      <c r="J775" s="730"/>
      <c r="K775" s="730"/>
      <c r="L775" s="730"/>
      <c r="M775" s="730"/>
      <c r="N775" s="571"/>
      <c r="O775" s="571"/>
      <c r="P775" s="571"/>
      <c r="Q775" s="571"/>
      <c r="R775" s="571"/>
      <c r="S775" s="571"/>
      <c r="T775" s="571"/>
      <c r="U775" s="571"/>
      <c r="V775" s="571"/>
      <c r="W775" s="571"/>
      <c r="X775" s="571"/>
      <c r="Y775" s="571"/>
      <c r="Z775" s="571"/>
      <c r="AA775" s="571"/>
      <c r="AB775" s="571"/>
      <c r="AC775" s="571"/>
      <c r="AD775" s="571"/>
      <c r="AE775" s="571"/>
      <c r="AF775" s="571"/>
      <c r="AG775" s="690"/>
      <c r="AH775" s="691"/>
    </row>
    <row r="776">
      <c r="A776" s="568"/>
      <c r="B776" s="730"/>
      <c r="C776" s="730"/>
      <c r="D776" s="730"/>
      <c r="E776" s="730"/>
      <c r="F776" s="730"/>
      <c r="G776" s="730"/>
      <c r="H776" s="730"/>
      <c r="I776" s="730"/>
      <c r="J776" s="730"/>
      <c r="K776" s="730"/>
      <c r="L776" s="730"/>
      <c r="M776" s="730"/>
      <c r="N776" s="571"/>
      <c r="O776" s="571"/>
      <c r="P776" s="571"/>
      <c r="Q776" s="571"/>
      <c r="R776" s="571"/>
      <c r="S776" s="571"/>
      <c r="T776" s="571"/>
      <c r="U776" s="571"/>
      <c r="V776" s="571"/>
      <c r="W776" s="571"/>
      <c r="X776" s="571"/>
      <c r="Y776" s="571"/>
      <c r="Z776" s="571"/>
      <c r="AA776" s="571"/>
      <c r="AB776" s="571"/>
      <c r="AC776" s="571"/>
      <c r="AD776" s="571"/>
      <c r="AE776" s="571"/>
      <c r="AF776" s="571"/>
      <c r="AG776" s="690"/>
      <c r="AH776" s="691"/>
    </row>
    <row r="777">
      <c r="A777" s="568"/>
      <c r="B777" s="730"/>
      <c r="C777" s="730"/>
      <c r="D777" s="730"/>
      <c r="E777" s="730"/>
      <c r="F777" s="730"/>
      <c r="G777" s="730"/>
      <c r="H777" s="730"/>
      <c r="I777" s="730"/>
      <c r="J777" s="730"/>
      <c r="K777" s="730"/>
      <c r="L777" s="730"/>
      <c r="M777" s="730"/>
      <c r="N777" s="571"/>
      <c r="O777" s="571"/>
      <c r="P777" s="571"/>
      <c r="Q777" s="571"/>
      <c r="R777" s="571"/>
      <c r="S777" s="571"/>
      <c r="T777" s="571"/>
      <c r="U777" s="571"/>
      <c r="V777" s="571"/>
      <c r="W777" s="571"/>
      <c r="X777" s="571"/>
      <c r="Y777" s="571"/>
      <c r="Z777" s="571"/>
      <c r="AA777" s="571"/>
      <c r="AB777" s="571"/>
      <c r="AC777" s="571"/>
      <c r="AD777" s="571"/>
      <c r="AE777" s="571"/>
      <c r="AF777" s="571"/>
      <c r="AG777" s="690"/>
      <c r="AH777" s="691"/>
    </row>
    <row r="778">
      <c r="A778" s="568"/>
      <c r="B778" s="730"/>
      <c r="C778" s="730"/>
      <c r="D778" s="730"/>
      <c r="E778" s="730"/>
      <c r="F778" s="730"/>
      <c r="G778" s="730"/>
      <c r="H778" s="730"/>
      <c r="I778" s="730"/>
      <c r="J778" s="730"/>
      <c r="K778" s="730"/>
      <c r="L778" s="730"/>
      <c r="M778" s="730"/>
      <c r="N778" s="571"/>
      <c r="O778" s="571"/>
      <c r="P778" s="571"/>
      <c r="Q778" s="571"/>
      <c r="R778" s="571"/>
      <c r="S778" s="571"/>
      <c r="T778" s="571"/>
      <c r="U778" s="571"/>
      <c r="V778" s="571"/>
      <c r="W778" s="571"/>
      <c r="X778" s="571"/>
      <c r="Y778" s="571"/>
      <c r="Z778" s="571"/>
      <c r="AA778" s="571"/>
      <c r="AB778" s="571"/>
      <c r="AC778" s="571"/>
      <c r="AD778" s="571"/>
      <c r="AE778" s="571"/>
      <c r="AF778" s="571"/>
      <c r="AG778" s="690"/>
      <c r="AH778" s="691"/>
    </row>
    <row r="779">
      <c r="A779" s="568"/>
      <c r="B779" s="730"/>
      <c r="C779" s="730"/>
      <c r="D779" s="730"/>
      <c r="E779" s="730"/>
      <c r="F779" s="730"/>
      <c r="G779" s="730"/>
      <c r="H779" s="730"/>
      <c r="I779" s="730"/>
      <c r="J779" s="730"/>
      <c r="K779" s="730"/>
      <c r="L779" s="730"/>
      <c r="M779" s="730"/>
      <c r="N779" s="571"/>
      <c r="O779" s="571"/>
      <c r="P779" s="571"/>
      <c r="Q779" s="571"/>
      <c r="R779" s="571"/>
      <c r="S779" s="571"/>
      <c r="T779" s="571"/>
      <c r="U779" s="571"/>
      <c r="V779" s="571"/>
      <c r="W779" s="571"/>
      <c r="X779" s="571"/>
      <c r="Y779" s="571"/>
      <c r="Z779" s="571"/>
      <c r="AA779" s="571"/>
      <c r="AB779" s="571"/>
      <c r="AC779" s="571"/>
      <c r="AD779" s="571"/>
      <c r="AE779" s="571"/>
      <c r="AF779" s="571"/>
      <c r="AG779" s="690"/>
      <c r="AH779" s="691"/>
    </row>
    <row r="780">
      <c r="A780" s="568"/>
      <c r="B780" s="730"/>
      <c r="C780" s="730"/>
      <c r="D780" s="730"/>
      <c r="E780" s="730"/>
      <c r="F780" s="730"/>
      <c r="G780" s="730"/>
      <c r="H780" s="730"/>
      <c r="I780" s="730"/>
      <c r="J780" s="730"/>
      <c r="K780" s="730"/>
      <c r="L780" s="730"/>
      <c r="M780" s="730"/>
      <c r="N780" s="571"/>
      <c r="O780" s="571"/>
      <c r="P780" s="571"/>
      <c r="Q780" s="571"/>
      <c r="R780" s="571"/>
      <c r="S780" s="571"/>
      <c r="T780" s="571"/>
      <c r="U780" s="571"/>
      <c r="V780" s="571"/>
      <c r="W780" s="571"/>
      <c r="X780" s="571"/>
      <c r="Y780" s="571"/>
      <c r="Z780" s="571"/>
      <c r="AA780" s="571"/>
      <c r="AB780" s="571"/>
      <c r="AC780" s="571"/>
      <c r="AD780" s="571"/>
      <c r="AE780" s="571"/>
      <c r="AF780" s="571"/>
      <c r="AG780" s="690"/>
      <c r="AH780" s="691"/>
    </row>
    <row r="781">
      <c r="A781" s="568"/>
      <c r="B781" s="730"/>
      <c r="C781" s="730"/>
      <c r="D781" s="730"/>
      <c r="E781" s="730"/>
      <c r="F781" s="730"/>
      <c r="G781" s="730"/>
      <c r="H781" s="730"/>
      <c r="I781" s="730"/>
      <c r="J781" s="730"/>
      <c r="K781" s="730"/>
      <c r="L781" s="730"/>
      <c r="M781" s="730"/>
      <c r="N781" s="571"/>
      <c r="O781" s="571"/>
      <c r="P781" s="571"/>
      <c r="Q781" s="571"/>
      <c r="R781" s="571"/>
      <c r="S781" s="571"/>
      <c r="T781" s="571"/>
      <c r="U781" s="571"/>
      <c r="V781" s="571"/>
      <c r="W781" s="571"/>
      <c r="X781" s="571"/>
      <c r="Y781" s="571"/>
      <c r="Z781" s="571"/>
      <c r="AA781" s="571"/>
      <c r="AB781" s="571"/>
      <c r="AC781" s="571"/>
      <c r="AD781" s="571"/>
      <c r="AE781" s="571"/>
      <c r="AF781" s="571"/>
      <c r="AG781" s="690"/>
      <c r="AH781" s="691"/>
    </row>
    <row r="782">
      <c r="A782" s="568"/>
      <c r="B782" s="730"/>
      <c r="C782" s="730"/>
      <c r="D782" s="730"/>
      <c r="E782" s="730"/>
      <c r="F782" s="730"/>
      <c r="G782" s="730"/>
      <c r="H782" s="730"/>
      <c r="I782" s="730"/>
      <c r="J782" s="730"/>
      <c r="K782" s="730"/>
      <c r="L782" s="730"/>
      <c r="M782" s="730"/>
      <c r="N782" s="571"/>
      <c r="O782" s="571"/>
      <c r="P782" s="571"/>
      <c r="Q782" s="571"/>
      <c r="R782" s="571"/>
      <c r="S782" s="571"/>
      <c r="T782" s="571"/>
      <c r="U782" s="571"/>
      <c r="V782" s="571"/>
      <c r="W782" s="571"/>
      <c r="X782" s="571"/>
      <c r="Y782" s="571"/>
      <c r="Z782" s="571"/>
      <c r="AA782" s="571"/>
      <c r="AB782" s="571"/>
      <c r="AC782" s="571"/>
      <c r="AD782" s="571"/>
      <c r="AE782" s="571"/>
      <c r="AF782" s="571"/>
      <c r="AG782" s="690"/>
      <c r="AH782" s="691"/>
    </row>
    <row r="783">
      <c r="A783" s="568"/>
      <c r="B783" s="730"/>
      <c r="C783" s="730"/>
      <c r="D783" s="730"/>
      <c r="E783" s="730"/>
      <c r="F783" s="730"/>
      <c r="G783" s="730"/>
      <c r="H783" s="730"/>
      <c r="I783" s="730"/>
      <c r="J783" s="730"/>
      <c r="K783" s="730"/>
      <c r="L783" s="730"/>
      <c r="M783" s="730"/>
      <c r="N783" s="571"/>
      <c r="O783" s="571"/>
      <c r="P783" s="571"/>
      <c r="Q783" s="571"/>
      <c r="R783" s="571"/>
      <c r="S783" s="571"/>
      <c r="T783" s="571"/>
      <c r="U783" s="571"/>
      <c r="V783" s="571"/>
      <c r="W783" s="571"/>
      <c r="X783" s="571"/>
      <c r="Y783" s="571"/>
      <c r="Z783" s="571"/>
      <c r="AA783" s="571"/>
      <c r="AB783" s="571"/>
      <c r="AC783" s="571"/>
      <c r="AD783" s="571"/>
      <c r="AE783" s="571"/>
      <c r="AF783" s="571"/>
      <c r="AG783" s="690"/>
      <c r="AH783" s="691"/>
    </row>
    <row r="784">
      <c r="A784" s="568"/>
      <c r="B784" s="730"/>
      <c r="C784" s="730"/>
      <c r="D784" s="730"/>
      <c r="E784" s="730"/>
      <c r="F784" s="730"/>
      <c r="G784" s="730"/>
      <c r="H784" s="730"/>
      <c r="I784" s="730"/>
      <c r="J784" s="730"/>
      <c r="K784" s="730"/>
      <c r="L784" s="730"/>
      <c r="M784" s="730"/>
      <c r="N784" s="571"/>
      <c r="O784" s="571"/>
      <c r="P784" s="571"/>
      <c r="Q784" s="571"/>
      <c r="R784" s="571"/>
      <c r="S784" s="571"/>
      <c r="T784" s="571"/>
      <c r="U784" s="571"/>
      <c r="V784" s="571"/>
      <c r="W784" s="571"/>
      <c r="X784" s="571"/>
      <c r="Y784" s="571"/>
      <c r="Z784" s="571"/>
      <c r="AA784" s="571"/>
      <c r="AB784" s="571"/>
      <c r="AC784" s="571"/>
      <c r="AD784" s="571"/>
      <c r="AE784" s="571"/>
      <c r="AF784" s="571"/>
      <c r="AG784" s="690"/>
      <c r="AH784" s="691"/>
    </row>
    <row r="785">
      <c r="A785" s="568"/>
      <c r="B785" s="730"/>
      <c r="C785" s="730"/>
      <c r="D785" s="730"/>
      <c r="E785" s="730"/>
      <c r="F785" s="730"/>
      <c r="G785" s="730"/>
      <c r="H785" s="730"/>
      <c r="I785" s="730"/>
      <c r="J785" s="730"/>
      <c r="K785" s="730"/>
      <c r="L785" s="730"/>
      <c r="M785" s="730"/>
      <c r="N785" s="571"/>
      <c r="O785" s="571"/>
      <c r="P785" s="571"/>
      <c r="Q785" s="571"/>
      <c r="R785" s="571"/>
      <c r="S785" s="571"/>
      <c r="T785" s="571"/>
      <c r="U785" s="571"/>
      <c r="V785" s="571"/>
      <c r="W785" s="571"/>
      <c r="X785" s="571"/>
      <c r="Y785" s="571"/>
      <c r="Z785" s="571"/>
      <c r="AA785" s="571"/>
      <c r="AB785" s="571"/>
      <c r="AC785" s="571"/>
      <c r="AD785" s="571"/>
      <c r="AE785" s="571"/>
      <c r="AF785" s="571"/>
      <c r="AG785" s="690"/>
      <c r="AH785" s="691"/>
    </row>
    <row r="786">
      <c r="A786" s="568"/>
      <c r="B786" s="730"/>
      <c r="C786" s="730"/>
      <c r="D786" s="730"/>
      <c r="E786" s="730"/>
      <c r="F786" s="730"/>
      <c r="G786" s="730"/>
      <c r="H786" s="730"/>
      <c r="I786" s="730"/>
      <c r="J786" s="730"/>
      <c r="K786" s="730"/>
      <c r="L786" s="730"/>
      <c r="M786" s="730"/>
      <c r="N786" s="571"/>
      <c r="O786" s="571"/>
      <c r="P786" s="571"/>
      <c r="Q786" s="571"/>
      <c r="R786" s="571"/>
      <c r="S786" s="571"/>
      <c r="T786" s="571"/>
      <c r="U786" s="571"/>
      <c r="V786" s="571"/>
      <c r="W786" s="571"/>
      <c r="X786" s="571"/>
      <c r="Y786" s="571"/>
      <c r="Z786" s="571"/>
      <c r="AA786" s="571"/>
      <c r="AB786" s="571"/>
      <c r="AC786" s="571"/>
      <c r="AD786" s="571"/>
      <c r="AE786" s="571"/>
      <c r="AF786" s="571"/>
      <c r="AG786" s="690"/>
      <c r="AH786" s="691"/>
    </row>
    <row r="787">
      <c r="A787" s="568"/>
      <c r="B787" s="730"/>
      <c r="C787" s="730"/>
      <c r="D787" s="730"/>
      <c r="E787" s="730"/>
      <c r="F787" s="730"/>
      <c r="G787" s="730"/>
      <c r="H787" s="730"/>
      <c r="I787" s="730"/>
      <c r="J787" s="730"/>
      <c r="K787" s="730"/>
      <c r="L787" s="730"/>
      <c r="M787" s="730"/>
      <c r="N787" s="571"/>
      <c r="O787" s="571"/>
      <c r="P787" s="571"/>
      <c r="Q787" s="571"/>
      <c r="R787" s="571"/>
      <c r="S787" s="571"/>
      <c r="T787" s="571"/>
      <c r="U787" s="571"/>
      <c r="V787" s="571"/>
      <c r="W787" s="571"/>
      <c r="X787" s="571"/>
      <c r="Y787" s="571"/>
      <c r="Z787" s="571"/>
      <c r="AA787" s="571"/>
      <c r="AB787" s="571"/>
      <c r="AC787" s="571"/>
      <c r="AD787" s="571"/>
      <c r="AE787" s="571"/>
      <c r="AF787" s="571"/>
      <c r="AG787" s="690"/>
      <c r="AH787" s="691"/>
    </row>
    <row r="788">
      <c r="A788" s="568"/>
      <c r="B788" s="730"/>
      <c r="C788" s="730"/>
      <c r="D788" s="730"/>
      <c r="E788" s="730"/>
      <c r="F788" s="730"/>
      <c r="G788" s="730"/>
      <c r="H788" s="730"/>
      <c r="I788" s="730"/>
      <c r="J788" s="730"/>
      <c r="K788" s="730"/>
      <c r="L788" s="730"/>
      <c r="M788" s="730"/>
      <c r="N788" s="571"/>
      <c r="O788" s="571"/>
      <c r="P788" s="571"/>
      <c r="Q788" s="571"/>
      <c r="R788" s="571"/>
      <c r="S788" s="571"/>
      <c r="T788" s="571"/>
      <c r="U788" s="571"/>
      <c r="V788" s="571"/>
      <c r="W788" s="571"/>
      <c r="X788" s="571"/>
      <c r="Y788" s="571"/>
      <c r="Z788" s="571"/>
      <c r="AA788" s="571"/>
      <c r="AB788" s="571"/>
      <c r="AC788" s="571"/>
      <c r="AD788" s="571"/>
      <c r="AE788" s="571"/>
      <c r="AF788" s="571"/>
      <c r="AG788" s="690"/>
      <c r="AH788" s="691"/>
    </row>
    <row r="789">
      <c r="A789" s="568"/>
      <c r="B789" s="730"/>
      <c r="C789" s="730"/>
      <c r="D789" s="730"/>
      <c r="E789" s="730"/>
      <c r="F789" s="730"/>
      <c r="G789" s="730"/>
      <c r="H789" s="730"/>
      <c r="I789" s="730"/>
      <c r="J789" s="730"/>
      <c r="K789" s="730"/>
      <c r="L789" s="730"/>
      <c r="M789" s="730"/>
      <c r="N789" s="571"/>
      <c r="O789" s="571"/>
      <c r="P789" s="571"/>
      <c r="Q789" s="571"/>
      <c r="R789" s="571"/>
      <c r="S789" s="571"/>
      <c r="T789" s="571"/>
      <c r="U789" s="571"/>
      <c r="V789" s="571"/>
      <c r="W789" s="571"/>
      <c r="X789" s="571"/>
      <c r="Y789" s="571"/>
      <c r="Z789" s="571"/>
      <c r="AA789" s="571"/>
      <c r="AB789" s="571"/>
      <c r="AC789" s="571"/>
      <c r="AD789" s="571"/>
      <c r="AE789" s="571"/>
      <c r="AF789" s="571"/>
      <c r="AG789" s="690"/>
      <c r="AH789" s="691"/>
    </row>
    <row r="790">
      <c r="A790" s="568"/>
      <c r="B790" s="730"/>
      <c r="C790" s="730"/>
      <c r="D790" s="730"/>
      <c r="E790" s="730"/>
      <c r="F790" s="730"/>
      <c r="G790" s="730"/>
      <c r="H790" s="730"/>
      <c r="I790" s="730"/>
      <c r="J790" s="730"/>
      <c r="K790" s="730"/>
      <c r="L790" s="730"/>
      <c r="M790" s="730"/>
      <c r="N790" s="571"/>
      <c r="O790" s="571"/>
      <c r="P790" s="571"/>
      <c r="Q790" s="571"/>
      <c r="R790" s="571"/>
      <c r="S790" s="571"/>
      <c r="T790" s="571"/>
      <c r="U790" s="571"/>
      <c r="V790" s="571"/>
      <c r="W790" s="571"/>
      <c r="X790" s="571"/>
      <c r="Y790" s="571"/>
      <c r="Z790" s="571"/>
      <c r="AA790" s="571"/>
      <c r="AB790" s="571"/>
      <c r="AC790" s="571"/>
      <c r="AD790" s="571"/>
      <c r="AE790" s="571"/>
      <c r="AF790" s="571"/>
      <c r="AG790" s="690"/>
      <c r="AH790" s="691"/>
    </row>
    <row r="791">
      <c r="A791" s="568"/>
      <c r="B791" s="730"/>
      <c r="C791" s="730"/>
      <c r="D791" s="730"/>
      <c r="E791" s="730"/>
      <c r="F791" s="730"/>
      <c r="G791" s="730"/>
      <c r="H791" s="730"/>
      <c r="I791" s="730"/>
      <c r="J791" s="730"/>
      <c r="K791" s="730"/>
      <c r="L791" s="730"/>
      <c r="M791" s="730"/>
      <c r="N791" s="571"/>
      <c r="O791" s="571"/>
      <c r="P791" s="571"/>
      <c r="Q791" s="571"/>
      <c r="R791" s="571"/>
      <c r="S791" s="571"/>
      <c r="T791" s="571"/>
      <c r="U791" s="571"/>
      <c r="V791" s="571"/>
      <c r="W791" s="571"/>
      <c r="X791" s="571"/>
      <c r="Y791" s="571"/>
      <c r="Z791" s="571"/>
      <c r="AA791" s="571"/>
      <c r="AB791" s="571"/>
      <c r="AC791" s="571"/>
      <c r="AD791" s="571"/>
      <c r="AE791" s="571"/>
      <c r="AF791" s="571"/>
      <c r="AG791" s="690"/>
      <c r="AH791" s="691"/>
    </row>
    <row r="792">
      <c r="A792" s="568"/>
      <c r="B792" s="730"/>
      <c r="C792" s="730"/>
      <c r="D792" s="730"/>
      <c r="E792" s="730"/>
      <c r="F792" s="730"/>
      <c r="G792" s="730"/>
      <c r="H792" s="730"/>
      <c r="I792" s="730"/>
      <c r="J792" s="730"/>
      <c r="K792" s="730"/>
      <c r="L792" s="730"/>
      <c r="M792" s="730"/>
      <c r="N792" s="571"/>
      <c r="O792" s="571"/>
      <c r="P792" s="571"/>
      <c r="Q792" s="571"/>
      <c r="R792" s="571"/>
      <c r="S792" s="571"/>
      <c r="T792" s="571"/>
      <c r="U792" s="571"/>
      <c r="V792" s="571"/>
      <c r="W792" s="571"/>
      <c r="X792" s="571"/>
      <c r="Y792" s="571"/>
      <c r="Z792" s="571"/>
      <c r="AA792" s="571"/>
      <c r="AB792" s="571"/>
      <c r="AC792" s="571"/>
      <c r="AD792" s="571"/>
      <c r="AE792" s="571"/>
      <c r="AF792" s="571"/>
      <c r="AG792" s="690"/>
      <c r="AH792" s="691"/>
    </row>
    <row r="793">
      <c r="A793" s="568"/>
      <c r="B793" s="730"/>
      <c r="C793" s="730"/>
      <c r="D793" s="730"/>
      <c r="E793" s="730"/>
      <c r="F793" s="730"/>
      <c r="G793" s="730"/>
      <c r="H793" s="730"/>
      <c r="I793" s="730"/>
      <c r="J793" s="730"/>
      <c r="K793" s="730"/>
      <c r="L793" s="730"/>
      <c r="M793" s="730"/>
      <c r="N793" s="571"/>
      <c r="O793" s="571"/>
      <c r="P793" s="571"/>
      <c r="Q793" s="571"/>
      <c r="R793" s="571"/>
      <c r="S793" s="571"/>
      <c r="T793" s="571"/>
      <c r="U793" s="571"/>
      <c r="V793" s="571"/>
      <c r="W793" s="571"/>
      <c r="X793" s="571"/>
      <c r="Y793" s="571"/>
      <c r="Z793" s="571"/>
      <c r="AA793" s="571"/>
      <c r="AB793" s="571"/>
      <c r="AC793" s="571"/>
      <c r="AD793" s="571"/>
      <c r="AE793" s="571"/>
      <c r="AF793" s="571"/>
      <c r="AG793" s="690"/>
      <c r="AH793" s="691"/>
    </row>
    <row r="794">
      <c r="A794" s="568"/>
      <c r="B794" s="730"/>
      <c r="C794" s="730"/>
      <c r="D794" s="730"/>
      <c r="E794" s="730"/>
      <c r="F794" s="730"/>
      <c r="G794" s="730"/>
      <c r="H794" s="730"/>
      <c r="I794" s="730"/>
      <c r="J794" s="730"/>
      <c r="K794" s="730"/>
      <c r="L794" s="730"/>
      <c r="M794" s="730"/>
      <c r="N794" s="571"/>
      <c r="O794" s="571"/>
      <c r="P794" s="571"/>
      <c r="Q794" s="571"/>
      <c r="R794" s="571"/>
      <c r="S794" s="571"/>
      <c r="T794" s="571"/>
      <c r="U794" s="571"/>
      <c r="V794" s="571"/>
      <c r="W794" s="571"/>
      <c r="X794" s="571"/>
      <c r="Y794" s="571"/>
      <c r="Z794" s="571"/>
      <c r="AA794" s="571"/>
      <c r="AB794" s="571"/>
      <c r="AC794" s="571"/>
      <c r="AD794" s="571"/>
      <c r="AE794" s="571"/>
      <c r="AF794" s="571"/>
      <c r="AG794" s="690"/>
      <c r="AH794" s="691"/>
    </row>
    <row r="795">
      <c r="A795" s="568"/>
      <c r="B795" s="730"/>
      <c r="C795" s="730"/>
      <c r="D795" s="730"/>
      <c r="E795" s="730"/>
      <c r="F795" s="730"/>
      <c r="G795" s="730"/>
      <c r="H795" s="730"/>
      <c r="I795" s="730"/>
      <c r="J795" s="730"/>
      <c r="K795" s="730"/>
      <c r="L795" s="730"/>
      <c r="M795" s="730"/>
      <c r="N795" s="571"/>
      <c r="O795" s="571"/>
      <c r="P795" s="571"/>
      <c r="Q795" s="571"/>
      <c r="R795" s="571"/>
      <c r="S795" s="571"/>
      <c r="T795" s="571"/>
      <c r="U795" s="571"/>
      <c r="V795" s="571"/>
      <c r="W795" s="571"/>
      <c r="X795" s="571"/>
      <c r="Y795" s="571"/>
      <c r="Z795" s="571"/>
      <c r="AA795" s="571"/>
      <c r="AB795" s="571"/>
      <c r="AC795" s="571"/>
      <c r="AD795" s="571"/>
      <c r="AE795" s="571"/>
      <c r="AF795" s="571"/>
      <c r="AG795" s="690"/>
      <c r="AH795" s="691"/>
    </row>
    <row r="796">
      <c r="A796" s="568"/>
      <c r="B796" s="730"/>
      <c r="C796" s="730"/>
      <c r="D796" s="730"/>
      <c r="E796" s="730"/>
      <c r="F796" s="730"/>
      <c r="G796" s="730"/>
      <c r="H796" s="730"/>
      <c r="I796" s="730"/>
      <c r="J796" s="730"/>
      <c r="K796" s="730"/>
      <c r="L796" s="730"/>
      <c r="M796" s="730"/>
      <c r="N796" s="571"/>
      <c r="O796" s="571"/>
      <c r="P796" s="571"/>
      <c r="Q796" s="571"/>
      <c r="R796" s="571"/>
      <c r="S796" s="571"/>
      <c r="T796" s="571"/>
      <c r="U796" s="571"/>
      <c r="V796" s="571"/>
      <c r="W796" s="571"/>
      <c r="X796" s="571"/>
      <c r="Y796" s="571"/>
      <c r="Z796" s="571"/>
      <c r="AA796" s="571"/>
      <c r="AB796" s="571"/>
      <c r="AC796" s="571"/>
      <c r="AD796" s="571"/>
      <c r="AE796" s="571"/>
      <c r="AF796" s="571"/>
      <c r="AG796" s="690"/>
      <c r="AH796" s="691"/>
    </row>
    <row r="797">
      <c r="A797" s="568"/>
      <c r="B797" s="730"/>
      <c r="C797" s="730"/>
      <c r="D797" s="730"/>
      <c r="E797" s="730"/>
      <c r="F797" s="730"/>
      <c r="G797" s="730"/>
      <c r="H797" s="730"/>
      <c r="I797" s="730"/>
      <c r="J797" s="730"/>
      <c r="K797" s="730"/>
      <c r="L797" s="730"/>
      <c r="M797" s="730"/>
      <c r="N797" s="571"/>
      <c r="O797" s="571"/>
      <c r="P797" s="571"/>
      <c r="Q797" s="571"/>
      <c r="R797" s="571"/>
      <c r="S797" s="571"/>
      <c r="T797" s="571"/>
      <c r="U797" s="571"/>
      <c r="V797" s="571"/>
      <c r="W797" s="571"/>
      <c r="X797" s="571"/>
      <c r="Y797" s="571"/>
      <c r="Z797" s="571"/>
      <c r="AA797" s="571"/>
      <c r="AB797" s="571"/>
      <c r="AC797" s="571"/>
      <c r="AD797" s="571"/>
      <c r="AE797" s="571"/>
      <c r="AF797" s="571"/>
      <c r="AG797" s="690"/>
      <c r="AH797" s="691"/>
    </row>
    <row r="798">
      <c r="A798" s="568"/>
      <c r="B798" s="730"/>
      <c r="C798" s="730"/>
      <c r="D798" s="730"/>
      <c r="E798" s="730"/>
      <c r="F798" s="730"/>
      <c r="G798" s="730"/>
      <c r="H798" s="730"/>
      <c r="I798" s="730"/>
      <c r="J798" s="730"/>
      <c r="K798" s="730"/>
      <c r="L798" s="730"/>
      <c r="M798" s="730"/>
      <c r="N798" s="571"/>
      <c r="O798" s="571"/>
      <c r="P798" s="571"/>
      <c r="Q798" s="571"/>
      <c r="R798" s="571"/>
      <c r="S798" s="571"/>
      <c r="T798" s="571"/>
      <c r="U798" s="571"/>
      <c r="V798" s="571"/>
      <c r="W798" s="571"/>
      <c r="X798" s="571"/>
      <c r="Y798" s="571"/>
      <c r="Z798" s="571"/>
      <c r="AA798" s="571"/>
      <c r="AB798" s="571"/>
      <c r="AC798" s="571"/>
      <c r="AD798" s="571"/>
      <c r="AE798" s="571"/>
      <c r="AF798" s="571"/>
      <c r="AG798" s="690"/>
      <c r="AH798" s="691"/>
    </row>
    <row r="799">
      <c r="A799" s="568"/>
      <c r="B799" s="730"/>
      <c r="C799" s="730"/>
      <c r="D799" s="730"/>
      <c r="E799" s="730"/>
      <c r="F799" s="730"/>
      <c r="G799" s="730"/>
      <c r="H799" s="730"/>
      <c r="I799" s="730"/>
      <c r="J799" s="730"/>
      <c r="K799" s="730"/>
      <c r="L799" s="730"/>
      <c r="M799" s="730"/>
      <c r="N799" s="571"/>
      <c r="O799" s="571"/>
      <c r="P799" s="571"/>
      <c r="Q799" s="571"/>
      <c r="R799" s="571"/>
      <c r="S799" s="571"/>
      <c r="T799" s="571"/>
      <c r="U799" s="571"/>
      <c r="V799" s="571"/>
      <c r="W799" s="571"/>
      <c r="X799" s="571"/>
      <c r="Y799" s="571"/>
      <c r="Z799" s="571"/>
      <c r="AA799" s="571"/>
      <c r="AB799" s="571"/>
      <c r="AC799" s="571"/>
      <c r="AD799" s="571"/>
      <c r="AE799" s="571"/>
      <c r="AF799" s="571"/>
      <c r="AG799" s="690"/>
      <c r="AH799" s="691"/>
    </row>
    <row r="800">
      <c r="A800" s="568"/>
      <c r="B800" s="730"/>
      <c r="C800" s="730"/>
      <c r="D800" s="730"/>
      <c r="E800" s="730"/>
      <c r="F800" s="730"/>
      <c r="G800" s="730"/>
      <c r="H800" s="730"/>
      <c r="I800" s="730"/>
      <c r="J800" s="730"/>
      <c r="K800" s="730"/>
      <c r="L800" s="730"/>
      <c r="M800" s="730"/>
      <c r="N800" s="571"/>
      <c r="O800" s="571"/>
      <c r="P800" s="571"/>
      <c r="Q800" s="571"/>
      <c r="R800" s="571"/>
      <c r="S800" s="571"/>
      <c r="T800" s="571"/>
      <c r="U800" s="571"/>
      <c r="V800" s="571"/>
      <c r="W800" s="571"/>
      <c r="X800" s="571"/>
      <c r="Y800" s="571"/>
      <c r="Z800" s="571"/>
      <c r="AA800" s="571"/>
      <c r="AB800" s="571"/>
      <c r="AC800" s="571"/>
      <c r="AD800" s="571"/>
      <c r="AE800" s="571"/>
      <c r="AF800" s="571"/>
      <c r="AG800" s="690"/>
      <c r="AH800" s="691"/>
    </row>
    <row r="801">
      <c r="A801" s="568"/>
      <c r="B801" s="730"/>
      <c r="C801" s="730"/>
      <c r="D801" s="730"/>
      <c r="E801" s="730"/>
      <c r="F801" s="730"/>
      <c r="G801" s="730"/>
      <c r="H801" s="730"/>
      <c r="I801" s="730"/>
      <c r="J801" s="730"/>
      <c r="K801" s="730"/>
      <c r="L801" s="730"/>
      <c r="M801" s="730"/>
      <c r="N801" s="571"/>
      <c r="O801" s="571"/>
      <c r="P801" s="571"/>
      <c r="Q801" s="571"/>
      <c r="R801" s="571"/>
      <c r="S801" s="571"/>
      <c r="T801" s="571"/>
      <c r="U801" s="571"/>
      <c r="V801" s="571"/>
      <c r="W801" s="571"/>
      <c r="X801" s="571"/>
      <c r="Y801" s="571"/>
      <c r="Z801" s="571"/>
      <c r="AA801" s="571"/>
      <c r="AB801" s="571"/>
      <c r="AC801" s="571"/>
      <c r="AD801" s="571"/>
      <c r="AE801" s="571"/>
      <c r="AF801" s="571"/>
      <c r="AG801" s="690"/>
      <c r="AH801" s="691"/>
    </row>
    <row r="802">
      <c r="A802" s="568"/>
      <c r="B802" s="730"/>
      <c r="C802" s="730"/>
      <c r="D802" s="730"/>
      <c r="E802" s="730"/>
      <c r="F802" s="730"/>
      <c r="G802" s="730"/>
      <c r="H802" s="730"/>
      <c r="I802" s="730"/>
      <c r="J802" s="730"/>
      <c r="K802" s="730"/>
      <c r="L802" s="730"/>
      <c r="M802" s="730"/>
      <c r="N802" s="571"/>
      <c r="O802" s="571"/>
      <c r="P802" s="571"/>
      <c r="Q802" s="571"/>
      <c r="R802" s="571"/>
      <c r="S802" s="571"/>
      <c r="T802" s="571"/>
      <c r="U802" s="571"/>
      <c r="V802" s="571"/>
      <c r="W802" s="571"/>
      <c r="X802" s="571"/>
      <c r="Y802" s="571"/>
      <c r="Z802" s="571"/>
      <c r="AA802" s="571"/>
      <c r="AB802" s="571"/>
      <c r="AC802" s="571"/>
      <c r="AD802" s="571"/>
      <c r="AE802" s="571"/>
      <c r="AF802" s="571"/>
      <c r="AG802" s="690"/>
      <c r="AH802" s="691"/>
    </row>
    <row r="803">
      <c r="A803" s="568"/>
      <c r="B803" s="730"/>
      <c r="C803" s="730"/>
      <c r="D803" s="730"/>
      <c r="E803" s="730"/>
      <c r="F803" s="730"/>
      <c r="G803" s="730"/>
      <c r="H803" s="730"/>
      <c r="I803" s="730"/>
      <c r="J803" s="730"/>
      <c r="K803" s="730"/>
      <c r="L803" s="730"/>
      <c r="M803" s="730"/>
      <c r="N803" s="571"/>
      <c r="O803" s="571"/>
      <c r="P803" s="571"/>
      <c r="Q803" s="571"/>
      <c r="R803" s="571"/>
      <c r="S803" s="571"/>
      <c r="T803" s="571"/>
      <c r="U803" s="571"/>
      <c r="V803" s="571"/>
      <c r="W803" s="571"/>
      <c r="X803" s="571"/>
      <c r="Y803" s="571"/>
      <c r="Z803" s="571"/>
      <c r="AA803" s="571"/>
      <c r="AB803" s="571"/>
      <c r="AC803" s="571"/>
      <c r="AD803" s="571"/>
      <c r="AE803" s="571"/>
      <c r="AF803" s="571"/>
      <c r="AG803" s="690"/>
      <c r="AH803" s="691"/>
    </row>
    <row r="804">
      <c r="A804" s="568"/>
      <c r="B804" s="730"/>
      <c r="C804" s="730"/>
      <c r="D804" s="730"/>
      <c r="E804" s="730"/>
      <c r="F804" s="730"/>
      <c r="G804" s="730"/>
      <c r="H804" s="730"/>
      <c r="I804" s="730"/>
      <c r="J804" s="730"/>
      <c r="K804" s="730"/>
      <c r="L804" s="730"/>
      <c r="M804" s="730"/>
      <c r="N804" s="571"/>
      <c r="O804" s="571"/>
      <c r="P804" s="571"/>
      <c r="Q804" s="571"/>
      <c r="R804" s="571"/>
      <c r="S804" s="571"/>
      <c r="T804" s="571"/>
      <c r="U804" s="571"/>
      <c r="V804" s="571"/>
      <c r="W804" s="571"/>
      <c r="X804" s="571"/>
      <c r="Y804" s="571"/>
      <c r="Z804" s="571"/>
      <c r="AA804" s="571"/>
      <c r="AB804" s="571"/>
      <c r="AC804" s="571"/>
      <c r="AD804" s="571"/>
      <c r="AE804" s="571"/>
      <c r="AF804" s="571"/>
      <c r="AG804" s="690"/>
      <c r="AH804" s="691"/>
    </row>
    <row r="805">
      <c r="A805" s="568"/>
      <c r="B805" s="730"/>
      <c r="C805" s="730"/>
      <c r="D805" s="730"/>
      <c r="E805" s="730"/>
      <c r="F805" s="730"/>
      <c r="G805" s="730"/>
      <c r="H805" s="730"/>
      <c r="I805" s="730"/>
      <c r="J805" s="730"/>
      <c r="K805" s="730"/>
      <c r="L805" s="730"/>
      <c r="M805" s="730"/>
      <c r="N805" s="571"/>
      <c r="O805" s="571"/>
      <c r="P805" s="571"/>
      <c r="Q805" s="571"/>
      <c r="R805" s="571"/>
      <c r="S805" s="571"/>
      <c r="T805" s="571"/>
      <c r="U805" s="571"/>
      <c r="V805" s="571"/>
      <c r="W805" s="571"/>
      <c r="X805" s="571"/>
      <c r="Y805" s="571"/>
      <c r="Z805" s="571"/>
      <c r="AA805" s="571"/>
      <c r="AB805" s="571"/>
      <c r="AC805" s="571"/>
      <c r="AD805" s="571"/>
      <c r="AE805" s="571"/>
      <c r="AF805" s="571"/>
      <c r="AG805" s="690"/>
      <c r="AH805" s="691"/>
    </row>
    <row r="806">
      <c r="A806" s="568"/>
      <c r="B806" s="730"/>
      <c r="C806" s="730"/>
      <c r="D806" s="730"/>
      <c r="E806" s="730"/>
      <c r="F806" s="730"/>
      <c r="G806" s="730"/>
      <c r="H806" s="730"/>
      <c r="I806" s="730"/>
      <c r="J806" s="730"/>
      <c r="K806" s="730"/>
      <c r="L806" s="730"/>
      <c r="M806" s="730"/>
      <c r="N806" s="571"/>
      <c r="O806" s="571"/>
      <c r="P806" s="571"/>
      <c r="Q806" s="571"/>
      <c r="R806" s="571"/>
      <c r="S806" s="571"/>
      <c r="T806" s="571"/>
      <c r="U806" s="571"/>
      <c r="V806" s="571"/>
      <c r="W806" s="571"/>
      <c r="X806" s="571"/>
      <c r="Y806" s="571"/>
      <c r="Z806" s="571"/>
      <c r="AA806" s="571"/>
      <c r="AB806" s="571"/>
      <c r="AC806" s="571"/>
      <c r="AD806" s="571"/>
      <c r="AE806" s="571"/>
      <c r="AF806" s="571"/>
      <c r="AG806" s="690"/>
      <c r="AH806" s="691"/>
    </row>
    <row r="807">
      <c r="A807" s="568"/>
      <c r="B807" s="730"/>
      <c r="C807" s="730"/>
      <c r="D807" s="730"/>
      <c r="E807" s="730"/>
      <c r="F807" s="730"/>
      <c r="G807" s="730"/>
      <c r="H807" s="730"/>
      <c r="I807" s="730"/>
      <c r="J807" s="730"/>
      <c r="K807" s="730"/>
      <c r="L807" s="730"/>
      <c r="M807" s="730"/>
      <c r="N807" s="571"/>
      <c r="O807" s="571"/>
      <c r="P807" s="571"/>
      <c r="Q807" s="571"/>
      <c r="R807" s="571"/>
      <c r="S807" s="571"/>
      <c r="T807" s="571"/>
      <c r="U807" s="571"/>
      <c r="V807" s="571"/>
      <c r="W807" s="571"/>
      <c r="X807" s="571"/>
      <c r="Y807" s="571"/>
      <c r="Z807" s="571"/>
      <c r="AA807" s="571"/>
      <c r="AB807" s="571"/>
      <c r="AC807" s="571"/>
      <c r="AD807" s="571"/>
      <c r="AE807" s="571"/>
      <c r="AF807" s="571"/>
      <c r="AG807" s="690"/>
      <c r="AH807" s="691"/>
    </row>
    <row r="808">
      <c r="A808" s="568"/>
      <c r="B808" s="730"/>
      <c r="C808" s="730"/>
      <c r="D808" s="730"/>
      <c r="E808" s="730"/>
      <c r="F808" s="730"/>
      <c r="G808" s="730"/>
      <c r="H808" s="730"/>
      <c r="I808" s="730"/>
      <c r="J808" s="730"/>
      <c r="K808" s="730"/>
      <c r="L808" s="730"/>
      <c r="M808" s="730"/>
      <c r="N808" s="571"/>
      <c r="O808" s="571"/>
      <c r="P808" s="571"/>
      <c r="Q808" s="571"/>
      <c r="R808" s="571"/>
      <c r="S808" s="571"/>
      <c r="T808" s="571"/>
      <c r="U808" s="571"/>
      <c r="V808" s="571"/>
      <c r="W808" s="571"/>
      <c r="X808" s="571"/>
      <c r="Y808" s="571"/>
      <c r="Z808" s="571"/>
      <c r="AA808" s="571"/>
      <c r="AB808" s="571"/>
      <c r="AC808" s="571"/>
      <c r="AD808" s="571"/>
      <c r="AE808" s="571"/>
      <c r="AF808" s="571"/>
      <c r="AG808" s="690"/>
      <c r="AH808" s="691"/>
    </row>
    <row r="809">
      <c r="A809" s="568"/>
      <c r="B809" s="730"/>
      <c r="C809" s="730"/>
      <c r="D809" s="730"/>
      <c r="E809" s="730"/>
      <c r="F809" s="730"/>
      <c r="G809" s="730"/>
      <c r="H809" s="730"/>
      <c r="I809" s="730"/>
      <c r="J809" s="730"/>
      <c r="K809" s="730"/>
      <c r="L809" s="730"/>
      <c r="M809" s="730"/>
      <c r="N809" s="571"/>
      <c r="O809" s="571"/>
      <c r="P809" s="571"/>
      <c r="Q809" s="571"/>
      <c r="R809" s="571"/>
      <c r="S809" s="571"/>
      <c r="T809" s="571"/>
      <c r="U809" s="571"/>
      <c r="V809" s="571"/>
      <c r="W809" s="571"/>
      <c r="X809" s="571"/>
      <c r="Y809" s="571"/>
      <c r="Z809" s="571"/>
      <c r="AA809" s="571"/>
      <c r="AB809" s="571"/>
      <c r="AC809" s="571"/>
      <c r="AD809" s="571"/>
      <c r="AE809" s="571"/>
      <c r="AF809" s="571"/>
      <c r="AG809" s="690"/>
      <c r="AH809" s="691"/>
    </row>
    <row r="810">
      <c r="A810" s="568"/>
      <c r="B810" s="730"/>
      <c r="C810" s="730"/>
      <c r="D810" s="730"/>
      <c r="E810" s="730"/>
      <c r="F810" s="730"/>
      <c r="G810" s="730"/>
      <c r="H810" s="730"/>
      <c r="I810" s="730"/>
      <c r="J810" s="730"/>
      <c r="K810" s="730"/>
      <c r="L810" s="730"/>
      <c r="M810" s="730"/>
      <c r="N810" s="571"/>
      <c r="O810" s="571"/>
      <c r="P810" s="571"/>
      <c r="Q810" s="571"/>
      <c r="R810" s="571"/>
      <c r="S810" s="571"/>
      <c r="T810" s="571"/>
      <c r="U810" s="571"/>
      <c r="V810" s="571"/>
      <c r="W810" s="571"/>
      <c r="X810" s="571"/>
      <c r="Y810" s="571"/>
      <c r="Z810" s="571"/>
      <c r="AA810" s="571"/>
      <c r="AB810" s="571"/>
      <c r="AC810" s="571"/>
      <c r="AD810" s="571"/>
      <c r="AE810" s="571"/>
      <c r="AF810" s="571"/>
      <c r="AG810" s="690"/>
      <c r="AH810" s="691"/>
    </row>
    <row r="811">
      <c r="A811" s="568"/>
      <c r="B811" s="730"/>
      <c r="C811" s="730"/>
      <c r="D811" s="730"/>
      <c r="E811" s="730"/>
      <c r="F811" s="730"/>
      <c r="G811" s="730"/>
      <c r="H811" s="730"/>
      <c r="I811" s="730"/>
      <c r="J811" s="730"/>
      <c r="K811" s="730"/>
      <c r="L811" s="730"/>
      <c r="M811" s="730"/>
      <c r="N811" s="571"/>
      <c r="O811" s="571"/>
      <c r="P811" s="571"/>
      <c r="Q811" s="571"/>
      <c r="R811" s="571"/>
      <c r="S811" s="571"/>
      <c r="T811" s="571"/>
      <c r="U811" s="571"/>
      <c r="V811" s="571"/>
      <c r="W811" s="571"/>
      <c r="X811" s="571"/>
      <c r="Y811" s="571"/>
      <c r="Z811" s="571"/>
      <c r="AA811" s="571"/>
      <c r="AB811" s="571"/>
      <c r="AC811" s="571"/>
      <c r="AD811" s="571"/>
      <c r="AE811" s="571"/>
      <c r="AF811" s="571"/>
      <c r="AG811" s="690"/>
      <c r="AH811" s="691"/>
    </row>
    <row r="812">
      <c r="A812" s="568"/>
      <c r="B812" s="730"/>
      <c r="C812" s="730"/>
      <c r="D812" s="730"/>
      <c r="E812" s="730"/>
      <c r="F812" s="730"/>
      <c r="G812" s="730"/>
      <c r="H812" s="730"/>
      <c r="I812" s="730"/>
      <c r="J812" s="730"/>
      <c r="K812" s="730"/>
      <c r="L812" s="730"/>
      <c r="M812" s="730"/>
      <c r="N812" s="571"/>
      <c r="O812" s="571"/>
      <c r="P812" s="571"/>
      <c r="Q812" s="571"/>
      <c r="R812" s="571"/>
      <c r="S812" s="571"/>
      <c r="T812" s="571"/>
      <c r="U812" s="571"/>
      <c r="V812" s="571"/>
      <c r="W812" s="571"/>
      <c r="X812" s="571"/>
      <c r="Y812" s="571"/>
      <c r="Z812" s="571"/>
      <c r="AA812" s="571"/>
      <c r="AB812" s="571"/>
      <c r="AC812" s="571"/>
      <c r="AD812" s="571"/>
      <c r="AE812" s="571"/>
      <c r="AF812" s="571"/>
      <c r="AG812" s="690"/>
      <c r="AH812" s="691"/>
    </row>
    <row r="813">
      <c r="A813" s="568"/>
      <c r="B813" s="730"/>
      <c r="C813" s="730"/>
      <c r="D813" s="730"/>
      <c r="E813" s="730"/>
      <c r="F813" s="730"/>
      <c r="G813" s="730"/>
      <c r="H813" s="730"/>
      <c r="I813" s="730"/>
      <c r="J813" s="730"/>
      <c r="K813" s="730"/>
      <c r="L813" s="730"/>
      <c r="M813" s="730"/>
      <c r="N813" s="571"/>
      <c r="O813" s="571"/>
      <c r="P813" s="571"/>
      <c r="Q813" s="571"/>
      <c r="R813" s="571"/>
      <c r="S813" s="571"/>
      <c r="T813" s="571"/>
      <c r="U813" s="571"/>
      <c r="V813" s="571"/>
      <c r="W813" s="571"/>
      <c r="X813" s="571"/>
      <c r="Y813" s="571"/>
      <c r="Z813" s="571"/>
      <c r="AA813" s="571"/>
      <c r="AB813" s="571"/>
      <c r="AC813" s="571"/>
      <c r="AD813" s="571"/>
      <c r="AE813" s="571"/>
      <c r="AF813" s="571"/>
      <c r="AG813" s="690"/>
      <c r="AH813" s="691"/>
    </row>
    <row r="814">
      <c r="A814" s="568"/>
      <c r="B814" s="730"/>
      <c r="C814" s="730"/>
      <c r="D814" s="730"/>
      <c r="E814" s="730"/>
      <c r="F814" s="730"/>
      <c r="G814" s="730"/>
      <c r="H814" s="730"/>
      <c r="I814" s="730"/>
      <c r="J814" s="730"/>
      <c r="K814" s="730"/>
      <c r="L814" s="730"/>
      <c r="M814" s="730"/>
      <c r="N814" s="571"/>
      <c r="O814" s="571"/>
      <c r="P814" s="571"/>
      <c r="Q814" s="571"/>
      <c r="R814" s="571"/>
      <c r="S814" s="571"/>
      <c r="T814" s="571"/>
      <c r="U814" s="571"/>
      <c r="V814" s="571"/>
      <c r="W814" s="571"/>
      <c r="X814" s="571"/>
      <c r="Y814" s="571"/>
      <c r="Z814" s="571"/>
      <c r="AA814" s="571"/>
      <c r="AB814" s="571"/>
      <c r="AC814" s="571"/>
      <c r="AD814" s="571"/>
      <c r="AE814" s="571"/>
      <c r="AF814" s="571"/>
      <c r="AG814" s="690"/>
      <c r="AH814" s="691"/>
    </row>
    <row r="815">
      <c r="A815" s="568"/>
      <c r="B815" s="730"/>
      <c r="C815" s="730"/>
      <c r="D815" s="730"/>
      <c r="E815" s="730"/>
      <c r="F815" s="730"/>
      <c r="G815" s="730"/>
      <c r="H815" s="730"/>
      <c r="I815" s="730"/>
      <c r="J815" s="730"/>
      <c r="K815" s="730"/>
      <c r="L815" s="730"/>
      <c r="M815" s="730"/>
      <c r="N815" s="571"/>
      <c r="O815" s="571"/>
      <c r="P815" s="571"/>
      <c r="Q815" s="571"/>
      <c r="R815" s="571"/>
      <c r="S815" s="571"/>
      <c r="T815" s="571"/>
      <c r="U815" s="571"/>
      <c r="V815" s="571"/>
      <c r="W815" s="571"/>
      <c r="X815" s="571"/>
      <c r="Y815" s="571"/>
      <c r="Z815" s="571"/>
      <c r="AA815" s="571"/>
      <c r="AB815" s="571"/>
      <c r="AC815" s="571"/>
      <c r="AD815" s="571"/>
      <c r="AE815" s="571"/>
      <c r="AF815" s="571"/>
      <c r="AG815" s="690"/>
      <c r="AH815" s="691"/>
    </row>
    <row r="816">
      <c r="A816" s="568"/>
      <c r="B816" s="730"/>
      <c r="C816" s="730"/>
      <c r="D816" s="730"/>
      <c r="E816" s="730"/>
      <c r="F816" s="730"/>
      <c r="G816" s="730"/>
      <c r="H816" s="730"/>
      <c r="I816" s="730"/>
      <c r="J816" s="730"/>
      <c r="K816" s="730"/>
      <c r="L816" s="730"/>
      <c r="M816" s="730"/>
      <c r="N816" s="571"/>
      <c r="O816" s="571"/>
      <c r="P816" s="571"/>
      <c r="Q816" s="571"/>
      <c r="R816" s="571"/>
      <c r="S816" s="571"/>
      <c r="T816" s="571"/>
      <c r="U816" s="571"/>
      <c r="V816" s="571"/>
      <c r="W816" s="571"/>
      <c r="X816" s="571"/>
      <c r="Y816" s="571"/>
      <c r="Z816" s="571"/>
      <c r="AA816" s="571"/>
      <c r="AB816" s="571"/>
      <c r="AC816" s="571"/>
      <c r="AD816" s="571"/>
      <c r="AE816" s="571"/>
      <c r="AF816" s="571"/>
      <c r="AG816" s="690"/>
      <c r="AH816" s="691"/>
    </row>
    <row r="817">
      <c r="A817" s="568"/>
      <c r="B817" s="730"/>
      <c r="C817" s="730"/>
      <c r="D817" s="730"/>
      <c r="E817" s="730"/>
      <c r="F817" s="730"/>
      <c r="G817" s="730"/>
      <c r="H817" s="730"/>
      <c r="I817" s="730"/>
      <c r="J817" s="730"/>
      <c r="K817" s="730"/>
      <c r="L817" s="730"/>
      <c r="M817" s="730"/>
      <c r="N817" s="571"/>
      <c r="O817" s="571"/>
      <c r="P817" s="571"/>
      <c r="Q817" s="571"/>
      <c r="R817" s="571"/>
      <c r="S817" s="571"/>
      <c r="T817" s="571"/>
      <c r="U817" s="571"/>
      <c r="V817" s="571"/>
      <c r="W817" s="571"/>
      <c r="X817" s="571"/>
      <c r="Y817" s="571"/>
      <c r="Z817" s="571"/>
      <c r="AA817" s="571"/>
      <c r="AB817" s="571"/>
      <c r="AC817" s="571"/>
      <c r="AD817" s="571"/>
      <c r="AE817" s="571"/>
      <c r="AF817" s="571"/>
      <c r="AG817" s="690"/>
      <c r="AH817" s="691"/>
    </row>
    <row r="818">
      <c r="A818" s="568"/>
      <c r="B818" s="730"/>
      <c r="C818" s="730"/>
      <c r="D818" s="730"/>
      <c r="E818" s="730"/>
      <c r="F818" s="730"/>
      <c r="G818" s="730"/>
      <c r="H818" s="730"/>
      <c r="I818" s="730"/>
      <c r="J818" s="730"/>
      <c r="K818" s="730"/>
      <c r="L818" s="730"/>
      <c r="M818" s="730"/>
      <c r="N818" s="571"/>
      <c r="O818" s="571"/>
      <c r="P818" s="571"/>
      <c r="Q818" s="571"/>
      <c r="R818" s="571"/>
      <c r="S818" s="571"/>
      <c r="T818" s="571"/>
      <c r="U818" s="571"/>
      <c r="V818" s="571"/>
      <c r="W818" s="571"/>
      <c r="X818" s="571"/>
      <c r="Y818" s="571"/>
      <c r="Z818" s="571"/>
      <c r="AA818" s="571"/>
      <c r="AB818" s="571"/>
      <c r="AC818" s="571"/>
      <c r="AD818" s="571"/>
      <c r="AE818" s="571"/>
      <c r="AF818" s="571"/>
      <c r="AG818" s="690"/>
      <c r="AH818" s="691"/>
    </row>
    <row r="819">
      <c r="A819" s="568"/>
      <c r="B819" s="730"/>
      <c r="C819" s="730"/>
      <c r="D819" s="730"/>
      <c r="E819" s="730"/>
      <c r="F819" s="730"/>
      <c r="G819" s="730"/>
      <c r="H819" s="730"/>
      <c r="I819" s="730"/>
      <c r="J819" s="730"/>
      <c r="K819" s="730"/>
      <c r="L819" s="730"/>
      <c r="M819" s="730"/>
      <c r="N819" s="571"/>
      <c r="O819" s="571"/>
      <c r="P819" s="571"/>
      <c r="Q819" s="571"/>
      <c r="R819" s="571"/>
      <c r="S819" s="571"/>
      <c r="T819" s="571"/>
      <c r="U819" s="571"/>
      <c r="V819" s="571"/>
      <c r="W819" s="571"/>
      <c r="X819" s="571"/>
      <c r="Y819" s="571"/>
      <c r="Z819" s="571"/>
      <c r="AA819" s="571"/>
      <c r="AB819" s="571"/>
      <c r="AC819" s="571"/>
      <c r="AD819" s="571"/>
      <c r="AE819" s="571"/>
      <c r="AF819" s="571"/>
      <c r="AG819" s="690"/>
      <c r="AH819" s="691"/>
    </row>
    <row r="820">
      <c r="A820" s="568"/>
      <c r="B820" s="730"/>
      <c r="C820" s="730"/>
      <c r="D820" s="730"/>
      <c r="E820" s="730"/>
      <c r="F820" s="730"/>
      <c r="G820" s="730"/>
      <c r="H820" s="730"/>
      <c r="I820" s="730"/>
      <c r="J820" s="730"/>
      <c r="K820" s="730"/>
      <c r="L820" s="730"/>
      <c r="M820" s="730"/>
      <c r="N820" s="571"/>
      <c r="O820" s="571"/>
      <c r="P820" s="571"/>
      <c r="Q820" s="571"/>
      <c r="R820" s="571"/>
      <c r="S820" s="571"/>
      <c r="T820" s="571"/>
      <c r="U820" s="571"/>
      <c r="V820" s="571"/>
      <c r="W820" s="571"/>
      <c r="X820" s="571"/>
      <c r="Y820" s="571"/>
      <c r="Z820" s="571"/>
      <c r="AA820" s="571"/>
      <c r="AB820" s="571"/>
      <c r="AC820" s="571"/>
      <c r="AD820" s="571"/>
      <c r="AE820" s="571"/>
      <c r="AF820" s="571"/>
      <c r="AG820" s="690"/>
      <c r="AH820" s="691"/>
    </row>
    <row r="821">
      <c r="A821" s="568"/>
      <c r="B821" s="730"/>
      <c r="C821" s="730"/>
      <c r="D821" s="730"/>
      <c r="E821" s="730"/>
      <c r="F821" s="730"/>
      <c r="G821" s="730"/>
      <c r="H821" s="730"/>
      <c r="I821" s="730"/>
      <c r="J821" s="730"/>
      <c r="K821" s="730"/>
      <c r="L821" s="730"/>
      <c r="M821" s="730"/>
      <c r="N821" s="571"/>
      <c r="O821" s="571"/>
      <c r="P821" s="571"/>
      <c r="Q821" s="571"/>
      <c r="R821" s="571"/>
      <c r="S821" s="571"/>
      <c r="T821" s="571"/>
      <c r="U821" s="571"/>
      <c r="V821" s="571"/>
      <c r="W821" s="571"/>
      <c r="X821" s="571"/>
      <c r="Y821" s="571"/>
      <c r="Z821" s="571"/>
      <c r="AA821" s="571"/>
      <c r="AB821" s="571"/>
      <c r="AC821" s="571"/>
      <c r="AD821" s="571"/>
      <c r="AE821" s="571"/>
      <c r="AF821" s="571"/>
      <c r="AG821" s="690"/>
      <c r="AH821" s="691"/>
    </row>
    <row r="822">
      <c r="A822" s="568"/>
      <c r="B822" s="730"/>
      <c r="C822" s="730"/>
      <c r="D822" s="730"/>
      <c r="E822" s="730"/>
      <c r="F822" s="730"/>
      <c r="G822" s="730"/>
      <c r="H822" s="730"/>
      <c r="I822" s="730"/>
      <c r="J822" s="730"/>
      <c r="K822" s="730"/>
      <c r="L822" s="730"/>
      <c r="M822" s="730"/>
      <c r="N822" s="571"/>
      <c r="O822" s="571"/>
      <c r="P822" s="571"/>
      <c r="Q822" s="571"/>
      <c r="R822" s="571"/>
      <c r="S822" s="571"/>
      <c r="T822" s="571"/>
      <c r="U822" s="571"/>
      <c r="V822" s="571"/>
      <c r="W822" s="571"/>
      <c r="X822" s="571"/>
      <c r="Y822" s="571"/>
      <c r="Z822" s="571"/>
      <c r="AA822" s="571"/>
      <c r="AB822" s="571"/>
      <c r="AC822" s="571"/>
      <c r="AD822" s="571"/>
      <c r="AE822" s="571"/>
      <c r="AF822" s="571"/>
      <c r="AG822" s="690"/>
      <c r="AH822" s="691"/>
    </row>
    <row r="823">
      <c r="A823" s="568"/>
      <c r="B823" s="730"/>
      <c r="C823" s="730"/>
      <c r="D823" s="730"/>
      <c r="E823" s="730"/>
      <c r="F823" s="730"/>
      <c r="G823" s="730"/>
      <c r="H823" s="730"/>
      <c r="I823" s="730"/>
      <c r="J823" s="730"/>
      <c r="K823" s="730"/>
      <c r="L823" s="730"/>
      <c r="M823" s="730"/>
      <c r="N823" s="571"/>
      <c r="O823" s="571"/>
      <c r="P823" s="571"/>
      <c r="Q823" s="571"/>
      <c r="R823" s="571"/>
      <c r="S823" s="571"/>
      <c r="T823" s="571"/>
      <c r="U823" s="571"/>
      <c r="V823" s="571"/>
      <c r="W823" s="571"/>
      <c r="X823" s="571"/>
      <c r="Y823" s="571"/>
      <c r="Z823" s="571"/>
      <c r="AA823" s="571"/>
      <c r="AB823" s="571"/>
      <c r="AC823" s="571"/>
      <c r="AD823" s="571"/>
      <c r="AE823" s="571"/>
      <c r="AF823" s="571"/>
      <c r="AG823" s="690"/>
      <c r="AH823" s="691"/>
    </row>
    <row r="824">
      <c r="A824" s="568"/>
      <c r="B824" s="730"/>
      <c r="C824" s="730"/>
      <c r="D824" s="730"/>
      <c r="E824" s="730"/>
      <c r="F824" s="730"/>
      <c r="G824" s="730"/>
      <c r="H824" s="730"/>
      <c r="I824" s="730"/>
      <c r="J824" s="730"/>
      <c r="K824" s="730"/>
      <c r="L824" s="730"/>
      <c r="M824" s="730"/>
      <c r="N824" s="571"/>
      <c r="O824" s="571"/>
      <c r="P824" s="571"/>
      <c r="Q824" s="571"/>
      <c r="R824" s="571"/>
      <c r="S824" s="571"/>
      <c r="T824" s="571"/>
      <c r="U824" s="571"/>
      <c r="V824" s="571"/>
      <c r="W824" s="571"/>
      <c r="X824" s="571"/>
      <c r="Y824" s="571"/>
      <c r="Z824" s="571"/>
      <c r="AA824" s="571"/>
      <c r="AB824" s="571"/>
      <c r="AC824" s="571"/>
      <c r="AD824" s="571"/>
      <c r="AE824" s="571"/>
      <c r="AF824" s="571"/>
      <c r="AG824" s="690"/>
      <c r="AH824" s="691"/>
    </row>
    <row r="825">
      <c r="A825" s="568"/>
      <c r="B825" s="730"/>
      <c r="C825" s="730"/>
      <c r="D825" s="730"/>
      <c r="E825" s="730"/>
      <c r="F825" s="730"/>
      <c r="G825" s="730"/>
      <c r="H825" s="730"/>
      <c r="I825" s="730"/>
      <c r="J825" s="730"/>
      <c r="K825" s="730"/>
      <c r="L825" s="730"/>
      <c r="M825" s="730"/>
      <c r="N825" s="571"/>
      <c r="O825" s="571"/>
      <c r="P825" s="571"/>
      <c r="Q825" s="571"/>
      <c r="R825" s="571"/>
      <c r="S825" s="571"/>
      <c r="T825" s="571"/>
      <c r="U825" s="571"/>
      <c r="V825" s="571"/>
      <c r="W825" s="571"/>
      <c r="X825" s="571"/>
      <c r="Y825" s="571"/>
      <c r="Z825" s="571"/>
      <c r="AA825" s="571"/>
      <c r="AB825" s="571"/>
      <c r="AC825" s="571"/>
      <c r="AD825" s="571"/>
      <c r="AE825" s="571"/>
      <c r="AF825" s="571"/>
      <c r="AG825" s="690"/>
      <c r="AH825" s="691"/>
    </row>
    <row r="826">
      <c r="A826" s="568"/>
      <c r="B826" s="730"/>
      <c r="C826" s="730"/>
      <c r="D826" s="730"/>
      <c r="E826" s="730"/>
      <c r="F826" s="730"/>
      <c r="G826" s="730"/>
      <c r="H826" s="730"/>
      <c r="I826" s="730"/>
      <c r="J826" s="730"/>
      <c r="K826" s="730"/>
      <c r="L826" s="730"/>
      <c r="M826" s="730"/>
      <c r="N826" s="571"/>
      <c r="O826" s="571"/>
      <c r="P826" s="571"/>
      <c r="Q826" s="571"/>
      <c r="R826" s="571"/>
      <c r="S826" s="571"/>
      <c r="T826" s="571"/>
      <c r="U826" s="571"/>
      <c r="V826" s="571"/>
      <c r="W826" s="571"/>
      <c r="X826" s="571"/>
      <c r="Y826" s="571"/>
      <c r="Z826" s="571"/>
      <c r="AA826" s="571"/>
      <c r="AB826" s="571"/>
      <c r="AC826" s="571"/>
      <c r="AD826" s="571"/>
      <c r="AE826" s="571"/>
      <c r="AF826" s="571"/>
      <c r="AG826" s="690"/>
      <c r="AH826" s="691"/>
    </row>
    <row r="827">
      <c r="A827" s="568"/>
      <c r="B827" s="730"/>
      <c r="C827" s="730"/>
      <c r="D827" s="730"/>
      <c r="E827" s="730"/>
      <c r="F827" s="730"/>
      <c r="G827" s="730"/>
      <c r="H827" s="730"/>
      <c r="I827" s="730"/>
      <c r="J827" s="730"/>
      <c r="K827" s="730"/>
      <c r="L827" s="730"/>
      <c r="M827" s="730"/>
      <c r="N827" s="571"/>
      <c r="O827" s="571"/>
      <c r="P827" s="571"/>
      <c r="Q827" s="571"/>
      <c r="R827" s="571"/>
      <c r="S827" s="571"/>
      <c r="T827" s="571"/>
      <c r="U827" s="571"/>
      <c r="V827" s="571"/>
      <c r="W827" s="571"/>
      <c r="X827" s="571"/>
      <c r="Y827" s="571"/>
      <c r="Z827" s="571"/>
      <c r="AA827" s="571"/>
      <c r="AB827" s="571"/>
      <c r="AC827" s="571"/>
      <c r="AD827" s="571"/>
      <c r="AE827" s="571"/>
      <c r="AF827" s="571"/>
      <c r="AG827" s="690"/>
      <c r="AH827" s="691"/>
    </row>
    <row r="828">
      <c r="A828" s="568"/>
      <c r="B828" s="730"/>
      <c r="C828" s="730"/>
      <c r="D828" s="730"/>
      <c r="E828" s="730"/>
      <c r="F828" s="730"/>
      <c r="G828" s="730"/>
      <c r="H828" s="730"/>
      <c r="I828" s="730"/>
      <c r="J828" s="730"/>
      <c r="K828" s="730"/>
      <c r="L828" s="730"/>
      <c r="M828" s="730"/>
      <c r="N828" s="571"/>
      <c r="O828" s="571"/>
      <c r="P828" s="571"/>
      <c r="Q828" s="571"/>
      <c r="R828" s="571"/>
      <c r="S828" s="571"/>
      <c r="T828" s="571"/>
      <c r="U828" s="571"/>
      <c r="V828" s="571"/>
      <c r="W828" s="571"/>
      <c r="X828" s="571"/>
      <c r="Y828" s="571"/>
      <c r="Z828" s="571"/>
      <c r="AA828" s="571"/>
      <c r="AB828" s="571"/>
      <c r="AC828" s="571"/>
      <c r="AD828" s="571"/>
      <c r="AE828" s="571"/>
      <c r="AF828" s="571"/>
      <c r="AG828" s="690"/>
      <c r="AH828" s="691"/>
    </row>
    <row r="829">
      <c r="A829" s="568"/>
      <c r="B829" s="730"/>
      <c r="C829" s="730"/>
      <c r="D829" s="730"/>
      <c r="E829" s="730"/>
      <c r="F829" s="730"/>
      <c r="G829" s="730"/>
      <c r="H829" s="730"/>
      <c r="I829" s="730"/>
      <c r="J829" s="730"/>
      <c r="K829" s="730"/>
      <c r="L829" s="730"/>
      <c r="M829" s="730"/>
      <c r="N829" s="571"/>
      <c r="O829" s="571"/>
      <c r="P829" s="571"/>
      <c r="Q829" s="571"/>
      <c r="R829" s="571"/>
      <c r="S829" s="571"/>
      <c r="T829" s="571"/>
      <c r="U829" s="571"/>
      <c r="V829" s="571"/>
      <c r="W829" s="571"/>
      <c r="X829" s="571"/>
      <c r="Y829" s="571"/>
      <c r="Z829" s="571"/>
      <c r="AA829" s="571"/>
      <c r="AB829" s="571"/>
      <c r="AC829" s="571"/>
      <c r="AD829" s="571"/>
      <c r="AE829" s="571"/>
      <c r="AF829" s="571"/>
      <c r="AG829" s="690"/>
      <c r="AH829" s="691"/>
    </row>
    <row r="830">
      <c r="A830" s="568"/>
      <c r="B830" s="730"/>
      <c r="C830" s="730"/>
      <c r="D830" s="730"/>
      <c r="E830" s="730"/>
      <c r="F830" s="730"/>
      <c r="G830" s="730"/>
      <c r="H830" s="730"/>
      <c r="I830" s="730"/>
      <c r="J830" s="730"/>
      <c r="K830" s="730"/>
      <c r="L830" s="730"/>
      <c r="M830" s="730"/>
      <c r="N830" s="571"/>
      <c r="O830" s="571"/>
      <c r="P830" s="571"/>
      <c r="Q830" s="571"/>
      <c r="R830" s="571"/>
      <c r="S830" s="571"/>
      <c r="T830" s="571"/>
      <c r="U830" s="571"/>
      <c r="V830" s="571"/>
      <c r="W830" s="571"/>
      <c r="X830" s="571"/>
      <c r="Y830" s="571"/>
      <c r="Z830" s="571"/>
      <c r="AA830" s="571"/>
      <c r="AB830" s="571"/>
      <c r="AC830" s="571"/>
      <c r="AD830" s="571"/>
      <c r="AE830" s="571"/>
      <c r="AF830" s="571"/>
      <c r="AG830" s="690"/>
      <c r="AH830" s="691"/>
    </row>
    <row r="831">
      <c r="A831" s="568"/>
      <c r="B831" s="730"/>
      <c r="C831" s="730"/>
      <c r="D831" s="730"/>
      <c r="E831" s="730"/>
      <c r="F831" s="730"/>
      <c r="G831" s="730"/>
      <c r="H831" s="730"/>
      <c r="I831" s="730"/>
      <c r="J831" s="730"/>
      <c r="K831" s="730"/>
      <c r="L831" s="730"/>
      <c r="M831" s="730"/>
      <c r="N831" s="571"/>
      <c r="O831" s="571"/>
      <c r="P831" s="571"/>
      <c r="Q831" s="571"/>
      <c r="R831" s="571"/>
      <c r="S831" s="571"/>
      <c r="T831" s="571"/>
      <c r="U831" s="571"/>
      <c r="V831" s="571"/>
      <c r="W831" s="571"/>
      <c r="X831" s="571"/>
      <c r="Y831" s="571"/>
      <c r="Z831" s="571"/>
      <c r="AA831" s="571"/>
      <c r="AB831" s="571"/>
      <c r="AC831" s="571"/>
      <c r="AD831" s="571"/>
      <c r="AE831" s="571"/>
      <c r="AF831" s="571"/>
      <c r="AG831" s="690"/>
      <c r="AH831" s="691"/>
    </row>
    <row r="832">
      <c r="A832" s="568"/>
      <c r="B832" s="730"/>
      <c r="C832" s="730"/>
      <c r="D832" s="730"/>
      <c r="E832" s="730"/>
      <c r="F832" s="730"/>
      <c r="G832" s="730"/>
      <c r="H832" s="730"/>
      <c r="I832" s="730"/>
      <c r="J832" s="730"/>
      <c r="K832" s="730"/>
      <c r="L832" s="730"/>
      <c r="M832" s="730"/>
      <c r="N832" s="571"/>
      <c r="O832" s="571"/>
      <c r="P832" s="571"/>
      <c r="Q832" s="571"/>
      <c r="R832" s="571"/>
      <c r="S832" s="571"/>
      <c r="T832" s="571"/>
      <c r="U832" s="571"/>
      <c r="V832" s="571"/>
      <c r="W832" s="571"/>
      <c r="X832" s="571"/>
      <c r="Y832" s="571"/>
      <c r="Z832" s="571"/>
      <c r="AA832" s="571"/>
      <c r="AB832" s="571"/>
      <c r="AC832" s="571"/>
      <c r="AD832" s="571"/>
      <c r="AE832" s="571"/>
      <c r="AF832" s="571"/>
      <c r="AG832" s="690"/>
      <c r="AH832" s="691"/>
    </row>
    <row r="833">
      <c r="A833" s="568"/>
      <c r="B833" s="730"/>
      <c r="C833" s="730"/>
      <c r="D833" s="730"/>
      <c r="E833" s="730"/>
      <c r="F833" s="730"/>
      <c r="G833" s="730"/>
      <c r="H833" s="730"/>
      <c r="I833" s="730"/>
      <c r="J833" s="730"/>
      <c r="K833" s="730"/>
      <c r="L833" s="730"/>
      <c r="M833" s="730"/>
      <c r="N833" s="571"/>
      <c r="O833" s="571"/>
      <c r="P833" s="571"/>
      <c r="Q833" s="571"/>
      <c r="R833" s="571"/>
      <c r="S833" s="571"/>
      <c r="T833" s="571"/>
      <c r="U833" s="571"/>
      <c r="V833" s="571"/>
      <c r="W833" s="571"/>
      <c r="X833" s="571"/>
      <c r="Y833" s="571"/>
      <c r="Z833" s="571"/>
      <c r="AA833" s="571"/>
      <c r="AB833" s="571"/>
      <c r="AC833" s="571"/>
      <c r="AD833" s="571"/>
      <c r="AE833" s="571"/>
      <c r="AF833" s="571"/>
      <c r="AG833" s="690"/>
      <c r="AH833" s="691"/>
    </row>
    <row r="834">
      <c r="A834" s="568"/>
      <c r="B834" s="730"/>
      <c r="C834" s="730"/>
      <c r="D834" s="730"/>
      <c r="E834" s="730"/>
      <c r="F834" s="730"/>
      <c r="G834" s="730"/>
      <c r="H834" s="730"/>
      <c r="I834" s="730"/>
      <c r="J834" s="730"/>
      <c r="K834" s="730"/>
      <c r="L834" s="730"/>
      <c r="M834" s="730"/>
      <c r="N834" s="571"/>
      <c r="O834" s="571"/>
      <c r="P834" s="571"/>
      <c r="Q834" s="571"/>
      <c r="R834" s="571"/>
      <c r="S834" s="571"/>
      <c r="T834" s="571"/>
      <c r="U834" s="571"/>
      <c r="V834" s="571"/>
      <c r="W834" s="571"/>
      <c r="X834" s="571"/>
      <c r="Y834" s="571"/>
      <c r="Z834" s="571"/>
      <c r="AA834" s="571"/>
      <c r="AB834" s="571"/>
      <c r="AC834" s="571"/>
      <c r="AD834" s="571"/>
      <c r="AE834" s="571"/>
      <c r="AF834" s="571"/>
      <c r="AG834" s="690"/>
      <c r="AH834" s="691"/>
    </row>
    <row r="835">
      <c r="A835" s="568"/>
      <c r="B835" s="730"/>
      <c r="C835" s="730"/>
      <c r="D835" s="730"/>
      <c r="E835" s="730"/>
      <c r="F835" s="730"/>
      <c r="G835" s="730"/>
      <c r="H835" s="730"/>
      <c r="I835" s="730"/>
      <c r="J835" s="730"/>
      <c r="K835" s="730"/>
      <c r="L835" s="730"/>
      <c r="M835" s="730"/>
      <c r="N835" s="571"/>
      <c r="O835" s="571"/>
      <c r="P835" s="571"/>
      <c r="Q835" s="571"/>
      <c r="R835" s="571"/>
      <c r="S835" s="571"/>
      <c r="T835" s="571"/>
      <c r="U835" s="571"/>
      <c r="V835" s="571"/>
      <c r="W835" s="571"/>
      <c r="X835" s="571"/>
      <c r="Y835" s="571"/>
      <c r="Z835" s="571"/>
      <c r="AA835" s="571"/>
      <c r="AB835" s="571"/>
      <c r="AC835" s="571"/>
      <c r="AD835" s="571"/>
      <c r="AE835" s="571"/>
      <c r="AF835" s="571"/>
      <c r="AG835" s="690"/>
      <c r="AH835" s="691"/>
    </row>
    <row r="836">
      <c r="A836" s="568"/>
      <c r="B836" s="730"/>
      <c r="C836" s="730"/>
      <c r="D836" s="730"/>
      <c r="E836" s="730"/>
      <c r="F836" s="730"/>
      <c r="G836" s="730"/>
      <c r="H836" s="730"/>
      <c r="I836" s="730"/>
      <c r="J836" s="730"/>
      <c r="K836" s="730"/>
      <c r="L836" s="730"/>
      <c r="M836" s="730"/>
      <c r="N836" s="571"/>
      <c r="O836" s="571"/>
      <c r="P836" s="571"/>
      <c r="Q836" s="571"/>
      <c r="R836" s="571"/>
      <c r="S836" s="571"/>
      <c r="T836" s="571"/>
      <c r="U836" s="571"/>
      <c r="V836" s="571"/>
      <c r="W836" s="571"/>
      <c r="X836" s="571"/>
      <c r="Y836" s="571"/>
      <c r="Z836" s="571"/>
      <c r="AA836" s="571"/>
      <c r="AB836" s="571"/>
      <c r="AC836" s="571"/>
      <c r="AD836" s="571"/>
      <c r="AE836" s="571"/>
      <c r="AF836" s="571"/>
      <c r="AG836" s="690"/>
      <c r="AH836" s="691"/>
    </row>
    <row r="837">
      <c r="A837" s="568"/>
      <c r="B837" s="730"/>
      <c r="C837" s="730"/>
      <c r="D837" s="730"/>
      <c r="E837" s="730"/>
      <c r="F837" s="730"/>
      <c r="G837" s="730"/>
      <c r="H837" s="730"/>
      <c r="I837" s="730"/>
      <c r="J837" s="730"/>
      <c r="K837" s="730"/>
      <c r="L837" s="730"/>
      <c r="M837" s="730"/>
      <c r="N837" s="571"/>
      <c r="O837" s="571"/>
      <c r="P837" s="571"/>
      <c r="Q837" s="571"/>
      <c r="R837" s="571"/>
      <c r="S837" s="571"/>
      <c r="T837" s="571"/>
      <c r="U837" s="571"/>
      <c r="V837" s="571"/>
      <c r="W837" s="571"/>
      <c r="X837" s="571"/>
      <c r="Y837" s="571"/>
      <c r="Z837" s="571"/>
      <c r="AA837" s="571"/>
      <c r="AB837" s="571"/>
      <c r="AC837" s="571"/>
      <c r="AD837" s="571"/>
      <c r="AE837" s="571"/>
      <c r="AF837" s="571"/>
      <c r="AG837" s="690"/>
      <c r="AH837" s="691"/>
    </row>
    <row r="838">
      <c r="A838" s="568"/>
      <c r="B838" s="730"/>
      <c r="C838" s="730"/>
      <c r="D838" s="730"/>
      <c r="E838" s="730"/>
      <c r="F838" s="730"/>
      <c r="G838" s="730"/>
      <c r="H838" s="730"/>
      <c r="I838" s="730"/>
      <c r="J838" s="730"/>
      <c r="K838" s="730"/>
      <c r="L838" s="730"/>
      <c r="M838" s="730"/>
      <c r="N838" s="571"/>
      <c r="O838" s="571"/>
      <c r="P838" s="571"/>
      <c r="Q838" s="571"/>
      <c r="R838" s="571"/>
      <c r="S838" s="571"/>
      <c r="T838" s="571"/>
      <c r="U838" s="571"/>
      <c r="V838" s="571"/>
      <c r="W838" s="571"/>
      <c r="X838" s="571"/>
      <c r="Y838" s="571"/>
      <c r="Z838" s="571"/>
      <c r="AA838" s="571"/>
      <c r="AB838" s="571"/>
      <c r="AC838" s="571"/>
      <c r="AD838" s="571"/>
      <c r="AE838" s="571"/>
      <c r="AF838" s="571"/>
      <c r="AG838" s="690"/>
      <c r="AH838" s="691"/>
    </row>
    <row r="839">
      <c r="A839" s="568"/>
      <c r="B839" s="730"/>
      <c r="C839" s="730"/>
      <c r="D839" s="730"/>
      <c r="E839" s="730"/>
      <c r="F839" s="730"/>
      <c r="G839" s="730"/>
      <c r="H839" s="730"/>
      <c r="I839" s="730"/>
      <c r="J839" s="730"/>
      <c r="K839" s="730"/>
      <c r="L839" s="730"/>
      <c r="M839" s="730"/>
      <c r="N839" s="571"/>
      <c r="O839" s="571"/>
      <c r="P839" s="571"/>
      <c r="Q839" s="571"/>
      <c r="R839" s="571"/>
      <c r="S839" s="571"/>
      <c r="T839" s="571"/>
      <c r="U839" s="571"/>
      <c r="V839" s="571"/>
      <c r="W839" s="571"/>
      <c r="X839" s="571"/>
      <c r="Y839" s="571"/>
      <c r="Z839" s="571"/>
      <c r="AA839" s="571"/>
      <c r="AB839" s="571"/>
      <c r="AC839" s="571"/>
      <c r="AD839" s="571"/>
      <c r="AE839" s="571"/>
      <c r="AF839" s="571"/>
      <c r="AG839" s="690"/>
      <c r="AH839" s="691"/>
    </row>
    <row r="840">
      <c r="A840" s="568"/>
      <c r="B840" s="730"/>
      <c r="C840" s="730"/>
      <c r="D840" s="730"/>
      <c r="E840" s="730"/>
      <c r="F840" s="730"/>
      <c r="G840" s="730"/>
      <c r="H840" s="730"/>
      <c r="I840" s="730"/>
      <c r="J840" s="730"/>
      <c r="K840" s="730"/>
      <c r="L840" s="730"/>
      <c r="M840" s="730"/>
      <c r="N840" s="571"/>
      <c r="O840" s="571"/>
      <c r="P840" s="571"/>
      <c r="Q840" s="571"/>
      <c r="R840" s="571"/>
      <c r="S840" s="571"/>
      <c r="T840" s="571"/>
      <c r="U840" s="571"/>
      <c r="V840" s="571"/>
      <c r="W840" s="571"/>
      <c r="X840" s="571"/>
      <c r="Y840" s="571"/>
      <c r="Z840" s="571"/>
      <c r="AA840" s="571"/>
      <c r="AB840" s="571"/>
      <c r="AC840" s="571"/>
      <c r="AD840" s="571"/>
      <c r="AE840" s="571"/>
      <c r="AF840" s="571"/>
      <c r="AG840" s="690"/>
      <c r="AH840" s="691"/>
    </row>
    <row r="841">
      <c r="A841" s="568"/>
      <c r="B841" s="730"/>
      <c r="C841" s="730"/>
      <c r="D841" s="730"/>
      <c r="E841" s="730"/>
      <c r="F841" s="730"/>
      <c r="G841" s="730"/>
      <c r="H841" s="730"/>
      <c r="I841" s="730"/>
      <c r="J841" s="730"/>
      <c r="K841" s="730"/>
      <c r="L841" s="730"/>
      <c r="M841" s="730"/>
      <c r="N841" s="571"/>
      <c r="O841" s="571"/>
      <c r="P841" s="571"/>
      <c r="Q841" s="571"/>
      <c r="R841" s="571"/>
      <c r="S841" s="571"/>
      <c r="T841" s="571"/>
      <c r="U841" s="571"/>
      <c r="V841" s="571"/>
      <c r="W841" s="571"/>
      <c r="X841" s="571"/>
      <c r="Y841" s="571"/>
      <c r="Z841" s="571"/>
      <c r="AA841" s="571"/>
      <c r="AB841" s="571"/>
      <c r="AC841" s="571"/>
      <c r="AD841" s="571"/>
      <c r="AE841" s="571"/>
      <c r="AF841" s="571"/>
      <c r="AG841" s="690"/>
      <c r="AH841" s="691"/>
    </row>
    <row r="842">
      <c r="A842" s="568"/>
      <c r="B842" s="730"/>
      <c r="C842" s="730"/>
      <c r="D842" s="730"/>
      <c r="E842" s="730"/>
      <c r="F842" s="730"/>
      <c r="G842" s="730"/>
      <c r="H842" s="730"/>
      <c r="I842" s="730"/>
      <c r="J842" s="730"/>
      <c r="K842" s="730"/>
      <c r="L842" s="730"/>
      <c r="M842" s="730"/>
      <c r="N842" s="571"/>
      <c r="O842" s="571"/>
      <c r="P842" s="571"/>
      <c r="Q842" s="571"/>
      <c r="R842" s="571"/>
      <c r="S842" s="571"/>
      <c r="T842" s="571"/>
      <c r="U842" s="571"/>
      <c r="V842" s="571"/>
      <c r="W842" s="571"/>
      <c r="X842" s="571"/>
      <c r="Y842" s="571"/>
      <c r="Z842" s="571"/>
      <c r="AA842" s="571"/>
      <c r="AB842" s="571"/>
      <c r="AC842" s="571"/>
      <c r="AD842" s="571"/>
      <c r="AE842" s="571"/>
      <c r="AF842" s="571"/>
      <c r="AG842" s="690"/>
      <c r="AH842" s="691"/>
    </row>
    <row r="843">
      <c r="A843" s="568"/>
      <c r="B843" s="730"/>
      <c r="C843" s="730"/>
      <c r="D843" s="730"/>
      <c r="E843" s="730"/>
      <c r="F843" s="730"/>
      <c r="G843" s="730"/>
      <c r="H843" s="730"/>
      <c r="I843" s="730"/>
      <c r="J843" s="730"/>
      <c r="K843" s="730"/>
      <c r="L843" s="730"/>
      <c r="M843" s="730"/>
      <c r="N843" s="571"/>
      <c r="O843" s="571"/>
      <c r="P843" s="571"/>
      <c r="Q843" s="571"/>
      <c r="R843" s="571"/>
      <c r="S843" s="571"/>
      <c r="T843" s="571"/>
      <c r="U843" s="571"/>
      <c r="V843" s="571"/>
      <c r="W843" s="571"/>
      <c r="X843" s="571"/>
      <c r="Y843" s="571"/>
      <c r="Z843" s="571"/>
      <c r="AA843" s="571"/>
      <c r="AB843" s="571"/>
      <c r="AC843" s="571"/>
      <c r="AD843" s="571"/>
      <c r="AE843" s="571"/>
      <c r="AF843" s="571"/>
      <c r="AG843" s="690"/>
      <c r="AH843" s="691"/>
    </row>
    <row r="844">
      <c r="A844" s="568"/>
      <c r="B844" s="730"/>
      <c r="C844" s="730"/>
      <c r="D844" s="730"/>
      <c r="E844" s="730"/>
      <c r="F844" s="730"/>
      <c r="G844" s="730"/>
      <c r="H844" s="730"/>
      <c r="I844" s="730"/>
      <c r="J844" s="730"/>
      <c r="K844" s="730"/>
      <c r="L844" s="730"/>
      <c r="M844" s="730"/>
      <c r="N844" s="571"/>
      <c r="O844" s="571"/>
      <c r="P844" s="571"/>
      <c r="Q844" s="571"/>
      <c r="R844" s="571"/>
      <c r="S844" s="571"/>
      <c r="T844" s="571"/>
      <c r="U844" s="571"/>
      <c r="V844" s="571"/>
      <c r="W844" s="571"/>
      <c r="X844" s="571"/>
      <c r="Y844" s="571"/>
      <c r="Z844" s="571"/>
      <c r="AA844" s="571"/>
      <c r="AB844" s="571"/>
      <c r="AC844" s="571"/>
      <c r="AD844" s="571"/>
      <c r="AE844" s="571"/>
      <c r="AF844" s="571"/>
      <c r="AG844" s="690"/>
      <c r="AH844" s="691"/>
    </row>
    <row r="845">
      <c r="A845" s="568"/>
      <c r="B845" s="730"/>
      <c r="C845" s="730"/>
      <c r="D845" s="730"/>
      <c r="E845" s="730"/>
      <c r="F845" s="730"/>
      <c r="G845" s="730"/>
      <c r="H845" s="730"/>
      <c r="I845" s="730"/>
      <c r="J845" s="730"/>
      <c r="K845" s="730"/>
      <c r="L845" s="730"/>
      <c r="M845" s="730"/>
      <c r="N845" s="571"/>
      <c r="O845" s="571"/>
      <c r="P845" s="571"/>
      <c r="Q845" s="571"/>
      <c r="R845" s="571"/>
      <c r="S845" s="571"/>
      <c r="T845" s="571"/>
      <c r="U845" s="571"/>
      <c r="V845" s="571"/>
      <c r="W845" s="571"/>
      <c r="X845" s="571"/>
      <c r="Y845" s="571"/>
      <c r="Z845" s="571"/>
      <c r="AA845" s="571"/>
      <c r="AB845" s="571"/>
      <c r="AC845" s="571"/>
      <c r="AD845" s="571"/>
      <c r="AE845" s="571"/>
      <c r="AF845" s="571"/>
      <c r="AG845" s="690"/>
      <c r="AH845" s="691"/>
    </row>
    <row r="846">
      <c r="A846" s="568"/>
      <c r="B846" s="730"/>
      <c r="C846" s="730"/>
      <c r="D846" s="730"/>
      <c r="E846" s="730"/>
      <c r="F846" s="730"/>
      <c r="G846" s="730"/>
      <c r="H846" s="730"/>
      <c r="I846" s="730"/>
      <c r="J846" s="730"/>
      <c r="K846" s="730"/>
      <c r="L846" s="730"/>
      <c r="M846" s="730"/>
      <c r="N846" s="571"/>
      <c r="O846" s="571"/>
      <c r="P846" s="571"/>
      <c r="Q846" s="571"/>
      <c r="R846" s="571"/>
      <c r="S846" s="571"/>
      <c r="T846" s="571"/>
      <c r="U846" s="571"/>
      <c r="V846" s="571"/>
      <c r="W846" s="571"/>
      <c r="X846" s="571"/>
      <c r="Y846" s="571"/>
      <c r="Z846" s="571"/>
      <c r="AA846" s="571"/>
      <c r="AB846" s="571"/>
      <c r="AC846" s="571"/>
      <c r="AD846" s="571"/>
      <c r="AE846" s="571"/>
      <c r="AF846" s="571"/>
      <c r="AG846" s="690"/>
      <c r="AH846" s="691"/>
    </row>
    <row r="847">
      <c r="A847" s="568"/>
      <c r="B847" s="730"/>
      <c r="C847" s="730"/>
      <c r="D847" s="730"/>
      <c r="E847" s="730"/>
      <c r="F847" s="730"/>
      <c r="G847" s="730"/>
      <c r="H847" s="730"/>
      <c r="I847" s="730"/>
      <c r="J847" s="730"/>
      <c r="K847" s="730"/>
      <c r="L847" s="730"/>
      <c r="M847" s="730"/>
      <c r="N847" s="571"/>
      <c r="O847" s="571"/>
      <c r="P847" s="571"/>
      <c r="Q847" s="571"/>
      <c r="R847" s="571"/>
      <c r="S847" s="571"/>
      <c r="T847" s="571"/>
      <c r="U847" s="571"/>
      <c r="V847" s="571"/>
      <c r="W847" s="571"/>
      <c r="X847" s="571"/>
      <c r="Y847" s="571"/>
      <c r="Z847" s="571"/>
      <c r="AA847" s="571"/>
      <c r="AB847" s="571"/>
      <c r="AC847" s="571"/>
      <c r="AD847" s="571"/>
      <c r="AE847" s="571"/>
      <c r="AF847" s="571"/>
      <c r="AG847" s="690"/>
      <c r="AH847" s="691"/>
    </row>
    <row r="848">
      <c r="A848" s="568"/>
      <c r="B848" s="730"/>
      <c r="C848" s="730"/>
      <c r="D848" s="730"/>
      <c r="E848" s="730"/>
      <c r="F848" s="730"/>
      <c r="G848" s="730"/>
      <c r="H848" s="730"/>
      <c r="I848" s="730"/>
      <c r="J848" s="730"/>
      <c r="K848" s="730"/>
      <c r="L848" s="730"/>
      <c r="M848" s="730"/>
      <c r="N848" s="571"/>
      <c r="O848" s="571"/>
      <c r="P848" s="571"/>
      <c r="Q848" s="571"/>
      <c r="R848" s="571"/>
      <c r="S848" s="571"/>
      <c r="T848" s="571"/>
      <c r="U848" s="571"/>
      <c r="V848" s="571"/>
      <c r="W848" s="571"/>
      <c r="X848" s="571"/>
      <c r="Y848" s="571"/>
      <c r="Z848" s="571"/>
      <c r="AA848" s="571"/>
      <c r="AB848" s="571"/>
      <c r="AC848" s="571"/>
      <c r="AD848" s="571"/>
      <c r="AE848" s="571"/>
      <c r="AF848" s="571"/>
      <c r="AG848" s="690"/>
      <c r="AH848" s="691"/>
    </row>
    <row r="849">
      <c r="A849" s="568"/>
      <c r="B849" s="730"/>
      <c r="C849" s="730"/>
      <c r="D849" s="730"/>
      <c r="E849" s="730"/>
      <c r="F849" s="730"/>
      <c r="G849" s="730"/>
      <c r="H849" s="730"/>
      <c r="I849" s="730"/>
      <c r="J849" s="730"/>
      <c r="K849" s="730"/>
      <c r="L849" s="730"/>
      <c r="M849" s="730"/>
      <c r="N849" s="571"/>
      <c r="O849" s="571"/>
      <c r="P849" s="571"/>
      <c r="Q849" s="571"/>
      <c r="R849" s="571"/>
      <c r="S849" s="571"/>
      <c r="T849" s="571"/>
      <c r="U849" s="571"/>
      <c r="V849" s="571"/>
      <c r="W849" s="571"/>
      <c r="X849" s="571"/>
      <c r="Y849" s="571"/>
      <c r="Z849" s="571"/>
      <c r="AA849" s="571"/>
      <c r="AB849" s="571"/>
      <c r="AC849" s="571"/>
      <c r="AD849" s="571"/>
      <c r="AE849" s="571"/>
      <c r="AF849" s="571"/>
      <c r="AG849" s="690"/>
      <c r="AH849" s="691"/>
    </row>
    <row r="850">
      <c r="A850" s="568"/>
      <c r="B850" s="730"/>
      <c r="C850" s="730"/>
      <c r="D850" s="730"/>
      <c r="E850" s="730"/>
      <c r="F850" s="730"/>
      <c r="G850" s="730"/>
      <c r="H850" s="730"/>
      <c r="I850" s="730"/>
      <c r="J850" s="730"/>
      <c r="K850" s="730"/>
      <c r="L850" s="730"/>
      <c r="M850" s="730"/>
      <c r="N850" s="571"/>
      <c r="O850" s="571"/>
      <c r="P850" s="571"/>
      <c r="Q850" s="571"/>
      <c r="R850" s="571"/>
      <c r="S850" s="571"/>
      <c r="T850" s="571"/>
      <c r="U850" s="571"/>
      <c r="V850" s="571"/>
      <c r="W850" s="571"/>
      <c r="X850" s="571"/>
      <c r="Y850" s="571"/>
      <c r="Z850" s="571"/>
      <c r="AA850" s="571"/>
      <c r="AB850" s="571"/>
      <c r="AC850" s="571"/>
      <c r="AD850" s="571"/>
      <c r="AE850" s="571"/>
      <c r="AF850" s="571"/>
      <c r="AG850" s="690"/>
      <c r="AH850" s="691"/>
    </row>
    <row r="851">
      <c r="A851" s="568"/>
      <c r="B851" s="730"/>
      <c r="C851" s="730"/>
      <c r="D851" s="730"/>
      <c r="E851" s="730"/>
      <c r="F851" s="730"/>
      <c r="G851" s="730"/>
      <c r="H851" s="730"/>
      <c r="I851" s="730"/>
      <c r="J851" s="730"/>
      <c r="K851" s="730"/>
      <c r="L851" s="730"/>
      <c r="M851" s="730"/>
      <c r="N851" s="571"/>
      <c r="O851" s="571"/>
      <c r="P851" s="571"/>
      <c r="Q851" s="571"/>
      <c r="R851" s="571"/>
      <c r="S851" s="571"/>
      <c r="T851" s="571"/>
      <c r="U851" s="571"/>
      <c r="V851" s="571"/>
      <c r="W851" s="571"/>
      <c r="X851" s="571"/>
      <c r="Y851" s="571"/>
      <c r="Z851" s="571"/>
      <c r="AA851" s="571"/>
      <c r="AB851" s="571"/>
      <c r="AC851" s="571"/>
      <c r="AD851" s="571"/>
      <c r="AE851" s="571"/>
      <c r="AF851" s="571"/>
      <c r="AG851" s="690"/>
      <c r="AH851" s="691"/>
    </row>
    <row r="852">
      <c r="A852" s="568"/>
      <c r="B852" s="730"/>
      <c r="C852" s="730"/>
      <c r="D852" s="730"/>
      <c r="E852" s="730"/>
      <c r="F852" s="730"/>
      <c r="G852" s="730"/>
      <c r="H852" s="730"/>
      <c r="I852" s="730"/>
      <c r="J852" s="730"/>
      <c r="K852" s="730"/>
      <c r="L852" s="730"/>
      <c r="M852" s="730"/>
      <c r="N852" s="571"/>
      <c r="O852" s="571"/>
      <c r="P852" s="571"/>
      <c r="Q852" s="571"/>
      <c r="R852" s="571"/>
      <c r="S852" s="571"/>
      <c r="T852" s="571"/>
      <c r="U852" s="571"/>
      <c r="V852" s="571"/>
      <c r="W852" s="571"/>
      <c r="X852" s="571"/>
      <c r="Y852" s="571"/>
      <c r="Z852" s="571"/>
      <c r="AA852" s="571"/>
      <c r="AB852" s="571"/>
      <c r="AC852" s="571"/>
      <c r="AD852" s="571"/>
      <c r="AE852" s="571"/>
      <c r="AF852" s="571"/>
      <c r="AG852" s="690"/>
      <c r="AH852" s="691"/>
    </row>
    <row r="853">
      <c r="A853" s="568"/>
      <c r="B853" s="730"/>
      <c r="C853" s="730"/>
      <c r="D853" s="730"/>
      <c r="E853" s="730"/>
      <c r="F853" s="730"/>
      <c r="G853" s="730"/>
      <c r="H853" s="730"/>
      <c r="I853" s="730"/>
      <c r="J853" s="730"/>
      <c r="K853" s="730"/>
      <c r="L853" s="730"/>
      <c r="M853" s="730"/>
      <c r="N853" s="571"/>
      <c r="O853" s="571"/>
      <c r="P853" s="571"/>
      <c r="Q853" s="571"/>
      <c r="R853" s="571"/>
      <c r="S853" s="571"/>
      <c r="T853" s="571"/>
      <c r="U853" s="571"/>
      <c r="V853" s="571"/>
      <c r="W853" s="571"/>
      <c r="X853" s="571"/>
      <c r="Y853" s="571"/>
      <c r="Z853" s="571"/>
      <c r="AA853" s="571"/>
      <c r="AB853" s="571"/>
      <c r="AC853" s="571"/>
      <c r="AD853" s="571"/>
      <c r="AE853" s="571"/>
      <c r="AF853" s="571"/>
      <c r="AG853" s="690"/>
      <c r="AH853" s="691"/>
    </row>
    <row r="854">
      <c r="A854" s="568"/>
      <c r="B854" s="730"/>
      <c r="C854" s="730"/>
      <c r="D854" s="730"/>
      <c r="E854" s="730"/>
      <c r="F854" s="730"/>
      <c r="G854" s="730"/>
      <c r="H854" s="730"/>
      <c r="I854" s="730"/>
      <c r="J854" s="730"/>
      <c r="K854" s="730"/>
      <c r="L854" s="730"/>
      <c r="M854" s="730"/>
      <c r="N854" s="571"/>
      <c r="O854" s="571"/>
      <c r="P854" s="571"/>
      <c r="Q854" s="571"/>
      <c r="R854" s="571"/>
      <c r="S854" s="571"/>
      <c r="T854" s="571"/>
      <c r="U854" s="571"/>
      <c r="V854" s="571"/>
      <c r="W854" s="571"/>
      <c r="X854" s="571"/>
      <c r="Y854" s="571"/>
      <c r="Z854" s="571"/>
      <c r="AA854" s="571"/>
      <c r="AB854" s="571"/>
      <c r="AC854" s="571"/>
      <c r="AD854" s="571"/>
      <c r="AE854" s="571"/>
      <c r="AF854" s="571"/>
      <c r="AG854" s="690"/>
      <c r="AH854" s="691"/>
    </row>
    <row r="855">
      <c r="A855" s="568"/>
      <c r="B855" s="730"/>
      <c r="C855" s="730"/>
      <c r="D855" s="730"/>
      <c r="E855" s="730"/>
      <c r="F855" s="730"/>
      <c r="G855" s="730"/>
      <c r="H855" s="730"/>
      <c r="I855" s="730"/>
      <c r="J855" s="730"/>
      <c r="K855" s="730"/>
      <c r="L855" s="730"/>
      <c r="M855" s="730"/>
      <c r="N855" s="571"/>
      <c r="O855" s="571"/>
      <c r="P855" s="571"/>
      <c r="Q855" s="571"/>
      <c r="R855" s="571"/>
      <c r="S855" s="571"/>
      <c r="T855" s="571"/>
      <c r="U855" s="571"/>
      <c r="V855" s="571"/>
      <c r="W855" s="571"/>
      <c r="X855" s="571"/>
      <c r="Y855" s="571"/>
      <c r="Z855" s="571"/>
      <c r="AA855" s="571"/>
      <c r="AB855" s="571"/>
      <c r="AC855" s="571"/>
      <c r="AD855" s="571"/>
      <c r="AE855" s="571"/>
      <c r="AF855" s="571"/>
      <c r="AG855" s="690"/>
      <c r="AH855" s="691"/>
    </row>
    <row r="856">
      <c r="A856" s="568"/>
      <c r="B856" s="730"/>
      <c r="C856" s="730"/>
      <c r="D856" s="730"/>
      <c r="E856" s="730"/>
      <c r="F856" s="730"/>
      <c r="G856" s="730"/>
      <c r="H856" s="730"/>
      <c r="I856" s="730"/>
      <c r="J856" s="730"/>
      <c r="K856" s="730"/>
      <c r="L856" s="730"/>
      <c r="M856" s="730"/>
      <c r="N856" s="571"/>
      <c r="O856" s="571"/>
      <c r="P856" s="571"/>
      <c r="Q856" s="571"/>
      <c r="R856" s="571"/>
      <c r="S856" s="571"/>
      <c r="T856" s="571"/>
      <c r="U856" s="571"/>
      <c r="V856" s="571"/>
      <c r="W856" s="571"/>
      <c r="X856" s="571"/>
      <c r="Y856" s="571"/>
      <c r="Z856" s="571"/>
      <c r="AA856" s="571"/>
      <c r="AB856" s="571"/>
      <c r="AC856" s="571"/>
      <c r="AD856" s="571"/>
      <c r="AE856" s="571"/>
      <c r="AF856" s="571"/>
      <c r="AG856" s="690"/>
      <c r="AH856" s="691"/>
    </row>
    <row r="857">
      <c r="A857" s="568"/>
      <c r="B857" s="730"/>
      <c r="C857" s="730"/>
      <c r="D857" s="730"/>
      <c r="E857" s="730"/>
      <c r="F857" s="730"/>
      <c r="G857" s="730"/>
      <c r="H857" s="730"/>
      <c r="I857" s="730"/>
      <c r="J857" s="730"/>
      <c r="K857" s="730"/>
      <c r="L857" s="730"/>
      <c r="M857" s="730"/>
      <c r="N857" s="571"/>
      <c r="O857" s="571"/>
      <c r="P857" s="571"/>
      <c r="Q857" s="571"/>
      <c r="R857" s="571"/>
      <c r="S857" s="571"/>
      <c r="T857" s="571"/>
      <c r="U857" s="571"/>
      <c r="V857" s="571"/>
      <c r="W857" s="571"/>
      <c r="X857" s="571"/>
      <c r="Y857" s="571"/>
      <c r="Z857" s="571"/>
      <c r="AA857" s="571"/>
      <c r="AB857" s="571"/>
      <c r="AC857" s="571"/>
      <c r="AD857" s="571"/>
      <c r="AE857" s="571"/>
      <c r="AF857" s="571"/>
      <c r="AG857" s="690"/>
      <c r="AH857" s="691"/>
    </row>
    <row r="858">
      <c r="A858" s="568"/>
      <c r="B858" s="730"/>
      <c r="C858" s="730"/>
      <c r="D858" s="730"/>
      <c r="E858" s="730"/>
      <c r="F858" s="730"/>
      <c r="G858" s="730"/>
      <c r="H858" s="730"/>
      <c r="I858" s="730"/>
      <c r="J858" s="730"/>
      <c r="K858" s="730"/>
      <c r="L858" s="730"/>
      <c r="M858" s="730"/>
      <c r="N858" s="571"/>
      <c r="O858" s="571"/>
      <c r="P858" s="571"/>
      <c r="Q858" s="571"/>
      <c r="R858" s="571"/>
      <c r="S858" s="571"/>
      <c r="T858" s="571"/>
      <c r="U858" s="571"/>
      <c r="V858" s="571"/>
      <c r="W858" s="571"/>
      <c r="X858" s="571"/>
      <c r="Y858" s="571"/>
      <c r="Z858" s="571"/>
      <c r="AA858" s="571"/>
      <c r="AB858" s="571"/>
      <c r="AC858" s="571"/>
      <c r="AD858" s="571"/>
      <c r="AE858" s="571"/>
      <c r="AF858" s="571"/>
      <c r="AG858" s="690"/>
      <c r="AH858" s="691"/>
    </row>
    <row r="859">
      <c r="A859" s="568"/>
      <c r="B859" s="730"/>
      <c r="C859" s="730"/>
      <c r="D859" s="730"/>
      <c r="E859" s="730"/>
      <c r="F859" s="730"/>
      <c r="G859" s="730"/>
      <c r="H859" s="730"/>
      <c r="I859" s="730"/>
      <c r="J859" s="730"/>
      <c r="K859" s="730"/>
      <c r="L859" s="730"/>
      <c r="M859" s="730"/>
      <c r="N859" s="571"/>
      <c r="O859" s="571"/>
      <c r="P859" s="571"/>
      <c r="Q859" s="571"/>
      <c r="R859" s="571"/>
      <c r="S859" s="571"/>
      <c r="T859" s="571"/>
      <c r="U859" s="571"/>
      <c r="V859" s="571"/>
      <c r="W859" s="571"/>
      <c r="X859" s="571"/>
      <c r="Y859" s="571"/>
      <c r="Z859" s="571"/>
      <c r="AA859" s="571"/>
      <c r="AB859" s="571"/>
      <c r="AC859" s="571"/>
      <c r="AD859" s="571"/>
      <c r="AE859" s="571"/>
      <c r="AF859" s="571"/>
      <c r="AG859" s="690"/>
      <c r="AH859" s="691"/>
    </row>
    <row r="860">
      <c r="A860" s="568"/>
      <c r="B860" s="730"/>
      <c r="C860" s="730"/>
      <c r="D860" s="730"/>
      <c r="E860" s="730"/>
      <c r="F860" s="730"/>
      <c r="G860" s="730"/>
      <c r="H860" s="730"/>
      <c r="I860" s="730"/>
      <c r="J860" s="730"/>
      <c r="K860" s="730"/>
      <c r="L860" s="730"/>
      <c r="M860" s="730"/>
      <c r="N860" s="571"/>
      <c r="O860" s="571"/>
      <c r="P860" s="571"/>
      <c r="Q860" s="571"/>
      <c r="R860" s="571"/>
      <c r="S860" s="571"/>
      <c r="T860" s="571"/>
      <c r="U860" s="571"/>
      <c r="V860" s="571"/>
      <c r="W860" s="571"/>
      <c r="X860" s="571"/>
      <c r="Y860" s="571"/>
      <c r="Z860" s="571"/>
      <c r="AA860" s="571"/>
      <c r="AB860" s="571"/>
      <c r="AC860" s="571"/>
      <c r="AD860" s="571"/>
      <c r="AE860" s="571"/>
      <c r="AF860" s="571"/>
      <c r="AG860" s="690"/>
      <c r="AH860" s="691"/>
    </row>
    <row r="861">
      <c r="A861" s="568"/>
      <c r="B861" s="730"/>
      <c r="C861" s="730"/>
      <c r="D861" s="730"/>
      <c r="E861" s="730"/>
      <c r="F861" s="730"/>
      <c r="G861" s="730"/>
      <c r="H861" s="730"/>
      <c r="I861" s="730"/>
      <c r="J861" s="730"/>
      <c r="K861" s="730"/>
      <c r="L861" s="730"/>
      <c r="M861" s="730"/>
      <c r="N861" s="571"/>
      <c r="O861" s="571"/>
      <c r="P861" s="571"/>
      <c r="Q861" s="571"/>
      <c r="R861" s="571"/>
      <c r="S861" s="571"/>
      <c r="T861" s="571"/>
      <c r="U861" s="571"/>
      <c r="V861" s="571"/>
      <c r="W861" s="571"/>
      <c r="X861" s="571"/>
      <c r="Y861" s="571"/>
      <c r="Z861" s="571"/>
      <c r="AA861" s="571"/>
      <c r="AB861" s="571"/>
      <c r="AC861" s="571"/>
      <c r="AD861" s="571"/>
      <c r="AE861" s="571"/>
      <c r="AF861" s="571"/>
      <c r="AG861" s="690"/>
      <c r="AH861" s="691"/>
    </row>
    <row r="862">
      <c r="A862" s="568"/>
      <c r="B862" s="730"/>
      <c r="C862" s="730"/>
      <c r="D862" s="730"/>
      <c r="E862" s="730"/>
      <c r="F862" s="730"/>
      <c r="G862" s="730"/>
      <c r="H862" s="730"/>
      <c r="I862" s="730"/>
      <c r="J862" s="730"/>
      <c r="K862" s="730"/>
      <c r="L862" s="730"/>
      <c r="M862" s="730"/>
      <c r="N862" s="571"/>
      <c r="O862" s="571"/>
      <c r="P862" s="571"/>
      <c r="Q862" s="571"/>
      <c r="R862" s="571"/>
      <c r="S862" s="571"/>
      <c r="T862" s="571"/>
      <c r="U862" s="571"/>
      <c r="V862" s="571"/>
      <c r="W862" s="571"/>
      <c r="X862" s="571"/>
      <c r="Y862" s="571"/>
      <c r="Z862" s="571"/>
      <c r="AA862" s="571"/>
      <c r="AB862" s="571"/>
      <c r="AC862" s="571"/>
      <c r="AD862" s="571"/>
      <c r="AE862" s="571"/>
      <c r="AF862" s="571"/>
      <c r="AG862" s="690"/>
      <c r="AH862" s="691"/>
    </row>
    <row r="863">
      <c r="A863" s="568"/>
      <c r="B863" s="730"/>
      <c r="C863" s="730"/>
      <c r="D863" s="730"/>
      <c r="E863" s="730"/>
      <c r="F863" s="730"/>
      <c r="G863" s="730"/>
      <c r="H863" s="730"/>
      <c r="I863" s="730"/>
      <c r="J863" s="730"/>
      <c r="K863" s="730"/>
      <c r="L863" s="730"/>
      <c r="M863" s="730"/>
      <c r="N863" s="571"/>
      <c r="O863" s="571"/>
      <c r="P863" s="571"/>
      <c r="Q863" s="571"/>
      <c r="R863" s="571"/>
      <c r="S863" s="571"/>
      <c r="T863" s="571"/>
      <c r="U863" s="571"/>
      <c r="V863" s="571"/>
      <c r="W863" s="571"/>
      <c r="X863" s="571"/>
      <c r="Y863" s="571"/>
      <c r="Z863" s="571"/>
      <c r="AA863" s="571"/>
      <c r="AB863" s="571"/>
      <c r="AC863" s="571"/>
      <c r="AD863" s="571"/>
      <c r="AE863" s="571"/>
      <c r="AF863" s="571"/>
      <c r="AG863" s="690"/>
      <c r="AH863" s="691"/>
    </row>
    <row r="864">
      <c r="A864" s="568"/>
      <c r="B864" s="730"/>
      <c r="C864" s="730"/>
      <c r="D864" s="730"/>
      <c r="E864" s="730"/>
      <c r="F864" s="730"/>
      <c r="G864" s="730"/>
      <c r="H864" s="730"/>
      <c r="I864" s="730"/>
      <c r="J864" s="730"/>
      <c r="K864" s="730"/>
      <c r="L864" s="730"/>
      <c r="M864" s="730"/>
      <c r="N864" s="571"/>
      <c r="O864" s="571"/>
      <c r="P864" s="571"/>
      <c r="Q864" s="571"/>
      <c r="R864" s="571"/>
      <c r="S864" s="571"/>
      <c r="T864" s="571"/>
      <c r="U864" s="571"/>
      <c r="V864" s="571"/>
      <c r="W864" s="571"/>
      <c r="X864" s="571"/>
      <c r="Y864" s="571"/>
      <c r="Z864" s="571"/>
      <c r="AA864" s="571"/>
      <c r="AB864" s="571"/>
      <c r="AC864" s="571"/>
      <c r="AD864" s="571"/>
      <c r="AE864" s="571"/>
      <c r="AF864" s="571"/>
      <c r="AG864" s="690"/>
      <c r="AH864" s="691"/>
    </row>
    <row r="865">
      <c r="A865" s="568"/>
      <c r="B865" s="730"/>
      <c r="C865" s="730"/>
      <c r="D865" s="730"/>
      <c r="E865" s="730"/>
      <c r="F865" s="730"/>
      <c r="G865" s="730"/>
      <c r="H865" s="730"/>
      <c r="I865" s="730"/>
      <c r="J865" s="730"/>
      <c r="K865" s="730"/>
      <c r="L865" s="730"/>
      <c r="M865" s="730"/>
      <c r="N865" s="571"/>
      <c r="O865" s="571"/>
      <c r="P865" s="571"/>
      <c r="Q865" s="571"/>
      <c r="R865" s="571"/>
      <c r="S865" s="571"/>
      <c r="T865" s="571"/>
      <c r="U865" s="571"/>
      <c r="V865" s="571"/>
      <c r="W865" s="571"/>
      <c r="X865" s="571"/>
      <c r="Y865" s="571"/>
      <c r="Z865" s="571"/>
      <c r="AA865" s="571"/>
      <c r="AB865" s="571"/>
      <c r="AC865" s="571"/>
      <c r="AD865" s="571"/>
      <c r="AE865" s="571"/>
      <c r="AF865" s="571"/>
      <c r="AG865" s="690"/>
      <c r="AH865" s="691"/>
    </row>
    <row r="866">
      <c r="A866" s="568"/>
      <c r="B866" s="730"/>
      <c r="C866" s="730"/>
      <c r="D866" s="730"/>
      <c r="E866" s="730"/>
      <c r="F866" s="730"/>
      <c r="G866" s="730"/>
      <c r="H866" s="730"/>
      <c r="I866" s="730"/>
      <c r="J866" s="730"/>
      <c r="K866" s="730"/>
      <c r="L866" s="730"/>
      <c r="M866" s="730"/>
      <c r="N866" s="571"/>
      <c r="O866" s="571"/>
      <c r="P866" s="571"/>
      <c r="Q866" s="571"/>
      <c r="R866" s="571"/>
      <c r="S866" s="571"/>
      <c r="T866" s="571"/>
      <c r="U866" s="571"/>
      <c r="V866" s="571"/>
      <c r="W866" s="571"/>
      <c r="X866" s="571"/>
      <c r="Y866" s="571"/>
      <c r="Z866" s="571"/>
      <c r="AA866" s="571"/>
      <c r="AB866" s="571"/>
      <c r="AC866" s="571"/>
      <c r="AD866" s="571"/>
      <c r="AE866" s="571"/>
      <c r="AF866" s="571"/>
      <c r="AG866" s="690"/>
      <c r="AH866" s="691"/>
    </row>
    <row r="867">
      <c r="A867" s="568"/>
      <c r="B867" s="730"/>
      <c r="C867" s="730"/>
      <c r="D867" s="730"/>
      <c r="E867" s="730"/>
      <c r="F867" s="730"/>
      <c r="G867" s="730"/>
      <c r="H867" s="730"/>
      <c r="I867" s="730"/>
      <c r="J867" s="730"/>
      <c r="K867" s="730"/>
      <c r="L867" s="730"/>
      <c r="M867" s="730"/>
      <c r="N867" s="571"/>
      <c r="O867" s="571"/>
      <c r="P867" s="571"/>
      <c r="Q867" s="571"/>
      <c r="R867" s="571"/>
      <c r="S867" s="571"/>
      <c r="T867" s="571"/>
      <c r="U867" s="571"/>
      <c r="V867" s="571"/>
      <c r="W867" s="571"/>
      <c r="X867" s="571"/>
      <c r="Y867" s="571"/>
      <c r="Z867" s="571"/>
      <c r="AA867" s="571"/>
      <c r="AB867" s="571"/>
      <c r="AC867" s="571"/>
      <c r="AD867" s="571"/>
      <c r="AE867" s="571"/>
      <c r="AF867" s="571"/>
      <c r="AG867" s="690"/>
      <c r="AH867" s="691"/>
    </row>
    <row r="868">
      <c r="A868" s="568"/>
      <c r="B868" s="730"/>
      <c r="C868" s="730"/>
      <c r="D868" s="730"/>
      <c r="E868" s="730"/>
      <c r="F868" s="730"/>
      <c r="G868" s="730"/>
      <c r="H868" s="730"/>
      <c r="I868" s="730"/>
      <c r="J868" s="730"/>
      <c r="K868" s="730"/>
      <c r="L868" s="730"/>
      <c r="M868" s="730"/>
      <c r="N868" s="571"/>
      <c r="O868" s="571"/>
      <c r="P868" s="571"/>
      <c r="Q868" s="571"/>
      <c r="R868" s="571"/>
      <c r="S868" s="571"/>
      <c r="T868" s="571"/>
      <c r="U868" s="571"/>
      <c r="V868" s="571"/>
      <c r="W868" s="571"/>
      <c r="X868" s="571"/>
      <c r="Y868" s="571"/>
      <c r="Z868" s="571"/>
      <c r="AA868" s="571"/>
      <c r="AB868" s="571"/>
      <c r="AC868" s="571"/>
      <c r="AD868" s="571"/>
      <c r="AE868" s="571"/>
      <c r="AF868" s="571"/>
      <c r="AG868" s="690"/>
      <c r="AH868" s="691"/>
    </row>
    <row r="869">
      <c r="A869" s="568"/>
      <c r="B869" s="730"/>
      <c r="C869" s="730"/>
      <c r="D869" s="730"/>
      <c r="E869" s="730"/>
      <c r="F869" s="730"/>
      <c r="G869" s="730"/>
      <c r="H869" s="730"/>
      <c r="I869" s="730"/>
      <c r="J869" s="730"/>
      <c r="K869" s="730"/>
      <c r="L869" s="730"/>
      <c r="M869" s="730"/>
      <c r="N869" s="571"/>
      <c r="O869" s="571"/>
      <c r="P869" s="571"/>
      <c r="Q869" s="571"/>
      <c r="R869" s="571"/>
      <c r="S869" s="571"/>
      <c r="T869" s="571"/>
      <c r="U869" s="571"/>
      <c r="V869" s="571"/>
      <c r="W869" s="571"/>
      <c r="X869" s="571"/>
      <c r="Y869" s="571"/>
      <c r="Z869" s="571"/>
      <c r="AA869" s="571"/>
      <c r="AB869" s="571"/>
      <c r="AC869" s="571"/>
      <c r="AD869" s="571"/>
      <c r="AE869" s="571"/>
      <c r="AF869" s="571"/>
      <c r="AG869" s="690"/>
      <c r="AH869" s="691"/>
    </row>
    <row r="870">
      <c r="A870" s="568"/>
      <c r="B870" s="730"/>
      <c r="C870" s="730"/>
      <c r="D870" s="730"/>
      <c r="E870" s="730"/>
      <c r="F870" s="730"/>
      <c r="G870" s="730"/>
      <c r="H870" s="730"/>
      <c r="I870" s="730"/>
      <c r="J870" s="730"/>
      <c r="K870" s="730"/>
      <c r="L870" s="730"/>
      <c r="M870" s="730"/>
      <c r="N870" s="571"/>
      <c r="O870" s="571"/>
      <c r="P870" s="571"/>
      <c r="Q870" s="571"/>
      <c r="R870" s="571"/>
      <c r="S870" s="571"/>
      <c r="T870" s="571"/>
      <c r="U870" s="571"/>
      <c r="V870" s="571"/>
      <c r="W870" s="571"/>
      <c r="X870" s="571"/>
      <c r="Y870" s="571"/>
      <c r="Z870" s="571"/>
      <c r="AA870" s="571"/>
      <c r="AB870" s="571"/>
      <c r="AC870" s="571"/>
      <c r="AD870" s="571"/>
      <c r="AE870" s="571"/>
      <c r="AF870" s="571"/>
      <c r="AG870" s="690"/>
      <c r="AH870" s="691"/>
    </row>
    <row r="871">
      <c r="A871" s="568"/>
      <c r="B871" s="730"/>
      <c r="C871" s="730"/>
      <c r="D871" s="730"/>
      <c r="E871" s="730"/>
      <c r="F871" s="730"/>
      <c r="G871" s="730"/>
      <c r="H871" s="730"/>
      <c r="I871" s="730"/>
      <c r="J871" s="730"/>
      <c r="K871" s="730"/>
      <c r="L871" s="730"/>
      <c r="M871" s="730"/>
      <c r="N871" s="571"/>
      <c r="O871" s="571"/>
      <c r="P871" s="571"/>
      <c r="Q871" s="571"/>
      <c r="R871" s="571"/>
      <c r="S871" s="571"/>
      <c r="T871" s="571"/>
      <c r="U871" s="571"/>
      <c r="V871" s="571"/>
      <c r="W871" s="571"/>
      <c r="X871" s="571"/>
      <c r="Y871" s="571"/>
      <c r="Z871" s="571"/>
      <c r="AA871" s="571"/>
      <c r="AB871" s="571"/>
      <c r="AC871" s="571"/>
      <c r="AD871" s="571"/>
      <c r="AE871" s="571"/>
      <c r="AF871" s="571"/>
      <c r="AG871" s="690"/>
      <c r="AH871" s="691"/>
    </row>
    <row r="872">
      <c r="A872" s="568"/>
      <c r="B872" s="730"/>
      <c r="C872" s="730"/>
      <c r="D872" s="730"/>
      <c r="E872" s="730"/>
      <c r="F872" s="730"/>
      <c r="G872" s="730"/>
      <c r="H872" s="730"/>
      <c r="I872" s="730"/>
      <c r="J872" s="730"/>
      <c r="K872" s="730"/>
      <c r="L872" s="730"/>
      <c r="M872" s="730"/>
      <c r="N872" s="571"/>
      <c r="O872" s="571"/>
      <c r="P872" s="571"/>
      <c r="Q872" s="571"/>
      <c r="R872" s="571"/>
      <c r="S872" s="571"/>
      <c r="T872" s="571"/>
      <c r="U872" s="571"/>
      <c r="V872" s="571"/>
      <c r="W872" s="571"/>
      <c r="X872" s="571"/>
      <c r="Y872" s="571"/>
      <c r="Z872" s="571"/>
      <c r="AA872" s="571"/>
      <c r="AB872" s="571"/>
      <c r="AC872" s="571"/>
      <c r="AD872" s="571"/>
      <c r="AE872" s="571"/>
      <c r="AF872" s="571"/>
      <c r="AG872" s="690"/>
      <c r="AH872" s="691"/>
    </row>
    <row r="873">
      <c r="A873" s="568"/>
      <c r="B873" s="730"/>
      <c r="C873" s="730"/>
      <c r="D873" s="730"/>
      <c r="E873" s="730"/>
      <c r="F873" s="730"/>
      <c r="G873" s="730"/>
      <c r="H873" s="730"/>
      <c r="I873" s="730"/>
      <c r="J873" s="730"/>
      <c r="K873" s="730"/>
      <c r="L873" s="730"/>
      <c r="M873" s="730"/>
      <c r="N873" s="571"/>
      <c r="O873" s="571"/>
      <c r="P873" s="571"/>
      <c r="Q873" s="571"/>
      <c r="R873" s="571"/>
      <c r="S873" s="571"/>
      <c r="T873" s="571"/>
      <c r="U873" s="571"/>
      <c r="V873" s="571"/>
      <c r="W873" s="571"/>
      <c r="X873" s="571"/>
      <c r="Y873" s="571"/>
      <c r="Z873" s="571"/>
      <c r="AA873" s="571"/>
      <c r="AB873" s="571"/>
      <c r="AC873" s="571"/>
      <c r="AD873" s="571"/>
      <c r="AE873" s="571"/>
      <c r="AF873" s="571"/>
      <c r="AG873" s="690"/>
      <c r="AH873" s="691"/>
    </row>
    <row r="874">
      <c r="A874" s="568"/>
      <c r="B874" s="730"/>
      <c r="C874" s="730"/>
      <c r="D874" s="730"/>
      <c r="E874" s="730"/>
      <c r="F874" s="730"/>
      <c r="G874" s="730"/>
      <c r="H874" s="730"/>
      <c r="I874" s="730"/>
      <c r="J874" s="730"/>
      <c r="K874" s="730"/>
      <c r="L874" s="730"/>
      <c r="M874" s="730"/>
      <c r="N874" s="571"/>
      <c r="O874" s="571"/>
      <c r="P874" s="571"/>
      <c r="Q874" s="571"/>
      <c r="R874" s="571"/>
      <c r="S874" s="571"/>
      <c r="T874" s="571"/>
      <c r="U874" s="571"/>
      <c r="V874" s="571"/>
      <c r="W874" s="571"/>
      <c r="X874" s="571"/>
      <c r="Y874" s="571"/>
      <c r="Z874" s="571"/>
      <c r="AA874" s="571"/>
      <c r="AB874" s="571"/>
      <c r="AC874" s="571"/>
      <c r="AD874" s="571"/>
      <c r="AE874" s="571"/>
      <c r="AF874" s="571"/>
      <c r="AG874" s="690"/>
      <c r="AH874" s="691"/>
    </row>
    <row r="875">
      <c r="A875" s="568"/>
      <c r="B875" s="730"/>
      <c r="C875" s="730"/>
      <c r="D875" s="730"/>
      <c r="E875" s="730"/>
      <c r="F875" s="730"/>
      <c r="G875" s="730"/>
      <c r="H875" s="730"/>
      <c r="I875" s="730"/>
      <c r="J875" s="730"/>
      <c r="K875" s="730"/>
      <c r="L875" s="730"/>
      <c r="M875" s="730"/>
      <c r="N875" s="571"/>
      <c r="O875" s="571"/>
      <c r="P875" s="571"/>
      <c r="Q875" s="571"/>
      <c r="R875" s="571"/>
      <c r="S875" s="571"/>
      <c r="T875" s="571"/>
      <c r="U875" s="571"/>
      <c r="V875" s="571"/>
      <c r="W875" s="571"/>
      <c r="X875" s="571"/>
      <c r="Y875" s="571"/>
      <c r="Z875" s="571"/>
      <c r="AA875" s="571"/>
      <c r="AB875" s="571"/>
      <c r="AC875" s="571"/>
      <c r="AD875" s="571"/>
      <c r="AE875" s="571"/>
      <c r="AF875" s="571"/>
      <c r="AG875" s="690"/>
      <c r="AH875" s="691"/>
    </row>
    <row r="876">
      <c r="A876" s="568"/>
      <c r="B876" s="730"/>
      <c r="C876" s="730"/>
      <c r="D876" s="730"/>
      <c r="E876" s="730"/>
      <c r="F876" s="730"/>
      <c r="G876" s="730"/>
      <c r="H876" s="730"/>
      <c r="I876" s="730"/>
      <c r="J876" s="730"/>
      <c r="K876" s="730"/>
      <c r="L876" s="730"/>
      <c r="M876" s="730"/>
      <c r="N876" s="571"/>
      <c r="O876" s="571"/>
      <c r="P876" s="571"/>
      <c r="Q876" s="571"/>
      <c r="R876" s="571"/>
      <c r="S876" s="571"/>
      <c r="T876" s="571"/>
      <c r="U876" s="571"/>
      <c r="V876" s="571"/>
      <c r="W876" s="571"/>
      <c r="X876" s="571"/>
      <c r="Y876" s="571"/>
      <c r="Z876" s="571"/>
      <c r="AA876" s="571"/>
      <c r="AB876" s="571"/>
      <c r="AC876" s="571"/>
      <c r="AD876" s="571"/>
      <c r="AE876" s="571"/>
      <c r="AF876" s="571"/>
      <c r="AG876" s="690"/>
      <c r="AH876" s="691"/>
    </row>
    <row r="877">
      <c r="A877" s="568"/>
      <c r="B877" s="730"/>
      <c r="C877" s="730"/>
      <c r="D877" s="730"/>
      <c r="E877" s="730"/>
      <c r="F877" s="730"/>
      <c r="G877" s="730"/>
      <c r="H877" s="730"/>
      <c r="I877" s="730"/>
      <c r="J877" s="730"/>
      <c r="K877" s="730"/>
      <c r="L877" s="730"/>
      <c r="M877" s="730"/>
      <c r="N877" s="571"/>
      <c r="O877" s="571"/>
      <c r="P877" s="571"/>
      <c r="Q877" s="571"/>
      <c r="R877" s="571"/>
      <c r="S877" s="571"/>
      <c r="T877" s="571"/>
      <c r="U877" s="571"/>
      <c r="V877" s="571"/>
      <c r="W877" s="571"/>
      <c r="X877" s="571"/>
      <c r="Y877" s="571"/>
      <c r="Z877" s="571"/>
      <c r="AA877" s="571"/>
      <c r="AB877" s="571"/>
      <c r="AC877" s="571"/>
      <c r="AD877" s="571"/>
      <c r="AE877" s="571"/>
      <c r="AF877" s="571"/>
      <c r="AG877" s="690"/>
      <c r="AH877" s="691"/>
    </row>
    <row r="878">
      <c r="A878" s="568"/>
      <c r="B878" s="730"/>
      <c r="C878" s="730"/>
      <c r="D878" s="730"/>
      <c r="E878" s="730"/>
      <c r="F878" s="730"/>
      <c r="G878" s="730"/>
      <c r="H878" s="730"/>
      <c r="I878" s="730"/>
      <c r="J878" s="730"/>
      <c r="K878" s="730"/>
      <c r="L878" s="730"/>
      <c r="M878" s="730"/>
      <c r="N878" s="571"/>
      <c r="O878" s="571"/>
      <c r="P878" s="571"/>
      <c r="Q878" s="571"/>
      <c r="R878" s="571"/>
      <c r="S878" s="571"/>
      <c r="T878" s="571"/>
      <c r="U878" s="571"/>
      <c r="V878" s="571"/>
      <c r="W878" s="571"/>
      <c r="X878" s="571"/>
      <c r="Y878" s="571"/>
      <c r="Z878" s="571"/>
      <c r="AA878" s="571"/>
      <c r="AB878" s="571"/>
      <c r="AC878" s="571"/>
      <c r="AD878" s="571"/>
      <c r="AE878" s="571"/>
      <c r="AF878" s="571"/>
      <c r="AG878" s="690"/>
      <c r="AH878" s="691"/>
    </row>
    <row r="879">
      <c r="A879" s="568"/>
      <c r="B879" s="730"/>
      <c r="C879" s="730"/>
      <c r="D879" s="730"/>
      <c r="E879" s="730"/>
      <c r="F879" s="730"/>
      <c r="G879" s="730"/>
      <c r="H879" s="730"/>
      <c r="I879" s="730"/>
      <c r="J879" s="730"/>
      <c r="K879" s="730"/>
      <c r="L879" s="730"/>
      <c r="M879" s="730"/>
      <c r="N879" s="571"/>
      <c r="O879" s="571"/>
      <c r="P879" s="571"/>
      <c r="Q879" s="571"/>
      <c r="R879" s="571"/>
      <c r="S879" s="571"/>
      <c r="T879" s="571"/>
      <c r="U879" s="571"/>
      <c r="V879" s="571"/>
      <c r="W879" s="571"/>
      <c r="X879" s="571"/>
      <c r="Y879" s="571"/>
      <c r="Z879" s="571"/>
      <c r="AA879" s="571"/>
      <c r="AB879" s="571"/>
      <c r="AC879" s="571"/>
      <c r="AD879" s="571"/>
      <c r="AE879" s="571"/>
      <c r="AF879" s="571"/>
      <c r="AG879" s="690"/>
      <c r="AH879" s="691"/>
    </row>
    <row r="880">
      <c r="A880" s="568"/>
      <c r="B880" s="730"/>
      <c r="C880" s="730"/>
      <c r="D880" s="730"/>
      <c r="E880" s="730"/>
      <c r="F880" s="730"/>
      <c r="G880" s="730"/>
      <c r="H880" s="730"/>
      <c r="I880" s="730"/>
      <c r="J880" s="730"/>
      <c r="K880" s="730"/>
      <c r="L880" s="730"/>
      <c r="M880" s="730"/>
      <c r="N880" s="571"/>
      <c r="O880" s="571"/>
      <c r="P880" s="571"/>
      <c r="Q880" s="571"/>
      <c r="R880" s="571"/>
      <c r="S880" s="571"/>
      <c r="T880" s="571"/>
      <c r="U880" s="571"/>
      <c r="V880" s="571"/>
      <c r="W880" s="571"/>
      <c r="X880" s="571"/>
      <c r="Y880" s="571"/>
      <c r="Z880" s="571"/>
      <c r="AA880" s="571"/>
      <c r="AB880" s="571"/>
      <c r="AC880" s="571"/>
      <c r="AD880" s="571"/>
      <c r="AE880" s="571"/>
      <c r="AF880" s="571"/>
      <c r="AG880" s="690"/>
      <c r="AH880" s="691"/>
    </row>
    <row r="881">
      <c r="A881" s="568"/>
      <c r="B881" s="730"/>
      <c r="C881" s="730"/>
      <c r="D881" s="730"/>
      <c r="E881" s="730"/>
      <c r="F881" s="730"/>
      <c r="G881" s="730"/>
      <c r="H881" s="730"/>
      <c r="I881" s="730"/>
      <c r="J881" s="730"/>
      <c r="K881" s="730"/>
      <c r="L881" s="730"/>
      <c r="M881" s="730"/>
      <c r="N881" s="571"/>
      <c r="O881" s="571"/>
      <c r="P881" s="571"/>
      <c r="Q881" s="571"/>
      <c r="R881" s="571"/>
      <c r="S881" s="571"/>
      <c r="T881" s="571"/>
      <c r="U881" s="571"/>
      <c r="V881" s="571"/>
      <c r="W881" s="571"/>
      <c r="X881" s="571"/>
      <c r="Y881" s="571"/>
      <c r="Z881" s="571"/>
      <c r="AA881" s="571"/>
      <c r="AB881" s="571"/>
      <c r="AC881" s="571"/>
      <c r="AD881" s="571"/>
      <c r="AE881" s="571"/>
      <c r="AF881" s="571"/>
      <c r="AG881" s="690"/>
      <c r="AH881" s="691"/>
    </row>
    <row r="882">
      <c r="A882" s="568"/>
      <c r="B882" s="730"/>
      <c r="C882" s="730"/>
      <c r="D882" s="730"/>
      <c r="E882" s="730"/>
      <c r="F882" s="730"/>
      <c r="G882" s="730"/>
      <c r="H882" s="730"/>
      <c r="I882" s="730"/>
      <c r="J882" s="730"/>
      <c r="K882" s="730"/>
      <c r="L882" s="730"/>
      <c r="M882" s="730"/>
      <c r="N882" s="571"/>
      <c r="O882" s="571"/>
      <c r="P882" s="571"/>
      <c r="Q882" s="571"/>
      <c r="R882" s="571"/>
      <c r="S882" s="571"/>
      <c r="T882" s="571"/>
      <c r="U882" s="571"/>
      <c r="V882" s="571"/>
      <c r="W882" s="571"/>
      <c r="X882" s="571"/>
      <c r="Y882" s="571"/>
      <c r="Z882" s="571"/>
      <c r="AA882" s="571"/>
      <c r="AB882" s="571"/>
      <c r="AC882" s="571"/>
      <c r="AD882" s="571"/>
      <c r="AE882" s="571"/>
      <c r="AF882" s="571"/>
      <c r="AG882" s="690"/>
      <c r="AH882" s="691"/>
    </row>
    <row r="883">
      <c r="A883" s="568"/>
      <c r="B883" s="730"/>
      <c r="C883" s="730"/>
      <c r="D883" s="730"/>
      <c r="E883" s="730"/>
      <c r="F883" s="730"/>
      <c r="G883" s="730"/>
      <c r="H883" s="730"/>
      <c r="I883" s="730"/>
      <c r="J883" s="730"/>
      <c r="K883" s="730"/>
      <c r="L883" s="730"/>
      <c r="M883" s="730"/>
      <c r="N883" s="571"/>
      <c r="O883" s="571"/>
      <c r="P883" s="571"/>
      <c r="Q883" s="571"/>
      <c r="R883" s="571"/>
      <c r="S883" s="571"/>
      <c r="T883" s="571"/>
      <c r="U883" s="571"/>
      <c r="V883" s="571"/>
      <c r="W883" s="571"/>
      <c r="X883" s="571"/>
      <c r="Y883" s="571"/>
      <c r="Z883" s="571"/>
      <c r="AA883" s="571"/>
      <c r="AB883" s="571"/>
      <c r="AC883" s="571"/>
      <c r="AD883" s="571"/>
      <c r="AE883" s="571"/>
      <c r="AF883" s="571"/>
      <c r="AG883" s="690"/>
      <c r="AH883" s="691"/>
    </row>
    <row r="884">
      <c r="A884" s="568"/>
      <c r="B884" s="730"/>
      <c r="C884" s="730"/>
      <c r="D884" s="730"/>
      <c r="E884" s="730"/>
      <c r="F884" s="730"/>
      <c r="G884" s="730"/>
      <c r="H884" s="730"/>
      <c r="I884" s="730"/>
      <c r="J884" s="730"/>
      <c r="K884" s="730"/>
      <c r="L884" s="730"/>
      <c r="M884" s="730"/>
      <c r="N884" s="571"/>
      <c r="O884" s="571"/>
      <c r="P884" s="571"/>
      <c r="Q884" s="571"/>
      <c r="R884" s="571"/>
      <c r="S884" s="571"/>
      <c r="T884" s="571"/>
      <c r="U884" s="571"/>
      <c r="V884" s="571"/>
      <c r="W884" s="571"/>
      <c r="X884" s="571"/>
      <c r="Y884" s="571"/>
      <c r="Z884" s="571"/>
      <c r="AA884" s="571"/>
      <c r="AB884" s="571"/>
      <c r="AC884" s="571"/>
      <c r="AD884" s="571"/>
      <c r="AE884" s="571"/>
      <c r="AF884" s="571"/>
      <c r="AG884" s="690"/>
      <c r="AH884" s="691"/>
    </row>
    <row r="885">
      <c r="A885" s="568"/>
      <c r="B885" s="730"/>
      <c r="C885" s="730"/>
      <c r="D885" s="730"/>
      <c r="E885" s="730"/>
      <c r="F885" s="730"/>
      <c r="G885" s="730"/>
      <c r="H885" s="730"/>
      <c r="I885" s="730"/>
      <c r="J885" s="730"/>
      <c r="K885" s="730"/>
      <c r="L885" s="730"/>
      <c r="M885" s="730"/>
      <c r="N885" s="571"/>
      <c r="O885" s="571"/>
      <c r="P885" s="571"/>
      <c r="Q885" s="571"/>
      <c r="R885" s="571"/>
      <c r="S885" s="571"/>
      <c r="T885" s="571"/>
      <c r="U885" s="571"/>
      <c r="V885" s="571"/>
      <c r="W885" s="571"/>
      <c r="X885" s="571"/>
      <c r="Y885" s="571"/>
      <c r="Z885" s="571"/>
      <c r="AA885" s="571"/>
      <c r="AB885" s="571"/>
      <c r="AC885" s="571"/>
      <c r="AD885" s="571"/>
      <c r="AE885" s="571"/>
      <c r="AF885" s="571"/>
      <c r="AG885" s="690"/>
      <c r="AH885" s="691"/>
    </row>
    <row r="886">
      <c r="A886" s="568"/>
      <c r="B886" s="730"/>
      <c r="C886" s="730"/>
      <c r="D886" s="730"/>
      <c r="E886" s="730"/>
      <c r="F886" s="730"/>
      <c r="G886" s="730"/>
      <c r="H886" s="730"/>
      <c r="I886" s="730"/>
      <c r="J886" s="730"/>
      <c r="K886" s="730"/>
      <c r="L886" s="730"/>
      <c r="M886" s="730"/>
      <c r="N886" s="571"/>
      <c r="O886" s="571"/>
      <c r="P886" s="571"/>
      <c r="Q886" s="571"/>
      <c r="R886" s="571"/>
      <c r="S886" s="571"/>
      <c r="T886" s="571"/>
      <c r="U886" s="571"/>
      <c r="V886" s="571"/>
      <c r="W886" s="571"/>
      <c r="X886" s="571"/>
      <c r="Y886" s="571"/>
      <c r="Z886" s="571"/>
      <c r="AA886" s="571"/>
      <c r="AB886" s="571"/>
      <c r="AC886" s="571"/>
      <c r="AD886" s="571"/>
      <c r="AE886" s="571"/>
      <c r="AF886" s="571"/>
      <c r="AG886" s="690"/>
      <c r="AH886" s="691"/>
    </row>
    <row r="887">
      <c r="A887" s="568"/>
      <c r="B887" s="730"/>
      <c r="C887" s="730"/>
      <c r="D887" s="730"/>
      <c r="E887" s="730"/>
      <c r="F887" s="730"/>
      <c r="G887" s="730"/>
      <c r="H887" s="730"/>
      <c r="I887" s="730"/>
      <c r="J887" s="730"/>
      <c r="K887" s="730"/>
      <c r="L887" s="730"/>
      <c r="M887" s="730"/>
      <c r="N887" s="571"/>
      <c r="O887" s="571"/>
      <c r="P887" s="571"/>
      <c r="Q887" s="571"/>
      <c r="R887" s="571"/>
      <c r="S887" s="571"/>
      <c r="T887" s="571"/>
      <c r="U887" s="571"/>
      <c r="V887" s="571"/>
      <c r="W887" s="571"/>
      <c r="X887" s="571"/>
      <c r="Y887" s="571"/>
      <c r="Z887" s="571"/>
      <c r="AA887" s="571"/>
      <c r="AB887" s="571"/>
      <c r="AC887" s="571"/>
      <c r="AD887" s="571"/>
      <c r="AE887" s="571"/>
      <c r="AF887" s="571"/>
      <c r="AG887" s="690"/>
      <c r="AH887" s="691"/>
    </row>
    <row r="888">
      <c r="A888" s="568"/>
      <c r="B888" s="730"/>
      <c r="C888" s="730"/>
      <c r="D888" s="730"/>
      <c r="E888" s="730"/>
      <c r="F888" s="730"/>
      <c r="G888" s="730"/>
      <c r="H888" s="730"/>
      <c r="I888" s="730"/>
      <c r="J888" s="730"/>
      <c r="K888" s="730"/>
      <c r="L888" s="730"/>
      <c r="M888" s="730"/>
      <c r="N888" s="571"/>
      <c r="O888" s="571"/>
      <c r="P888" s="571"/>
      <c r="Q888" s="571"/>
      <c r="R888" s="571"/>
      <c r="S888" s="571"/>
      <c r="T888" s="571"/>
      <c r="U888" s="571"/>
      <c r="V888" s="571"/>
      <c r="W888" s="571"/>
      <c r="X888" s="571"/>
      <c r="Y888" s="571"/>
      <c r="Z888" s="571"/>
      <c r="AA888" s="571"/>
      <c r="AB888" s="571"/>
      <c r="AC888" s="571"/>
      <c r="AD888" s="571"/>
      <c r="AE888" s="571"/>
      <c r="AF888" s="571"/>
      <c r="AG888" s="690"/>
      <c r="AH888" s="691"/>
    </row>
    <row r="889">
      <c r="A889" s="568"/>
      <c r="B889" s="730"/>
      <c r="C889" s="730"/>
      <c r="D889" s="730"/>
      <c r="E889" s="730"/>
      <c r="F889" s="730"/>
      <c r="G889" s="730"/>
      <c r="H889" s="730"/>
      <c r="I889" s="730"/>
      <c r="J889" s="730"/>
      <c r="K889" s="730"/>
      <c r="L889" s="730"/>
      <c r="M889" s="730"/>
      <c r="N889" s="571"/>
      <c r="O889" s="571"/>
      <c r="P889" s="571"/>
      <c r="Q889" s="571"/>
      <c r="R889" s="571"/>
      <c r="S889" s="571"/>
      <c r="T889" s="571"/>
      <c r="U889" s="571"/>
      <c r="V889" s="571"/>
      <c r="W889" s="571"/>
      <c r="X889" s="571"/>
      <c r="Y889" s="571"/>
      <c r="Z889" s="571"/>
      <c r="AA889" s="571"/>
      <c r="AB889" s="571"/>
      <c r="AC889" s="571"/>
      <c r="AD889" s="571"/>
      <c r="AE889" s="571"/>
      <c r="AF889" s="571"/>
      <c r="AG889" s="690"/>
      <c r="AH889" s="691"/>
    </row>
    <row r="890">
      <c r="A890" s="568"/>
      <c r="B890" s="730"/>
      <c r="C890" s="730"/>
      <c r="D890" s="730"/>
      <c r="E890" s="730"/>
      <c r="F890" s="730"/>
      <c r="G890" s="730"/>
      <c r="H890" s="730"/>
      <c r="I890" s="730"/>
      <c r="J890" s="730"/>
      <c r="K890" s="730"/>
      <c r="L890" s="730"/>
      <c r="M890" s="730"/>
      <c r="N890" s="571"/>
      <c r="O890" s="571"/>
      <c r="P890" s="571"/>
      <c r="Q890" s="571"/>
      <c r="R890" s="571"/>
      <c r="S890" s="571"/>
      <c r="T890" s="571"/>
      <c r="U890" s="571"/>
      <c r="V890" s="571"/>
      <c r="W890" s="571"/>
      <c r="X890" s="571"/>
      <c r="Y890" s="571"/>
      <c r="Z890" s="571"/>
      <c r="AA890" s="571"/>
      <c r="AB890" s="571"/>
      <c r="AC890" s="571"/>
      <c r="AD890" s="571"/>
      <c r="AE890" s="571"/>
      <c r="AF890" s="571"/>
      <c r="AG890" s="690"/>
      <c r="AH890" s="691"/>
    </row>
    <row r="891">
      <c r="A891" s="568"/>
      <c r="B891" s="730"/>
      <c r="C891" s="730"/>
      <c r="D891" s="730"/>
      <c r="E891" s="730"/>
      <c r="F891" s="730"/>
      <c r="G891" s="730"/>
      <c r="H891" s="730"/>
      <c r="I891" s="730"/>
      <c r="J891" s="730"/>
      <c r="K891" s="730"/>
      <c r="L891" s="730"/>
      <c r="M891" s="730"/>
      <c r="N891" s="571"/>
      <c r="O891" s="571"/>
      <c r="P891" s="571"/>
      <c r="Q891" s="571"/>
      <c r="R891" s="571"/>
      <c r="S891" s="571"/>
      <c r="T891" s="571"/>
      <c r="U891" s="571"/>
      <c r="V891" s="571"/>
      <c r="W891" s="571"/>
      <c r="X891" s="571"/>
      <c r="Y891" s="571"/>
      <c r="Z891" s="571"/>
      <c r="AA891" s="571"/>
      <c r="AB891" s="571"/>
      <c r="AC891" s="571"/>
      <c r="AD891" s="571"/>
      <c r="AE891" s="571"/>
      <c r="AF891" s="571"/>
      <c r="AG891" s="690"/>
      <c r="AH891" s="691"/>
    </row>
    <row r="892">
      <c r="A892" s="568"/>
      <c r="B892" s="730"/>
      <c r="C892" s="730"/>
      <c r="D892" s="730"/>
      <c r="E892" s="730"/>
      <c r="F892" s="730"/>
      <c r="G892" s="730"/>
      <c r="H892" s="730"/>
      <c r="I892" s="730"/>
      <c r="J892" s="730"/>
      <c r="K892" s="730"/>
      <c r="L892" s="730"/>
      <c r="M892" s="730"/>
      <c r="N892" s="571"/>
      <c r="O892" s="571"/>
      <c r="P892" s="571"/>
      <c r="Q892" s="571"/>
      <c r="R892" s="571"/>
      <c r="S892" s="571"/>
      <c r="T892" s="571"/>
      <c r="U892" s="571"/>
      <c r="V892" s="571"/>
      <c r="W892" s="571"/>
      <c r="X892" s="571"/>
      <c r="Y892" s="571"/>
      <c r="Z892" s="571"/>
      <c r="AA892" s="571"/>
      <c r="AB892" s="571"/>
      <c r="AC892" s="571"/>
      <c r="AD892" s="571"/>
      <c r="AE892" s="571"/>
      <c r="AF892" s="571"/>
      <c r="AG892" s="690"/>
      <c r="AH892" s="691"/>
    </row>
    <row r="893">
      <c r="A893" s="568"/>
      <c r="B893" s="730"/>
      <c r="C893" s="730"/>
      <c r="D893" s="730"/>
      <c r="E893" s="730"/>
      <c r="F893" s="730"/>
      <c r="G893" s="730"/>
      <c r="H893" s="730"/>
      <c r="I893" s="730"/>
      <c r="J893" s="730"/>
      <c r="K893" s="730"/>
      <c r="L893" s="730"/>
      <c r="M893" s="730"/>
      <c r="N893" s="571"/>
      <c r="O893" s="571"/>
      <c r="P893" s="571"/>
      <c r="Q893" s="571"/>
      <c r="R893" s="571"/>
      <c r="S893" s="571"/>
      <c r="T893" s="571"/>
      <c r="U893" s="571"/>
      <c r="V893" s="571"/>
      <c r="W893" s="571"/>
      <c r="X893" s="571"/>
      <c r="Y893" s="571"/>
      <c r="Z893" s="571"/>
      <c r="AA893" s="571"/>
      <c r="AB893" s="571"/>
      <c r="AC893" s="571"/>
      <c r="AD893" s="571"/>
      <c r="AE893" s="571"/>
      <c r="AF893" s="571"/>
      <c r="AG893" s="690"/>
      <c r="AH893" s="691"/>
    </row>
    <row r="894">
      <c r="A894" s="568"/>
      <c r="B894" s="730"/>
      <c r="C894" s="730"/>
      <c r="D894" s="730"/>
      <c r="E894" s="730"/>
      <c r="F894" s="730"/>
      <c r="G894" s="730"/>
      <c r="H894" s="730"/>
      <c r="I894" s="730"/>
      <c r="J894" s="730"/>
      <c r="K894" s="730"/>
      <c r="L894" s="730"/>
      <c r="M894" s="730"/>
      <c r="N894" s="571"/>
      <c r="O894" s="571"/>
      <c r="P894" s="571"/>
      <c r="Q894" s="571"/>
      <c r="R894" s="571"/>
      <c r="S894" s="571"/>
      <c r="T894" s="571"/>
      <c r="U894" s="571"/>
      <c r="V894" s="571"/>
      <c r="W894" s="571"/>
      <c r="X894" s="571"/>
      <c r="Y894" s="571"/>
      <c r="Z894" s="571"/>
      <c r="AA894" s="571"/>
      <c r="AB894" s="571"/>
      <c r="AC894" s="571"/>
      <c r="AD894" s="571"/>
      <c r="AE894" s="571"/>
      <c r="AF894" s="571"/>
      <c r="AG894" s="690"/>
      <c r="AH894" s="691"/>
    </row>
    <row r="895">
      <c r="A895" s="568"/>
      <c r="B895" s="730"/>
      <c r="C895" s="730"/>
      <c r="D895" s="730"/>
      <c r="E895" s="730"/>
      <c r="F895" s="730"/>
      <c r="G895" s="730"/>
      <c r="H895" s="730"/>
      <c r="I895" s="730"/>
      <c r="J895" s="730"/>
      <c r="K895" s="730"/>
      <c r="L895" s="730"/>
      <c r="M895" s="730"/>
      <c r="N895" s="571"/>
      <c r="O895" s="571"/>
      <c r="P895" s="571"/>
      <c r="Q895" s="571"/>
      <c r="R895" s="571"/>
      <c r="S895" s="571"/>
      <c r="T895" s="571"/>
      <c r="U895" s="571"/>
      <c r="V895" s="571"/>
      <c r="W895" s="571"/>
      <c r="X895" s="571"/>
      <c r="Y895" s="571"/>
      <c r="Z895" s="571"/>
      <c r="AA895" s="571"/>
      <c r="AB895" s="571"/>
      <c r="AC895" s="571"/>
      <c r="AD895" s="571"/>
      <c r="AE895" s="571"/>
      <c r="AF895" s="571"/>
      <c r="AG895" s="690"/>
      <c r="AH895" s="691"/>
    </row>
    <row r="896">
      <c r="A896" s="568"/>
      <c r="B896" s="730"/>
      <c r="C896" s="730"/>
      <c r="D896" s="730"/>
      <c r="E896" s="730"/>
      <c r="F896" s="730"/>
      <c r="G896" s="730"/>
      <c r="H896" s="730"/>
      <c r="I896" s="730"/>
      <c r="J896" s="730"/>
      <c r="K896" s="730"/>
      <c r="L896" s="730"/>
      <c r="M896" s="730"/>
      <c r="N896" s="571"/>
      <c r="O896" s="571"/>
      <c r="P896" s="571"/>
      <c r="Q896" s="571"/>
      <c r="R896" s="571"/>
      <c r="S896" s="571"/>
      <c r="T896" s="571"/>
      <c r="U896" s="571"/>
      <c r="V896" s="571"/>
      <c r="W896" s="571"/>
      <c r="X896" s="571"/>
      <c r="Y896" s="571"/>
      <c r="Z896" s="571"/>
      <c r="AA896" s="571"/>
      <c r="AB896" s="571"/>
      <c r="AC896" s="571"/>
      <c r="AD896" s="571"/>
      <c r="AE896" s="571"/>
      <c r="AF896" s="571"/>
      <c r="AG896" s="690"/>
      <c r="AH896" s="691"/>
    </row>
    <row r="897">
      <c r="A897" s="568"/>
      <c r="B897" s="730"/>
      <c r="C897" s="730"/>
      <c r="D897" s="730"/>
      <c r="E897" s="730"/>
      <c r="F897" s="730"/>
      <c r="G897" s="730"/>
      <c r="H897" s="730"/>
      <c r="I897" s="730"/>
      <c r="J897" s="730"/>
      <c r="K897" s="730"/>
      <c r="L897" s="730"/>
      <c r="M897" s="730"/>
      <c r="N897" s="571"/>
      <c r="O897" s="571"/>
      <c r="P897" s="571"/>
      <c r="Q897" s="571"/>
      <c r="R897" s="571"/>
      <c r="S897" s="571"/>
      <c r="T897" s="571"/>
      <c r="U897" s="571"/>
      <c r="V897" s="571"/>
      <c r="W897" s="571"/>
      <c r="X897" s="571"/>
      <c r="Y897" s="571"/>
      <c r="Z897" s="571"/>
      <c r="AA897" s="571"/>
      <c r="AB897" s="571"/>
      <c r="AC897" s="571"/>
      <c r="AD897" s="571"/>
      <c r="AE897" s="571"/>
      <c r="AF897" s="571"/>
      <c r="AG897" s="690"/>
      <c r="AH897" s="691"/>
    </row>
    <row r="898">
      <c r="A898" s="568"/>
      <c r="B898" s="730"/>
      <c r="C898" s="730"/>
      <c r="D898" s="730"/>
      <c r="E898" s="730"/>
      <c r="F898" s="730"/>
      <c r="G898" s="730"/>
      <c r="H898" s="730"/>
      <c r="I898" s="730"/>
      <c r="J898" s="730"/>
      <c r="K898" s="730"/>
      <c r="L898" s="730"/>
      <c r="M898" s="730"/>
      <c r="N898" s="571"/>
      <c r="O898" s="571"/>
      <c r="P898" s="571"/>
      <c r="Q898" s="571"/>
      <c r="R898" s="571"/>
      <c r="S898" s="571"/>
      <c r="T898" s="571"/>
      <c r="U898" s="571"/>
      <c r="V898" s="571"/>
      <c r="W898" s="571"/>
      <c r="X898" s="571"/>
      <c r="Y898" s="571"/>
      <c r="Z898" s="571"/>
      <c r="AA898" s="571"/>
      <c r="AB898" s="571"/>
      <c r="AC898" s="571"/>
      <c r="AD898" s="571"/>
      <c r="AE898" s="571"/>
      <c r="AF898" s="571"/>
      <c r="AG898" s="690"/>
      <c r="AH898" s="691"/>
    </row>
    <row r="899">
      <c r="A899" s="568"/>
      <c r="B899" s="730"/>
      <c r="C899" s="730"/>
      <c r="D899" s="730"/>
      <c r="E899" s="730"/>
      <c r="F899" s="730"/>
      <c r="G899" s="730"/>
      <c r="H899" s="730"/>
      <c r="I899" s="730"/>
      <c r="J899" s="730"/>
      <c r="K899" s="730"/>
      <c r="L899" s="730"/>
      <c r="M899" s="730"/>
      <c r="N899" s="571"/>
      <c r="O899" s="571"/>
      <c r="P899" s="571"/>
      <c r="Q899" s="571"/>
      <c r="R899" s="571"/>
      <c r="S899" s="571"/>
      <c r="T899" s="571"/>
      <c r="U899" s="571"/>
      <c r="V899" s="571"/>
      <c r="W899" s="571"/>
      <c r="X899" s="571"/>
      <c r="Y899" s="571"/>
      <c r="Z899" s="571"/>
      <c r="AA899" s="571"/>
      <c r="AB899" s="571"/>
      <c r="AC899" s="571"/>
      <c r="AD899" s="571"/>
      <c r="AE899" s="571"/>
      <c r="AF899" s="571"/>
      <c r="AG899" s="690"/>
      <c r="AH899" s="691"/>
    </row>
    <row r="900">
      <c r="A900" s="568"/>
      <c r="B900" s="730"/>
      <c r="C900" s="730"/>
      <c r="D900" s="730"/>
      <c r="E900" s="730"/>
      <c r="F900" s="730"/>
      <c r="G900" s="730"/>
      <c r="H900" s="730"/>
      <c r="I900" s="730"/>
      <c r="J900" s="730"/>
      <c r="K900" s="730"/>
      <c r="L900" s="730"/>
      <c r="M900" s="730"/>
      <c r="N900" s="571"/>
      <c r="O900" s="571"/>
      <c r="P900" s="571"/>
      <c r="Q900" s="571"/>
      <c r="R900" s="571"/>
      <c r="S900" s="571"/>
      <c r="T900" s="571"/>
      <c r="U900" s="571"/>
      <c r="V900" s="571"/>
      <c r="W900" s="571"/>
      <c r="X900" s="571"/>
      <c r="Y900" s="571"/>
      <c r="Z900" s="571"/>
      <c r="AA900" s="571"/>
      <c r="AB900" s="571"/>
      <c r="AC900" s="571"/>
      <c r="AD900" s="571"/>
      <c r="AE900" s="571"/>
      <c r="AF900" s="571"/>
      <c r="AG900" s="690"/>
      <c r="AH900" s="691"/>
    </row>
    <row r="901">
      <c r="A901" s="568"/>
      <c r="B901" s="730"/>
      <c r="C901" s="730"/>
      <c r="D901" s="730"/>
      <c r="E901" s="730"/>
      <c r="F901" s="730"/>
      <c r="G901" s="730"/>
      <c r="H901" s="730"/>
      <c r="I901" s="730"/>
      <c r="J901" s="730"/>
      <c r="K901" s="730"/>
      <c r="L901" s="730"/>
      <c r="M901" s="730"/>
      <c r="N901" s="571"/>
      <c r="O901" s="571"/>
      <c r="P901" s="571"/>
      <c r="Q901" s="571"/>
      <c r="R901" s="571"/>
      <c r="S901" s="571"/>
      <c r="T901" s="571"/>
      <c r="U901" s="571"/>
      <c r="V901" s="571"/>
      <c r="W901" s="571"/>
      <c r="X901" s="571"/>
      <c r="Y901" s="571"/>
      <c r="Z901" s="571"/>
      <c r="AA901" s="571"/>
      <c r="AB901" s="571"/>
      <c r="AC901" s="571"/>
      <c r="AD901" s="571"/>
      <c r="AE901" s="571"/>
      <c r="AF901" s="571"/>
      <c r="AG901" s="690"/>
      <c r="AH901" s="691"/>
    </row>
    <row r="902">
      <c r="A902" s="568"/>
      <c r="B902" s="730"/>
      <c r="C902" s="730"/>
      <c r="D902" s="730"/>
      <c r="E902" s="730"/>
      <c r="F902" s="730"/>
      <c r="G902" s="730"/>
      <c r="H902" s="730"/>
      <c r="I902" s="730"/>
      <c r="J902" s="730"/>
      <c r="K902" s="730"/>
      <c r="L902" s="730"/>
      <c r="M902" s="730"/>
      <c r="N902" s="571"/>
      <c r="O902" s="571"/>
      <c r="P902" s="571"/>
      <c r="Q902" s="571"/>
      <c r="R902" s="571"/>
      <c r="S902" s="571"/>
      <c r="T902" s="571"/>
      <c r="U902" s="571"/>
      <c r="V902" s="571"/>
      <c r="W902" s="571"/>
      <c r="X902" s="571"/>
      <c r="Y902" s="571"/>
      <c r="Z902" s="571"/>
      <c r="AA902" s="571"/>
      <c r="AB902" s="571"/>
      <c r="AC902" s="571"/>
      <c r="AD902" s="571"/>
      <c r="AE902" s="571"/>
      <c r="AF902" s="571"/>
      <c r="AG902" s="690"/>
      <c r="AH902" s="691"/>
    </row>
    <row r="903">
      <c r="A903" s="568"/>
      <c r="B903" s="730"/>
      <c r="C903" s="730"/>
      <c r="D903" s="730"/>
      <c r="E903" s="730"/>
      <c r="F903" s="730"/>
      <c r="G903" s="730"/>
      <c r="H903" s="730"/>
      <c r="I903" s="730"/>
      <c r="J903" s="730"/>
      <c r="K903" s="730"/>
      <c r="L903" s="730"/>
      <c r="M903" s="730"/>
      <c r="N903" s="571"/>
      <c r="O903" s="571"/>
      <c r="P903" s="571"/>
      <c r="Q903" s="571"/>
      <c r="R903" s="571"/>
      <c r="S903" s="571"/>
      <c r="T903" s="571"/>
      <c r="U903" s="571"/>
      <c r="V903" s="571"/>
      <c r="W903" s="571"/>
      <c r="X903" s="571"/>
      <c r="Y903" s="571"/>
      <c r="Z903" s="571"/>
      <c r="AA903" s="571"/>
      <c r="AB903" s="571"/>
      <c r="AC903" s="571"/>
      <c r="AD903" s="571"/>
      <c r="AE903" s="571"/>
      <c r="AF903" s="571"/>
      <c r="AG903" s="690"/>
      <c r="AH903" s="691"/>
    </row>
    <row r="904">
      <c r="A904" s="568"/>
      <c r="B904" s="730"/>
      <c r="C904" s="730"/>
      <c r="D904" s="730"/>
      <c r="E904" s="730"/>
      <c r="F904" s="730"/>
      <c r="G904" s="730"/>
      <c r="H904" s="730"/>
      <c r="I904" s="730"/>
      <c r="J904" s="730"/>
      <c r="K904" s="730"/>
      <c r="L904" s="730"/>
      <c r="M904" s="730"/>
      <c r="N904" s="571"/>
      <c r="O904" s="571"/>
      <c r="P904" s="571"/>
      <c r="Q904" s="571"/>
      <c r="R904" s="571"/>
      <c r="S904" s="571"/>
      <c r="T904" s="571"/>
      <c r="U904" s="571"/>
      <c r="V904" s="571"/>
      <c r="W904" s="571"/>
      <c r="X904" s="571"/>
      <c r="Y904" s="571"/>
      <c r="Z904" s="571"/>
      <c r="AA904" s="571"/>
      <c r="AB904" s="571"/>
      <c r="AC904" s="571"/>
      <c r="AD904" s="571"/>
      <c r="AE904" s="571"/>
      <c r="AF904" s="571"/>
      <c r="AG904" s="690"/>
      <c r="AH904" s="691"/>
    </row>
    <row r="905">
      <c r="A905" s="568"/>
      <c r="B905" s="730"/>
      <c r="C905" s="730"/>
      <c r="D905" s="730"/>
      <c r="E905" s="730"/>
      <c r="F905" s="730"/>
      <c r="G905" s="730"/>
      <c r="H905" s="730"/>
      <c r="I905" s="730"/>
      <c r="J905" s="730"/>
      <c r="K905" s="730"/>
      <c r="L905" s="730"/>
      <c r="M905" s="730"/>
      <c r="N905" s="571"/>
      <c r="O905" s="571"/>
      <c r="P905" s="571"/>
      <c r="Q905" s="571"/>
      <c r="R905" s="571"/>
      <c r="S905" s="571"/>
      <c r="T905" s="571"/>
      <c r="U905" s="571"/>
      <c r="V905" s="571"/>
      <c r="W905" s="571"/>
      <c r="X905" s="571"/>
      <c r="Y905" s="571"/>
      <c r="Z905" s="571"/>
      <c r="AA905" s="571"/>
      <c r="AB905" s="571"/>
      <c r="AC905" s="571"/>
      <c r="AD905" s="571"/>
      <c r="AE905" s="571"/>
      <c r="AF905" s="571"/>
      <c r="AG905" s="690"/>
      <c r="AH905" s="691"/>
    </row>
    <row r="906">
      <c r="A906" s="568"/>
      <c r="B906" s="730"/>
      <c r="C906" s="730"/>
      <c r="D906" s="730"/>
      <c r="E906" s="730"/>
      <c r="F906" s="730"/>
      <c r="G906" s="730"/>
      <c r="H906" s="730"/>
      <c r="I906" s="730"/>
      <c r="J906" s="730"/>
      <c r="K906" s="730"/>
      <c r="L906" s="730"/>
      <c r="M906" s="730"/>
      <c r="N906" s="571"/>
      <c r="O906" s="571"/>
      <c r="P906" s="571"/>
      <c r="Q906" s="571"/>
      <c r="R906" s="571"/>
      <c r="S906" s="571"/>
      <c r="T906" s="571"/>
      <c r="U906" s="571"/>
      <c r="V906" s="571"/>
      <c r="W906" s="571"/>
      <c r="X906" s="571"/>
      <c r="Y906" s="571"/>
      <c r="Z906" s="571"/>
      <c r="AA906" s="571"/>
      <c r="AB906" s="571"/>
      <c r="AC906" s="571"/>
      <c r="AD906" s="571"/>
      <c r="AE906" s="571"/>
      <c r="AF906" s="571"/>
      <c r="AG906" s="690"/>
      <c r="AH906" s="691"/>
    </row>
    <row r="907">
      <c r="A907" s="568"/>
      <c r="B907" s="730"/>
      <c r="C907" s="730"/>
      <c r="D907" s="730"/>
      <c r="E907" s="730"/>
      <c r="F907" s="730"/>
      <c r="G907" s="730"/>
      <c r="H907" s="730"/>
      <c r="I907" s="730"/>
      <c r="J907" s="730"/>
      <c r="K907" s="730"/>
      <c r="L907" s="730"/>
      <c r="M907" s="730"/>
      <c r="N907" s="571"/>
      <c r="O907" s="571"/>
      <c r="P907" s="571"/>
      <c r="Q907" s="571"/>
      <c r="R907" s="571"/>
      <c r="S907" s="571"/>
      <c r="T907" s="571"/>
      <c r="U907" s="571"/>
      <c r="V907" s="571"/>
      <c r="W907" s="571"/>
      <c r="X907" s="571"/>
      <c r="Y907" s="571"/>
      <c r="Z907" s="571"/>
      <c r="AA907" s="571"/>
      <c r="AB907" s="571"/>
      <c r="AC907" s="571"/>
      <c r="AD907" s="571"/>
      <c r="AE907" s="571"/>
      <c r="AF907" s="571"/>
      <c r="AG907" s="690"/>
      <c r="AH907" s="691"/>
    </row>
    <row r="908">
      <c r="A908" s="568"/>
      <c r="B908" s="730"/>
      <c r="C908" s="730"/>
      <c r="D908" s="730"/>
      <c r="E908" s="730"/>
      <c r="F908" s="730"/>
      <c r="G908" s="730"/>
      <c r="H908" s="730"/>
      <c r="I908" s="730"/>
      <c r="J908" s="730"/>
      <c r="K908" s="730"/>
      <c r="L908" s="730"/>
      <c r="M908" s="730"/>
      <c r="N908" s="571"/>
      <c r="O908" s="571"/>
      <c r="P908" s="571"/>
      <c r="Q908" s="571"/>
      <c r="R908" s="571"/>
      <c r="S908" s="571"/>
      <c r="T908" s="571"/>
      <c r="U908" s="571"/>
      <c r="V908" s="571"/>
      <c r="W908" s="571"/>
      <c r="X908" s="571"/>
      <c r="Y908" s="571"/>
      <c r="Z908" s="571"/>
      <c r="AA908" s="571"/>
      <c r="AB908" s="571"/>
      <c r="AC908" s="571"/>
      <c r="AD908" s="571"/>
      <c r="AE908" s="571"/>
      <c r="AF908" s="571"/>
      <c r="AG908" s="690"/>
      <c r="AH908" s="691"/>
    </row>
    <row r="909">
      <c r="A909" s="568"/>
      <c r="B909" s="730"/>
      <c r="C909" s="730"/>
      <c r="D909" s="730"/>
      <c r="E909" s="730"/>
      <c r="F909" s="730"/>
      <c r="G909" s="730"/>
      <c r="H909" s="730"/>
      <c r="I909" s="730"/>
      <c r="J909" s="730"/>
      <c r="K909" s="730"/>
      <c r="L909" s="730"/>
      <c r="M909" s="730"/>
      <c r="N909" s="571"/>
      <c r="O909" s="571"/>
      <c r="P909" s="571"/>
      <c r="Q909" s="571"/>
      <c r="R909" s="571"/>
      <c r="S909" s="571"/>
      <c r="T909" s="571"/>
      <c r="U909" s="571"/>
      <c r="V909" s="571"/>
      <c r="W909" s="571"/>
      <c r="X909" s="571"/>
      <c r="Y909" s="571"/>
      <c r="Z909" s="571"/>
      <c r="AA909" s="571"/>
      <c r="AB909" s="571"/>
      <c r="AC909" s="571"/>
      <c r="AD909" s="571"/>
      <c r="AE909" s="571"/>
      <c r="AF909" s="571"/>
      <c r="AG909" s="690"/>
      <c r="AH909" s="691"/>
    </row>
    <row r="910">
      <c r="A910" s="568"/>
      <c r="B910" s="730"/>
      <c r="C910" s="730"/>
      <c r="D910" s="730"/>
      <c r="E910" s="730"/>
      <c r="F910" s="730"/>
      <c r="G910" s="730"/>
      <c r="H910" s="730"/>
      <c r="I910" s="730"/>
      <c r="J910" s="730"/>
      <c r="K910" s="730"/>
      <c r="L910" s="730"/>
      <c r="M910" s="730"/>
      <c r="N910" s="571"/>
      <c r="O910" s="571"/>
      <c r="P910" s="571"/>
      <c r="Q910" s="571"/>
      <c r="R910" s="571"/>
      <c r="S910" s="571"/>
      <c r="T910" s="571"/>
      <c r="U910" s="571"/>
      <c r="V910" s="571"/>
      <c r="W910" s="571"/>
      <c r="X910" s="571"/>
      <c r="Y910" s="571"/>
      <c r="Z910" s="571"/>
      <c r="AA910" s="571"/>
      <c r="AB910" s="571"/>
      <c r="AC910" s="571"/>
      <c r="AD910" s="571"/>
      <c r="AE910" s="571"/>
      <c r="AF910" s="571"/>
      <c r="AG910" s="690"/>
      <c r="AH910" s="691"/>
    </row>
    <row r="911">
      <c r="A911" s="568"/>
      <c r="B911" s="730"/>
      <c r="C911" s="730"/>
      <c r="D911" s="730"/>
      <c r="E911" s="730"/>
      <c r="F911" s="730"/>
      <c r="G911" s="730"/>
      <c r="H911" s="730"/>
      <c r="I911" s="730"/>
      <c r="J911" s="730"/>
      <c r="K911" s="730"/>
      <c r="L911" s="730"/>
      <c r="M911" s="730"/>
      <c r="N911" s="571"/>
      <c r="O911" s="571"/>
      <c r="P911" s="571"/>
      <c r="Q911" s="571"/>
      <c r="R911" s="571"/>
      <c r="S911" s="571"/>
      <c r="T911" s="571"/>
      <c r="U911" s="571"/>
      <c r="V911" s="571"/>
      <c r="W911" s="571"/>
      <c r="X911" s="571"/>
      <c r="Y911" s="571"/>
      <c r="Z911" s="571"/>
      <c r="AA911" s="571"/>
      <c r="AB911" s="571"/>
      <c r="AC911" s="571"/>
      <c r="AD911" s="571"/>
      <c r="AE911" s="571"/>
      <c r="AF911" s="571"/>
      <c r="AG911" s="690"/>
      <c r="AH911" s="691"/>
    </row>
    <row r="912">
      <c r="A912" s="568"/>
      <c r="B912" s="730"/>
      <c r="C912" s="730"/>
      <c r="D912" s="730"/>
      <c r="E912" s="730"/>
      <c r="F912" s="730"/>
      <c r="G912" s="730"/>
      <c r="H912" s="730"/>
      <c r="I912" s="730"/>
      <c r="J912" s="730"/>
      <c r="K912" s="730"/>
      <c r="L912" s="730"/>
      <c r="M912" s="730"/>
      <c r="N912" s="571"/>
      <c r="O912" s="571"/>
      <c r="P912" s="571"/>
      <c r="Q912" s="571"/>
      <c r="R912" s="571"/>
      <c r="S912" s="571"/>
      <c r="T912" s="571"/>
      <c r="U912" s="571"/>
      <c r="V912" s="571"/>
      <c r="W912" s="571"/>
      <c r="X912" s="571"/>
      <c r="Y912" s="571"/>
      <c r="Z912" s="571"/>
      <c r="AA912" s="571"/>
      <c r="AB912" s="571"/>
      <c r="AC912" s="571"/>
      <c r="AD912" s="571"/>
      <c r="AE912" s="571"/>
      <c r="AF912" s="571"/>
      <c r="AG912" s="690"/>
      <c r="AH912" s="691"/>
    </row>
    <row r="913">
      <c r="A913" s="568"/>
      <c r="B913" s="730"/>
      <c r="C913" s="730"/>
      <c r="D913" s="730"/>
      <c r="E913" s="730"/>
      <c r="F913" s="730"/>
      <c r="G913" s="730"/>
      <c r="H913" s="730"/>
      <c r="I913" s="730"/>
      <c r="J913" s="730"/>
      <c r="K913" s="730"/>
      <c r="L913" s="730"/>
      <c r="M913" s="730"/>
      <c r="N913" s="571"/>
      <c r="O913" s="571"/>
      <c r="P913" s="571"/>
      <c r="Q913" s="571"/>
      <c r="R913" s="571"/>
      <c r="S913" s="571"/>
      <c r="T913" s="571"/>
      <c r="U913" s="571"/>
      <c r="V913" s="571"/>
      <c r="W913" s="571"/>
      <c r="X913" s="571"/>
      <c r="Y913" s="571"/>
      <c r="Z913" s="571"/>
      <c r="AA913" s="571"/>
      <c r="AB913" s="571"/>
      <c r="AC913" s="571"/>
      <c r="AD913" s="571"/>
      <c r="AE913" s="571"/>
      <c r="AF913" s="571"/>
      <c r="AG913" s="690"/>
      <c r="AH913" s="691"/>
    </row>
    <row r="914">
      <c r="A914" s="568"/>
      <c r="B914" s="730"/>
      <c r="C914" s="730"/>
      <c r="D914" s="730"/>
      <c r="E914" s="730"/>
      <c r="F914" s="730"/>
      <c r="G914" s="730"/>
      <c r="H914" s="730"/>
      <c r="I914" s="730"/>
      <c r="J914" s="730"/>
      <c r="K914" s="730"/>
      <c r="L914" s="730"/>
      <c r="M914" s="730"/>
      <c r="N914" s="571"/>
      <c r="O914" s="571"/>
      <c r="P914" s="571"/>
      <c r="Q914" s="571"/>
      <c r="R914" s="571"/>
      <c r="S914" s="571"/>
      <c r="T914" s="571"/>
      <c r="U914" s="571"/>
      <c r="V914" s="571"/>
      <c r="W914" s="571"/>
      <c r="X914" s="571"/>
      <c r="Y914" s="571"/>
      <c r="Z914" s="571"/>
      <c r="AA914" s="571"/>
      <c r="AB914" s="571"/>
      <c r="AC914" s="571"/>
      <c r="AD914" s="571"/>
      <c r="AE914" s="571"/>
      <c r="AF914" s="571"/>
      <c r="AG914" s="690"/>
      <c r="AH914" s="691"/>
    </row>
    <row r="915">
      <c r="A915" s="568"/>
      <c r="B915" s="730"/>
      <c r="C915" s="730"/>
      <c r="D915" s="730"/>
      <c r="E915" s="730"/>
      <c r="F915" s="730"/>
      <c r="G915" s="730"/>
      <c r="H915" s="730"/>
      <c r="I915" s="730"/>
      <c r="J915" s="730"/>
      <c r="K915" s="730"/>
      <c r="L915" s="730"/>
      <c r="M915" s="730"/>
      <c r="N915" s="571"/>
      <c r="O915" s="571"/>
      <c r="P915" s="571"/>
      <c r="Q915" s="571"/>
      <c r="R915" s="571"/>
      <c r="S915" s="571"/>
      <c r="T915" s="571"/>
      <c r="U915" s="571"/>
      <c r="V915" s="571"/>
      <c r="W915" s="571"/>
      <c r="X915" s="571"/>
      <c r="Y915" s="571"/>
      <c r="Z915" s="571"/>
      <c r="AA915" s="571"/>
      <c r="AB915" s="571"/>
      <c r="AC915" s="571"/>
      <c r="AD915" s="571"/>
      <c r="AE915" s="571"/>
      <c r="AF915" s="571"/>
      <c r="AG915" s="690"/>
      <c r="AH915" s="691"/>
    </row>
    <row r="916">
      <c r="A916" s="568"/>
      <c r="B916" s="730"/>
      <c r="C916" s="730"/>
      <c r="D916" s="730"/>
      <c r="E916" s="730"/>
      <c r="F916" s="730"/>
      <c r="G916" s="730"/>
      <c r="H916" s="730"/>
      <c r="I916" s="730"/>
      <c r="J916" s="730"/>
      <c r="K916" s="730"/>
      <c r="L916" s="730"/>
      <c r="M916" s="730"/>
      <c r="N916" s="571"/>
      <c r="O916" s="571"/>
      <c r="P916" s="571"/>
      <c r="Q916" s="571"/>
      <c r="R916" s="571"/>
      <c r="S916" s="571"/>
      <c r="T916" s="571"/>
      <c r="U916" s="571"/>
      <c r="V916" s="571"/>
      <c r="W916" s="571"/>
      <c r="X916" s="571"/>
      <c r="Y916" s="571"/>
      <c r="Z916" s="571"/>
      <c r="AA916" s="571"/>
      <c r="AB916" s="571"/>
      <c r="AC916" s="571"/>
      <c r="AD916" s="571"/>
      <c r="AE916" s="571"/>
      <c r="AF916" s="571"/>
      <c r="AG916" s="690"/>
      <c r="AH916" s="691"/>
    </row>
    <row r="917">
      <c r="A917" s="568"/>
      <c r="B917" s="730"/>
      <c r="C917" s="730"/>
      <c r="D917" s="730"/>
      <c r="E917" s="730"/>
      <c r="F917" s="730"/>
      <c r="G917" s="730"/>
      <c r="H917" s="730"/>
      <c r="I917" s="730"/>
      <c r="J917" s="730"/>
      <c r="K917" s="730"/>
      <c r="L917" s="730"/>
      <c r="M917" s="730"/>
      <c r="N917" s="571"/>
      <c r="O917" s="571"/>
      <c r="P917" s="571"/>
      <c r="Q917" s="571"/>
      <c r="R917" s="571"/>
      <c r="S917" s="571"/>
      <c r="T917" s="571"/>
      <c r="U917" s="571"/>
      <c r="V917" s="571"/>
      <c r="W917" s="571"/>
      <c r="X917" s="571"/>
      <c r="Y917" s="571"/>
      <c r="Z917" s="571"/>
      <c r="AA917" s="571"/>
      <c r="AB917" s="571"/>
      <c r="AC917" s="571"/>
      <c r="AD917" s="571"/>
      <c r="AE917" s="571"/>
      <c r="AF917" s="571"/>
      <c r="AG917" s="690"/>
      <c r="AH917" s="691"/>
    </row>
    <row r="918">
      <c r="A918" s="568"/>
      <c r="B918" s="730"/>
      <c r="C918" s="730"/>
      <c r="D918" s="730"/>
      <c r="E918" s="730"/>
      <c r="F918" s="730"/>
      <c r="G918" s="730"/>
      <c r="H918" s="730"/>
      <c r="I918" s="730"/>
      <c r="J918" s="730"/>
      <c r="K918" s="730"/>
      <c r="L918" s="730"/>
      <c r="M918" s="730"/>
      <c r="N918" s="571"/>
      <c r="O918" s="571"/>
      <c r="P918" s="571"/>
      <c r="Q918" s="571"/>
      <c r="R918" s="571"/>
      <c r="S918" s="571"/>
      <c r="T918" s="571"/>
      <c r="U918" s="571"/>
      <c r="V918" s="571"/>
      <c r="W918" s="571"/>
      <c r="X918" s="571"/>
      <c r="Y918" s="571"/>
      <c r="Z918" s="571"/>
      <c r="AA918" s="571"/>
      <c r="AB918" s="571"/>
      <c r="AC918" s="571"/>
      <c r="AD918" s="571"/>
      <c r="AE918" s="571"/>
      <c r="AF918" s="571"/>
      <c r="AG918" s="690"/>
      <c r="AH918" s="691"/>
    </row>
    <row r="919">
      <c r="A919" s="568"/>
      <c r="B919" s="730"/>
      <c r="C919" s="730"/>
      <c r="D919" s="730"/>
      <c r="E919" s="730"/>
      <c r="F919" s="730"/>
      <c r="G919" s="730"/>
      <c r="H919" s="730"/>
      <c r="I919" s="730"/>
      <c r="J919" s="730"/>
      <c r="K919" s="730"/>
      <c r="L919" s="730"/>
      <c r="M919" s="730"/>
      <c r="N919" s="571"/>
      <c r="O919" s="571"/>
      <c r="P919" s="571"/>
      <c r="Q919" s="571"/>
      <c r="R919" s="571"/>
      <c r="S919" s="571"/>
      <c r="T919" s="571"/>
      <c r="U919" s="571"/>
      <c r="V919" s="571"/>
      <c r="W919" s="571"/>
      <c r="X919" s="571"/>
      <c r="Y919" s="571"/>
      <c r="Z919" s="571"/>
      <c r="AA919" s="571"/>
      <c r="AB919" s="571"/>
      <c r="AC919" s="571"/>
      <c r="AD919" s="571"/>
      <c r="AE919" s="571"/>
      <c r="AF919" s="571"/>
      <c r="AG919" s="690"/>
      <c r="AH919" s="691"/>
    </row>
    <row r="920">
      <c r="A920" s="568"/>
      <c r="B920" s="730"/>
      <c r="C920" s="730"/>
      <c r="D920" s="730"/>
      <c r="E920" s="730"/>
      <c r="F920" s="730"/>
      <c r="G920" s="730"/>
      <c r="H920" s="730"/>
      <c r="I920" s="730"/>
      <c r="J920" s="730"/>
      <c r="K920" s="730"/>
      <c r="L920" s="730"/>
      <c r="M920" s="730"/>
      <c r="N920" s="571"/>
      <c r="O920" s="571"/>
      <c r="P920" s="571"/>
      <c r="Q920" s="571"/>
      <c r="R920" s="571"/>
      <c r="S920" s="571"/>
      <c r="T920" s="571"/>
      <c r="U920" s="571"/>
      <c r="V920" s="571"/>
      <c r="W920" s="571"/>
      <c r="X920" s="571"/>
      <c r="Y920" s="571"/>
      <c r="Z920" s="571"/>
      <c r="AA920" s="571"/>
      <c r="AB920" s="571"/>
      <c r="AC920" s="571"/>
      <c r="AD920" s="571"/>
      <c r="AE920" s="571"/>
      <c r="AF920" s="571"/>
      <c r="AG920" s="690"/>
      <c r="AH920" s="691"/>
    </row>
    <row r="921">
      <c r="A921" s="568"/>
      <c r="B921" s="730"/>
      <c r="C921" s="730"/>
      <c r="D921" s="730"/>
      <c r="E921" s="730"/>
      <c r="F921" s="730"/>
      <c r="G921" s="730"/>
      <c r="H921" s="730"/>
      <c r="I921" s="730"/>
      <c r="J921" s="730"/>
      <c r="K921" s="730"/>
      <c r="L921" s="730"/>
      <c r="M921" s="730"/>
      <c r="N921" s="571"/>
      <c r="O921" s="571"/>
      <c r="P921" s="571"/>
      <c r="Q921" s="571"/>
      <c r="R921" s="571"/>
      <c r="S921" s="571"/>
      <c r="T921" s="571"/>
      <c r="U921" s="571"/>
      <c r="V921" s="571"/>
      <c r="W921" s="571"/>
      <c r="X921" s="571"/>
      <c r="Y921" s="571"/>
      <c r="Z921" s="571"/>
      <c r="AA921" s="571"/>
      <c r="AB921" s="571"/>
      <c r="AC921" s="571"/>
      <c r="AD921" s="571"/>
      <c r="AE921" s="571"/>
      <c r="AF921" s="571"/>
      <c r="AG921" s="690"/>
      <c r="AH921" s="691"/>
    </row>
    <row r="922">
      <c r="A922" s="568"/>
      <c r="B922" s="730"/>
      <c r="C922" s="730"/>
      <c r="D922" s="730"/>
      <c r="E922" s="730"/>
      <c r="F922" s="730"/>
      <c r="G922" s="730"/>
      <c r="H922" s="730"/>
      <c r="I922" s="730"/>
      <c r="J922" s="730"/>
      <c r="K922" s="730"/>
      <c r="L922" s="730"/>
      <c r="M922" s="730"/>
      <c r="N922" s="571"/>
      <c r="O922" s="571"/>
      <c r="P922" s="571"/>
      <c r="Q922" s="571"/>
      <c r="R922" s="571"/>
      <c r="S922" s="571"/>
      <c r="T922" s="571"/>
      <c r="U922" s="571"/>
      <c r="V922" s="571"/>
      <c r="W922" s="571"/>
      <c r="X922" s="571"/>
      <c r="Y922" s="571"/>
      <c r="Z922" s="571"/>
      <c r="AA922" s="571"/>
      <c r="AB922" s="571"/>
      <c r="AC922" s="571"/>
      <c r="AD922" s="571"/>
      <c r="AE922" s="571"/>
      <c r="AF922" s="571"/>
      <c r="AG922" s="690"/>
      <c r="AH922" s="691"/>
    </row>
    <row r="923">
      <c r="A923" s="568"/>
      <c r="B923" s="730"/>
      <c r="C923" s="730"/>
      <c r="D923" s="730"/>
      <c r="E923" s="730"/>
      <c r="F923" s="730"/>
      <c r="G923" s="730"/>
      <c r="H923" s="730"/>
      <c r="I923" s="730"/>
      <c r="J923" s="730"/>
      <c r="K923" s="730"/>
      <c r="L923" s="730"/>
      <c r="M923" s="730"/>
      <c r="N923" s="571"/>
      <c r="O923" s="571"/>
      <c r="P923" s="571"/>
      <c r="Q923" s="571"/>
      <c r="R923" s="571"/>
      <c r="S923" s="571"/>
      <c r="T923" s="571"/>
      <c r="U923" s="571"/>
      <c r="V923" s="571"/>
      <c r="W923" s="571"/>
      <c r="X923" s="571"/>
      <c r="Y923" s="571"/>
      <c r="Z923" s="571"/>
      <c r="AA923" s="571"/>
      <c r="AB923" s="571"/>
      <c r="AC923" s="571"/>
      <c r="AD923" s="571"/>
      <c r="AE923" s="571"/>
      <c r="AF923" s="571"/>
      <c r="AG923" s="690"/>
      <c r="AH923" s="691"/>
    </row>
    <row r="924">
      <c r="A924" s="568"/>
      <c r="B924" s="730"/>
      <c r="C924" s="730"/>
      <c r="D924" s="730"/>
      <c r="E924" s="730"/>
      <c r="F924" s="730"/>
      <c r="G924" s="730"/>
      <c r="H924" s="730"/>
      <c r="I924" s="730"/>
      <c r="J924" s="730"/>
      <c r="K924" s="730"/>
      <c r="L924" s="730"/>
      <c r="M924" s="730"/>
      <c r="N924" s="571"/>
      <c r="O924" s="571"/>
      <c r="P924" s="571"/>
      <c r="Q924" s="571"/>
      <c r="R924" s="571"/>
      <c r="S924" s="571"/>
      <c r="T924" s="571"/>
      <c r="U924" s="571"/>
      <c r="V924" s="571"/>
      <c r="W924" s="571"/>
      <c r="X924" s="571"/>
      <c r="Y924" s="571"/>
      <c r="Z924" s="571"/>
      <c r="AA924" s="571"/>
      <c r="AB924" s="571"/>
      <c r="AC924" s="571"/>
      <c r="AD924" s="571"/>
      <c r="AE924" s="571"/>
      <c r="AF924" s="571"/>
      <c r="AG924" s="690"/>
      <c r="AH924" s="691"/>
    </row>
    <row r="925">
      <c r="A925" s="568"/>
      <c r="B925" s="730"/>
      <c r="C925" s="730"/>
      <c r="D925" s="730"/>
      <c r="E925" s="730"/>
      <c r="F925" s="730"/>
      <c r="G925" s="730"/>
      <c r="H925" s="730"/>
      <c r="I925" s="730"/>
      <c r="J925" s="730"/>
      <c r="K925" s="730"/>
      <c r="L925" s="730"/>
      <c r="M925" s="730"/>
      <c r="N925" s="571"/>
      <c r="O925" s="571"/>
      <c r="P925" s="571"/>
      <c r="Q925" s="571"/>
      <c r="R925" s="571"/>
      <c r="S925" s="571"/>
      <c r="T925" s="571"/>
      <c r="U925" s="571"/>
      <c r="V925" s="571"/>
      <c r="W925" s="571"/>
      <c r="X925" s="571"/>
      <c r="Y925" s="571"/>
      <c r="Z925" s="571"/>
      <c r="AA925" s="571"/>
      <c r="AB925" s="571"/>
      <c r="AC925" s="571"/>
      <c r="AD925" s="571"/>
      <c r="AE925" s="571"/>
      <c r="AF925" s="571"/>
      <c r="AG925" s="690"/>
      <c r="AH925" s="691"/>
    </row>
    <row r="926">
      <c r="A926" s="568"/>
      <c r="B926" s="730"/>
      <c r="C926" s="730"/>
      <c r="D926" s="730"/>
      <c r="E926" s="730"/>
      <c r="F926" s="730"/>
      <c r="G926" s="730"/>
      <c r="H926" s="730"/>
      <c r="I926" s="730"/>
      <c r="J926" s="730"/>
      <c r="K926" s="730"/>
      <c r="L926" s="730"/>
      <c r="M926" s="730"/>
      <c r="N926" s="571"/>
      <c r="O926" s="571"/>
      <c r="P926" s="571"/>
      <c r="Q926" s="571"/>
      <c r="R926" s="571"/>
      <c r="S926" s="571"/>
      <c r="T926" s="571"/>
      <c r="U926" s="571"/>
      <c r="V926" s="571"/>
      <c r="W926" s="571"/>
      <c r="X926" s="571"/>
      <c r="Y926" s="571"/>
      <c r="Z926" s="571"/>
      <c r="AA926" s="571"/>
      <c r="AB926" s="571"/>
      <c r="AC926" s="571"/>
      <c r="AD926" s="571"/>
      <c r="AE926" s="571"/>
      <c r="AF926" s="571"/>
      <c r="AG926" s="690"/>
      <c r="AH926" s="691"/>
    </row>
    <row r="927">
      <c r="A927" s="568"/>
      <c r="B927" s="730"/>
      <c r="C927" s="730"/>
      <c r="D927" s="730"/>
      <c r="E927" s="730"/>
      <c r="F927" s="730"/>
      <c r="G927" s="730"/>
      <c r="H927" s="730"/>
      <c r="I927" s="730"/>
      <c r="J927" s="730"/>
      <c r="K927" s="730"/>
      <c r="L927" s="730"/>
      <c r="M927" s="730"/>
      <c r="N927" s="571"/>
      <c r="O927" s="571"/>
      <c r="P927" s="571"/>
      <c r="Q927" s="571"/>
      <c r="R927" s="571"/>
      <c r="S927" s="571"/>
      <c r="T927" s="571"/>
      <c r="U927" s="571"/>
      <c r="V927" s="571"/>
      <c r="W927" s="571"/>
      <c r="X927" s="571"/>
      <c r="Y927" s="571"/>
      <c r="Z927" s="571"/>
      <c r="AA927" s="571"/>
      <c r="AB927" s="571"/>
      <c r="AC927" s="571"/>
      <c r="AD927" s="571"/>
      <c r="AE927" s="571"/>
      <c r="AF927" s="571"/>
      <c r="AG927" s="690"/>
      <c r="AH927" s="691"/>
    </row>
    <row r="928">
      <c r="A928" s="568"/>
      <c r="B928" s="730"/>
      <c r="C928" s="730"/>
      <c r="D928" s="730"/>
      <c r="E928" s="730"/>
      <c r="F928" s="730"/>
      <c r="G928" s="730"/>
      <c r="H928" s="730"/>
      <c r="I928" s="730"/>
      <c r="J928" s="730"/>
      <c r="K928" s="730"/>
      <c r="L928" s="730"/>
      <c r="M928" s="730"/>
      <c r="N928" s="571"/>
      <c r="O928" s="571"/>
      <c r="P928" s="571"/>
      <c r="Q928" s="571"/>
      <c r="R928" s="571"/>
      <c r="S928" s="571"/>
      <c r="T928" s="571"/>
      <c r="U928" s="571"/>
      <c r="V928" s="571"/>
      <c r="W928" s="571"/>
      <c r="X928" s="571"/>
      <c r="Y928" s="571"/>
      <c r="Z928" s="571"/>
      <c r="AA928" s="571"/>
      <c r="AB928" s="571"/>
      <c r="AC928" s="571"/>
      <c r="AD928" s="571"/>
      <c r="AE928" s="571"/>
      <c r="AF928" s="571"/>
      <c r="AG928" s="690"/>
      <c r="AH928" s="691"/>
    </row>
    <row r="929">
      <c r="A929" s="568"/>
      <c r="B929" s="730"/>
      <c r="C929" s="730"/>
      <c r="D929" s="730"/>
      <c r="E929" s="730"/>
      <c r="F929" s="730"/>
      <c r="G929" s="730"/>
      <c r="H929" s="730"/>
      <c r="I929" s="730"/>
      <c r="J929" s="730"/>
      <c r="K929" s="730"/>
      <c r="L929" s="730"/>
      <c r="M929" s="730"/>
      <c r="N929" s="571"/>
      <c r="O929" s="571"/>
      <c r="P929" s="571"/>
      <c r="Q929" s="571"/>
      <c r="R929" s="571"/>
      <c r="S929" s="571"/>
      <c r="T929" s="571"/>
      <c r="U929" s="571"/>
      <c r="V929" s="571"/>
      <c r="W929" s="571"/>
      <c r="X929" s="571"/>
      <c r="Y929" s="571"/>
      <c r="Z929" s="571"/>
      <c r="AA929" s="571"/>
      <c r="AB929" s="571"/>
      <c r="AC929" s="571"/>
      <c r="AD929" s="571"/>
      <c r="AE929" s="571"/>
      <c r="AF929" s="571"/>
      <c r="AG929" s="690"/>
      <c r="AH929" s="691"/>
    </row>
    <row r="930">
      <c r="A930" s="568"/>
      <c r="B930" s="730"/>
      <c r="C930" s="730"/>
      <c r="D930" s="730"/>
      <c r="E930" s="730"/>
      <c r="F930" s="730"/>
      <c r="G930" s="730"/>
      <c r="H930" s="730"/>
      <c r="I930" s="730"/>
      <c r="J930" s="730"/>
      <c r="K930" s="730"/>
      <c r="L930" s="730"/>
      <c r="M930" s="730"/>
      <c r="N930" s="571"/>
      <c r="O930" s="571"/>
      <c r="P930" s="571"/>
      <c r="Q930" s="571"/>
      <c r="R930" s="571"/>
      <c r="S930" s="571"/>
      <c r="T930" s="571"/>
      <c r="U930" s="571"/>
      <c r="V930" s="571"/>
      <c r="W930" s="571"/>
      <c r="X930" s="571"/>
      <c r="Y930" s="571"/>
      <c r="Z930" s="571"/>
      <c r="AA930" s="571"/>
      <c r="AB930" s="571"/>
      <c r="AC930" s="571"/>
      <c r="AD930" s="571"/>
      <c r="AE930" s="571"/>
      <c r="AF930" s="571"/>
      <c r="AG930" s="690"/>
      <c r="AH930" s="691"/>
    </row>
    <row r="931">
      <c r="A931" s="568"/>
      <c r="B931" s="730"/>
      <c r="C931" s="730"/>
      <c r="D931" s="730"/>
      <c r="E931" s="730"/>
      <c r="F931" s="730"/>
      <c r="G931" s="730"/>
      <c r="H931" s="730"/>
      <c r="I931" s="730"/>
      <c r="J931" s="730"/>
      <c r="K931" s="730"/>
      <c r="L931" s="730"/>
      <c r="M931" s="730"/>
      <c r="N931" s="571"/>
      <c r="O931" s="571"/>
      <c r="P931" s="571"/>
      <c r="Q931" s="571"/>
      <c r="R931" s="571"/>
      <c r="S931" s="571"/>
      <c r="T931" s="571"/>
      <c r="U931" s="571"/>
      <c r="V931" s="571"/>
      <c r="W931" s="571"/>
      <c r="X931" s="571"/>
      <c r="Y931" s="571"/>
      <c r="Z931" s="571"/>
      <c r="AA931" s="571"/>
      <c r="AB931" s="571"/>
      <c r="AC931" s="571"/>
      <c r="AD931" s="571"/>
      <c r="AE931" s="571"/>
      <c r="AF931" s="571"/>
      <c r="AG931" s="690"/>
      <c r="AH931" s="691"/>
    </row>
    <row r="932">
      <c r="A932" s="568"/>
      <c r="B932" s="730"/>
      <c r="C932" s="730"/>
      <c r="D932" s="730"/>
      <c r="E932" s="730"/>
      <c r="F932" s="730"/>
      <c r="G932" s="730"/>
      <c r="H932" s="730"/>
      <c r="I932" s="730"/>
      <c r="J932" s="730"/>
      <c r="K932" s="730"/>
      <c r="L932" s="730"/>
      <c r="M932" s="730"/>
      <c r="N932" s="571"/>
      <c r="O932" s="571"/>
      <c r="P932" s="571"/>
      <c r="Q932" s="571"/>
      <c r="R932" s="571"/>
      <c r="S932" s="571"/>
      <c r="T932" s="571"/>
      <c r="U932" s="571"/>
      <c r="V932" s="571"/>
      <c r="W932" s="571"/>
      <c r="X932" s="571"/>
      <c r="Y932" s="571"/>
      <c r="Z932" s="571"/>
      <c r="AA932" s="571"/>
      <c r="AB932" s="571"/>
      <c r="AC932" s="571"/>
      <c r="AD932" s="571"/>
      <c r="AE932" s="571"/>
      <c r="AF932" s="571"/>
      <c r="AG932" s="690"/>
      <c r="AH932" s="691"/>
    </row>
    <row r="933">
      <c r="A933" s="568"/>
      <c r="B933" s="730"/>
      <c r="C933" s="730"/>
      <c r="D933" s="730"/>
      <c r="E933" s="730"/>
      <c r="F933" s="730"/>
      <c r="G933" s="730"/>
      <c r="H933" s="730"/>
      <c r="I933" s="730"/>
      <c r="J933" s="730"/>
      <c r="K933" s="730"/>
      <c r="L933" s="730"/>
      <c r="M933" s="730"/>
      <c r="N933" s="571"/>
      <c r="O933" s="571"/>
      <c r="P933" s="571"/>
      <c r="Q933" s="571"/>
      <c r="R933" s="571"/>
      <c r="S933" s="571"/>
      <c r="T933" s="571"/>
      <c r="U933" s="571"/>
      <c r="V933" s="571"/>
      <c r="W933" s="571"/>
      <c r="X933" s="571"/>
      <c r="Y933" s="571"/>
      <c r="Z933" s="571"/>
      <c r="AA933" s="571"/>
      <c r="AB933" s="571"/>
      <c r="AC933" s="571"/>
      <c r="AD933" s="571"/>
      <c r="AE933" s="571"/>
      <c r="AF933" s="571"/>
      <c r="AG933" s="690"/>
      <c r="AH933" s="691"/>
    </row>
    <row r="934">
      <c r="A934" s="568"/>
      <c r="B934" s="730"/>
      <c r="C934" s="730"/>
      <c r="D934" s="730"/>
      <c r="E934" s="730"/>
      <c r="F934" s="730"/>
      <c r="G934" s="730"/>
      <c r="H934" s="730"/>
      <c r="I934" s="730"/>
      <c r="J934" s="730"/>
      <c r="K934" s="730"/>
      <c r="L934" s="730"/>
      <c r="M934" s="730"/>
      <c r="N934" s="571"/>
      <c r="O934" s="571"/>
      <c r="P934" s="571"/>
      <c r="Q934" s="571"/>
      <c r="R934" s="571"/>
      <c r="S934" s="571"/>
      <c r="T934" s="571"/>
      <c r="U934" s="571"/>
      <c r="V934" s="571"/>
      <c r="W934" s="571"/>
      <c r="X934" s="571"/>
      <c r="Y934" s="571"/>
      <c r="Z934" s="571"/>
      <c r="AA934" s="571"/>
      <c r="AB934" s="571"/>
      <c r="AC934" s="571"/>
      <c r="AD934" s="571"/>
      <c r="AE934" s="571"/>
      <c r="AF934" s="571"/>
      <c r="AG934" s="690"/>
      <c r="AH934" s="691"/>
    </row>
    <row r="935">
      <c r="A935" s="568"/>
      <c r="B935" s="730"/>
      <c r="C935" s="730"/>
      <c r="D935" s="730"/>
      <c r="E935" s="730"/>
      <c r="F935" s="730"/>
      <c r="G935" s="730"/>
      <c r="H935" s="730"/>
      <c r="I935" s="730"/>
      <c r="J935" s="730"/>
      <c r="K935" s="730"/>
      <c r="L935" s="730"/>
      <c r="M935" s="730"/>
      <c r="N935" s="571"/>
      <c r="O935" s="571"/>
      <c r="P935" s="571"/>
      <c r="Q935" s="571"/>
      <c r="R935" s="571"/>
      <c r="S935" s="571"/>
      <c r="T935" s="571"/>
      <c r="U935" s="571"/>
      <c r="V935" s="571"/>
      <c r="W935" s="571"/>
      <c r="X935" s="571"/>
      <c r="Y935" s="571"/>
      <c r="Z935" s="571"/>
      <c r="AA935" s="571"/>
      <c r="AB935" s="571"/>
      <c r="AC935" s="571"/>
      <c r="AD935" s="571"/>
      <c r="AE935" s="571"/>
      <c r="AF935" s="571"/>
      <c r="AG935" s="690"/>
      <c r="AH935" s="691"/>
    </row>
    <row r="936">
      <c r="A936" s="568"/>
      <c r="B936" s="730"/>
      <c r="C936" s="730"/>
      <c r="D936" s="730"/>
      <c r="E936" s="730"/>
      <c r="F936" s="730"/>
      <c r="G936" s="730"/>
      <c r="H936" s="730"/>
      <c r="I936" s="730"/>
      <c r="J936" s="730"/>
      <c r="K936" s="730"/>
      <c r="L936" s="730"/>
      <c r="M936" s="730"/>
      <c r="N936" s="571"/>
      <c r="O936" s="571"/>
      <c r="P936" s="571"/>
      <c r="Q936" s="571"/>
      <c r="R936" s="571"/>
      <c r="S936" s="571"/>
      <c r="T936" s="571"/>
      <c r="U936" s="571"/>
      <c r="V936" s="571"/>
      <c r="W936" s="571"/>
      <c r="X936" s="571"/>
      <c r="Y936" s="571"/>
      <c r="Z936" s="571"/>
      <c r="AA936" s="571"/>
      <c r="AB936" s="571"/>
      <c r="AC936" s="571"/>
      <c r="AD936" s="571"/>
      <c r="AE936" s="571"/>
      <c r="AF936" s="571"/>
      <c r="AG936" s="690"/>
      <c r="AH936" s="691"/>
    </row>
    <row r="937">
      <c r="A937" s="568"/>
      <c r="B937" s="730"/>
      <c r="C937" s="730"/>
      <c r="D937" s="730"/>
      <c r="E937" s="730"/>
      <c r="F937" s="730"/>
      <c r="G937" s="730"/>
      <c r="H937" s="730"/>
      <c r="I937" s="730"/>
      <c r="J937" s="730"/>
      <c r="K937" s="730"/>
      <c r="L937" s="730"/>
      <c r="M937" s="730"/>
      <c r="N937" s="571"/>
      <c r="O937" s="571"/>
      <c r="P937" s="571"/>
      <c r="Q937" s="571"/>
      <c r="R937" s="571"/>
      <c r="S937" s="571"/>
      <c r="T937" s="571"/>
      <c r="U937" s="571"/>
      <c r="V937" s="571"/>
      <c r="W937" s="571"/>
      <c r="X937" s="571"/>
      <c r="Y937" s="571"/>
      <c r="Z937" s="571"/>
      <c r="AA937" s="571"/>
      <c r="AB937" s="571"/>
      <c r="AC937" s="571"/>
      <c r="AD937" s="571"/>
      <c r="AE937" s="571"/>
      <c r="AF937" s="571"/>
      <c r="AG937" s="690"/>
      <c r="AH937" s="691"/>
    </row>
    <row r="938">
      <c r="A938" s="568"/>
      <c r="B938" s="730"/>
      <c r="C938" s="730"/>
      <c r="D938" s="730"/>
      <c r="E938" s="730"/>
      <c r="F938" s="730"/>
      <c r="G938" s="730"/>
      <c r="H938" s="730"/>
      <c r="I938" s="730"/>
      <c r="J938" s="730"/>
      <c r="K938" s="730"/>
      <c r="L938" s="730"/>
      <c r="M938" s="730"/>
      <c r="N938" s="571"/>
      <c r="O938" s="571"/>
      <c r="P938" s="571"/>
      <c r="Q938" s="571"/>
      <c r="R938" s="571"/>
      <c r="S938" s="571"/>
      <c r="T938" s="571"/>
      <c r="U938" s="571"/>
      <c r="V938" s="571"/>
      <c r="W938" s="571"/>
      <c r="X938" s="571"/>
      <c r="Y938" s="571"/>
      <c r="Z938" s="571"/>
      <c r="AA938" s="571"/>
      <c r="AB938" s="571"/>
      <c r="AC938" s="571"/>
      <c r="AD938" s="571"/>
      <c r="AE938" s="571"/>
      <c r="AF938" s="571"/>
      <c r="AG938" s="690"/>
      <c r="AH938" s="691"/>
    </row>
    <row r="939">
      <c r="A939" s="568"/>
      <c r="B939" s="730"/>
      <c r="C939" s="730"/>
      <c r="D939" s="730"/>
      <c r="E939" s="730"/>
      <c r="F939" s="730"/>
      <c r="G939" s="730"/>
      <c r="H939" s="730"/>
      <c r="I939" s="730"/>
      <c r="J939" s="730"/>
      <c r="K939" s="730"/>
      <c r="L939" s="730"/>
      <c r="M939" s="730"/>
      <c r="N939" s="571"/>
      <c r="O939" s="571"/>
      <c r="P939" s="571"/>
      <c r="Q939" s="571"/>
      <c r="R939" s="571"/>
      <c r="S939" s="571"/>
      <c r="T939" s="571"/>
      <c r="U939" s="571"/>
      <c r="V939" s="571"/>
      <c r="W939" s="571"/>
      <c r="X939" s="571"/>
      <c r="Y939" s="571"/>
      <c r="Z939" s="571"/>
      <c r="AA939" s="571"/>
      <c r="AB939" s="571"/>
      <c r="AC939" s="571"/>
      <c r="AD939" s="571"/>
      <c r="AE939" s="571"/>
      <c r="AF939" s="571"/>
      <c r="AG939" s="690"/>
      <c r="AH939" s="691"/>
    </row>
    <row r="940">
      <c r="A940" s="568"/>
      <c r="B940" s="730"/>
      <c r="C940" s="730"/>
      <c r="D940" s="730"/>
      <c r="E940" s="730"/>
      <c r="F940" s="730"/>
      <c r="G940" s="730"/>
      <c r="H940" s="730"/>
      <c r="I940" s="730"/>
      <c r="J940" s="730"/>
      <c r="K940" s="730"/>
      <c r="L940" s="730"/>
      <c r="M940" s="730"/>
      <c r="N940" s="571"/>
      <c r="O940" s="571"/>
      <c r="P940" s="571"/>
      <c r="Q940" s="571"/>
      <c r="R940" s="571"/>
      <c r="S940" s="571"/>
      <c r="T940" s="571"/>
      <c r="U940" s="571"/>
      <c r="V940" s="571"/>
      <c r="W940" s="571"/>
      <c r="X940" s="571"/>
      <c r="Y940" s="571"/>
      <c r="Z940" s="571"/>
      <c r="AA940" s="571"/>
      <c r="AB940" s="571"/>
      <c r="AC940" s="571"/>
      <c r="AD940" s="571"/>
      <c r="AE940" s="571"/>
      <c r="AF940" s="571"/>
      <c r="AG940" s="690"/>
      <c r="AH940" s="691"/>
    </row>
    <row r="941">
      <c r="A941" s="568"/>
      <c r="B941" s="730"/>
      <c r="C941" s="730"/>
      <c r="D941" s="730"/>
      <c r="E941" s="730"/>
      <c r="F941" s="730"/>
      <c r="G941" s="730"/>
      <c r="H941" s="730"/>
      <c r="I941" s="730"/>
      <c r="J941" s="730"/>
      <c r="K941" s="730"/>
      <c r="L941" s="730"/>
      <c r="M941" s="730"/>
      <c r="N941" s="571"/>
      <c r="O941" s="571"/>
      <c r="P941" s="571"/>
      <c r="Q941" s="571"/>
      <c r="R941" s="571"/>
      <c r="S941" s="571"/>
      <c r="T941" s="571"/>
      <c r="U941" s="571"/>
      <c r="V941" s="571"/>
      <c r="W941" s="571"/>
      <c r="X941" s="571"/>
      <c r="Y941" s="571"/>
      <c r="Z941" s="571"/>
      <c r="AA941" s="571"/>
      <c r="AB941" s="571"/>
      <c r="AC941" s="571"/>
      <c r="AD941" s="571"/>
      <c r="AE941" s="571"/>
      <c r="AF941" s="571"/>
      <c r="AG941" s="690"/>
      <c r="AH941" s="691"/>
    </row>
    <row r="942">
      <c r="A942" s="568"/>
      <c r="B942" s="730"/>
      <c r="C942" s="730"/>
      <c r="D942" s="730"/>
      <c r="E942" s="730"/>
      <c r="F942" s="730"/>
      <c r="G942" s="730"/>
      <c r="H942" s="730"/>
      <c r="I942" s="730"/>
      <c r="J942" s="730"/>
      <c r="K942" s="730"/>
      <c r="L942" s="730"/>
      <c r="M942" s="730"/>
      <c r="N942" s="571"/>
      <c r="O942" s="571"/>
      <c r="P942" s="571"/>
      <c r="Q942" s="571"/>
      <c r="R942" s="571"/>
      <c r="S942" s="571"/>
      <c r="T942" s="571"/>
      <c r="U942" s="571"/>
      <c r="V942" s="571"/>
      <c r="W942" s="571"/>
      <c r="X942" s="571"/>
      <c r="Y942" s="571"/>
      <c r="Z942" s="571"/>
      <c r="AA942" s="571"/>
      <c r="AB942" s="571"/>
      <c r="AC942" s="571"/>
      <c r="AD942" s="571"/>
      <c r="AE942" s="571"/>
      <c r="AF942" s="571"/>
      <c r="AG942" s="690"/>
      <c r="AH942" s="691"/>
    </row>
    <row r="943">
      <c r="A943" s="568"/>
      <c r="B943" s="730"/>
      <c r="C943" s="730"/>
      <c r="D943" s="730"/>
      <c r="E943" s="730"/>
      <c r="F943" s="730"/>
      <c r="G943" s="730"/>
      <c r="H943" s="730"/>
      <c r="I943" s="730"/>
      <c r="J943" s="730"/>
      <c r="K943" s="730"/>
      <c r="L943" s="730"/>
      <c r="M943" s="730"/>
      <c r="N943" s="571"/>
      <c r="O943" s="571"/>
      <c r="P943" s="571"/>
      <c r="Q943" s="571"/>
      <c r="R943" s="571"/>
      <c r="S943" s="571"/>
      <c r="T943" s="571"/>
      <c r="U943" s="571"/>
      <c r="V943" s="571"/>
      <c r="W943" s="571"/>
      <c r="X943" s="571"/>
      <c r="Y943" s="571"/>
      <c r="Z943" s="571"/>
      <c r="AA943" s="571"/>
      <c r="AB943" s="571"/>
      <c r="AC943" s="571"/>
      <c r="AD943" s="571"/>
      <c r="AE943" s="571"/>
      <c r="AF943" s="571"/>
      <c r="AG943" s="690"/>
      <c r="AH943" s="691"/>
    </row>
    <row r="944">
      <c r="A944" s="568"/>
      <c r="B944" s="730"/>
      <c r="C944" s="730"/>
      <c r="D944" s="730"/>
      <c r="E944" s="730"/>
      <c r="F944" s="730"/>
      <c r="G944" s="730"/>
      <c r="H944" s="730"/>
      <c r="I944" s="730"/>
      <c r="J944" s="730"/>
      <c r="K944" s="730"/>
      <c r="L944" s="730"/>
      <c r="M944" s="730"/>
      <c r="N944" s="571"/>
      <c r="O944" s="571"/>
      <c r="P944" s="571"/>
      <c r="Q944" s="571"/>
      <c r="R944" s="571"/>
      <c r="S944" s="571"/>
      <c r="T944" s="571"/>
      <c r="U944" s="571"/>
      <c r="V944" s="571"/>
      <c r="W944" s="571"/>
      <c r="X944" s="571"/>
      <c r="Y944" s="571"/>
      <c r="Z944" s="571"/>
      <c r="AA944" s="571"/>
      <c r="AB944" s="571"/>
      <c r="AC944" s="571"/>
      <c r="AD944" s="571"/>
      <c r="AE944" s="571"/>
      <c r="AF944" s="571"/>
      <c r="AG944" s="690"/>
      <c r="AH944" s="691"/>
    </row>
    <row r="945">
      <c r="A945" s="568"/>
      <c r="B945" s="730"/>
      <c r="C945" s="730"/>
      <c r="D945" s="730"/>
      <c r="E945" s="730"/>
      <c r="F945" s="730"/>
      <c r="G945" s="730"/>
      <c r="H945" s="730"/>
      <c r="I945" s="730"/>
      <c r="J945" s="730"/>
      <c r="K945" s="730"/>
      <c r="L945" s="730"/>
      <c r="M945" s="730"/>
      <c r="N945" s="571"/>
      <c r="O945" s="571"/>
      <c r="P945" s="571"/>
      <c r="Q945" s="571"/>
      <c r="R945" s="571"/>
      <c r="S945" s="571"/>
      <c r="T945" s="571"/>
      <c r="U945" s="571"/>
      <c r="V945" s="571"/>
      <c r="W945" s="571"/>
      <c r="X945" s="571"/>
      <c r="Y945" s="571"/>
      <c r="Z945" s="571"/>
      <c r="AA945" s="571"/>
      <c r="AB945" s="571"/>
      <c r="AC945" s="571"/>
      <c r="AD945" s="571"/>
      <c r="AE945" s="571"/>
      <c r="AF945" s="571"/>
      <c r="AG945" s="690"/>
      <c r="AH945" s="691"/>
    </row>
    <row r="946">
      <c r="A946" s="568"/>
      <c r="B946" s="730"/>
      <c r="C946" s="730"/>
      <c r="D946" s="730"/>
      <c r="E946" s="730"/>
      <c r="F946" s="730"/>
      <c r="G946" s="730"/>
      <c r="H946" s="730"/>
      <c r="I946" s="730"/>
      <c r="J946" s="730"/>
      <c r="K946" s="730"/>
      <c r="L946" s="730"/>
      <c r="M946" s="730"/>
      <c r="N946" s="571"/>
      <c r="O946" s="571"/>
      <c r="P946" s="571"/>
      <c r="Q946" s="571"/>
      <c r="R946" s="571"/>
      <c r="S946" s="571"/>
      <c r="T946" s="571"/>
      <c r="U946" s="571"/>
      <c r="V946" s="571"/>
      <c r="W946" s="571"/>
      <c r="X946" s="571"/>
      <c r="Y946" s="571"/>
      <c r="Z946" s="571"/>
      <c r="AA946" s="571"/>
      <c r="AB946" s="571"/>
      <c r="AC946" s="571"/>
      <c r="AD946" s="571"/>
      <c r="AE946" s="571"/>
      <c r="AF946" s="571"/>
      <c r="AG946" s="690"/>
      <c r="AH946" s="691"/>
    </row>
    <row r="947">
      <c r="A947" s="568"/>
      <c r="B947" s="730"/>
      <c r="C947" s="730"/>
      <c r="D947" s="730"/>
      <c r="E947" s="730"/>
      <c r="F947" s="730"/>
      <c r="G947" s="730"/>
      <c r="H947" s="730"/>
      <c r="I947" s="730"/>
      <c r="J947" s="730"/>
      <c r="K947" s="730"/>
      <c r="L947" s="730"/>
      <c r="M947" s="730"/>
      <c r="N947" s="571"/>
      <c r="O947" s="571"/>
      <c r="P947" s="571"/>
      <c r="Q947" s="571"/>
      <c r="R947" s="571"/>
      <c r="S947" s="571"/>
      <c r="T947" s="571"/>
      <c r="U947" s="571"/>
      <c r="V947" s="571"/>
      <c r="W947" s="571"/>
      <c r="X947" s="571"/>
      <c r="Y947" s="571"/>
      <c r="Z947" s="571"/>
      <c r="AA947" s="571"/>
      <c r="AB947" s="571"/>
      <c r="AC947" s="571"/>
      <c r="AD947" s="571"/>
      <c r="AE947" s="571"/>
      <c r="AF947" s="571"/>
      <c r="AG947" s="690"/>
      <c r="AH947" s="691"/>
    </row>
    <row r="948">
      <c r="A948" s="568"/>
      <c r="B948" s="730"/>
      <c r="C948" s="730"/>
      <c r="D948" s="730"/>
      <c r="E948" s="730"/>
      <c r="F948" s="730"/>
      <c r="G948" s="730"/>
      <c r="H948" s="730"/>
      <c r="I948" s="730"/>
      <c r="J948" s="730"/>
      <c r="K948" s="730"/>
      <c r="L948" s="730"/>
      <c r="M948" s="730"/>
      <c r="N948" s="571"/>
      <c r="O948" s="571"/>
      <c r="P948" s="571"/>
      <c r="Q948" s="571"/>
      <c r="R948" s="571"/>
      <c r="S948" s="571"/>
      <c r="T948" s="571"/>
      <c r="U948" s="571"/>
      <c r="V948" s="571"/>
      <c r="W948" s="571"/>
      <c r="X948" s="571"/>
      <c r="Y948" s="571"/>
      <c r="Z948" s="571"/>
      <c r="AA948" s="571"/>
      <c r="AB948" s="571"/>
      <c r="AC948" s="571"/>
      <c r="AD948" s="571"/>
      <c r="AE948" s="571"/>
      <c r="AF948" s="571"/>
      <c r="AG948" s="690"/>
      <c r="AH948" s="691"/>
    </row>
    <row r="949">
      <c r="A949" s="568"/>
      <c r="B949" s="730"/>
      <c r="C949" s="730"/>
      <c r="D949" s="730"/>
      <c r="E949" s="730"/>
      <c r="F949" s="730"/>
      <c r="G949" s="730"/>
      <c r="H949" s="730"/>
      <c r="I949" s="730"/>
      <c r="J949" s="730"/>
      <c r="K949" s="730"/>
      <c r="L949" s="730"/>
      <c r="M949" s="730"/>
      <c r="N949" s="571"/>
      <c r="O949" s="571"/>
      <c r="P949" s="571"/>
      <c r="Q949" s="571"/>
      <c r="R949" s="571"/>
      <c r="S949" s="571"/>
      <c r="T949" s="571"/>
      <c r="U949" s="571"/>
      <c r="V949" s="571"/>
      <c r="W949" s="571"/>
      <c r="X949" s="571"/>
      <c r="Y949" s="571"/>
      <c r="Z949" s="571"/>
      <c r="AA949" s="571"/>
      <c r="AB949" s="571"/>
      <c r="AC949" s="571"/>
      <c r="AD949" s="571"/>
      <c r="AE949" s="571"/>
      <c r="AF949" s="571"/>
      <c r="AG949" s="690"/>
      <c r="AH949" s="691"/>
    </row>
    <row r="950">
      <c r="A950" s="568"/>
      <c r="B950" s="730"/>
      <c r="C950" s="730"/>
      <c r="D950" s="730"/>
      <c r="E950" s="730"/>
      <c r="F950" s="730"/>
      <c r="G950" s="730"/>
      <c r="H950" s="730"/>
      <c r="I950" s="730"/>
      <c r="J950" s="730"/>
      <c r="K950" s="730"/>
      <c r="L950" s="730"/>
      <c r="M950" s="730"/>
      <c r="N950" s="571"/>
      <c r="O950" s="571"/>
      <c r="P950" s="571"/>
      <c r="Q950" s="571"/>
      <c r="R950" s="571"/>
      <c r="S950" s="571"/>
      <c r="T950" s="571"/>
      <c r="U950" s="571"/>
      <c r="V950" s="571"/>
      <c r="W950" s="571"/>
      <c r="X950" s="571"/>
      <c r="Y950" s="571"/>
      <c r="Z950" s="571"/>
      <c r="AA950" s="571"/>
      <c r="AB950" s="571"/>
      <c r="AC950" s="571"/>
      <c r="AD950" s="571"/>
      <c r="AE950" s="571"/>
      <c r="AF950" s="571"/>
      <c r="AG950" s="690"/>
      <c r="AH950" s="691"/>
    </row>
    <row r="951">
      <c r="A951" s="568"/>
      <c r="B951" s="730"/>
      <c r="C951" s="730"/>
      <c r="D951" s="730"/>
      <c r="E951" s="730"/>
      <c r="F951" s="730"/>
      <c r="G951" s="730"/>
      <c r="H951" s="730"/>
      <c r="I951" s="730"/>
      <c r="J951" s="730"/>
      <c r="K951" s="730"/>
      <c r="L951" s="730"/>
      <c r="M951" s="730"/>
      <c r="N951" s="571"/>
      <c r="O951" s="571"/>
      <c r="P951" s="571"/>
      <c r="Q951" s="571"/>
      <c r="R951" s="571"/>
      <c r="S951" s="571"/>
      <c r="T951" s="571"/>
      <c r="U951" s="571"/>
      <c r="V951" s="571"/>
      <c r="W951" s="571"/>
      <c r="X951" s="571"/>
      <c r="Y951" s="571"/>
      <c r="Z951" s="571"/>
      <c r="AA951" s="571"/>
      <c r="AB951" s="571"/>
      <c r="AC951" s="571"/>
      <c r="AD951" s="571"/>
      <c r="AE951" s="571"/>
      <c r="AF951" s="571"/>
      <c r="AG951" s="690"/>
      <c r="AH951" s="691"/>
    </row>
    <row r="952">
      <c r="A952" s="568"/>
      <c r="B952" s="730"/>
      <c r="C952" s="730"/>
      <c r="D952" s="730"/>
      <c r="E952" s="730"/>
      <c r="F952" s="730"/>
      <c r="G952" s="730"/>
      <c r="H952" s="730"/>
      <c r="I952" s="730"/>
      <c r="J952" s="730"/>
      <c r="K952" s="730"/>
      <c r="L952" s="730"/>
      <c r="M952" s="730"/>
      <c r="N952" s="571"/>
      <c r="O952" s="571"/>
      <c r="P952" s="571"/>
      <c r="Q952" s="571"/>
      <c r="R952" s="571"/>
      <c r="S952" s="571"/>
      <c r="T952" s="571"/>
      <c r="U952" s="571"/>
      <c r="V952" s="571"/>
      <c r="W952" s="571"/>
      <c r="X952" s="571"/>
      <c r="Y952" s="571"/>
      <c r="Z952" s="571"/>
      <c r="AA952" s="571"/>
      <c r="AB952" s="571"/>
      <c r="AC952" s="571"/>
      <c r="AD952" s="571"/>
      <c r="AE952" s="571"/>
      <c r="AF952" s="571"/>
      <c r="AG952" s="690"/>
      <c r="AH952" s="691"/>
    </row>
    <row r="953">
      <c r="A953" s="568"/>
      <c r="B953" s="730"/>
      <c r="C953" s="730"/>
      <c r="D953" s="730"/>
      <c r="E953" s="730"/>
      <c r="F953" s="730"/>
      <c r="G953" s="730"/>
      <c r="H953" s="730"/>
      <c r="I953" s="730"/>
      <c r="J953" s="730"/>
      <c r="K953" s="730"/>
      <c r="L953" s="730"/>
      <c r="M953" s="730"/>
      <c r="N953" s="571"/>
      <c r="O953" s="571"/>
      <c r="P953" s="571"/>
      <c r="Q953" s="571"/>
      <c r="R953" s="571"/>
      <c r="S953" s="571"/>
      <c r="T953" s="571"/>
      <c r="U953" s="571"/>
      <c r="V953" s="571"/>
      <c r="W953" s="571"/>
      <c r="X953" s="571"/>
      <c r="Y953" s="571"/>
      <c r="Z953" s="571"/>
      <c r="AA953" s="571"/>
      <c r="AB953" s="571"/>
      <c r="AC953" s="571"/>
      <c r="AD953" s="571"/>
      <c r="AE953" s="571"/>
      <c r="AF953" s="571"/>
      <c r="AG953" s="690"/>
      <c r="AH953" s="691"/>
    </row>
    <row r="954">
      <c r="A954" s="568"/>
      <c r="B954" s="730"/>
      <c r="C954" s="730"/>
      <c r="D954" s="730"/>
      <c r="E954" s="730"/>
      <c r="F954" s="730"/>
      <c r="G954" s="730"/>
      <c r="H954" s="730"/>
      <c r="I954" s="730"/>
      <c r="J954" s="730"/>
      <c r="K954" s="730"/>
      <c r="L954" s="730"/>
      <c r="M954" s="730"/>
      <c r="N954" s="571"/>
      <c r="O954" s="571"/>
      <c r="P954" s="571"/>
      <c r="Q954" s="571"/>
      <c r="R954" s="571"/>
      <c r="S954" s="571"/>
      <c r="T954" s="571"/>
      <c r="U954" s="571"/>
      <c r="V954" s="571"/>
      <c r="W954" s="571"/>
      <c r="X954" s="571"/>
      <c r="Y954" s="571"/>
      <c r="Z954" s="571"/>
      <c r="AA954" s="571"/>
      <c r="AB954" s="571"/>
      <c r="AC954" s="571"/>
      <c r="AD954" s="571"/>
      <c r="AE954" s="571"/>
      <c r="AF954" s="571"/>
      <c r="AG954" s="690"/>
      <c r="AH954" s="691"/>
    </row>
    <row r="955">
      <c r="A955" s="568"/>
      <c r="B955" s="730"/>
      <c r="C955" s="730"/>
      <c r="D955" s="730"/>
      <c r="E955" s="730"/>
      <c r="F955" s="730"/>
      <c r="G955" s="730"/>
      <c r="H955" s="730"/>
      <c r="I955" s="730"/>
      <c r="J955" s="730"/>
      <c r="K955" s="730"/>
      <c r="L955" s="730"/>
      <c r="M955" s="730"/>
      <c r="N955" s="571"/>
      <c r="O955" s="571"/>
      <c r="P955" s="571"/>
      <c r="Q955" s="571"/>
      <c r="R955" s="571"/>
      <c r="S955" s="571"/>
      <c r="T955" s="571"/>
      <c r="U955" s="571"/>
      <c r="V955" s="571"/>
      <c r="W955" s="571"/>
      <c r="X955" s="571"/>
      <c r="Y955" s="571"/>
      <c r="Z955" s="571"/>
      <c r="AA955" s="571"/>
      <c r="AB955" s="571"/>
      <c r="AC955" s="571"/>
      <c r="AD955" s="571"/>
      <c r="AE955" s="571"/>
      <c r="AF955" s="571"/>
      <c r="AG955" s="690"/>
      <c r="AH955" s="691"/>
    </row>
    <row r="956">
      <c r="A956" s="568"/>
      <c r="B956" s="730"/>
      <c r="C956" s="730"/>
      <c r="D956" s="730"/>
      <c r="E956" s="730"/>
      <c r="F956" s="730"/>
      <c r="G956" s="730"/>
      <c r="H956" s="730"/>
      <c r="I956" s="730"/>
      <c r="J956" s="730"/>
      <c r="K956" s="730"/>
      <c r="L956" s="730"/>
      <c r="M956" s="730"/>
      <c r="N956" s="571"/>
      <c r="O956" s="571"/>
      <c r="P956" s="571"/>
      <c r="Q956" s="571"/>
      <c r="R956" s="571"/>
      <c r="S956" s="571"/>
      <c r="T956" s="571"/>
      <c r="U956" s="571"/>
      <c r="V956" s="571"/>
      <c r="W956" s="571"/>
      <c r="X956" s="571"/>
      <c r="Y956" s="571"/>
      <c r="Z956" s="571"/>
      <c r="AA956" s="571"/>
      <c r="AB956" s="571"/>
      <c r="AC956" s="571"/>
      <c r="AD956" s="571"/>
      <c r="AE956" s="571"/>
      <c r="AF956" s="571"/>
      <c r="AG956" s="690"/>
      <c r="AH956" s="691"/>
    </row>
    <row r="957">
      <c r="A957" s="568"/>
      <c r="B957" s="730"/>
      <c r="C957" s="730"/>
      <c r="D957" s="730"/>
      <c r="E957" s="730"/>
      <c r="F957" s="730"/>
      <c r="G957" s="730"/>
      <c r="H957" s="730"/>
      <c r="I957" s="730"/>
      <c r="J957" s="730"/>
      <c r="K957" s="730"/>
      <c r="L957" s="730"/>
      <c r="M957" s="730"/>
      <c r="N957" s="571"/>
      <c r="O957" s="571"/>
      <c r="P957" s="571"/>
      <c r="Q957" s="571"/>
      <c r="R957" s="571"/>
      <c r="S957" s="571"/>
      <c r="T957" s="571"/>
      <c r="U957" s="571"/>
      <c r="V957" s="571"/>
      <c r="W957" s="571"/>
      <c r="X957" s="571"/>
      <c r="Y957" s="571"/>
      <c r="Z957" s="571"/>
      <c r="AA957" s="571"/>
      <c r="AB957" s="571"/>
      <c r="AC957" s="571"/>
      <c r="AD957" s="571"/>
      <c r="AE957" s="571"/>
      <c r="AF957" s="571"/>
      <c r="AG957" s="690"/>
      <c r="AH957" s="691"/>
    </row>
    <row r="958">
      <c r="A958" s="568"/>
      <c r="B958" s="730"/>
      <c r="C958" s="730"/>
      <c r="D958" s="730"/>
      <c r="E958" s="730"/>
      <c r="F958" s="730"/>
      <c r="G958" s="730"/>
      <c r="H958" s="730"/>
      <c r="I958" s="730"/>
      <c r="J958" s="730"/>
      <c r="K958" s="730"/>
      <c r="L958" s="730"/>
      <c r="M958" s="730"/>
      <c r="N958" s="571"/>
      <c r="O958" s="571"/>
      <c r="P958" s="571"/>
      <c r="Q958" s="571"/>
      <c r="R958" s="571"/>
      <c r="S958" s="571"/>
      <c r="T958" s="571"/>
      <c r="U958" s="571"/>
      <c r="V958" s="571"/>
      <c r="W958" s="571"/>
      <c r="X958" s="571"/>
      <c r="Y958" s="571"/>
      <c r="Z958" s="571"/>
      <c r="AA958" s="571"/>
      <c r="AB958" s="571"/>
      <c r="AC958" s="571"/>
      <c r="AD958" s="571"/>
      <c r="AE958" s="571"/>
      <c r="AF958" s="571"/>
      <c r="AG958" s="690"/>
      <c r="AH958" s="691"/>
    </row>
    <row r="959">
      <c r="A959" s="568"/>
      <c r="B959" s="730"/>
      <c r="C959" s="730"/>
      <c r="D959" s="730"/>
      <c r="E959" s="730"/>
      <c r="F959" s="730"/>
      <c r="G959" s="730"/>
      <c r="H959" s="730"/>
      <c r="I959" s="730"/>
      <c r="J959" s="730"/>
      <c r="K959" s="730"/>
      <c r="L959" s="730"/>
      <c r="M959" s="730"/>
      <c r="N959" s="571"/>
      <c r="O959" s="571"/>
      <c r="P959" s="571"/>
      <c r="Q959" s="571"/>
      <c r="R959" s="571"/>
      <c r="S959" s="571"/>
      <c r="T959" s="571"/>
      <c r="U959" s="571"/>
      <c r="V959" s="571"/>
      <c r="W959" s="571"/>
      <c r="X959" s="571"/>
      <c r="Y959" s="571"/>
      <c r="Z959" s="571"/>
      <c r="AA959" s="571"/>
      <c r="AB959" s="571"/>
      <c r="AC959" s="571"/>
      <c r="AD959" s="571"/>
      <c r="AE959" s="571"/>
      <c r="AF959" s="571"/>
      <c r="AG959" s="690"/>
      <c r="AH959" s="691"/>
    </row>
    <row r="960">
      <c r="A960" s="568"/>
      <c r="B960" s="730"/>
      <c r="C960" s="730"/>
      <c r="D960" s="730"/>
      <c r="E960" s="730"/>
      <c r="F960" s="730"/>
      <c r="G960" s="730"/>
      <c r="H960" s="730"/>
      <c r="I960" s="730"/>
      <c r="J960" s="730"/>
      <c r="K960" s="730"/>
      <c r="L960" s="730"/>
      <c r="M960" s="730"/>
      <c r="N960" s="571"/>
      <c r="O960" s="571"/>
      <c r="P960" s="571"/>
      <c r="Q960" s="571"/>
      <c r="R960" s="571"/>
      <c r="S960" s="571"/>
      <c r="T960" s="571"/>
      <c r="U960" s="571"/>
      <c r="V960" s="571"/>
      <c r="W960" s="571"/>
      <c r="X960" s="571"/>
      <c r="Y960" s="571"/>
      <c r="Z960" s="571"/>
      <c r="AA960" s="571"/>
      <c r="AB960" s="571"/>
      <c r="AC960" s="571"/>
      <c r="AD960" s="571"/>
      <c r="AE960" s="571"/>
      <c r="AF960" s="571"/>
      <c r="AG960" s="690"/>
      <c r="AH960" s="691"/>
    </row>
    <row r="961">
      <c r="A961" s="568"/>
      <c r="B961" s="730"/>
      <c r="C961" s="730"/>
      <c r="D961" s="730"/>
      <c r="E961" s="730"/>
      <c r="F961" s="730"/>
      <c r="G961" s="730"/>
      <c r="H961" s="730"/>
      <c r="I961" s="730"/>
      <c r="J961" s="730"/>
      <c r="K961" s="730"/>
      <c r="L961" s="730"/>
      <c r="M961" s="730"/>
      <c r="N961" s="571"/>
      <c r="O961" s="571"/>
      <c r="P961" s="571"/>
      <c r="Q961" s="571"/>
      <c r="R961" s="571"/>
      <c r="S961" s="571"/>
      <c r="T961" s="571"/>
      <c r="U961" s="571"/>
      <c r="V961" s="571"/>
      <c r="W961" s="571"/>
      <c r="X961" s="571"/>
      <c r="Y961" s="571"/>
      <c r="Z961" s="571"/>
      <c r="AA961" s="571"/>
      <c r="AB961" s="571"/>
      <c r="AC961" s="571"/>
      <c r="AD961" s="571"/>
      <c r="AE961" s="571"/>
      <c r="AF961" s="571"/>
      <c r="AG961" s="690"/>
      <c r="AH961" s="691"/>
    </row>
    <row r="962">
      <c r="A962" s="568"/>
      <c r="B962" s="730"/>
      <c r="C962" s="730"/>
      <c r="D962" s="730"/>
      <c r="E962" s="730"/>
      <c r="F962" s="730"/>
      <c r="G962" s="730"/>
      <c r="H962" s="730"/>
      <c r="I962" s="730"/>
      <c r="J962" s="730"/>
      <c r="K962" s="730"/>
      <c r="L962" s="730"/>
      <c r="M962" s="730"/>
      <c r="N962" s="571"/>
      <c r="O962" s="571"/>
      <c r="P962" s="571"/>
      <c r="Q962" s="571"/>
      <c r="R962" s="571"/>
      <c r="S962" s="571"/>
      <c r="T962" s="571"/>
      <c r="U962" s="571"/>
      <c r="V962" s="571"/>
      <c r="W962" s="571"/>
      <c r="X962" s="571"/>
      <c r="Y962" s="571"/>
      <c r="Z962" s="571"/>
      <c r="AA962" s="571"/>
      <c r="AB962" s="571"/>
      <c r="AC962" s="571"/>
      <c r="AD962" s="571"/>
      <c r="AE962" s="571"/>
      <c r="AF962" s="571"/>
      <c r="AG962" s="690"/>
      <c r="AH962" s="691"/>
    </row>
    <row r="963">
      <c r="A963" s="568"/>
      <c r="B963" s="730"/>
      <c r="C963" s="730"/>
      <c r="D963" s="730"/>
      <c r="E963" s="730"/>
      <c r="F963" s="730"/>
      <c r="G963" s="730"/>
      <c r="H963" s="730"/>
      <c r="I963" s="730"/>
      <c r="J963" s="730"/>
      <c r="K963" s="730"/>
      <c r="L963" s="730"/>
      <c r="M963" s="730"/>
      <c r="N963" s="571"/>
      <c r="O963" s="571"/>
      <c r="P963" s="571"/>
      <c r="Q963" s="571"/>
      <c r="R963" s="571"/>
      <c r="S963" s="571"/>
      <c r="T963" s="571"/>
      <c r="U963" s="571"/>
      <c r="V963" s="571"/>
      <c r="W963" s="571"/>
      <c r="X963" s="571"/>
      <c r="Y963" s="571"/>
      <c r="Z963" s="571"/>
      <c r="AA963" s="571"/>
      <c r="AB963" s="571"/>
      <c r="AC963" s="571"/>
      <c r="AD963" s="571"/>
      <c r="AE963" s="571"/>
      <c r="AF963" s="571"/>
      <c r="AG963" s="690"/>
      <c r="AH963" s="691"/>
    </row>
    <row r="964">
      <c r="A964" s="568"/>
      <c r="B964" s="730"/>
      <c r="C964" s="730"/>
      <c r="D964" s="730"/>
      <c r="E964" s="730"/>
      <c r="F964" s="730"/>
      <c r="G964" s="730"/>
      <c r="H964" s="730"/>
      <c r="I964" s="730"/>
      <c r="J964" s="730"/>
      <c r="K964" s="730"/>
      <c r="L964" s="730"/>
      <c r="M964" s="730"/>
      <c r="N964" s="571"/>
      <c r="O964" s="571"/>
      <c r="P964" s="571"/>
      <c r="Q964" s="571"/>
      <c r="R964" s="571"/>
      <c r="S964" s="571"/>
      <c r="T964" s="571"/>
      <c r="U964" s="571"/>
      <c r="V964" s="571"/>
      <c r="W964" s="571"/>
      <c r="X964" s="571"/>
      <c r="Y964" s="571"/>
      <c r="Z964" s="571"/>
      <c r="AA964" s="571"/>
      <c r="AB964" s="571"/>
      <c r="AC964" s="571"/>
      <c r="AD964" s="571"/>
      <c r="AE964" s="571"/>
      <c r="AF964" s="571"/>
      <c r="AG964" s="690"/>
      <c r="AH964" s="691"/>
    </row>
    <row r="965">
      <c r="A965" s="568"/>
      <c r="B965" s="730"/>
      <c r="C965" s="730"/>
      <c r="D965" s="730"/>
      <c r="E965" s="730"/>
      <c r="F965" s="730"/>
      <c r="G965" s="730"/>
      <c r="H965" s="730"/>
      <c r="I965" s="730"/>
      <c r="J965" s="730"/>
      <c r="K965" s="730"/>
      <c r="L965" s="730"/>
      <c r="M965" s="730"/>
      <c r="N965" s="571"/>
      <c r="O965" s="571"/>
      <c r="P965" s="571"/>
      <c r="Q965" s="571"/>
      <c r="R965" s="571"/>
      <c r="S965" s="571"/>
      <c r="T965" s="571"/>
      <c r="U965" s="571"/>
      <c r="V965" s="571"/>
      <c r="W965" s="571"/>
      <c r="X965" s="571"/>
      <c r="Y965" s="571"/>
      <c r="Z965" s="571"/>
      <c r="AA965" s="571"/>
      <c r="AB965" s="571"/>
      <c r="AC965" s="571"/>
      <c r="AD965" s="571"/>
      <c r="AE965" s="571"/>
      <c r="AF965" s="571"/>
      <c r="AG965" s="690"/>
      <c r="AH965" s="691"/>
    </row>
    <row r="966">
      <c r="A966" s="568"/>
      <c r="B966" s="730"/>
      <c r="C966" s="730"/>
      <c r="D966" s="730"/>
      <c r="E966" s="730"/>
      <c r="F966" s="730"/>
      <c r="G966" s="730"/>
      <c r="H966" s="730"/>
      <c r="I966" s="730"/>
      <c r="J966" s="730"/>
      <c r="K966" s="730"/>
      <c r="L966" s="730"/>
      <c r="M966" s="730"/>
      <c r="N966" s="571"/>
      <c r="O966" s="571"/>
      <c r="P966" s="571"/>
      <c r="Q966" s="571"/>
      <c r="R966" s="571"/>
      <c r="S966" s="571"/>
      <c r="T966" s="571"/>
      <c r="U966" s="571"/>
      <c r="V966" s="571"/>
      <c r="W966" s="571"/>
      <c r="X966" s="571"/>
      <c r="Y966" s="571"/>
      <c r="Z966" s="571"/>
      <c r="AA966" s="571"/>
      <c r="AB966" s="571"/>
      <c r="AC966" s="571"/>
      <c r="AD966" s="571"/>
      <c r="AE966" s="571"/>
      <c r="AF966" s="571"/>
      <c r="AG966" s="690"/>
      <c r="AH966" s="691"/>
    </row>
    <row r="967">
      <c r="A967" s="568"/>
      <c r="B967" s="730"/>
      <c r="C967" s="730"/>
      <c r="D967" s="730"/>
      <c r="E967" s="730"/>
      <c r="F967" s="730"/>
      <c r="G967" s="730"/>
      <c r="H967" s="730"/>
      <c r="I967" s="730"/>
      <c r="J967" s="730"/>
      <c r="K967" s="730"/>
      <c r="L967" s="730"/>
      <c r="M967" s="730"/>
      <c r="N967" s="571"/>
      <c r="O967" s="571"/>
      <c r="P967" s="571"/>
      <c r="Q967" s="571"/>
      <c r="R967" s="571"/>
      <c r="S967" s="571"/>
      <c r="T967" s="571"/>
      <c r="U967" s="571"/>
      <c r="V967" s="571"/>
      <c r="W967" s="571"/>
      <c r="X967" s="571"/>
      <c r="Y967" s="571"/>
      <c r="Z967" s="571"/>
      <c r="AA967" s="571"/>
      <c r="AB967" s="571"/>
      <c r="AC967" s="571"/>
      <c r="AD967" s="571"/>
      <c r="AE967" s="571"/>
      <c r="AF967" s="571"/>
      <c r="AG967" s="690"/>
      <c r="AH967" s="691"/>
    </row>
    <row r="968">
      <c r="A968" s="568"/>
      <c r="B968" s="730"/>
      <c r="C968" s="730"/>
      <c r="D968" s="730"/>
      <c r="E968" s="730"/>
      <c r="F968" s="730"/>
      <c r="G968" s="730"/>
      <c r="H968" s="730"/>
      <c r="I968" s="730"/>
      <c r="J968" s="730"/>
      <c r="K968" s="730"/>
      <c r="L968" s="730"/>
      <c r="M968" s="730"/>
      <c r="N968" s="571"/>
      <c r="O968" s="571"/>
      <c r="P968" s="571"/>
      <c r="Q968" s="571"/>
      <c r="R968" s="571"/>
      <c r="S968" s="571"/>
      <c r="T968" s="571"/>
      <c r="U968" s="571"/>
      <c r="V968" s="571"/>
      <c r="W968" s="571"/>
      <c r="X968" s="571"/>
      <c r="Y968" s="571"/>
      <c r="Z968" s="571"/>
      <c r="AA968" s="571"/>
      <c r="AB968" s="571"/>
      <c r="AC968" s="571"/>
      <c r="AD968" s="571"/>
      <c r="AE968" s="571"/>
      <c r="AF968" s="571"/>
      <c r="AG968" s="690"/>
      <c r="AH968" s="691"/>
    </row>
    <row r="969">
      <c r="A969" s="568"/>
      <c r="B969" s="730"/>
      <c r="C969" s="730"/>
      <c r="D969" s="730"/>
      <c r="E969" s="730"/>
      <c r="F969" s="730"/>
      <c r="G969" s="730"/>
      <c r="H969" s="730"/>
      <c r="I969" s="730"/>
      <c r="J969" s="730"/>
      <c r="K969" s="730"/>
      <c r="L969" s="730"/>
      <c r="M969" s="730"/>
      <c r="N969" s="571"/>
      <c r="O969" s="571"/>
      <c r="P969" s="571"/>
      <c r="Q969" s="571"/>
      <c r="R969" s="571"/>
      <c r="S969" s="571"/>
      <c r="T969" s="571"/>
      <c r="U969" s="571"/>
      <c r="V969" s="571"/>
      <c r="W969" s="571"/>
      <c r="X969" s="571"/>
      <c r="Y969" s="571"/>
      <c r="Z969" s="571"/>
      <c r="AA969" s="571"/>
      <c r="AB969" s="571"/>
      <c r="AC969" s="571"/>
      <c r="AD969" s="571"/>
      <c r="AE969" s="571"/>
      <c r="AF969" s="571"/>
      <c r="AG969" s="690"/>
      <c r="AH969" s="691"/>
    </row>
    <row r="970">
      <c r="A970" s="568"/>
      <c r="B970" s="730"/>
      <c r="C970" s="730"/>
      <c r="D970" s="730"/>
      <c r="E970" s="730"/>
      <c r="F970" s="730"/>
      <c r="G970" s="730"/>
      <c r="H970" s="730"/>
      <c r="I970" s="730"/>
      <c r="J970" s="730"/>
      <c r="K970" s="730"/>
      <c r="L970" s="730"/>
      <c r="M970" s="730"/>
      <c r="N970" s="571"/>
      <c r="O970" s="571"/>
      <c r="P970" s="571"/>
      <c r="Q970" s="571"/>
      <c r="R970" s="571"/>
      <c r="S970" s="571"/>
      <c r="T970" s="571"/>
      <c r="U970" s="571"/>
      <c r="V970" s="571"/>
      <c r="W970" s="571"/>
      <c r="X970" s="571"/>
      <c r="Y970" s="571"/>
      <c r="Z970" s="571"/>
      <c r="AA970" s="571"/>
      <c r="AB970" s="571"/>
      <c r="AC970" s="571"/>
      <c r="AD970" s="571"/>
      <c r="AE970" s="571"/>
      <c r="AF970" s="571"/>
      <c r="AG970" s="690"/>
      <c r="AH970" s="691"/>
    </row>
    <row r="971">
      <c r="A971" s="568"/>
      <c r="B971" s="730"/>
      <c r="C971" s="730"/>
      <c r="D971" s="730"/>
      <c r="E971" s="730"/>
      <c r="F971" s="730"/>
      <c r="G971" s="730"/>
      <c r="H971" s="730"/>
      <c r="I971" s="730"/>
      <c r="J971" s="730"/>
      <c r="K971" s="730"/>
      <c r="L971" s="730"/>
      <c r="M971" s="730"/>
      <c r="N971" s="571"/>
      <c r="O971" s="571"/>
      <c r="P971" s="571"/>
      <c r="Q971" s="571"/>
      <c r="R971" s="571"/>
      <c r="S971" s="571"/>
      <c r="T971" s="571"/>
      <c r="U971" s="571"/>
      <c r="V971" s="571"/>
      <c r="W971" s="571"/>
      <c r="X971" s="571"/>
      <c r="Y971" s="571"/>
      <c r="Z971" s="571"/>
      <c r="AA971" s="571"/>
      <c r="AB971" s="571"/>
      <c r="AC971" s="571"/>
      <c r="AD971" s="571"/>
      <c r="AE971" s="571"/>
      <c r="AF971" s="571"/>
      <c r="AG971" s="690"/>
      <c r="AH971" s="691"/>
    </row>
    <row r="972">
      <c r="A972" s="568"/>
      <c r="B972" s="730"/>
      <c r="C972" s="730"/>
      <c r="D972" s="730"/>
      <c r="E972" s="730"/>
      <c r="F972" s="730"/>
      <c r="G972" s="730"/>
      <c r="H972" s="730"/>
      <c r="I972" s="730"/>
      <c r="J972" s="730"/>
      <c r="K972" s="730"/>
      <c r="L972" s="730"/>
      <c r="M972" s="730"/>
      <c r="N972" s="571"/>
      <c r="O972" s="571"/>
      <c r="P972" s="571"/>
      <c r="Q972" s="571"/>
      <c r="R972" s="571"/>
      <c r="S972" s="571"/>
      <c r="T972" s="571"/>
      <c r="U972" s="571"/>
      <c r="V972" s="571"/>
      <c r="W972" s="571"/>
      <c r="X972" s="571"/>
      <c r="Y972" s="571"/>
      <c r="Z972" s="571"/>
      <c r="AA972" s="571"/>
      <c r="AB972" s="571"/>
      <c r="AC972" s="571"/>
      <c r="AD972" s="571"/>
      <c r="AE972" s="571"/>
      <c r="AF972" s="571"/>
      <c r="AG972" s="690"/>
      <c r="AH972" s="691"/>
    </row>
    <row r="973">
      <c r="A973" s="568"/>
      <c r="B973" s="730"/>
      <c r="C973" s="730"/>
      <c r="D973" s="730"/>
      <c r="E973" s="730"/>
      <c r="F973" s="730"/>
      <c r="G973" s="730"/>
      <c r="H973" s="730"/>
      <c r="I973" s="730"/>
      <c r="J973" s="730"/>
      <c r="K973" s="730"/>
      <c r="L973" s="730"/>
      <c r="M973" s="730"/>
      <c r="N973" s="571"/>
      <c r="O973" s="571"/>
      <c r="P973" s="571"/>
      <c r="Q973" s="571"/>
      <c r="R973" s="571"/>
      <c r="S973" s="571"/>
      <c r="T973" s="571"/>
      <c r="U973" s="571"/>
      <c r="V973" s="571"/>
      <c r="W973" s="571"/>
      <c r="X973" s="571"/>
      <c r="Y973" s="571"/>
      <c r="Z973" s="571"/>
      <c r="AA973" s="571"/>
      <c r="AB973" s="571"/>
      <c r="AC973" s="571"/>
      <c r="AD973" s="571"/>
      <c r="AE973" s="571"/>
      <c r="AF973" s="571"/>
      <c r="AG973" s="690"/>
      <c r="AH973" s="691"/>
    </row>
    <row r="974">
      <c r="A974" s="568"/>
      <c r="B974" s="730"/>
      <c r="C974" s="730"/>
      <c r="D974" s="730"/>
      <c r="E974" s="730"/>
      <c r="F974" s="730"/>
      <c r="G974" s="730"/>
      <c r="H974" s="730"/>
      <c r="I974" s="730"/>
      <c r="J974" s="730"/>
      <c r="K974" s="730"/>
      <c r="L974" s="730"/>
      <c r="M974" s="730"/>
      <c r="N974" s="571"/>
      <c r="O974" s="571"/>
      <c r="P974" s="571"/>
      <c r="Q974" s="571"/>
      <c r="R974" s="571"/>
      <c r="S974" s="571"/>
      <c r="T974" s="571"/>
      <c r="U974" s="571"/>
      <c r="V974" s="571"/>
      <c r="W974" s="571"/>
      <c r="X974" s="571"/>
      <c r="Y974" s="571"/>
      <c r="Z974" s="571"/>
      <c r="AA974" s="571"/>
      <c r="AB974" s="571"/>
      <c r="AC974" s="571"/>
      <c r="AD974" s="571"/>
      <c r="AE974" s="571"/>
      <c r="AF974" s="571"/>
      <c r="AG974" s="690"/>
      <c r="AH974" s="691"/>
    </row>
    <row r="975">
      <c r="A975" s="568"/>
      <c r="B975" s="730"/>
      <c r="C975" s="730"/>
      <c r="D975" s="730"/>
      <c r="E975" s="730"/>
      <c r="F975" s="730"/>
      <c r="G975" s="730"/>
      <c r="H975" s="730"/>
      <c r="I975" s="730"/>
      <c r="J975" s="730"/>
      <c r="K975" s="730"/>
      <c r="L975" s="730"/>
      <c r="M975" s="730"/>
      <c r="N975" s="571"/>
      <c r="O975" s="571"/>
      <c r="P975" s="571"/>
      <c r="Q975" s="571"/>
      <c r="R975" s="571"/>
      <c r="S975" s="571"/>
      <c r="T975" s="571"/>
      <c r="U975" s="571"/>
      <c r="V975" s="571"/>
      <c r="W975" s="571"/>
      <c r="X975" s="571"/>
      <c r="Y975" s="571"/>
      <c r="Z975" s="571"/>
      <c r="AA975" s="571"/>
      <c r="AB975" s="571"/>
      <c r="AC975" s="571"/>
      <c r="AD975" s="571"/>
      <c r="AE975" s="571"/>
      <c r="AF975" s="571"/>
      <c r="AG975" s="690"/>
      <c r="AH975" s="691"/>
    </row>
    <row r="976">
      <c r="A976" s="568"/>
      <c r="B976" s="730"/>
      <c r="C976" s="730"/>
      <c r="D976" s="730"/>
      <c r="E976" s="730"/>
      <c r="F976" s="730"/>
      <c r="G976" s="730"/>
      <c r="H976" s="730"/>
      <c r="I976" s="730"/>
      <c r="J976" s="730"/>
      <c r="K976" s="730"/>
      <c r="L976" s="730"/>
      <c r="M976" s="730"/>
      <c r="N976" s="571"/>
      <c r="O976" s="571"/>
      <c r="P976" s="571"/>
      <c r="Q976" s="571"/>
      <c r="R976" s="571"/>
      <c r="S976" s="571"/>
      <c r="T976" s="571"/>
      <c r="U976" s="571"/>
      <c r="V976" s="571"/>
      <c r="W976" s="571"/>
      <c r="X976" s="571"/>
      <c r="Y976" s="571"/>
      <c r="Z976" s="571"/>
      <c r="AA976" s="571"/>
      <c r="AB976" s="571"/>
      <c r="AC976" s="571"/>
      <c r="AD976" s="571"/>
      <c r="AE976" s="571"/>
      <c r="AF976" s="571"/>
      <c r="AG976" s="690"/>
      <c r="AH976" s="691"/>
    </row>
    <row r="977">
      <c r="A977" s="568"/>
      <c r="B977" s="730"/>
      <c r="C977" s="730"/>
      <c r="D977" s="730"/>
      <c r="E977" s="730"/>
      <c r="F977" s="730"/>
      <c r="G977" s="730"/>
      <c r="H977" s="730"/>
      <c r="I977" s="730"/>
      <c r="J977" s="730"/>
      <c r="K977" s="730"/>
      <c r="L977" s="730"/>
      <c r="M977" s="730"/>
      <c r="N977" s="571"/>
      <c r="O977" s="571"/>
      <c r="P977" s="571"/>
      <c r="Q977" s="571"/>
      <c r="R977" s="571"/>
      <c r="S977" s="571"/>
      <c r="T977" s="571"/>
      <c r="U977" s="571"/>
      <c r="V977" s="571"/>
      <c r="W977" s="571"/>
      <c r="X977" s="571"/>
      <c r="Y977" s="571"/>
      <c r="Z977" s="571"/>
      <c r="AA977" s="571"/>
      <c r="AB977" s="571"/>
      <c r="AC977" s="571"/>
      <c r="AD977" s="571"/>
      <c r="AE977" s="571"/>
      <c r="AF977" s="571"/>
      <c r="AG977" s="690"/>
      <c r="AH977" s="691"/>
    </row>
    <row r="978">
      <c r="A978" s="568"/>
      <c r="B978" s="730"/>
      <c r="C978" s="730"/>
      <c r="D978" s="730"/>
      <c r="E978" s="730"/>
      <c r="F978" s="730"/>
      <c r="G978" s="730"/>
      <c r="H978" s="730"/>
      <c r="I978" s="730"/>
      <c r="J978" s="730"/>
      <c r="K978" s="730"/>
      <c r="L978" s="730"/>
      <c r="M978" s="730"/>
      <c r="N978" s="571"/>
      <c r="O978" s="571"/>
      <c r="P978" s="571"/>
      <c r="Q978" s="571"/>
      <c r="R978" s="571"/>
      <c r="S978" s="571"/>
      <c r="T978" s="571"/>
      <c r="U978" s="571"/>
      <c r="V978" s="571"/>
      <c r="W978" s="571"/>
      <c r="X978" s="571"/>
      <c r="Y978" s="571"/>
      <c r="Z978" s="571"/>
      <c r="AA978" s="571"/>
      <c r="AB978" s="571"/>
      <c r="AC978" s="571"/>
      <c r="AD978" s="571"/>
      <c r="AE978" s="571"/>
      <c r="AF978" s="571"/>
      <c r="AG978" s="690"/>
      <c r="AH978" s="691"/>
    </row>
    <row r="979">
      <c r="A979" s="568"/>
      <c r="B979" s="730"/>
      <c r="C979" s="730"/>
      <c r="D979" s="730"/>
      <c r="E979" s="730"/>
      <c r="F979" s="730"/>
      <c r="G979" s="730"/>
      <c r="H979" s="730"/>
      <c r="I979" s="730"/>
      <c r="J979" s="730"/>
      <c r="K979" s="730"/>
      <c r="L979" s="730"/>
      <c r="M979" s="730"/>
      <c r="N979" s="571"/>
      <c r="O979" s="571"/>
      <c r="P979" s="571"/>
      <c r="Q979" s="571"/>
      <c r="R979" s="571"/>
      <c r="S979" s="571"/>
      <c r="T979" s="571"/>
      <c r="U979" s="571"/>
      <c r="V979" s="571"/>
      <c r="W979" s="571"/>
      <c r="X979" s="571"/>
      <c r="Y979" s="571"/>
      <c r="Z979" s="571"/>
      <c r="AA979" s="571"/>
      <c r="AB979" s="571"/>
      <c r="AC979" s="571"/>
      <c r="AD979" s="571"/>
      <c r="AE979" s="571"/>
      <c r="AF979" s="571"/>
      <c r="AG979" s="690"/>
      <c r="AH979" s="691"/>
    </row>
    <row r="980">
      <c r="A980" s="568"/>
      <c r="B980" s="730"/>
      <c r="C980" s="730"/>
      <c r="D980" s="730"/>
      <c r="E980" s="730"/>
      <c r="F980" s="730"/>
      <c r="G980" s="730"/>
      <c r="H980" s="730"/>
      <c r="I980" s="730"/>
      <c r="J980" s="730"/>
      <c r="K980" s="730"/>
      <c r="L980" s="730"/>
      <c r="M980" s="730"/>
      <c r="N980" s="571"/>
      <c r="O980" s="571"/>
      <c r="P980" s="571"/>
      <c r="Q980" s="571"/>
      <c r="R980" s="571"/>
      <c r="S980" s="571"/>
      <c r="T980" s="571"/>
      <c r="U980" s="571"/>
      <c r="V980" s="571"/>
      <c r="W980" s="571"/>
      <c r="X980" s="571"/>
      <c r="Y980" s="571"/>
      <c r="Z980" s="571"/>
      <c r="AA980" s="571"/>
      <c r="AB980" s="571"/>
      <c r="AC980" s="571"/>
      <c r="AD980" s="571"/>
      <c r="AE980" s="571"/>
      <c r="AF980" s="571"/>
      <c r="AG980" s="690"/>
      <c r="AH980" s="691"/>
    </row>
    <row r="981">
      <c r="A981" s="568"/>
      <c r="B981" s="730"/>
      <c r="C981" s="730"/>
      <c r="D981" s="730"/>
      <c r="E981" s="730"/>
      <c r="F981" s="730"/>
      <c r="G981" s="730"/>
      <c r="H981" s="730"/>
      <c r="I981" s="730"/>
      <c r="J981" s="730"/>
      <c r="K981" s="730"/>
      <c r="L981" s="730"/>
      <c r="M981" s="730"/>
      <c r="N981" s="571"/>
      <c r="O981" s="571"/>
      <c r="P981" s="571"/>
      <c r="Q981" s="571"/>
      <c r="R981" s="571"/>
      <c r="S981" s="571"/>
      <c r="T981" s="571"/>
      <c r="U981" s="571"/>
      <c r="V981" s="571"/>
      <c r="W981" s="571"/>
      <c r="X981" s="571"/>
      <c r="Y981" s="571"/>
      <c r="Z981" s="571"/>
      <c r="AA981" s="571"/>
      <c r="AB981" s="571"/>
      <c r="AC981" s="571"/>
      <c r="AD981" s="571"/>
      <c r="AE981" s="571"/>
      <c r="AF981" s="571"/>
      <c r="AG981" s="690"/>
      <c r="AH981" s="691"/>
    </row>
    <row r="982">
      <c r="A982" s="568"/>
      <c r="B982" s="730"/>
      <c r="C982" s="730"/>
      <c r="D982" s="730"/>
      <c r="E982" s="730"/>
      <c r="F982" s="730"/>
      <c r="G982" s="730"/>
      <c r="H982" s="730"/>
      <c r="I982" s="730"/>
      <c r="J982" s="730"/>
      <c r="K982" s="730"/>
      <c r="L982" s="730"/>
      <c r="M982" s="730"/>
      <c r="N982" s="571"/>
      <c r="O982" s="571"/>
      <c r="P982" s="571"/>
      <c r="Q982" s="571"/>
      <c r="R982" s="571"/>
      <c r="S982" s="571"/>
      <c r="T982" s="571"/>
      <c r="U982" s="571"/>
      <c r="V982" s="571"/>
      <c r="W982" s="571"/>
      <c r="X982" s="571"/>
      <c r="Y982" s="571"/>
      <c r="Z982" s="571"/>
      <c r="AA982" s="571"/>
      <c r="AB982" s="571"/>
      <c r="AC982" s="571"/>
      <c r="AD982" s="571"/>
      <c r="AE982" s="571"/>
      <c r="AF982" s="571"/>
      <c r="AG982" s="690"/>
      <c r="AH982" s="691"/>
    </row>
    <row r="983">
      <c r="A983" s="568"/>
      <c r="B983" s="730"/>
      <c r="C983" s="730"/>
      <c r="D983" s="730"/>
      <c r="E983" s="730"/>
      <c r="F983" s="730"/>
      <c r="G983" s="730"/>
      <c r="H983" s="730"/>
      <c r="I983" s="730"/>
      <c r="J983" s="730"/>
      <c r="K983" s="730"/>
      <c r="L983" s="730"/>
      <c r="M983" s="730"/>
      <c r="N983" s="571"/>
      <c r="O983" s="571"/>
      <c r="P983" s="571"/>
      <c r="Q983" s="571"/>
      <c r="R983" s="571"/>
      <c r="S983" s="571"/>
      <c r="T983" s="571"/>
      <c r="U983" s="571"/>
      <c r="V983" s="571"/>
      <c r="W983" s="571"/>
      <c r="X983" s="571"/>
      <c r="Y983" s="571"/>
      <c r="Z983" s="571"/>
      <c r="AA983" s="571"/>
      <c r="AB983" s="571"/>
      <c r="AC983" s="571"/>
      <c r="AD983" s="571"/>
      <c r="AE983" s="571"/>
      <c r="AF983" s="571"/>
      <c r="AG983" s="690"/>
      <c r="AH983" s="691"/>
    </row>
    <row r="984">
      <c r="A984" s="568"/>
      <c r="B984" s="730"/>
      <c r="C984" s="730"/>
      <c r="D984" s="730"/>
      <c r="E984" s="730"/>
      <c r="F984" s="730"/>
      <c r="G984" s="730"/>
      <c r="H984" s="730"/>
      <c r="I984" s="730"/>
      <c r="J984" s="730"/>
      <c r="K984" s="730"/>
      <c r="L984" s="730"/>
      <c r="M984" s="730"/>
      <c r="N984" s="571"/>
      <c r="O984" s="571"/>
      <c r="P984" s="571"/>
      <c r="Q984" s="571"/>
      <c r="R984" s="571"/>
      <c r="S984" s="571"/>
      <c r="T984" s="571"/>
      <c r="U984" s="571"/>
      <c r="V984" s="571"/>
      <c r="W984" s="571"/>
      <c r="X984" s="571"/>
      <c r="Y984" s="571"/>
      <c r="Z984" s="571"/>
      <c r="AA984" s="571"/>
      <c r="AB984" s="571"/>
      <c r="AC984" s="571"/>
      <c r="AD984" s="571"/>
      <c r="AE984" s="571"/>
      <c r="AF984" s="571"/>
      <c r="AG984" s="690"/>
      <c r="AH984" s="691"/>
    </row>
    <row r="985">
      <c r="A985" s="568"/>
      <c r="B985" s="730"/>
      <c r="C985" s="730"/>
      <c r="D985" s="730"/>
      <c r="E985" s="730"/>
      <c r="F985" s="730"/>
      <c r="G985" s="730"/>
      <c r="H985" s="730"/>
      <c r="I985" s="730"/>
      <c r="J985" s="730"/>
      <c r="K985" s="730"/>
      <c r="L985" s="730"/>
      <c r="M985" s="730"/>
      <c r="N985" s="571"/>
      <c r="O985" s="571"/>
      <c r="P985" s="571"/>
      <c r="Q985" s="571"/>
      <c r="R985" s="571"/>
      <c r="S985" s="571"/>
      <c r="T985" s="571"/>
      <c r="U985" s="571"/>
      <c r="V985" s="571"/>
      <c r="W985" s="571"/>
      <c r="X985" s="571"/>
      <c r="Y985" s="571"/>
      <c r="Z985" s="571"/>
      <c r="AA985" s="571"/>
      <c r="AB985" s="571"/>
      <c r="AC985" s="571"/>
      <c r="AD985" s="571"/>
      <c r="AE985" s="571"/>
      <c r="AF985" s="571"/>
      <c r="AG985" s="690"/>
      <c r="AH985" s="691"/>
    </row>
    <row r="986">
      <c r="A986" s="568"/>
      <c r="B986" s="730"/>
      <c r="C986" s="730"/>
      <c r="D986" s="730"/>
      <c r="E986" s="730"/>
      <c r="F986" s="730"/>
      <c r="G986" s="730"/>
      <c r="H986" s="730"/>
      <c r="I986" s="730"/>
      <c r="J986" s="730"/>
      <c r="K986" s="730"/>
      <c r="L986" s="730"/>
      <c r="M986" s="730"/>
      <c r="N986" s="571"/>
      <c r="O986" s="571"/>
      <c r="P986" s="571"/>
      <c r="Q986" s="571"/>
      <c r="R986" s="571"/>
      <c r="S986" s="571"/>
      <c r="T986" s="571"/>
      <c r="U986" s="571"/>
      <c r="V986" s="571"/>
      <c r="W986" s="571"/>
      <c r="X986" s="571"/>
      <c r="Y986" s="571"/>
      <c r="Z986" s="571"/>
      <c r="AA986" s="571"/>
      <c r="AB986" s="571"/>
      <c r="AC986" s="571"/>
      <c r="AD986" s="571"/>
      <c r="AE986" s="571"/>
      <c r="AF986" s="571"/>
      <c r="AG986" s="690"/>
      <c r="AH986" s="691"/>
    </row>
    <row r="987">
      <c r="A987" s="568"/>
      <c r="B987" s="730"/>
      <c r="C987" s="730"/>
      <c r="D987" s="730"/>
      <c r="E987" s="730"/>
      <c r="F987" s="730"/>
      <c r="G987" s="730"/>
      <c r="H987" s="730"/>
      <c r="I987" s="730"/>
      <c r="J987" s="730"/>
      <c r="K987" s="730"/>
      <c r="L987" s="730"/>
      <c r="M987" s="730"/>
      <c r="N987" s="571"/>
      <c r="O987" s="571"/>
      <c r="P987" s="571"/>
      <c r="Q987" s="571"/>
      <c r="R987" s="571"/>
      <c r="S987" s="571"/>
      <c r="T987" s="571"/>
      <c r="U987" s="571"/>
      <c r="V987" s="571"/>
      <c r="W987" s="571"/>
      <c r="X987" s="571"/>
      <c r="Y987" s="571"/>
      <c r="Z987" s="571"/>
      <c r="AA987" s="571"/>
      <c r="AB987" s="571"/>
      <c r="AC987" s="571"/>
      <c r="AD987" s="571"/>
      <c r="AE987" s="571"/>
      <c r="AF987" s="571"/>
      <c r="AG987" s="690"/>
      <c r="AH987" s="691"/>
    </row>
    <row r="988">
      <c r="A988" s="568"/>
      <c r="B988" s="730"/>
      <c r="C988" s="730"/>
      <c r="D988" s="730"/>
      <c r="E988" s="730"/>
      <c r="F988" s="730"/>
      <c r="G988" s="730"/>
      <c r="H988" s="730"/>
      <c r="I988" s="730"/>
      <c r="J988" s="730"/>
      <c r="K988" s="730"/>
      <c r="L988" s="730"/>
      <c r="M988" s="730"/>
      <c r="N988" s="571"/>
      <c r="O988" s="571"/>
      <c r="P988" s="571"/>
      <c r="Q988" s="571"/>
      <c r="R988" s="571"/>
      <c r="S988" s="571"/>
      <c r="T988" s="571"/>
      <c r="U988" s="571"/>
      <c r="V988" s="571"/>
      <c r="W988" s="571"/>
      <c r="X988" s="571"/>
      <c r="Y988" s="571"/>
      <c r="Z988" s="571"/>
      <c r="AA988" s="571"/>
      <c r="AB988" s="571"/>
      <c r="AC988" s="571"/>
      <c r="AD988" s="571"/>
      <c r="AE988" s="571"/>
      <c r="AF988" s="571"/>
      <c r="AG988" s="690"/>
      <c r="AH988" s="691"/>
    </row>
    <row r="989">
      <c r="A989" s="568"/>
      <c r="B989" s="730"/>
      <c r="C989" s="730"/>
      <c r="D989" s="730"/>
      <c r="E989" s="730"/>
      <c r="F989" s="730"/>
      <c r="G989" s="730"/>
      <c r="H989" s="730"/>
      <c r="I989" s="730"/>
      <c r="J989" s="730"/>
      <c r="K989" s="730"/>
      <c r="L989" s="730"/>
      <c r="M989" s="730"/>
      <c r="N989" s="571"/>
      <c r="O989" s="571"/>
      <c r="P989" s="571"/>
      <c r="Q989" s="571"/>
      <c r="R989" s="571"/>
      <c r="S989" s="571"/>
      <c r="T989" s="571"/>
      <c r="U989" s="571"/>
      <c r="V989" s="571"/>
      <c r="W989" s="571"/>
      <c r="X989" s="571"/>
      <c r="Y989" s="571"/>
      <c r="Z989" s="571"/>
      <c r="AA989" s="571"/>
      <c r="AB989" s="571"/>
      <c r="AC989" s="571"/>
      <c r="AD989" s="571"/>
      <c r="AE989" s="571"/>
      <c r="AF989" s="571"/>
      <c r="AG989" s="690"/>
      <c r="AH989" s="691"/>
    </row>
    <row r="990">
      <c r="A990" s="568"/>
      <c r="B990" s="730"/>
      <c r="C990" s="730"/>
      <c r="D990" s="730"/>
      <c r="E990" s="730"/>
      <c r="F990" s="730"/>
      <c r="G990" s="730"/>
      <c r="H990" s="730"/>
      <c r="I990" s="730"/>
      <c r="J990" s="730"/>
      <c r="K990" s="730"/>
      <c r="L990" s="730"/>
      <c r="M990" s="730"/>
      <c r="N990" s="571"/>
      <c r="O990" s="571"/>
      <c r="P990" s="571"/>
      <c r="Q990" s="571"/>
      <c r="R990" s="571"/>
      <c r="S990" s="571"/>
      <c r="T990" s="571"/>
      <c r="U990" s="571"/>
      <c r="V990" s="571"/>
      <c r="W990" s="571"/>
      <c r="X990" s="571"/>
      <c r="Y990" s="571"/>
      <c r="Z990" s="571"/>
      <c r="AA990" s="571"/>
      <c r="AB990" s="571"/>
      <c r="AC990" s="571"/>
      <c r="AD990" s="571"/>
      <c r="AE990" s="571"/>
      <c r="AF990" s="571"/>
      <c r="AG990" s="690"/>
      <c r="AH990" s="691"/>
    </row>
    <row r="991">
      <c r="A991" s="568"/>
      <c r="B991" s="730"/>
      <c r="C991" s="730"/>
      <c r="D991" s="730"/>
      <c r="E991" s="730"/>
      <c r="F991" s="730"/>
      <c r="G991" s="730"/>
      <c r="H991" s="730"/>
      <c r="I991" s="730"/>
      <c r="J991" s="730"/>
      <c r="K991" s="730"/>
      <c r="L991" s="730"/>
      <c r="M991" s="730"/>
      <c r="N991" s="571"/>
      <c r="O991" s="571"/>
      <c r="P991" s="571"/>
      <c r="Q991" s="571"/>
      <c r="R991" s="571"/>
      <c r="S991" s="571"/>
      <c r="T991" s="571"/>
      <c r="U991" s="571"/>
      <c r="V991" s="571"/>
      <c r="W991" s="571"/>
      <c r="X991" s="571"/>
      <c r="Y991" s="571"/>
      <c r="Z991" s="571"/>
      <c r="AA991" s="571"/>
      <c r="AB991" s="571"/>
      <c r="AC991" s="571"/>
      <c r="AD991" s="571"/>
      <c r="AE991" s="571"/>
      <c r="AF991" s="571"/>
      <c r="AG991" s="690"/>
      <c r="AH991" s="691"/>
    </row>
    <row r="992">
      <c r="A992" s="568"/>
      <c r="B992" s="730"/>
      <c r="C992" s="730"/>
      <c r="D992" s="730"/>
      <c r="E992" s="730"/>
      <c r="F992" s="730"/>
      <c r="G992" s="730"/>
      <c r="H992" s="730"/>
      <c r="I992" s="730"/>
      <c r="J992" s="730"/>
      <c r="K992" s="730"/>
      <c r="L992" s="730"/>
      <c r="M992" s="730"/>
      <c r="N992" s="571"/>
      <c r="O992" s="571"/>
      <c r="P992" s="571"/>
      <c r="Q992" s="571"/>
      <c r="R992" s="571"/>
      <c r="S992" s="571"/>
      <c r="T992" s="571"/>
      <c r="U992" s="571"/>
      <c r="V992" s="571"/>
      <c r="W992" s="571"/>
      <c r="X992" s="571"/>
      <c r="Y992" s="571"/>
      <c r="Z992" s="571"/>
      <c r="AA992" s="571"/>
      <c r="AB992" s="571"/>
      <c r="AC992" s="571"/>
      <c r="AD992" s="571"/>
      <c r="AE992" s="571"/>
      <c r="AF992" s="571"/>
      <c r="AG992" s="690"/>
      <c r="AH992" s="691"/>
    </row>
    <row r="993">
      <c r="A993" s="568"/>
      <c r="B993" s="730"/>
      <c r="C993" s="730"/>
      <c r="D993" s="730"/>
      <c r="E993" s="730"/>
      <c r="F993" s="730"/>
      <c r="G993" s="730"/>
      <c r="H993" s="730"/>
      <c r="I993" s="730"/>
      <c r="J993" s="730"/>
      <c r="K993" s="730"/>
      <c r="L993" s="730"/>
      <c r="M993" s="730"/>
      <c r="N993" s="571"/>
      <c r="O993" s="571"/>
      <c r="P993" s="571"/>
      <c r="Q993" s="571"/>
      <c r="R993" s="571"/>
      <c r="S993" s="571"/>
      <c r="T993" s="571"/>
      <c r="U993" s="571"/>
      <c r="V993" s="571"/>
      <c r="W993" s="571"/>
      <c r="X993" s="571"/>
      <c r="Y993" s="571"/>
      <c r="Z993" s="571"/>
      <c r="AA993" s="571"/>
      <c r="AB993" s="571"/>
      <c r="AC993" s="571"/>
      <c r="AD993" s="571"/>
      <c r="AE993" s="571"/>
      <c r="AF993" s="571"/>
      <c r="AG993" s="690"/>
      <c r="AH993" s="691"/>
    </row>
    <row r="994">
      <c r="A994" s="568"/>
      <c r="B994" s="730"/>
      <c r="C994" s="730"/>
      <c r="D994" s="730"/>
      <c r="E994" s="730"/>
      <c r="F994" s="730"/>
      <c r="G994" s="730"/>
      <c r="H994" s="730"/>
      <c r="I994" s="730"/>
      <c r="J994" s="730"/>
      <c r="K994" s="730"/>
      <c r="L994" s="730"/>
      <c r="M994" s="730"/>
      <c r="N994" s="571"/>
      <c r="O994" s="571"/>
      <c r="P994" s="571"/>
      <c r="Q994" s="571"/>
      <c r="R994" s="571"/>
      <c r="S994" s="571"/>
      <c r="T994" s="571"/>
      <c r="U994" s="571"/>
      <c r="V994" s="571"/>
      <c r="W994" s="571"/>
      <c r="X994" s="571"/>
      <c r="Y994" s="571"/>
      <c r="Z994" s="571"/>
      <c r="AA994" s="571"/>
      <c r="AB994" s="571"/>
      <c r="AC994" s="571"/>
      <c r="AD994" s="571"/>
      <c r="AE994" s="571"/>
      <c r="AF994" s="571"/>
      <c r="AG994" s="690"/>
      <c r="AH994" s="691"/>
    </row>
    <row r="995">
      <c r="A995" s="568"/>
      <c r="B995" s="730"/>
      <c r="C995" s="730"/>
      <c r="D995" s="730"/>
      <c r="E995" s="730"/>
      <c r="F995" s="730"/>
      <c r="G995" s="730"/>
      <c r="H995" s="730"/>
      <c r="I995" s="730"/>
      <c r="J995" s="730"/>
      <c r="K995" s="730"/>
      <c r="L995" s="730"/>
      <c r="M995" s="730"/>
      <c r="N995" s="571"/>
      <c r="O995" s="571"/>
      <c r="P995" s="571"/>
      <c r="Q995" s="571"/>
      <c r="R995" s="571"/>
      <c r="S995" s="571"/>
      <c r="T995" s="571"/>
      <c r="U995" s="571"/>
      <c r="V995" s="571"/>
      <c r="W995" s="571"/>
      <c r="X995" s="571"/>
      <c r="Y995" s="571"/>
      <c r="Z995" s="571"/>
      <c r="AA995" s="571"/>
      <c r="AB995" s="571"/>
      <c r="AC995" s="571"/>
      <c r="AD995" s="571"/>
      <c r="AE995" s="571"/>
      <c r="AF995" s="571"/>
      <c r="AG995" s="690"/>
      <c r="AH995" s="691"/>
    </row>
    <row r="996">
      <c r="A996" s="568"/>
      <c r="B996" s="730"/>
      <c r="C996" s="730"/>
      <c r="D996" s="730"/>
      <c r="E996" s="730"/>
      <c r="F996" s="730"/>
      <c r="G996" s="730"/>
      <c r="H996" s="730"/>
      <c r="I996" s="730"/>
      <c r="J996" s="730"/>
      <c r="K996" s="730"/>
      <c r="L996" s="730"/>
      <c r="M996" s="730"/>
      <c r="N996" s="571"/>
      <c r="O996" s="571"/>
      <c r="P996" s="571"/>
      <c r="Q996" s="571"/>
      <c r="R996" s="571"/>
      <c r="S996" s="571"/>
      <c r="T996" s="571"/>
      <c r="U996" s="571"/>
      <c r="V996" s="571"/>
      <c r="W996" s="571"/>
      <c r="X996" s="571"/>
      <c r="Y996" s="571"/>
      <c r="Z996" s="571"/>
      <c r="AA996" s="571"/>
      <c r="AB996" s="571"/>
      <c r="AC996" s="571"/>
      <c r="AD996" s="571"/>
      <c r="AE996" s="571"/>
      <c r="AF996" s="571"/>
      <c r="AG996" s="690"/>
      <c r="AH996" s="691"/>
    </row>
    <row r="997">
      <c r="A997" s="568"/>
      <c r="B997" s="730"/>
      <c r="C997" s="730"/>
      <c r="D997" s="730"/>
      <c r="E997" s="730"/>
      <c r="F997" s="730"/>
      <c r="G997" s="730"/>
      <c r="H997" s="730"/>
      <c r="I997" s="730"/>
      <c r="J997" s="730"/>
      <c r="K997" s="730"/>
      <c r="L997" s="730"/>
      <c r="M997" s="730"/>
      <c r="N997" s="571"/>
      <c r="O997" s="571"/>
      <c r="P997" s="571"/>
      <c r="Q997" s="571"/>
      <c r="R997" s="571"/>
      <c r="S997" s="571"/>
      <c r="T997" s="571"/>
      <c r="U997" s="571"/>
      <c r="V997" s="571"/>
      <c r="W997" s="571"/>
      <c r="X997" s="571"/>
      <c r="Y997" s="571"/>
      <c r="Z997" s="571"/>
      <c r="AA997" s="571"/>
      <c r="AB997" s="571"/>
      <c r="AC997" s="571"/>
      <c r="AD997" s="571"/>
      <c r="AE997" s="571"/>
      <c r="AF997" s="571"/>
      <c r="AG997" s="690"/>
      <c r="AH997" s="691"/>
    </row>
    <row r="998">
      <c r="A998" s="568"/>
      <c r="B998" s="730"/>
      <c r="C998" s="730"/>
      <c r="D998" s="730"/>
      <c r="E998" s="730"/>
      <c r="F998" s="730"/>
      <c r="G998" s="730"/>
      <c r="H998" s="730"/>
      <c r="I998" s="730"/>
      <c r="J998" s="730"/>
      <c r="K998" s="730"/>
      <c r="L998" s="730"/>
      <c r="M998" s="730"/>
      <c r="N998" s="571"/>
      <c r="O998" s="571"/>
      <c r="P998" s="571"/>
      <c r="Q998" s="571"/>
      <c r="R998" s="571"/>
      <c r="S998" s="571"/>
      <c r="T998" s="571"/>
      <c r="U998" s="571"/>
      <c r="V998" s="571"/>
      <c r="W998" s="571"/>
      <c r="X998" s="571"/>
      <c r="Y998" s="571"/>
      <c r="Z998" s="571"/>
      <c r="AA998" s="571"/>
      <c r="AB998" s="571"/>
      <c r="AC998" s="571"/>
      <c r="AD998" s="571"/>
      <c r="AE998" s="571"/>
      <c r="AF998" s="571"/>
      <c r="AG998" s="690"/>
      <c r="AH998" s="691"/>
    </row>
    <row r="999">
      <c r="A999" s="568"/>
      <c r="B999" s="730"/>
      <c r="C999" s="730"/>
      <c r="D999" s="730"/>
      <c r="E999" s="730"/>
      <c r="F999" s="730"/>
      <c r="G999" s="730"/>
      <c r="H999" s="730"/>
      <c r="I999" s="730"/>
      <c r="J999" s="730"/>
      <c r="K999" s="730"/>
      <c r="L999" s="730"/>
      <c r="M999" s="730"/>
      <c r="N999" s="571"/>
      <c r="O999" s="571"/>
      <c r="P999" s="571"/>
      <c r="Q999" s="571"/>
      <c r="R999" s="571"/>
      <c r="S999" s="571"/>
      <c r="T999" s="571"/>
      <c r="U999" s="571"/>
      <c r="V999" s="571"/>
      <c r="W999" s="571"/>
      <c r="X999" s="571"/>
      <c r="Y999" s="571"/>
      <c r="Z999" s="571"/>
      <c r="AA999" s="571"/>
      <c r="AB999" s="571"/>
      <c r="AC999" s="571"/>
      <c r="AD999" s="571"/>
      <c r="AE999" s="571"/>
      <c r="AF999" s="571"/>
      <c r="AG999" s="690"/>
      <c r="AH999" s="691"/>
    </row>
    <row r="1000">
      <c r="A1000" s="568"/>
      <c r="B1000" s="730"/>
      <c r="C1000" s="730"/>
      <c r="D1000" s="730"/>
      <c r="E1000" s="730"/>
      <c r="F1000" s="730"/>
      <c r="G1000" s="730"/>
      <c r="H1000" s="730"/>
      <c r="I1000" s="730"/>
      <c r="J1000" s="730"/>
      <c r="K1000" s="730"/>
      <c r="L1000" s="730"/>
      <c r="M1000" s="730"/>
      <c r="N1000" s="571"/>
      <c r="O1000" s="571"/>
      <c r="P1000" s="571"/>
      <c r="Q1000" s="571"/>
      <c r="R1000" s="571"/>
      <c r="S1000" s="571"/>
      <c r="T1000" s="571"/>
      <c r="U1000" s="571"/>
      <c r="V1000" s="571"/>
      <c r="W1000" s="571"/>
      <c r="X1000" s="571"/>
      <c r="Y1000" s="571"/>
      <c r="Z1000" s="571"/>
      <c r="AA1000" s="571"/>
      <c r="AB1000" s="571"/>
      <c r="AC1000" s="571"/>
      <c r="AD1000" s="571"/>
      <c r="AE1000" s="571"/>
      <c r="AF1000" s="571"/>
      <c r="AG1000" s="690"/>
      <c r="AH1000" s="691"/>
    </row>
    <row r="1001">
      <c r="A1001" s="568"/>
      <c r="B1001" s="730"/>
      <c r="C1001" s="730"/>
      <c r="D1001" s="730"/>
      <c r="E1001" s="730"/>
      <c r="F1001" s="730"/>
      <c r="G1001" s="730"/>
      <c r="H1001" s="730"/>
      <c r="I1001" s="730"/>
      <c r="J1001" s="730"/>
      <c r="K1001" s="730"/>
      <c r="L1001" s="730"/>
      <c r="M1001" s="730"/>
      <c r="N1001" s="571"/>
      <c r="O1001" s="571"/>
      <c r="P1001" s="571"/>
      <c r="Q1001" s="571"/>
      <c r="R1001" s="571"/>
      <c r="S1001" s="571"/>
      <c r="T1001" s="571"/>
      <c r="U1001" s="571"/>
      <c r="V1001" s="571"/>
      <c r="W1001" s="571"/>
      <c r="X1001" s="571"/>
      <c r="Y1001" s="571"/>
      <c r="Z1001" s="571"/>
      <c r="AA1001" s="571"/>
      <c r="AB1001" s="571"/>
      <c r="AC1001" s="571"/>
      <c r="AD1001" s="571"/>
      <c r="AE1001" s="571"/>
      <c r="AF1001" s="571"/>
      <c r="AG1001" s="690"/>
      <c r="AH1001" s="691"/>
    </row>
    <row r="1002">
      <c r="A1002" s="568"/>
      <c r="B1002" s="730"/>
      <c r="C1002" s="730"/>
      <c r="D1002" s="730"/>
      <c r="E1002" s="730"/>
      <c r="F1002" s="730"/>
      <c r="G1002" s="730"/>
      <c r="H1002" s="730"/>
      <c r="I1002" s="730"/>
      <c r="J1002" s="730"/>
      <c r="K1002" s="730"/>
      <c r="L1002" s="730"/>
      <c r="M1002" s="730"/>
      <c r="N1002" s="571"/>
      <c r="O1002" s="571"/>
      <c r="P1002" s="571"/>
      <c r="Q1002" s="571"/>
      <c r="R1002" s="571"/>
      <c r="S1002" s="571"/>
      <c r="T1002" s="571"/>
      <c r="U1002" s="571"/>
      <c r="V1002" s="571"/>
      <c r="W1002" s="571"/>
      <c r="X1002" s="571"/>
      <c r="Y1002" s="571"/>
      <c r="Z1002" s="571"/>
      <c r="AA1002" s="571"/>
      <c r="AB1002" s="571"/>
      <c r="AC1002" s="571"/>
      <c r="AD1002" s="571"/>
      <c r="AE1002" s="571"/>
      <c r="AF1002" s="571"/>
      <c r="AG1002" s="690"/>
      <c r="AH1002" s="691"/>
    </row>
    <row r="1003">
      <c r="A1003" s="568"/>
      <c r="B1003" s="730"/>
      <c r="C1003" s="730"/>
      <c r="D1003" s="730"/>
      <c r="E1003" s="730"/>
      <c r="F1003" s="730"/>
      <c r="G1003" s="730"/>
      <c r="H1003" s="730"/>
      <c r="I1003" s="730"/>
      <c r="J1003" s="730"/>
      <c r="K1003" s="730"/>
      <c r="L1003" s="730"/>
      <c r="M1003" s="730"/>
      <c r="N1003" s="571"/>
      <c r="O1003" s="571"/>
      <c r="P1003" s="571"/>
      <c r="Q1003" s="571"/>
      <c r="R1003" s="571"/>
      <c r="S1003" s="571"/>
      <c r="T1003" s="571"/>
      <c r="U1003" s="571"/>
      <c r="V1003" s="571"/>
      <c r="W1003" s="571"/>
      <c r="X1003" s="571"/>
      <c r="Y1003" s="571"/>
      <c r="Z1003" s="571"/>
      <c r="AA1003" s="571"/>
      <c r="AB1003" s="571"/>
      <c r="AC1003" s="571"/>
      <c r="AD1003" s="571"/>
      <c r="AE1003" s="571"/>
      <c r="AF1003" s="571"/>
      <c r="AG1003" s="690"/>
      <c r="AH1003" s="691"/>
    </row>
    <row r="1004">
      <c r="A1004" s="568"/>
      <c r="B1004" s="730"/>
      <c r="C1004" s="730"/>
      <c r="D1004" s="730"/>
      <c r="E1004" s="730"/>
      <c r="F1004" s="730"/>
      <c r="G1004" s="730"/>
      <c r="H1004" s="730"/>
      <c r="I1004" s="730"/>
      <c r="J1004" s="730"/>
      <c r="K1004" s="730"/>
      <c r="L1004" s="730"/>
      <c r="M1004" s="730"/>
      <c r="N1004" s="571"/>
      <c r="O1004" s="571"/>
      <c r="P1004" s="571"/>
      <c r="Q1004" s="571"/>
      <c r="R1004" s="571"/>
      <c r="S1004" s="571"/>
      <c r="T1004" s="571"/>
      <c r="U1004" s="571"/>
      <c r="V1004" s="571"/>
      <c r="W1004" s="571"/>
      <c r="X1004" s="571"/>
      <c r="Y1004" s="571"/>
      <c r="Z1004" s="571"/>
      <c r="AA1004" s="571"/>
      <c r="AB1004" s="571"/>
      <c r="AC1004" s="571"/>
      <c r="AD1004" s="571"/>
      <c r="AE1004" s="571"/>
      <c r="AF1004" s="571"/>
      <c r="AG1004" s="690"/>
      <c r="AH1004" s="691"/>
    </row>
    <row r="1005">
      <c r="A1005" s="568"/>
      <c r="B1005" s="730"/>
      <c r="C1005" s="730"/>
      <c r="D1005" s="730"/>
      <c r="E1005" s="730"/>
      <c r="F1005" s="730"/>
      <c r="G1005" s="730"/>
      <c r="H1005" s="730"/>
      <c r="I1005" s="730"/>
      <c r="J1005" s="730"/>
      <c r="K1005" s="730"/>
      <c r="L1005" s="730"/>
      <c r="M1005" s="730"/>
      <c r="N1005" s="571"/>
      <c r="O1005" s="571"/>
      <c r="P1005" s="571"/>
      <c r="Q1005" s="571"/>
      <c r="R1005" s="571"/>
      <c r="S1005" s="571"/>
      <c r="T1005" s="571"/>
      <c r="U1005" s="571"/>
      <c r="V1005" s="571"/>
      <c r="W1005" s="571"/>
      <c r="X1005" s="571"/>
      <c r="Y1005" s="571"/>
      <c r="Z1005" s="571"/>
      <c r="AA1005" s="571"/>
      <c r="AB1005" s="571"/>
      <c r="AC1005" s="571"/>
      <c r="AD1005" s="571"/>
      <c r="AE1005" s="571"/>
      <c r="AF1005" s="571"/>
      <c r="AG1005" s="690"/>
      <c r="AH1005" s="691"/>
    </row>
    <row r="1006">
      <c r="A1006" s="568"/>
      <c r="B1006" s="730"/>
      <c r="C1006" s="730"/>
      <c r="D1006" s="730"/>
      <c r="E1006" s="730"/>
      <c r="F1006" s="730"/>
      <c r="G1006" s="730"/>
      <c r="H1006" s="730"/>
      <c r="I1006" s="730"/>
      <c r="J1006" s="730"/>
      <c r="K1006" s="730"/>
      <c r="L1006" s="730"/>
      <c r="M1006" s="730"/>
      <c r="N1006" s="571"/>
      <c r="O1006" s="571"/>
      <c r="P1006" s="571"/>
      <c r="Q1006" s="571"/>
      <c r="R1006" s="571"/>
      <c r="S1006" s="571"/>
      <c r="T1006" s="571"/>
      <c r="U1006" s="571"/>
      <c r="V1006" s="571"/>
      <c r="W1006" s="571"/>
      <c r="X1006" s="571"/>
      <c r="Y1006" s="571"/>
      <c r="Z1006" s="571"/>
      <c r="AA1006" s="571"/>
      <c r="AB1006" s="571"/>
      <c r="AC1006" s="571"/>
      <c r="AD1006" s="571"/>
      <c r="AE1006" s="571"/>
      <c r="AF1006" s="571"/>
      <c r="AG1006" s="690"/>
      <c r="AH1006" s="691"/>
    </row>
    <row r="1007">
      <c r="A1007" s="568"/>
      <c r="B1007" s="730"/>
      <c r="C1007" s="730"/>
      <c r="D1007" s="730"/>
      <c r="E1007" s="730"/>
      <c r="F1007" s="730"/>
      <c r="G1007" s="730"/>
      <c r="H1007" s="730"/>
      <c r="I1007" s="730"/>
      <c r="J1007" s="730"/>
      <c r="K1007" s="730"/>
      <c r="L1007" s="730"/>
      <c r="M1007" s="730"/>
      <c r="N1007" s="571"/>
      <c r="O1007" s="571"/>
      <c r="P1007" s="571"/>
      <c r="Q1007" s="571"/>
      <c r="R1007" s="571"/>
      <c r="S1007" s="571"/>
      <c r="T1007" s="571"/>
      <c r="U1007" s="571"/>
      <c r="V1007" s="571"/>
      <c r="W1007" s="571"/>
      <c r="X1007" s="571"/>
      <c r="Y1007" s="571"/>
      <c r="Z1007" s="571"/>
      <c r="AA1007" s="571"/>
      <c r="AB1007" s="571"/>
      <c r="AC1007" s="571"/>
      <c r="AD1007" s="571"/>
      <c r="AE1007" s="571"/>
      <c r="AF1007" s="571"/>
      <c r="AG1007" s="690"/>
      <c r="AH1007" s="691"/>
    </row>
    <row r="1008">
      <c r="A1008" s="568"/>
      <c r="B1008" s="730"/>
      <c r="C1008" s="730"/>
      <c r="D1008" s="730"/>
      <c r="E1008" s="730"/>
      <c r="F1008" s="730"/>
      <c r="G1008" s="730"/>
      <c r="H1008" s="730"/>
      <c r="I1008" s="730"/>
      <c r="J1008" s="730"/>
      <c r="K1008" s="730"/>
      <c r="L1008" s="730"/>
      <c r="M1008" s="730"/>
      <c r="N1008" s="571"/>
      <c r="O1008" s="571"/>
      <c r="P1008" s="571"/>
      <c r="Q1008" s="571"/>
      <c r="R1008" s="571"/>
      <c r="S1008" s="571"/>
      <c r="T1008" s="571"/>
      <c r="U1008" s="571"/>
      <c r="V1008" s="571"/>
      <c r="W1008" s="571"/>
      <c r="X1008" s="571"/>
      <c r="Y1008" s="571"/>
      <c r="Z1008" s="571"/>
      <c r="AA1008" s="571"/>
      <c r="AB1008" s="571"/>
      <c r="AC1008" s="571"/>
      <c r="AD1008" s="571"/>
      <c r="AE1008" s="571"/>
      <c r="AF1008" s="571"/>
      <c r="AG1008" s="690"/>
      <c r="AH1008" s="691"/>
    </row>
    <row r="1009">
      <c r="A1009" s="568"/>
      <c r="B1009" s="730"/>
      <c r="C1009" s="730"/>
      <c r="D1009" s="730"/>
      <c r="E1009" s="730"/>
      <c r="F1009" s="730"/>
      <c r="G1009" s="730"/>
      <c r="H1009" s="730"/>
      <c r="I1009" s="730"/>
      <c r="J1009" s="730"/>
      <c r="K1009" s="730"/>
      <c r="L1009" s="730"/>
      <c r="M1009" s="730"/>
      <c r="N1009" s="571"/>
      <c r="O1009" s="571"/>
      <c r="P1009" s="571"/>
      <c r="Q1009" s="571"/>
      <c r="R1009" s="571"/>
      <c r="S1009" s="571"/>
      <c r="T1009" s="571"/>
      <c r="U1009" s="571"/>
      <c r="V1009" s="571"/>
      <c r="W1009" s="571"/>
      <c r="X1009" s="571"/>
      <c r="Y1009" s="571"/>
      <c r="Z1009" s="571"/>
      <c r="AA1009" s="571"/>
      <c r="AB1009" s="571"/>
      <c r="AC1009" s="571"/>
      <c r="AD1009" s="571"/>
      <c r="AE1009" s="571"/>
      <c r="AF1009" s="571"/>
      <c r="AG1009" s="690"/>
      <c r="AH1009" s="691"/>
    </row>
    <row r="1010">
      <c r="A1010" s="568"/>
      <c r="B1010" s="730"/>
      <c r="C1010" s="730"/>
      <c r="D1010" s="730"/>
      <c r="E1010" s="730"/>
      <c r="F1010" s="730"/>
      <c r="G1010" s="730"/>
      <c r="H1010" s="730"/>
      <c r="I1010" s="730"/>
      <c r="J1010" s="730"/>
      <c r="K1010" s="730"/>
      <c r="L1010" s="730"/>
      <c r="M1010" s="730"/>
      <c r="N1010" s="571"/>
      <c r="O1010" s="571"/>
      <c r="P1010" s="571"/>
      <c r="Q1010" s="571"/>
      <c r="R1010" s="571"/>
      <c r="S1010" s="571"/>
      <c r="T1010" s="571"/>
      <c r="U1010" s="571"/>
      <c r="V1010" s="571"/>
      <c r="W1010" s="571"/>
      <c r="X1010" s="571"/>
      <c r="Y1010" s="571"/>
      <c r="Z1010" s="571"/>
      <c r="AA1010" s="571"/>
      <c r="AB1010" s="571"/>
      <c r="AC1010" s="571"/>
      <c r="AD1010" s="571"/>
      <c r="AE1010" s="571"/>
      <c r="AF1010" s="571"/>
      <c r="AG1010" s="690"/>
      <c r="AH1010" s="691"/>
    </row>
    <row r="1011">
      <c r="A1011" s="568"/>
      <c r="B1011" s="730"/>
      <c r="C1011" s="730"/>
      <c r="D1011" s="730"/>
      <c r="E1011" s="730"/>
      <c r="F1011" s="730"/>
      <c r="G1011" s="730"/>
      <c r="H1011" s="730"/>
      <c r="I1011" s="730"/>
      <c r="J1011" s="730"/>
      <c r="K1011" s="730"/>
      <c r="L1011" s="730"/>
      <c r="M1011" s="730"/>
      <c r="N1011" s="571"/>
      <c r="O1011" s="571"/>
      <c r="P1011" s="571"/>
      <c r="Q1011" s="571"/>
      <c r="R1011" s="571"/>
      <c r="S1011" s="571"/>
      <c r="T1011" s="571"/>
      <c r="U1011" s="571"/>
      <c r="V1011" s="571"/>
      <c r="W1011" s="571"/>
      <c r="X1011" s="571"/>
      <c r="Y1011" s="571"/>
      <c r="Z1011" s="571"/>
      <c r="AA1011" s="571"/>
      <c r="AB1011" s="571"/>
      <c r="AC1011" s="571"/>
      <c r="AD1011" s="571"/>
      <c r="AE1011" s="571"/>
      <c r="AF1011" s="571"/>
      <c r="AG1011" s="690"/>
      <c r="AH1011" s="691"/>
    </row>
    <row r="1012">
      <c r="A1012" s="568"/>
      <c r="B1012" s="730"/>
      <c r="C1012" s="730"/>
      <c r="D1012" s="730"/>
      <c r="E1012" s="730"/>
      <c r="F1012" s="730"/>
      <c r="G1012" s="730"/>
      <c r="H1012" s="730"/>
      <c r="I1012" s="730"/>
      <c r="J1012" s="730"/>
      <c r="K1012" s="730"/>
      <c r="L1012" s="730"/>
      <c r="M1012" s="730"/>
      <c r="N1012" s="571"/>
      <c r="O1012" s="571"/>
      <c r="P1012" s="571"/>
      <c r="Q1012" s="571"/>
      <c r="R1012" s="571"/>
      <c r="S1012" s="571"/>
      <c r="T1012" s="571"/>
      <c r="U1012" s="571"/>
      <c r="V1012" s="571"/>
      <c r="W1012" s="571"/>
      <c r="X1012" s="571"/>
      <c r="Y1012" s="571"/>
      <c r="Z1012" s="571"/>
      <c r="AA1012" s="571"/>
      <c r="AB1012" s="571"/>
      <c r="AC1012" s="571"/>
      <c r="AD1012" s="571"/>
      <c r="AE1012" s="571"/>
      <c r="AF1012" s="571"/>
      <c r="AG1012" s="690"/>
      <c r="AH1012" s="691"/>
    </row>
    <row r="1013">
      <c r="A1013" s="568"/>
      <c r="B1013" s="730"/>
      <c r="C1013" s="730"/>
      <c r="D1013" s="730"/>
      <c r="E1013" s="730"/>
      <c r="F1013" s="730"/>
      <c r="G1013" s="730"/>
      <c r="H1013" s="730"/>
      <c r="I1013" s="730"/>
      <c r="J1013" s="730"/>
      <c r="K1013" s="730"/>
      <c r="L1013" s="730"/>
      <c r="M1013" s="730"/>
      <c r="N1013" s="571"/>
      <c r="O1013" s="571"/>
      <c r="P1013" s="571"/>
      <c r="Q1013" s="571"/>
      <c r="R1013" s="571"/>
      <c r="S1013" s="571"/>
      <c r="T1013" s="571"/>
      <c r="U1013" s="571"/>
      <c r="V1013" s="571"/>
      <c r="W1013" s="571"/>
      <c r="X1013" s="571"/>
      <c r="Y1013" s="571"/>
      <c r="Z1013" s="571"/>
      <c r="AA1013" s="571"/>
      <c r="AB1013" s="571"/>
      <c r="AC1013" s="571"/>
      <c r="AD1013" s="571"/>
      <c r="AE1013" s="571"/>
      <c r="AF1013" s="571"/>
      <c r="AG1013" s="690"/>
      <c r="AH1013" s="691"/>
    </row>
    <row r="1014">
      <c r="A1014" s="568"/>
      <c r="B1014" s="730"/>
      <c r="C1014" s="730"/>
      <c r="D1014" s="730"/>
      <c r="E1014" s="730"/>
      <c r="F1014" s="730"/>
      <c r="G1014" s="730"/>
      <c r="H1014" s="730"/>
      <c r="I1014" s="730"/>
      <c r="J1014" s="730"/>
      <c r="K1014" s="730"/>
      <c r="L1014" s="730"/>
      <c r="M1014" s="730"/>
      <c r="N1014" s="571"/>
      <c r="O1014" s="571"/>
      <c r="P1014" s="571"/>
      <c r="Q1014" s="571"/>
      <c r="R1014" s="571"/>
      <c r="S1014" s="571"/>
      <c r="T1014" s="571"/>
      <c r="U1014" s="571"/>
      <c r="V1014" s="571"/>
      <c r="W1014" s="571"/>
      <c r="X1014" s="571"/>
      <c r="Y1014" s="571"/>
      <c r="Z1014" s="571"/>
      <c r="AA1014" s="571"/>
      <c r="AB1014" s="571"/>
      <c r="AC1014" s="571"/>
      <c r="AD1014" s="571"/>
      <c r="AE1014" s="571"/>
      <c r="AF1014" s="571"/>
      <c r="AG1014" s="690"/>
      <c r="AH1014" s="691"/>
    </row>
    <row r="1015">
      <c r="A1015" s="568"/>
      <c r="B1015" s="730"/>
      <c r="C1015" s="730"/>
      <c r="D1015" s="730"/>
      <c r="E1015" s="730"/>
      <c r="F1015" s="730"/>
      <c r="G1015" s="730"/>
      <c r="H1015" s="730"/>
      <c r="I1015" s="730"/>
      <c r="J1015" s="730"/>
      <c r="K1015" s="730"/>
      <c r="L1015" s="730"/>
      <c r="M1015" s="730"/>
      <c r="N1015" s="571"/>
      <c r="O1015" s="571"/>
      <c r="P1015" s="571"/>
      <c r="Q1015" s="571"/>
      <c r="R1015" s="571"/>
      <c r="S1015" s="571"/>
      <c r="T1015" s="571"/>
      <c r="U1015" s="571"/>
      <c r="V1015" s="571"/>
      <c r="W1015" s="571"/>
      <c r="X1015" s="571"/>
      <c r="Y1015" s="571"/>
      <c r="Z1015" s="571"/>
      <c r="AA1015" s="571"/>
      <c r="AB1015" s="571"/>
      <c r="AC1015" s="571"/>
      <c r="AD1015" s="571"/>
      <c r="AE1015" s="571"/>
      <c r="AF1015" s="571"/>
      <c r="AG1015" s="690"/>
      <c r="AH1015" s="691"/>
    </row>
    <row r="1016">
      <c r="A1016" s="568"/>
      <c r="B1016" s="730"/>
      <c r="C1016" s="730"/>
      <c r="D1016" s="730"/>
      <c r="E1016" s="730"/>
      <c r="F1016" s="730"/>
      <c r="G1016" s="730"/>
      <c r="H1016" s="730"/>
      <c r="I1016" s="730"/>
      <c r="J1016" s="730"/>
      <c r="K1016" s="730"/>
      <c r="L1016" s="730"/>
      <c r="M1016" s="730"/>
      <c r="N1016" s="571"/>
      <c r="O1016" s="571"/>
      <c r="P1016" s="571"/>
      <c r="Q1016" s="571"/>
      <c r="R1016" s="571"/>
      <c r="S1016" s="571"/>
      <c r="T1016" s="571"/>
      <c r="U1016" s="571"/>
      <c r="V1016" s="571"/>
      <c r="W1016" s="571"/>
      <c r="X1016" s="571"/>
      <c r="Y1016" s="571"/>
      <c r="Z1016" s="571"/>
      <c r="AA1016" s="571"/>
      <c r="AB1016" s="571"/>
      <c r="AC1016" s="571"/>
      <c r="AD1016" s="571"/>
      <c r="AE1016" s="571"/>
      <c r="AF1016" s="571"/>
      <c r="AG1016" s="690"/>
      <c r="AH1016" s="691"/>
    </row>
    <row r="1017">
      <c r="A1017" s="568"/>
      <c r="B1017" s="730"/>
      <c r="C1017" s="730"/>
      <c r="D1017" s="730"/>
      <c r="E1017" s="730"/>
      <c r="F1017" s="730"/>
      <c r="G1017" s="730"/>
      <c r="H1017" s="730"/>
      <c r="I1017" s="730"/>
      <c r="J1017" s="730"/>
      <c r="K1017" s="730"/>
      <c r="L1017" s="730"/>
      <c r="M1017" s="730"/>
      <c r="N1017" s="571"/>
      <c r="O1017" s="571"/>
      <c r="P1017" s="571"/>
      <c r="Q1017" s="571"/>
      <c r="R1017" s="571"/>
      <c r="S1017" s="571"/>
      <c r="T1017" s="571"/>
      <c r="U1017" s="571"/>
      <c r="V1017" s="571"/>
      <c r="W1017" s="571"/>
      <c r="X1017" s="571"/>
      <c r="Y1017" s="571"/>
      <c r="Z1017" s="571"/>
      <c r="AA1017" s="571"/>
      <c r="AB1017" s="571"/>
      <c r="AC1017" s="571"/>
      <c r="AD1017" s="571"/>
      <c r="AE1017" s="571"/>
      <c r="AF1017" s="571"/>
      <c r="AG1017" s="690"/>
      <c r="AH1017" s="691"/>
    </row>
    <row r="1018">
      <c r="A1018" s="568"/>
      <c r="B1018" s="730"/>
      <c r="C1018" s="730"/>
      <c r="D1018" s="730"/>
      <c r="E1018" s="730"/>
      <c r="F1018" s="730"/>
      <c r="G1018" s="730"/>
      <c r="H1018" s="730"/>
      <c r="I1018" s="730"/>
      <c r="J1018" s="730"/>
      <c r="K1018" s="730"/>
      <c r="L1018" s="730"/>
      <c r="M1018" s="730"/>
      <c r="N1018" s="571"/>
      <c r="O1018" s="571"/>
      <c r="P1018" s="571"/>
      <c r="Q1018" s="571"/>
      <c r="R1018" s="571"/>
      <c r="S1018" s="571"/>
      <c r="T1018" s="571"/>
      <c r="U1018" s="571"/>
      <c r="V1018" s="571"/>
      <c r="W1018" s="571"/>
      <c r="X1018" s="571"/>
      <c r="Y1018" s="571"/>
      <c r="Z1018" s="571"/>
      <c r="AA1018" s="571"/>
      <c r="AB1018" s="571"/>
      <c r="AC1018" s="571"/>
      <c r="AD1018" s="571"/>
      <c r="AE1018" s="571"/>
      <c r="AF1018" s="571"/>
      <c r="AG1018" s="690"/>
      <c r="AH1018" s="691"/>
    </row>
    <row r="1019">
      <c r="A1019" s="568"/>
      <c r="B1019" s="730"/>
      <c r="C1019" s="730"/>
      <c r="D1019" s="730"/>
      <c r="E1019" s="730"/>
      <c r="F1019" s="730"/>
      <c r="G1019" s="730"/>
      <c r="H1019" s="730"/>
      <c r="I1019" s="730"/>
      <c r="J1019" s="730"/>
      <c r="K1019" s="730"/>
      <c r="L1019" s="730"/>
      <c r="M1019" s="730"/>
      <c r="N1019" s="571"/>
      <c r="O1019" s="571"/>
      <c r="P1019" s="571"/>
      <c r="Q1019" s="571"/>
      <c r="R1019" s="571"/>
      <c r="S1019" s="571"/>
      <c r="T1019" s="571"/>
      <c r="U1019" s="571"/>
      <c r="V1019" s="571"/>
      <c r="W1019" s="571"/>
      <c r="X1019" s="571"/>
      <c r="Y1019" s="571"/>
      <c r="Z1019" s="571"/>
      <c r="AA1019" s="571"/>
      <c r="AB1019" s="571"/>
      <c r="AC1019" s="571"/>
      <c r="AD1019" s="571"/>
      <c r="AE1019" s="571"/>
      <c r="AF1019" s="571"/>
      <c r="AG1019" s="690"/>
      <c r="AH1019" s="691"/>
    </row>
    <row r="1020">
      <c r="A1020" s="568"/>
      <c r="B1020" s="730"/>
      <c r="C1020" s="730"/>
      <c r="D1020" s="730"/>
      <c r="E1020" s="730"/>
      <c r="F1020" s="730"/>
      <c r="G1020" s="730"/>
      <c r="H1020" s="730"/>
      <c r="I1020" s="730"/>
      <c r="J1020" s="730"/>
      <c r="K1020" s="730"/>
      <c r="L1020" s="730"/>
      <c r="M1020" s="730"/>
      <c r="N1020" s="571"/>
      <c r="O1020" s="571"/>
      <c r="P1020" s="571"/>
      <c r="Q1020" s="571"/>
      <c r="R1020" s="571"/>
      <c r="S1020" s="571"/>
      <c r="T1020" s="571"/>
      <c r="U1020" s="571"/>
      <c r="V1020" s="571"/>
      <c r="W1020" s="571"/>
      <c r="X1020" s="571"/>
      <c r="Y1020" s="571"/>
      <c r="Z1020" s="571"/>
      <c r="AA1020" s="571"/>
      <c r="AB1020" s="571"/>
      <c r="AC1020" s="571"/>
      <c r="AD1020" s="571"/>
      <c r="AE1020" s="571"/>
      <c r="AF1020" s="571"/>
      <c r="AG1020" s="690"/>
      <c r="AH1020" s="691"/>
    </row>
    <row r="1021">
      <c r="A1021" s="568"/>
      <c r="B1021" s="730"/>
      <c r="C1021" s="730"/>
      <c r="D1021" s="730"/>
      <c r="E1021" s="730"/>
      <c r="F1021" s="730"/>
      <c r="G1021" s="730"/>
      <c r="H1021" s="730"/>
      <c r="I1021" s="730"/>
      <c r="J1021" s="730"/>
      <c r="K1021" s="730"/>
      <c r="L1021" s="730"/>
      <c r="M1021" s="730"/>
      <c r="N1021" s="571"/>
      <c r="O1021" s="571"/>
      <c r="P1021" s="571"/>
      <c r="Q1021" s="571"/>
      <c r="R1021" s="571"/>
      <c r="S1021" s="571"/>
      <c r="T1021" s="571"/>
      <c r="U1021" s="571"/>
      <c r="V1021" s="571"/>
      <c r="W1021" s="571"/>
      <c r="X1021" s="571"/>
      <c r="Y1021" s="571"/>
      <c r="Z1021" s="571"/>
      <c r="AA1021" s="571"/>
      <c r="AB1021" s="571"/>
      <c r="AC1021" s="571"/>
      <c r="AD1021" s="571"/>
      <c r="AE1021" s="571"/>
      <c r="AF1021" s="571"/>
      <c r="AG1021" s="690"/>
      <c r="AH1021" s="691"/>
    </row>
    <row r="1022">
      <c r="A1022" s="568"/>
      <c r="B1022" s="730"/>
      <c r="C1022" s="730"/>
      <c r="D1022" s="730"/>
      <c r="E1022" s="730"/>
      <c r="F1022" s="730"/>
      <c r="G1022" s="730"/>
      <c r="H1022" s="730"/>
      <c r="I1022" s="730"/>
      <c r="J1022" s="730"/>
      <c r="K1022" s="730"/>
      <c r="L1022" s="730"/>
      <c r="M1022" s="730"/>
      <c r="N1022" s="571"/>
      <c r="O1022" s="571"/>
      <c r="P1022" s="571"/>
      <c r="Q1022" s="571"/>
      <c r="R1022" s="571"/>
      <c r="S1022" s="571"/>
      <c r="T1022" s="571"/>
      <c r="U1022" s="571"/>
      <c r="V1022" s="571"/>
      <c r="W1022" s="571"/>
      <c r="X1022" s="571"/>
      <c r="Y1022" s="571"/>
      <c r="Z1022" s="571"/>
      <c r="AA1022" s="571"/>
      <c r="AB1022" s="571"/>
      <c r="AC1022" s="571"/>
      <c r="AD1022" s="571"/>
      <c r="AE1022" s="571"/>
      <c r="AF1022" s="571"/>
      <c r="AG1022" s="690"/>
      <c r="AH1022" s="691"/>
    </row>
    <row r="1023">
      <c r="A1023" s="568"/>
      <c r="B1023" s="730"/>
      <c r="C1023" s="730"/>
      <c r="D1023" s="730"/>
      <c r="E1023" s="730"/>
      <c r="F1023" s="730"/>
      <c r="G1023" s="730"/>
      <c r="H1023" s="730"/>
      <c r="I1023" s="730"/>
      <c r="J1023" s="730"/>
      <c r="K1023" s="730"/>
      <c r="L1023" s="730"/>
      <c r="M1023" s="730"/>
      <c r="N1023" s="571"/>
      <c r="O1023" s="571"/>
      <c r="P1023" s="571"/>
      <c r="Q1023" s="571"/>
      <c r="R1023" s="571"/>
      <c r="S1023" s="571"/>
      <c r="T1023" s="571"/>
      <c r="U1023" s="571"/>
      <c r="V1023" s="571"/>
      <c r="W1023" s="571"/>
      <c r="X1023" s="571"/>
      <c r="Y1023" s="571"/>
      <c r="Z1023" s="571"/>
      <c r="AA1023" s="571"/>
      <c r="AB1023" s="571"/>
      <c r="AC1023" s="571"/>
      <c r="AD1023" s="571"/>
      <c r="AE1023" s="571"/>
      <c r="AF1023" s="571"/>
      <c r="AG1023" s="690"/>
      <c r="AH1023" s="691"/>
    </row>
    <row r="1024">
      <c r="A1024" s="568"/>
      <c r="B1024" s="730"/>
      <c r="C1024" s="730"/>
      <c r="D1024" s="730"/>
      <c r="E1024" s="730"/>
      <c r="F1024" s="730"/>
      <c r="G1024" s="730"/>
      <c r="H1024" s="730"/>
      <c r="I1024" s="730"/>
      <c r="J1024" s="730"/>
      <c r="K1024" s="730"/>
      <c r="L1024" s="730"/>
      <c r="M1024" s="730"/>
      <c r="N1024" s="571"/>
      <c r="O1024" s="571"/>
      <c r="P1024" s="571"/>
      <c r="Q1024" s="571"/>
      <c r="R1024" s="571"/>
      <c r="S1024" s="571"/>
      <c r="T1024" s="571"/>
      <c r="U1024" s="571"/>
      <c r="V1024" s="571"/>
      <c r="W1024" s="571"/>
      <c r="X1024" s="571"/>
      <c r="Y1024" s="571"/>
      <c r="Z1024" s="571"/>
      <c r="AA1024" s="571"/>
      <c r="AB1024" s="571"/>
      <c r="AC1024" s="571"/>
      <c r="AD1024" s="571"/>
      <c r="AE1024" s="571"/>
      <c r="AF1024" s="571"/>
      <c r="AG1024" s="690"/>
      <c r="AH1024" s="691"/>
    </row>
    <row r="1025">
      <c r="A1025" s="568"/>
      <c r="B1025" s="730"/>
      <c r="C1025" s="730"/>
      <c r="D1025" s="730"/>
      <c r="E1025" s="730"/>
      <c r="F1025" s="730"/>
      <c r="G1025" s="730"/>
      <c r="H1025" s="730"/>
      <c r="I1025" s="730"/>
      <c r="J1025" s="730"/>
      <c r="K1025" s="730"/>
      <c r="L1025" s="730"/>
      <c r="M1025" s="730"/>
      <c r="N1025" s="571"/>
      <c r="O1025" s="571"/>
      <c r="P1025" s="571"/>
      <c r="Q1025" s="571"/>
      <c r="R1025" s="571"/>
      <c r="S1025" s="571"/>
      <c r="T1025" s="571"/>
      <c r="U1025" s="571"/>
      <c r="V1025" s="571"/>
      <c r="W1025" s="571"/>
      <c r="X1025" s="571"/>
      <c r="Y1025" s="571"/>
      <c r="Z1025" s="571"/>
      <c r="AA1025" s="571"/>
      <c r="AB1025" s="571"/>
      <c r="AC1025" s="571"/>
      <c r="AD1025" s="571"/>
      <c r="AE1025" s="571"/>
      <c r="AF1025" s="571"/>
      <c r="AG1025" s="690"/>
      <c r="AH1025" s="691"/>
    </row>
    <row r="1026">
      <c r="A1026" s="568"/>
      <c r="B1026" s="730"/>
      <c r="C1026" s="730"/>
      <c r="D1026" s="730"/>
      <c r="E1026" s="730"/>
      <c r="F1026" s="730"/>
      <c r="G1026" s="730"/>
      <c r="H1026" s="730"/>
      <c r="I1026" s="730"/>
      <c r="J1026" s="730"/>
      <c r="K1026" s="730"/>
      <c r="L1026" s="730"/>
      <c r="M1026" s="730"/>
      <c r="N1026" s="571"/>
      <c r="O1026" s="571"/>
      <c r="P1026" s="571"/>
      <c r="Q1026" s="571"/>
      <c r="R1026" s="571"/>
      <c r="S1026" s="571"/>
      <c r="T1026" s="571"/>
      <c r="U1026" s="571"/>
      <c r="V1026" s="571"/>
      <c r="W1026" s="571"/>
      <c r="X1026" s="571"/>
      <c r="Y1026" s="571"/>
      <c r="Z1026" s="571"/>
      <c r="AA1026" s="571"/>
      <c r="AB1026" s="571"/>
      <c r="AC1026" s="571"/>
      <c r="AD1026" s="571"/>
      <c r="AE1026" s="571"/>
      <c r="AF1026" s="571"/>
      <c r="AG1026" s="690"/>
      <c r="AH1026" s="691"/>
    </row>
    <row r="1027">
      <c r="A1027" s="568"/>
      <c r="B1027" s="730"/>
      <c r="C1027" s="730"/>
      <c r="D1027" s="730"/>
      <c r="E1027" s="730"/>
      <c r="F1027" s="730"/>
      <c r="G1027" s="730"/>
      <c r="H1027" s="730"/>
      <c r="I1027" s="730"/>
      <c r="J1027" s="730"/>
      <c r="K1027" s="730"/>
      <c r="L1027" s="730"/>
      <c r="M1027" s="730"/>
      <c r="N1027" s="571"/>
      <c r="O1027" s="571"/>
      <c r="P1027" s="571"/>
      <c r="Q1027" s="571"/>
      <c r="R1027" s="571"/>
      <c r="S1027" s="571"/>
      <c r="T1027" s="571"/>
      <c r="U1027" s="571"/>
      <c r="V1027" s="571"/>
      <c r="W1027" s="571"/>
      <c r="X1027" s="571"/>
      <c r="Y1027" s="571"/>
      <c r="Z1027" s="571"/>
      <c r="AA1027" s="571"/>
      <c r="AB1027" s="571"/>
      <c r="AC1027" s="571"/>
      <c r="AD1027" s="571"/>
      <c r="AE1027" s="571"/>
      <c r="AF1027" s="571"/>
      <c r="AG1027" s="690"/>
      <c r="AH1027" s="691"/>
    </row>
    <row r="1028">
      <c r="A1028" s="568"/>
      <c r="B1028" s="730"/>
      <c r="C1028" s="730"/>
      <c r="D1028" s="730"/>
      <c r="E1028" s="730"/>
      <c r="F1028" s="730"/>
      <c r="G1028" s="730"/>
      <c r="H1028" s="730"/>
      <c r="I1028" s="730"/>
      <c r="J1028" s="730"/>
      <c r="K1028" s="730"/>
      <c r="L1028" s="730"/>
      <c r="M1028" s="730"/>
      <c r="N1028" s="571"/>
      <c r="O1028" s="571"/>
      <c r="P1028" s="571"/>
      <c r="Q1028" s="571"/>
      <c r="R1028" s="571"/>
      <c r="S1028" s="571"/>
      <c r="T1028" s="571"/>
      <c r="U1028" s="571"/>
      <c r="V1028" s="571"/>
      <c r="W1028" s="571"/>
      <c r="X1028" s="571"/>
      <c r="Y1028" s="571"/>
      <c r="Z1028" s="571"/>
      <c r="AA1028" s="571"/>
      <c r="AB1028" s="571"/>
      <c r="AC1028" s="571"/>
      <c r="AD1028" s="571"/>
      <c r="AE1028" s="571"/>
      <c r="AF1028" s="571"/>
      <c r="AG1028" s="690"/>
      <c r="AH1028" s="691"/>
    </row>
    <row r="1029">
      <c r="A1029" s="568"/>
      <c r="B1029" s="730"/>
      <c r="C1029" s="730"/>
      <c r="D1029" s="730"/>
      <c r="E1029" s="730"/>
      <c r="F1029" s="730"/>
      <c r="G1029" s="730"/>
      <c r="H1029" s="730"/>
      <c r="I1029" s="730"/>
      <c r="J1029" s="730"/>
      <c r="K1029" s="730"/>
      <c r="L1029" s="730"/>
      <c r="M1029" s="730"/>
      <c r="N1029" s="571"/>
      <c r="O1029" s="571"/>
      <c r="P1029" s="571"/>
      <c r="Q1029" s="571"/>
      <c r="R1029" s="571"/>
      <c r="S1029" s="571"/>
      <c r="T1029" s="571"/>
      <c r="U1029" s="571"/>
      <c r="V1029" s="571"/>
      <c r="W1029" s="571"/>
      <c r="X1029" s="571"/>
      <c r="Y1029" s="571"/>
      <c r="Z1029" s="571"/>
      <c r="AA1029" s="571"/>
      <c r="AB1029" s="571"/>
      <c r="AC1029" s="571"/>
      <c r="AD1029" s="571"/>
      <c r="AE1029" s="571"/>
      <c r="AF1029" s="571"/>
      <c r="AG1029" s="690"/>
      <c r="AH1029" s="691"/>
    </row>
    <row r="1030">
      <c r="A1030" s="568"/>
      <c r="B1030" s="730"/>
      <c r="C1030" s="730"/>
      <c r="D1030" s="730"/>
      <c r="E1030" s="730"/>
      <c r="F1030" s="730"/>
      <c r="G1030" s="730"/>
      <c r="H1030" s="730"/>
      <c r="I1030" s="730"/>
      <c r="J1030" s="730"/>
      <c r="K1030" s="730"/>
      <c r="L1030" s="730"/>
      <c r="M1030" s="730"/>
      <c r="N1030" s="571"/>
      <c r="O1030" s="571"/>
      <c r="P1030" s="571"/>
      <c r="Q1030" s="571"/>
      <c r="R1030" s="571"/>
      <c r="S1030" s="571"/>
      <c r="T1030" s="571"/>
      <c r="U1030" s="571"/>
      <c r="V1030" s="571"/>
      <c r="W1030" s="571"/>
      <c r="X1030" s="571"/>
      <c r="Y1030" s="571"/>
      <c r="Z1030" s="571"/>
      <c r="AA1030" s="571"/>
      <c r="AB1030" s="571"/>
      <c r="AC1030" s="571"/>
      <c r="AD1030" s="571"/>
      <c r="AE1030" s="571"/>
      <c r="AF1030" s="571"/>
      <c r="AG1030" s="690"/>
      <c r="AH1030" s="691"/>
    </row>
    <row r="1031">
      <c r="A1031" s="568"/>
      <c r="B1031" s="730"/>
      <c r="C1031" s="730"/>
      <c r="D1031" s="730"/>
      <c r="E1031" s="730"/>
      <c r="F1031" s="730"/>
      <c r="G1031" s="730"/>
      <c r="H1031" s="730"/>
      <c r="I1031" s="730"/>
      <c r="J1031" s="730"/>
      <c r="K1031" s="730"/>
      <c r="L1031" s="730"/>
      <c r="M1031" s="730"/>
      <c r="N1031" s="571"/>
      <c r="O1031" s="571"/>
      <c r="P1031" s="571"/>
      <c r="Q1031" s="571"/>
      <c r="R1031" s="571"/>
      <c r="S1031" s="571"/>
      <c r="T1031" s="571"/>
      <c r="U1031" s="571"/>
      <c r="V1031" s="571"/>
      <c r="W1031" s="571"/>
      <c r="X1031" s="571"/>
      <c r="Y1031" s="571"/>
      <c r="Z1031" s="571"/>
      <c r="AA1031" s="571"/>
      <c r="AB1031" s="571"/>
      <c r="AC1031" s="571"/>
      <c r="AD1031" s="571"/>
      <c r="AE1031" s="571"/>
      <c r="AF1031" s="571"/>
      <c r="AG1031" s="690"/>
      <c r="AH1031" s="691"/>
    </row>
    <row r="1032">
      <c r="A1032" s="568"/>
      <c r="B1032" s="730"/>
      <c r="C1032" s="730"/>
      <c r="D1032" s="730"/>
      <c r="E1032" s="730"/>
      <c r="F1032" s="730"/>
      <c r="G1032" s="730"/>
      <c r="H1032" s="730"/>
      <c r="I1032" s="730"/>
      <c r="J1032" s="730"/>
      <c r="K1032" s="730"/>
      <c r="L1032" s="730"/>
      <c r="M1032" s="730"/>
      <c r="N1032" s="571"/>
      <c r="O1032" s="571"/>
      <c r="P1032" s="571"/>
      <c r="Q1032" s="571"/>
      <c r="R1032" s="571"/>
      <c r="S1032" s="571"/>
      <c r="T1032" s="571"/>
      <c r="U1032" s="571"/>
      <c r="V1032" s="571"/>
      <c r="W1032" s="571"/>
      <c r="X1032" s="571"/>
      <c r="Y1032" s="571"/>
      <c r="Z1032" s="571"/>
      <c r="AA1032" s="571"/>
      <c r="AB1032" s="571"/>
      <c r="AC1032" s="571"/>
      <c r="AD1032" s="571"/>
      <c r="AE1032" s="571"/>
      <c r="AF1032" s="571"/>
      <c r="AG1032" s="690"/>
      <c r="AH1032" s="691"/>
    </row>
    <row r="1033">
      <c r="A1033" s="568"/>
      <c r="B1033" s="730"/>
      <c r="C1033" s="730"/>
      <c r="D1033" s="730"/>
      <c r="E1033" s="730"/>
      <c r="F1033" s="730"/>
      <c r="G1033" s="730"/>
      <c r="H1033" s="730"/>
      <c r="I1033" s="730"/>
      <c r="J1033" s="730"/>
      <c r="K1033" s="730"/>
      <c r="L1033" s="730"/>
      <c r="M1033" s="730"/>
      <c r="N1033" s="571"/>
      <c r="O1033" s="571"/>
      <c r="P1033" s="571"/>
      <c r="Q1033" s="571"/>
      <c r="R1033" s="571"/>
      <c r="S1033" s="571"/>
      <c r="T1033" s="571"/>
      <c r="U1033" s="571"/>
      <c r="V1033" s="571"/>
      <c r="W1033" s="571"/>
      <c r="X1033" s="571"/>
      <c r="Y1033" s="571"/>
      <c r="Z1033" s="571"/>
      <c r="AA1033" s="571"/>
      <c r="AB1033" s="571"/>
      <c r="AC1033" s="571"/>
      <c r="AD1033" s="571"/>
      <c r="AE1033" s="571"/>
      <c r="AF1033" s="571"/>
      <c r="AG1033" s="690"/>
      <c r="AH1033" s="691"/>
    </row>
    <row r="1034">
      <c r="A1034" s="568"/>
      <c r="B1034" s="730"/>
      <c r="C1034" s="730"/>
      <c r="D1034" s="730"/>
      <c r="E1034" s="730"/>
      <c r="F1034" s="730"/>
      <c r="G1034" s="730"/>
      <c r="H1034" s="730"/>
      <c r="I1034" s="730"/>
      <c r="J1034" s="730"/>
      <c r="K1034" s="730"/>
      <c r="L1034" s="730"/>
      <c r="M1034" s="730"/>
      <c r="N1034" s="571"/>
      <c r="O1034" s="571"/>
      <c r="P1034" s="571"/>
      <c r="Q1034" s="571"/>
      <c r="R1034" s="571"/>
      <c r="S1034" s="571"/>
      <c r="T1034" s="571"/>
      <c r="U1034" s="571"/>
      <c r="V1034" s="571"/>
      <c r="W1034" s="571"/>
      <c r="X1034" s="571"/>
      <c r="Y1034" s="571"/>
      <c r="Z1034" s="571"/>
      <c r="AA1034" s="571"/>
      <c r="AB1034" s="571"/>
      <c r="AC1034" s="571"/>
      <c r="AD1034" s="571"/>
      <c r="AE1034" s="571"/>
      <c r="AF1034" s="571"/>
      <c r="AG1034" s="690"/>
      <c r="AH1034" s="691"/>
    </row>
    <row r="1035">
      <c r="A1035" s="568"/>
      <c r="B1035" s="730"/>
      <c r="C1035" s="730"/>
      <c r="D1035" s="730"/>
      <c r="E1035" s="730"/>
      <c r="F1035" s="730"/>
      <c r="G1035" s="730"/>
      <c r="H1035" s="730"/>
      <c r="I1035" s="730"/>
      <c r="J1035" s="730"/>
      <c r="K1035" s="730"/>
      <c r="L1035" s="730"/>
      <c r="M1035" s="730"/>
      <c r="N1035" s="571"/>
      <c r="O1035" s="571"/>
      <c r="P1035" s="571"/>
      <c r="Q1035" s="571"/>
      <c r="R1035" s="571"/>
      <c r="S1035" s="571"/>
      <c r="T1035" s="571"/>
      <c r="U1035" s="571"/>
      <c r="V1035" s="571"/>
      <c r="W1035" s="571"/>
      <c r="X1035" s="571"/>
      <c r="Y1035" s="571"/>
      <c r="Z1035" s="571"/>
      <c r="AA1035" s="571"/>
      <c r="AB1035" s="571"/>
      <c r="AC1035" s="571"/>
      <c r="AD1035" s="571"/>
      <c r="AE1035" s="571"/>
      <c r="AF1035" s="571"/>
      <c r="AG1035" s="690"/>
      <c r="AH1035" s="691"/>
    </row>
    <row r="1036">
      <c r="A1036" s="568"/>
      <c r="B1036" s="730"/>
      <c r="C1036" s="730"/>
      <c r="D1036" s="730"/>
      <c r="E1036" s="730"/>
      <c r="F1036" s="730"/>
      <c r="G1036" s="730"/>
      <c r="H1036" s="730"/>
      <c r="I1036" s="730"/>
      <c r="J1036" s="730"/>
      <c r="K1036" s="730"/>
      <c r="L1036" s="730"/>
      <c r="M1036" s="730"/>
      <c r="N1036" s="571"/>
      <c r="O1036" s="571"/>
      <c r="P1036" s="571"/>
      <c r="Q1036" s="571"/>
      <c r="R1036" s="571"/>
      <c r="S1036" s="571"/>
      <c r="T1036" s="571"/>
      <c r="U1036" s="571"/>
      <c r="V1036" s="571"/>
      <c r="W1036" s="571"/>
      <c r="X1036" s="571"/>
      <c r="Y1036" s="571"/>
      <c r="Z1036" s="571"/>
      <c r="AA1036" s="571"/>
      <c r="AB1036" s="571"/>
      <c r="AC1036" s="571"/>
      <c r="AD1036" s="571"/>
      <c r="AE1036" s="571"/>
      <c r="AF1036" s="571"/>
      <c r="AG1036" s="690"/>
      <c r="AH1036" s="691"/>
    </row>
    <row r="1037">
      <c r="A1037" s="568"/>
      <c r="B1037" s="730"/>
      <c r="C1037" s="730"/>
      <c r="D1037" s="730"/>
      <c r="E1037" s="730"/>
      <c r="F1037" s="730"/>
      <c r="G1037" s="730"/>
      <c r="H1037" s="730"/>
      <c r="I1037" s="730"/>
      <c r="J1037" s="730"/>
      <c r="K1037" s="730"/>
      <c r="L1037" s="730"/>
      <c r="M1037" s="730"/>
      <c r="N1037" s="571"/>
      <c r="O1037" s="571"/>
      <c r="P1037" s="571"/>
      <c r="Q1037" s="571"/>
      <c r="R1037" s="571"/>
      <c r="S1037" s="571"/>
      <c r="T1037" s="571"/>
      <c r="U1037" s="571"/>
      <c r="V1037" s="571"/>
      <c r="W1037" s="571"/>
      <c r="X1037" s="571"/>
      <c r="Y1037" s="571"/>
      <c r="Z1037" s="571"/>
      <c r="AA1037" s="571"/>
      <c r="AB1037" s="571"/>
      <c r="AC1037" s="571"/>
      <c r="AD1037" s="571"/>
      <c r="AE1037" s="571"/>
      <c r="AF1037" s="571"/>
      <c r="AG1037" s="690"/>
      <c r="AH1037" s="691"/>
    </row>
    <row r="1038">
      <c r="A1038" s="568"/>
      <c r="B1038" s="730"/>
      <c r="C1038" s="730"/>
      <c r="D1038" s="730"/>
      <c r="E1038" s="730"/>
      <c r="F1038" s="730"/>
      <c r="G1038" s="730"/>
      <c r="H1038" s="730"/>
      <c r="I1038" s="730"/>
      <c r="J1038" s="730"/>
      <c r="K1038" s="730"/>
      <c r="L1038" s="730"/>
      <c r="M1038" s="730"/>
      <c r="N1038" s="571"/>
      <c r="O1038" s="571"/>
      <c r="P1038" s="571"/>
      <c r="Q1038" s="571"/>
      <c r="R1038" s="571"/>
      <c r="S1038" s="571"/>
      <c r="T1038" s="571"/>
      <c r="U1038" s="571"/>
      <c r="V1038" s="571"/>
      <c r="W1038" s="571"/>
      <c r="X1038" s="571"/>
      <c r="Y1038" s="571"/>
      <c r="Z1038" s="571"/>
      <c r="AA1038" s="571"/>
      <c r="AB1038" s="571"/>
      <c r="AC1038" s="571"/>
      <c r="AD1038" s="571"/>
      <c r="AE1038" s="571"/>
      <c r="AF1038" s="571"/>
      <c r="AG1038" s="690"/>
      <c r="AH1038" s="691"/>
    </row>
    <row r="1039">
      <c r="A1039" s="568"/>
      <c r="B1039" s="730"/>
      <c r="C1039" s="730"/>
      <c r="D1039" s="730"/>
      <c r="E1039" s="730"/>
      <c r="F1039" s="730"/>
      <c r="G1039" s="730"/>
      <c r="H1039" s="730"/>
      <c r="I1039" s="730"/>
      <c r="J1039" s="730"/>
      <c r="K1039" s="730"/>
      <c r="L1039" s="730"/>
      <c r="M1039" s="730"/>
      <c r="N1039" s="571"/>
      <c r="O1039" s="571"/>
      <c r="P1039" s="571"/>
      <c r="Q1039" s="571"/>
      <c r="R1039" s="571"/>
      <c r="S1039" s="571"/>
      <c r="T1039" s="571"/>
      <c r="U1039" s="571"/>
      <c r="V1039" s="571"/>
      <c r="W1039" s="571"/>
      <c r="X1039" s="571"/>
      <c r="Y1039" s="571"/>
      <c r="Z1039" s="571"/>
      <c r="AA1039" s="571"/>
      <c r="AB1039" s="571"/>
      <c r="AC1039" s="571"/>
      <c r="AD1039" s="571"/>
      <c r="AE1039" s="571"/>
      <c r="AF1039" s="571"/>
      <c r="AG1039" s="690"/>
      <c r="AH1039" s="691"/>
    </row>
    <row r="1040">
      <c r="A1040" s="568"/>
      <c r="B1040" s="730"/>
      <c r="C1040" s="730"/>
      <c r="D1040" s="730"/>
      <c r="E1040" s="730"/>
      <c r="F1040" s="730"/>
      <c r="G1040" s="730"/>
      <c r="H1040" s="730"/>
      <c r="I1040" s="730"/>
      <c r="J1040" s="730"/>
      <c r="K1040" s="730"/>
      <c r="L1040" s="730"/>
      <c r="M1040" s="730"/>
      <c r="N1040" s="571"/>
      <c r="O1040" s="571"/>
      <c r="P1040" s="571"/>
      <c r="Q1040" s="571"/>
      <c r="R1040" s="571"/>
      <c r="S1040" s="571"/>
      <c r="T1040" s="571"/>
      <c r="U1040" s="571"/>
      <c r="V1040" s="571"/>
      <c r="W1040" s="571"/>
      <c r="X1040" s="571"/>
      <c r="Y1040" s="571"/>
      <c r="Z1040" s="571"/>
      <c r="AA1040" s="571"/>
      <c r="AB1040" s="571"/>
      <c r="AC1040" s="571"/>
      <c r="AD1040" s="571"/>
      <c r="AE1040" s="571"/>
      <c r="AF1040" s="571"/>
      <c r="AG1040" s="690"/>
      <c r="AH1040" s="691"/>
    </row>
    <row r="1041">
      <c r="A1041" s="568"/>
      <c r="B1041" s="730"/>
      <c r="C1041" s="730"/>
      <c r="D1041" s="730"/>
      <c r="E1041" s="730"/>
      <c r="F1041" s="730"/>
      <c r="G1041" s="730"/>
      <c r="H1041" s="730"/>
      <c r="I1041" s="730"/>
      <c r="J1041" s="730"/>
      <c r="K1041" s="730"/>
      <c r="L1041" s="730"/>
      <c r="M1041" s="730"/>
      <c r="N1041" s="571"/>
      <c r="O1041" s="571"/>
      <c r="P1041" s="571"/>
      <c r="Q1041" s="571"/>
      <c r="R1041" s="571"/>
      <c r="S1041" s="571"/>
      <c r="T1041" s="571"/>
      <c r="U1041" s="571"/>
      <c r="V1041" s="571"/>
      <c r="W1041" s="571"/>
      <c r="X1041" s="571"/>
      <c r="Y1041" s="571"/>
      <c r="Z1041" s="571"/>
      <c r="AA1041" s="571"/>
      <c r="AB1041" s="571"/>
      <c r="AC1041" s="571"/>
      <c r="AD1041" s="571"/>
      <c r="AE1041" s="571"/>
      <c r="AF1041" s="571"/>
      <c r="AG1041" s="690"/>
      <c r="AH1041" s="691"/>
    </row>
    <row r="1042">
      <c r="AG1042" s="731"/>
      <c r="AH1042" s="622"/>
    </row>
    <row r="1043">
      <c r="AG1043" s="731"/>
      <c r="AH1043" s="622"/>
    </row>
    <row r="1044">
      <c r="AG1044" s="731"/>
      <c r="AH1044" s="622"/>
    </row>
    <row r="1045">
      <c r="AG1045" s="731"/>
      <c r="AH1045" s="622"/>
    </row>
    <row r="1046">
      <c r="AG1046" s="731"/>
      <c r="AH1046" s="622"/>
    </row>
    <row r="1047">
      <c r="AG1047" s="731"/>
      <c r="AH1047" s="622"/>
    </row>
    <row r="1048">
      <c r="AG1048" s="731"/>
      <c r="AH1048" s="622"/>
    </row>
    <row r="1049">
      <c r="AG1049" s="732"/>
      <c r="AH1049" s="62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33" t="s">
        <v>1100</v>
      </c>
      <c r="B1" s="734"/>
      <c r="C1" s="734"/>
      <c r="D1" s="734"/>
      <c r="E1" s="734"/>
      <c r="F1" s="734"/>
      <c r="G1" s="734"/>
      <c r="H1" s="734"/>
      <c r="I1" s="734"/>
      <c r="J1" s="734"/>
      <c r="K1" s="734"/>
      <c r="L1" s="734"/>
      <c r="M1" s="734"/>
      <c r="N1" s="734"/>
      <c r="O1" s="734"/>
      <c r="P1" s="734"/>
      <c r="Q1" s="734"/>
      <c r="R1" s="734"/>
      <c r="S1" s="734"/>
      <c r="T1" s="734"/>
      <c r="U1" s="734"/>
      <c r="V1" s="734"/>
      <c r="W1" s="734"/>
      <c r="X1" s="734"/>
      <c r="Y1" s="734"/>
      <c r="Z1" s="734"/>
      <c r="AA1" s="734"/>
      <c r="AB1" s="734"/>
      <c r="AC1" s="734"/>
      <c r="AD1" s="734"/>
      <c r="AE1" s="734"/>
      <c r="AF1" s="734"/>
      <c r="AG1" s="734"/>
      <c r="AH1" s="734"/>
      <c r="AI1" s="734"/>
      <c r="AJ1" s="734"/>
      <c r="AK1" s="734"/>
      <c r="AL1" s="734"/>
      <c r="AM1" s="734"/>
      <c r="AN1" s="734"/>
      <c r="AO1" s="734"/>
      <c r="AP1" s="734"/>
      <c r="AQ1" s="734"/>
      <c r="AR1" s="734"/>
      <c r="AS1" s="734"/>
      <c r="AT1" s="734"/>
      <c r="AU1" s="734"/>
      <c r="AV1" s="734"/>
      <c r="AW1" s="734"/>
      <c r="AX1" s="734"/>
      <c r="AY1" s="734"/>
      <c r="AZ1" s="734"/>
      <c r="BA1" s="734"/>
      <c r="BB1" s="734"/>
      <c r="BC1" s="734"/>
      <c r="BD1" s="734"/>
      <c r="BE1" s="734"/>
      <c r="BF1" s="734"/>
      <c r="BG1" s="734"/>
      <c r="BH1" s="734"/>
      <c r="BI1" s="734"/>
      <c r="BJ1" s="734"/>
      <c r="BK1" s="734"/>
      <c r="BL1" s="734"/>
      <c r="BM1" s="734"/>
    </row>
    <row r="2">
      <c r="A2" s="734"/>
      <c r="B2" s="734"/>
      <c r="C2" s="734"/>
      <c r="D2" s="734"/>
      <c r="E2" s="734"/>
      <c r="F2" s="734"/>
      <c r="G2" s="734"/>
      <c r="H2" s="734"/>
      <c r="I2" s="734"/>
      <c r="J2" s="734"/>
      <c r="K2" s="734"/>
      <c r="L2" s="734"/>
      <c r="M2" s="734"/>
      <c r="N2" s="734"/>
      <c r="O2" s="734"/>
      <c r="P2" s="734"/>
      <c r="Q2" s="734"/>
      <c r="R2" s="734"/>
      <c r="S2" s="734"/>
      <c r="T2" s="734"/>
      <c r="U2" s="734"/>
      <c r="V2" s="734"/>
      <c r="W2" s="734"/>
      <c r="X2" s="734"/>
      <c r="Y2" s="734"/>
      <c r="Z2" s="734"/>
      <c r="AA2" s="734"/>
      <c r="AB2" s="734"/>
      <c r="AC2" s="734"/>
      <c r="AD2" s="734"/>
      <c r="AE2" s="734"/>
      <c r="AF2" s="734"/>
      <c r="AG2" s="734"/>
      <c r="AH2" s="734"/>
      <c r="AI2" s="734"/>
      <c r="AJ2" s="734"/>
      <c r="AK2" s="734"/>
      <c r="AL2" s="734"/>
      <c r="AM2" s="734"/>
      <c r="AN2" s="734"/>
      <c r="AO2" s="734"/>
      <c r="AP2" s="734"/>
      <c r="AQ2" s="734"/>
      <c r="AR2" s="734"/>
      <c r="AS2" s="734"/>
      <c r="AT2" s="734"/>
      <c r="AU2" s="734"/>
      <c r="AV2" s="734"/>
      <c r="AW2" s="734"/>
      <c r="AX2" s="734"/>
      <c r="AY2" s="734"/>
      <c r="AZ2" s="734"/>
      <c r="BA2" s="734"/>
      <c r="BB2" s="734"/>
      <c r="BC2" s="734"/>
      <c r="BD2" s="734"/>
      <c r="BE2" s="734"/>
      <c r="BF2" s="734"/>
      <c r="BG2" s="734"/>
      <c r="BH2" s="734"/>
      <c r="BI2" s="734"/>
      <c r="BJ2" s="734"/>
      <c r="BK2" s="734"/>
      <c r="BL2" s="734"/>
      <c r="BM2" s="734"/>
    </row>
    <row r="3">
      <c r="A3" s="735" t="s">
        <v>1101</v>
      </c>
      <c r="B3" s="734"/>
      <c r="C3" s="734"/>
      <c r="D3" s="734"/>
      <c r="E3" s="734"/>
      <c r="F3" s="734"/>
      <c r="G3" s="734"/>
      <c r="H3" s="734"/>
      <c r="I3" s="734"/>
      <c r="J3" s="734"/>
      <c r="K3" s="734"/>
      <c r="L3" s="734"/>
      <c r="M3" s="734"/>
      <c r="N3" s="734"/>
      <c r="O3" s="734"/>
      <c r="P3" s="734"/>
      <c r="Q3" s="734"/>
      <c r="R3" s="734"/>
      <c r="S3" s="734"/>
      <c r="T3" s="734"/>
      <c r="U3" s="734"/>
      <c r="V3" s="734"/>
      <c r="W3" s="734"/>
      <c r="X3" s="734"/>
      <c r="Y3" s="734"/>
      <c r="Z3" s="734"/>
      <c r="AA3" s="734"/>
      <c r="AB3" s="734"/>
      <c r="AC3" s="734"/>
      <c r="AD3" s="734"/>
      <c r="AE3" s="734"/>
      <c r="AF3" s="734"/>
      <c r="AG3" s="734"/>
      <c r="AH3" s="734"/>
      <c r="AI3" s="734"/>
      <c r="AJ3" s="734"/>
      <c r="AK3" s="734"/>
      <c r="AL3" s="734"/>
      <c r="AM3" s="734"/>
      <c r="AN3" s="734"/>
      <c r="AO3" s="734"/>
      <c r="AP3" s="734"/>
      <c r="AQ3" s="734"/>
      <c r="AR3" s="734"/>
      <c r="AS3" s="734"/>
      <c r="AT3" s="734"/>
      <c r="AU3" s="734"/>
      <c r="AV3" s="734"/>
      <c r="AW3" s="734"/>
      <c r="AX3" s="734"/>
      <c r="AY3" s="734"/>
      <c r="AZ3" s="734"/>
      <c r="BA3" s="734"/>
      <c r="BB3" s="734"/>
      <c r="BC3" s="734"/>
      <c r="BD3" s="734"/>
      <c r="BE3" s="734"/>
      <c r="BF3" s="734"/>
      <c r="BG3" s="734"/>
      <c r="BH3" s="734"/>
      <c r="BI3" s="734"/>
      <c r="BJ3" s="734"/>
      <c r="BK3" s="734"/>
      <c r="BL3" s="734"/>
      <c r="BM3" s="734"/>
    </row>
    <row r="4">
      <c r="A4" s="734"/>
      <c r="B4" s="734"/>
      <c r="C4" s="734"/>
      <c r="D4" s="734"/>
      <c r="E4" s="734"/>
      <c r="F4" s="734"/>
      <c r="G4" s="734"/>
      <c r="H4" s="736">
        <v>1.6909567E7</v>
      </c>
      <c r="I4" s="734"/>
      <c r="J4" s="734"/>
      <c r="K4" s="734"/>
      <c r="L4" s="734"/>
      <c r="M4" s="734"/>
      <c r="N4" s="734"/>
      <c r="O4" s="734"/>
      <c r="P4" s="734"/>
      <c r="Q4" s="734"/>
      <c r="R4" s="734"/>
      <c r="S4" s="734"/>
      <c r="T4" s="734"/>
      <c r="U4" s="734"/>
      <c r="V4" s="734"/>
      <c r="W4" s="734"/>
      <c r="X4" s="734"/>
      <c r="Y4" s="734"/>
      <c r="Z4" s="734"/>
      <c r="AA4" s="734"/>
      <c r="AB4" s="734"/>
      <c r="AC4" s="734"/>
      <c r="AD4" s="734"/>
      <c r="AE4" s="734"/>
      <c r="AF4" s="734"/>
      <c r="AG4" s="734"/>
      <c r="AH4" s="734"/>
      <c r="AI4" s="734"/>
      <c r="AJ4" s="734"/>
      <c r="AK4" s="734"/>
      <c r="AL4" s="734"/>
      <c r="AM4" s="734"/>
      <c r="AN4" s="734"/>
      <c r="AO4" s="734"/>
      <c r="AP4" s="734"/>
      <c r="AQ4" s="734"/>
      <c r="AR4" s="734"/>
      <c r="AS4" s="734"/>
      <c r="AT4" s="734"/>
      <c r="AU4" s="734"/>
      <c r="AV4" s="734"/>
      <c r="AW4" s="734"/>
      <c r="AX4" s="734"/>
      <c r="AY4" s="734"/>
      <c r="AZ4" s="734"/>
      <c r="BA4" s="734"/>
      <c r="BB4" s="734"/>
      <c r="BC4" s="734"/>
      <c r="BD4" s="734"/>
      <c r="BE4" s="734"/>
      <c r="BF4" s="734"/>
      <c r="BG4" s="734"/>
      <c r="BH4" s="734"/>
      <c r="BI4" s="734"/>
      <c r="BJ4" s="734"/>
      <c r="BK4" s="734"/>
      <c r="BL4" s="734"/>
      <c r="BM4" s="734"/>
    </row>
    <row r="5">
      <c r="A5" s="737" t="s">
        <v>1102</v>
      </c>
      <c r="B5" s="734"/>
      <c r="C5" s="734"/>
      <c r="D5" s="734"/>
      <c r="E5" s="734"/>
      <c r="F5" s="734"/>
      <c r="G5" s="734"/>
      <c r="H5" s="738"/>
      <c r="I5" s="734"/>
      <c r="J5" s="734"/>
      <c r="K5" s="734"/>
      <c r="L5" s="734"/>
      <c r="M5" s="734"/>
      <c r="N5" s="734"/>
      <c r="O5" s="734"/>
      <c r="P5" s="734"/>
      <c r="Q5" s="734"/>
      <c r="R5" s="734"/>
      <c r="S5" s="734"/>
      <c r="T5" s="734"/>
      <c r="U5" s="734"/>
      <c r="V5" s="734"/>
      <c r="W5" s="734"/>
      <c r="X5" s="734"/>
      <c r="Y5" s="734"/>
      <c r="Z5" s="734"/>
      <c r="AA5" s="734"/>
      <c r="AB5" s="734"/>
      <c r="AC5" s="734"/>
      <c r="AD5" s="734"/>
      <c r="AE5" s="734"/>
      <c r="AF5" s="734"/>
      <c r="AG5" s="734"/>
      <c r="AH5" s="734"/>
      <c r="AI5" s="734"/>
      <c r="AJ5" s="734"/>
      <c r="AK5" s="734"/>
      <c r="AL5" s="734"/>
      <c r="AM5" s="734"/>
      <c r="AN5" s="734"/>
      <c r="AO5" s="734"/>
      <c r="AP5" s="734"/>
      <c r="AQ5" s="734"/>
      <c r="AR5" s="734"/>
      <c r="AS5" s="734"/>
      <c r="AT5" s="734"/>
      <c r="AU5" s="734"/>
      <c r="AV5" s="734"/>
      <c r="AW5" s="734"/>
      <c r="AX5" s="734"/>
      <c r="AY5" s="734"/>
      <c r="AZ5" s="734"/>
      <c r="BA5" s="734"/>
      <c r="BB5" s="734"/>
      <c r="BC5" s="734"/>
      <c r="BD5" s="734"/>
      <c r="BE5" s="734"/>
      <c r="BF5" s="734"/>
      <c r="BG5" s="734"/>
      <c r="BH5" s="734"/>
      <c r="BI5" s="734"/>
      <c r="BJ5" s="734"/>
      <c r="BK5" s="734"/>
      <c r="BL5" s="734"/>
      <c r="BM5" s="734"/>
    </row>
    <row r="6">
      <c r="A6" s="739" t="s">
        <v>1103</v>
      </c>
      <c r="B6" s="740"/>
      <c r="C6" s="740"/>
      <c r="D6" s="740"/>
      <c r="E6" s="740"/>
      <c r="F6" s="740"/>
      <c r="G6" s="741"/>
      <c r="H6" s="738"/>
      <c r="I6" s="734"/>
      <c r="J6" s="734"/>
      <c r="K6" s="734"/>
      <c r="L6" s="734"/>
      <c r="M6" s="734"/>
      <c r="N6" s="734"/>
      <c r="O6" s="734"/>
      <c r="P6" s="734"/>
      <c r="Q6" s="734"/>
      <c r="R6" s="734"/>
      <c r="S6" s="734"/>
      <c r="T6" s="734"/>
      <c r="U6" s="734"/>
      <c r="V6" s="734"/>
      <c r="W6" s="734"/>
      <c r="X6" s="734"/>
      <c r="Y6" s="734"/>
      <c r="Z6" s="734"/>
      <c r="AA6" s="734"/>
      <c r="AB6" s="734"/>
      <c r="AC6" s="734"/>
      <c r="AD6" s="734"/>
      <c r="AE6" s="734"/>
      <c r="AF6" s="734"/>
      <c r="AG6" s="734"/>
      <c r="AH6" s="734"/>
      <c r="AI6" s="734"/>
      <c r="AJ6" s="734"/>
      <c r="AK6" s="734"/>
      <c r="AL6" s="734"/>
      <c r="AM6" s="734"/>
      <c r="AN6" s="734"/>
      <c r="AO6" s="734"/>
      <c r="AP6" s="734"/>
      <c r="AQ6" s="734"/>
      <c r="AR6" s="734"/>
      <c r="AS6" s="734"/>
      <c r="AT6" s="734"/>
      <c r="AU6" s="734"/>
      <c r="AV6" s="734"/>
      <c r="AW6" s="734"/>
      <c r="AX6" s="734"/>
      <c r="AY6" s="734"/>
      <c r="AZ6" s="734"/>
      <c r="BA6" s="734"/>
      <c r="BB6" s="734"/>
      <c r="BC6" s="734"/>
      <c r="BD6" s="734"/>
      <c r="BE6" s="734"/>
      <c r="BF6" s="734"/>
      <c r="BG6" s="734"/>
      <c r="BH6" s="734"/>
      <c r="BI6" s="734"/>
      <c r="BJ6" s="734"/>
      <c r="BK6" s="734"/>
      <c r="BL6" s="734"/>
      <c r="BM6" s="734"/>
    </row>
    <row r="7">
      <c r="A7" s="742"/>
      <c r="B7" s="743"/>
      <c r="C7" s="743"/>
      <c r="D7" s="743"/>
      <c r="E7" s="743"/>
      <c r="F7" s="743"/>
      <c r="G7" s="744"/>
      <c r="H7" s="734"/>
      <c r="I7" s="734"/>
      <c r="J7" s="734"/>
      <c r="K7" s="734"/>
      <c r="L7" s="734"/>
      <c r="M7" s="734"/>
      <c r="N7" s="734"/>
      <c r="O7" s="734"/>
      <c r="P7" s="734"/>
      <c r="Q7" s="734"/>
      <c r="R7" s="734"/>
      <c r="S7" s="734"/>
      <c r="T7" s="734"/>
      <c r="U7" s="734"/>
      <c r="V7" s="734"/>
      <c r="W7" s="734"/>
      <c r="X7" s="734"/>
      <c r="Y7" s="734"/>
      <c r="Z7" s="734"/>
      <c r="AA7" s="734"/>
      <c r="AB7" s="734"/>
      <c r="AC7" s="734"/>
      <c r="AD7" s="734"/>
      <c r="AE7" s="734"/>
      <c r="AF7" s="734"/>
      <c r="AG7" s="734"/>
      <c r="AH7" s="734"/>
      <c r="AI7" s="734"/>
      <c r="AJ7" s="734"/>
      <c r="AK7" s="734"/>
      <c r="AL7" s="734"/>
      <c r="AM7" s="734"/>
      <c r="AN7" s="734"/>
      <c r="AO7" s="734"/>
      <c r="AP7" s="734"/>
      <c r="AQ7" s="734"/>
      <c r="AR7" s="734"/>
      <c r="AS7" s="734"/>
      <c r="AT7" s="734"/>
      <c r="AU7" s="734"/>
      <c r="AV7" s="734"/>
      <c r="AW7" s="734"/>
      <c r="AX7" s="734"/>
      <c r="AY7" s="734"/>
      <c r="AZ7" s="734"/>
      <c r="BA7" s="734"/>
      <c r="BB7" s="734"/>
      <c r="BC7" s="734"/>
      <c r="BD7" s="734"/>
      <c r="BE7" s="734"/>
      <c r="BF7" s="734"/>
      <c r="BG7" s="734"/>
      <c r="BH7" s="734"/>
      <c r="BI7" s="734"/>
      <c r="BJ7" s="734"/>
      <c r="BK7" s="734"/>
      <c r="BL7" s="734"/>
      <c r="BM7" s="734"/>
    </row>
    <row r="8">
      <c r="A8" s="739" t="s">
        <v>1104</v>
      </c>
      <c r="B8" s="740"/>
      <c r="C8" s="740"/>
      <c r="D8" s="740"/>
      <c r="E8" s="740"/>
      <c r="F8" s="740"/>
      <c r="G8" s="741"/>
      <c r="H8" s="745" t="s">
        <v>1105</v>
      </c>
      <c r="I8" s="734"/>
      <c r="J8" s="734"/>
      <c r="K8" s="734"/>
      <c r="L8" s="734"/>
      <c r="M8" s="734"/>
      <c r="N8" s="734"/>
      <c r="O8" s="734"/>
      <c r="P8" s="734"/>
      <c r="Q8" s="734"/>
      <c r="R8" s="734"/>
      <c r="S8" s="734"/>
      <c r="T8" s="734"/>
      <c r="U8" s="734"/>
      <c r="V8" s="734"/>
      <c r="W8" s="734"/>
      <c r="X8" s="734"/>
      <c r="Y8" s="734"/>
      <c r="Z8" s="734"/>
      <c r="AA8" s="734"/>
      <c r="AB8" s="734"/>
      <c r="AC8" s="734"/>
      <c r="AD8" s="734"/>
      <c r="AE8" s="734"/>
      <c r="AF8" s="734"/>
      <c r="AG8" s="734"/>
      <c r="AH8" s="734"/>
      <c r="AI8" s="734"/>
      <c r="AJ8" s="734"/>
      <c r="AK8" s="734"/>
      <c r="AL8" s="734"/>
      <c r="AM8" s="734"/>
      <c r="AN8" s="734"/>
      <c r="AO8" s="734"/>
      <c r="AP8" s="734"/>
      <c r="AQ8" s="734"/>
      <c r="AR8" s="734"/>
      <c r="AS8" s="734"/>
      <c r="AT8" s="734"/>
      <c r="AU8" s="734"/>
      <c r="AV8" s="734"/>
      <c r="AW8" s="734"/>
      <c r="AX8" s="734"/>
      <c r="AY8" s="734"/>
      <c r="AZ8" s="734"/>
      <c r="BA8" s="734"/>
      <c r="BB8" s="734"/>
      <c r="BC8" s="734"/>
      <c r="BD8" s="734"/>
      <c r="BE8" s="734"/>
      <c r="BF8" s="734"/>
      <c r="BG8" s="734"/>
      <c r="BH8" s="734"/>
      <c r="BI8" s="734"/>
      <c r="BJ8" s="734"/>
      <c r="BK8" s="734"/>
      <c r="BL8" s="734"/>
      <c r="BM8" s="734"/>
    </row>
    <row r="9">
      <c r="A9" s="742"/>
      <c r="B9" s="743"/>
      <c r="C9" s="743"/>
      <c r="D9" s="743"/>
      <c r="E9" s="743"/>
      <c r="F9" s="743"/>
      <c r="G9" s="744"/>
      <c r="H9" s="734"/>
      <c r="I9" s="734"/>
      <c r="J9" s="734"/>
      <c r="K9" s="734"/>
      <c r="L9" s="734"/>
      <c r="M9" s="734"/>
      <c r="N9" s="734"/>
      <c r="O9" s="734"/>
      <c r="P9" s="734"/>
      <c r="Q9" s="734"/>
      <c r="R9" s="734"/>
      <c r="S9" s="734"/>
      <c r="T9" s="734"/>
      <c r="U9" s="734"/>
      <c r="V9" s="734"/>
      <c r="W9" s="734"/>
      <c r="X9" s="734"/>
      <c r="Y9" s="734"/>
      <c r="Z9" s="734"/>
      <c r="AA9" s="734"/>
      <c r="AB9" s="734"/>
      <c r="AC9" s="734"/>
      <c r="AD9" s="734"/>
      <c r="AE9" s="734"/>
      <c r="AF9" s="734"/>
      <c r="AG9" s="734"/>
      <c r="AH9" s="734"/>
      <c r="AI9" s="734"/>
      <c r="AJ9" s="734"/>
      <c r="AK9" s="734"/>
      <c r="AL9" s="734"/>
      <c r="AM9" s="734"/>
      <c r="AN9" s="734"/>
      <c r="AO9" s="734"/>
      <c r="AP9" s="734"/>
      <c r="AQ9" s="734"/>
      <c r="AR9" s="734"/>
      <c r="AS9" s="734"/>
      <c r="AT9" s="734"/>
      <c r="AU9" s="734"/>
      <c r="AV9" s="734"/>
      <c r="AW9" s="734"/>
      <c r="AX9" s="734"/>
      <c r="AY9" s="734"/>
      <c r="AZ9" s="734"/>
      <c r="BA9" s="734"/>
      <c r="BB9" s="734"/>
      <c r="BC9" s="734"/>
      <c r="BD9" s="734"/>
      <c r="BE9" s="734"/>
      <c r="BF9" s="734"/>
      <c r="BG9" s="734"/>
      <c r="BH9" s="734"/>
      <c r="BI9" s="734"/>
      <c r="BJ9" s="734"/>
      <c r="BK9" s="734"/>
      <c r="BL9" s="734"/>
      <c r="BM9" s="734"/>
    </row>
    <row r="10">
      <c r="A10" s="739" t="s">
        <v>1106</v>
      </c>
      <c r="B10" s="740"/>
      <c r="C10" s="740"/>
      <c r="D10" s="740"/>
      <c r="E10" s="740"/>
      <c r="F10" s="740"/>
      <c r="G10" s="741"/>
      <c r="H10" s="734"/>
      <c r="I10" s="734"/>
      <c r="J10" s="734"/>
      <c r="K10" s="734"/>
      <c r="L10" s="734"/>
      <c r="M10" s="734"/>
      <c r="N10" s="734"/>
      <c r="O10" s="734"/>
      <c r="P10" s="734"/>
      <c r="Q10" s="734"/>
      <c r="R10" s="734"/>
      <c r="S10" s="734"/>
      <c r="T10" s="734"/>
      <c r="U10" s="734"/>
      <c r="V10" s="734"/>
      <c r="W10" s="734"/>
      <c r="X10" s="734"/>
      <c r="Y10" s="734"/>
      <c r="Z10" s="734"/>
      <c r="AA10" s="734"/>
      <c r="AB10" s="734"/>
      <c r="AC10" s="734"/>
      <c r="AD10" s="734"/>
      <c r="AE10" s="734"/>
      <c r="AF10" s="734"/>
      <c r="AG10" s="734"/>
      <c r="AH10" s="734"/>
      <c r="AI10" s="734"/>
      <c r="AJ10" s="734"/>
      <c r="AK10" s="734"/>
      <c r="AL10" s="734"/>
      <c r="AM10" s="734"/>
      <c r="AN10" s="734"/>
      <c r="AO10" s="734"/>
      <c r="AP10" s="734"/>
      <c r="AQ10" s="734"/>
      <c r="AR10" s="734"/>
      <c r="AS10" s="734"/>
      <c r="AT10" s="734"/>
      <c r="AU10" s="734"/>
      <c r="AV10" s="734"/>
      <c r="AW10" s="734"/>
      <c r="AX10" s="734"/>
      <c r="AY10" s="734"/>
      <c r="AZ10" s="734"/>
      <c r="BA10" s="734"/>
      <c r="BB10" s="734"/>
      <c r="BC10" s="734"/>
      <c r="BD10" s="734"/>
      <c r="BE10" s="734"/>
      <c r="BF10" s="734"/>
      <c r="BG10" s="734"/>
      <c r="BH10" s="734"/>
      <c r="BI10" s="734"/>
      <c r="BJ10" s="734"/>
      <c r="BK10" s="734"/>
      <c r="BL10" s="734"/>
      <c r="BM10" s="734"/>
    </row>
    <row r="11">
      <c r="A11" s="742"/>
      <c r="B11" s="743"/>
      <c r="C11" s="743"/>
      <c r="D11" s="743"/>
      <c r="E11" s="743"/>
      <c r="F11" s="743"/>
      <c r="G11" s="744"/>
      <c r="H11" s="734"/>
      <c r="I11" s="734"/>
      <c r="J11" s="734"/>
      <c r="K11" s="734"/>
      <c r="L11" s="734"/>
      <c r="M11" s="734"/>
      <c r="N11" s="734"/>
      <c r="O11" s="734"/>
      <c r="P11" s="734"/>
      <c r="Q11" s="734"/>
      <c r="R11" s="734"/>
      <c r="S11" s="734"/>
      <c r="T11" s="734"/>
      <c r="U11" s="734"/>
      <c r="V11" s="734"/>
      <c r="W11" s="734"/>
      <c r="X11" s="734"/>
      <c r="Y11" s="734"/>
      <c r="Z11" s="734"/>
      <c r="AA11" s="734"/>
      <c r="AB11" s="734"/>
      <c r="AC11" s="734"/>
      <c r="AD11" s="734"/>
      <c r="AE11" s="734"/>
      <c r="AF11" s="734"/>
      <c r="AG11" s="734"/>
      <c r="AH11" s="734"/>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4"/>
      <c r="BG11" s="734"/>
      <c r="BH11" s="734"/>
      <c r="BI11" s="734"/>
      <c r="BJ11" s="734"/>
      <c r="BK11" s="734"/>
      <c r="BL11" s="734"/>
      <c r="BM11" s="734"/>
    </row>
    <row r="12">
      <c r="A12" s="734"/>
      <c r="B12" s="734"/>
      <c r="C12" s="734"/>
      <c r="D12" s="734"/>
      <c r="E12" s="734"/>
      <c r="F12" s="734"/>
      <c r="G12" s="734"/>
      <c r="H12" s="734"/>
      <c r="I12" s="734"/>
      <c r="J12" s="734"/>
      <c r="K12" s="734"/>
      <c r="L12" s="734"/>
      <c r="M12" s="734"/>
      <c r="N12" s="734"/>
      <c r="O12" s="734"/>
      <c r="P12" s="734"/>
      <c r="Q12" s="734"/>
      <c r="R12" s="734"/>
      <c r="S12" s="734"/>
      <c r="T12" s="734"/>
      <c r="U12" s="734"/>
      <c r="V12" s="734"/>
      <c r="W12" s="734"/>
      <c r="X12" s="734"/>
      <c r="Y12" s="734"/>
      <c r="Z12" s="734"/>
      <c r="AA12" s="734"/>
      <c r="AB12" s="734"/>
      <c r="AC12" s="734"/>
      <c r="AD12" s="734"/>
      <c r="AE12" s="734"/>
      <c r="AF12" s="734"/>
      <c r="AG12" s="734"/>
      <c r="AH12" s="734"/>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4"/>
      <c r="BG12" s="734"/>
      <c r="BH12" s="734"/>
      <c r="BI12" s="734"/>
      <c r="BJ12" s="734"/>
      <c r="BK12" s="734"/>
      <c r="BL12" s="734"/>
      <c r="BM12" s="734"/>
    </row>
    <row r="13">
      <c r="A13" s="739" t="s">
        <v>1107</v>
      </c>
      <c r="B13" s="740"/>
      <c r="C13" s="740"/>
      <c r="D13" s="740"/>
      <c r="E13" s="740"/>
      <c r="F13" s="740"/>
      <c r="G13" s="740"/>
      <c r="H13" s="741"/>
      <c r="I13" s="734"/>
      <c r="J13" s="734"/>
      <c r="K13" s="734"/>
      <c r="L13" s="734"/>
      <c r="M13" s="734"/>
      <c r="N13" s="734"/>
      <c r="O13" s="734"/>
      <c r="P13" s="734"/>
      <c r="Q13" s="734"/>
      <c r="R13" s="734"/>
      <c r="S13" s="734"/>
      <c r="T13" s="734"/>
      <c r="U13" s="734"/>
      <c r="V13" s="734"/>
      <c r="W13" s="734"/>
      <c r="X13" s="734"/>
      <c r="Y13" s="734"/>
      <c r="Z13" s="734"/>
      <c r="AA13" s="734"/>
      <c r="AB13" s="734"/>
      <c r="AC13" s="734"/>
      <c r="AD13" s="734"/>
      <c r="AE13" s="734"/>
      <c r="AF13" s="734"/>
      <c r="AG13" s="734"/>
      <c r="AH13" s="734"/>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4"/>
      <c r="BG13" s="734"/>
      <c r="BH13" s="734"/>
      <c r="BI13" s="734"/>
      <c r="BJ13" s="734"/>
      <c r="BK13" s="734"/>
      <c r="BL13" s="734"/>
      <c r="BM13" s="734"/>
    </row>
    <row r="14">
      <c r="A14" s="746"/>
      <c r="H14" s="747"/>
      <c r="I14" s="734"/>
      <c r="J14" s="734"/>
      <c r="K14" s="734"/>
      <c r="L14" s="734"/>
      <c r="M14" s="734"/>
      <c r="N14" s="734"/>
      <c r="O14" s="734"/>
      <c r="P14" s="734"/>
      <c r="Q14" s="734"/>
      <c r="R14" s="734"/>
      <c r="S14" s="734"/>
      <c r="T14" s="734"/>
      <c r="U14" s="734"/>
      <c r="V14" s="734"/>
      <c r="W14" s="734"/>
      <c r="X14" s="734"/>
      <c r="Y14" s="734"/>
      <c r="Z14" s="734"/>
      <c r="AA14" s="734"/>
      <c r="AB14" s="734"/>
      <c r="AC14" s="734"/>
      <c r="AD14" s="734"/>
      <c r="AE14" s="734"/>
      <c r="AF14" s="734"/>
      <c r="AG14" s="734"/>
      <c r="AH14" s="734"/>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4"/>
      <c r="BG14" s="734"/>
      <c r="BH14" s="734"/>
      <c r="BI14" s="734"/>
      <c r="BJ14" s="734"/>
      <c r="BK14" s="734"/>
      <c r="BL14" s="734"/>
      <c r="BM14" s="734"/>
    </row>
    <row r="15">
      <c r="A15" s="742"/>
      <c r="B15" s="743"/>
      <c r="C15" s="743"/>
      <c r="D15" s="743"/>
      <c r="E15" s="743"/>
      <c r="F15" s="743"/>
      <c r="G15" s="743"/>
      <c r="H15" s="744"/>
      <c r="I15" s="734"/>
      <c r="J15" s="734"/>
      <c r="K15" s="734"/>
      <c r="L15" s="734"/>
      <c r="M15" s="734"/>
      <c r="N15" s="734"/>
      <c r="O15" s="734"/>
      <c r="P15" s="734"/>
      <c r="Q15" s="734"/>
      <c r="R15" s="734"/>
      <c r="S15" s="734"/>
      <c r="T15" s="734"/>
      <c r="U15" s="734"/>
      <c r="V15" s="734"/>
      <c r="W15" s="734"/>
      <c r="X15" s="734"/>
      <c r="Y15" s="734"/>
      <c r="Z15" s="734"/>
      <c r="AA15" s="734"/>
      <c r="AB15" s="734"/>
      <c r="AC15" s="734"/>
      <c r="AD15" s="734"/>
      <c r="AE15" s="734"/>
      <c r="AF15" s="734"/>
      <c r="AG15" s="734"/>
      <c r="AH15" s="734"/>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4"/>
      <c r="BG15" s="734"/>
      <c r="BH15" s="734"/>
      <c r="BI15" s="734"/>
      <c r="BJ15" s="734"/>
      <c r="BK15" s="734"/>
      <c r="BL15" s="734"/>
      <c r="BM15" s="734"/>
    </row>
    <row r="16">
      <c r="A16" s="739" t="s">
        <v>1108</v>
      </c>
      <c r="B16" s="740"/>
      <c r="C16" s="740"/>
      <c r="D16" s="740"/>
      <c r="E16" s="740"/>
      <c r="F16" s="740"/>
      <c r="G16" s="740"/>
      <c r="H16" s="741"/>
      <c r="I16" s="734"/>
      <c r="J16" s="734"/>
      <c r="K16" s="734"/>
      <c r="L16" s="734"/>
      <c r="M16" s="734"/>
      <c r="N16" s="734"/>
      <c r="O16" s="734"/>
      <c r="P16" s="734"/>
      <c r="Q16" s="734"/>
      <c r="R16" s="734"/>
      <c r="S16" s="734"/>
      <c r="T16" s="734"/>
      <c r="U16" s="734"/>
      <c r="V16" s="734"/>
      <c r="W16" s="734"/>
      <c r="X16" s="734"/>
      <c r="Y16" s="734"/>
      <c r="Z16" s="734"/>
      <c r="AA16" s="734"/>
      <c r="AB16" s="734"/>
      <c r="AC16" s="734"/>
      <c r="AD16" s="734"/>
      <c r="AE16" s="734"/>
      <c r="AF16" s="734"/>
      <c r="AG16" s="734"/>
      <c r="AH16" s="734"/>
      <c r="AI16" s="734"/>
      <c r="AJ16" s="734"/>
      <c r="AK16" s="734"/>
      <c r="AL16" s="734"/>
      <c r="AM16" s="734"/>
      <c r="AN16" s="734"/>
      <c r="AO16" s="734"/>
      <c r="AP16" s="734"/>
      <c r="AQ16" s="734"/>
      <c r="AR16" s="734"/>
      <c r="AS16" s="734"/>
      <c r="AT16" s="734"/>
      <c r="AU16" s="734"/>
      <c r="AV16" s="734"/>
      <c r="AW16" s="734"/>
      <c r="AX16" s="734"/>
      <c r="AY16" s="734"/>
      <c r="AZ16" s="734"/>
      <c r="BA16" s="734"/>
      <c r="BB16" s="734"/>
      <c r="BC16" s="734"/>
      <c r="BD16" s="734"/>
      <c r="BE16" s="734"/>
      <c r="BF16" s="734"/>
      <c r="BG16" s="734"/>
      <c r="BH16" s="734"/>
      <c r="BI16" s="734"/>
      <c r="BJ16" s="734"/>
      <c r="BK16" s="734"/>
      <c r="BL16" s="734"/>
      <c r="BM16" s="734"/>
    </row>
    <row r="17">
      <c r="A17" s="742"/>
      <c r="B17" s="743"/>
      <c r="C17" s="743"/>
      <c r="D17" s="743"/>
      <c r="E17" s="743"/>
      <c r="F17" s="743"/>
      <c r="G17" s="743"/>
      <c r="H17" s="744"/>
      <c r="I17" s="734"/>
      <c r="J17" s="734"/>
      <c r="K17" s="734"/>
      <c r="L17" s="734"/>
      <c r="M17" s="734"/>
      <c r="N17" s="734"/>
      <c r="O17" s="734"/>
      <c r="P17" s="734"/>
      <c r="Q17" s="734"/>
      <c r="R17" s="734"/>
      <c r="S17" s="734"/>
      <c r="T17" s="734"/>
      <c r="U17" s="734"/>
      <c r="V17" s="734"/>
      <c r="W17" s="734"/>
      <c r="X17" s="734"/>
      <c r="Y17" s="734"/>
      <c r="Z17" s="734"/>
      <c r="AA17" s="734"/>
      <c r="AB17" s="734"/>
      <c r="AC17" s="734"/>
      <c r="AD17" s="734"/>
      <c r="AE17" s="734"/>
      <c r="AF17" s="734"/>
      <c r="AG17" s="734"/>
      <c r="AH17" s="734"/>
      <c r="AI17" s="734"/>
      <c r="AJ17" s="734"/>
      <c r="AK17" s="734"/>
      <c r="AL17" s="734"/>
      <c r="AM17" s="734"/>
      <c r="AN17" s="734"/>
      <c r="AO17" s="734"/>
      <c r="AP17" s="734"/>
      <c r="AQ17" s="734"/>
      <c r="AR17" s="734"/>
      <c r="AS17" s="734"/>
      <c r="AT17" s="734"/>
      <c r="AU17" s="734"/>
      <c r="AV17" s="734"/>
      <c r="AW17" s="734"/>
      <c r="AX17" s="734"/>
      <c r="AY17" s="734"/>
      <c r="AZ17" s="734"/>
      <c r="BA17" s="734"/>
      <c r="BB17" s="734"/>
      <c r="BC17" s="734"/>
      <c r="BD17" s="734"/>
      <c r="BE17" s="734"/>
      <c r="BF17" s="734"/>
      <c r="BG17" s="734"/>
      <c r="BH17" s="734"/>
      <c r="BI17" s="734"/>
      <c r="BJ17" s="734"/>
      <c r="BK17" s="734"/>
      <c r="BL17" s="734"/>
      <c r="BM17" s="734"/>
    </row>
    <row r="18">
      <c r="A18" s="734"/>
      <c r="B18" s="734"/>
      <c r="C18" s="734"/>
      <c r="D18" s="734"/>
      <c r="E18" s="734"/>
      <c r="F18" s="734"/>
      <c r="G18" s="734"/>
      <c r="H18" s="734"/>
      <c r="I18" s="734"/>
      <c r="J18" s="734"/>
      <c r="K18" s="734"/>
      <c r="L18" s="734"/>
      <c r="M18" s="734"/>
      <c r="N18" s="734"/>
      <c r="O18" s="734"/>
      <c r="P18" s="734"/>
      <c r="Q18" s="734"/>
      <c r="R18" s="734"/>
      <c r="S18" s="734"/>
      <c r="T18" s="734"/>
      <c r="U18" s="734"/>
      <c r="V18" s="734"/>
      <c r="W18" s="734"/>
      <c r="X18" s="734"/>
      <c r="Y18" s="734"/>
      <c r="Z18" s="734"/>
      <c r="AA18" s="734"/>
      <c r="AB18" s="734"/>
      <c r="AC18" s="734"/>
      <c r="AD18" s="734"/>
      <c r="AE18" s="734"/>
      <c r="AF18" s="734"/>
      <c r="AG18" s="734"/>
      <c r="AH18" s="734"/>
      <c r="AI18" s="734"/>
      <c r="AJ18" s="734"/>
      <c r="AK18" s="734"/>
      <c r="AL18" s="734"/>
      <c r="AM18" s="734"/>
      <c r="AN18" s="734"/>
      <c r="AO18" s="734"/>
      <c r="AP18" s="734"/>
      <c r="AQ18" s="734"/>
      <c r="AR18" s="734"/>
      <c r="AS18" s="734"/>
      <c r="AT18" s="734"/>
      <c r="AU18" s="734"/>
      <c r="AV18" s="734"/>
      <c r="AW18" s="734"/>
      <c r="AX18" s="734"/>
      <c r="AY18" s="734"/>
      <c r="AZ18" s="734"/>
      <c r="BA18" s="734"/>
      <c r="BB18" s="734"/>
      <c r="BC18" s="734"/>
      <c r="BD18" s="734"/>
      <c r="BE18" s="734"/>
      <c r="BF18" s="734"/>
      <c r="BG18" s="734"/>
      <c r="BH18" s="734"/>
      <c r="BI18" s="734"/>
      <c r="BJ18" s="734"/>
      <c r="BK18" s="734"/>
      <c r="BL18" s="734"/>
      <c r="BM18" s="734"/>
    </row>
    <row r="19">
      <c r="A19" s="748" t="s">
        <v>1109</v>
      </c>
      <c r="B19" s="749"/>
      <c r="C19" s="749"/>
      <c r="D19" s="748" t="s">
        <v>1110</v>
      </c>
      <c r="E19" s="748" t="s">
        <v>1111</v>
      </c>
      <c r="F19" s="749"/>
      <c r="G19" s="748" t="s">
        <v>1112</v>
      </c>
      <c r="H19" s="748" t="s">
        <v>1113</v>
      </c>
      <c r="I19" s="748" t="s">
        <v>1114</v>
      </c>
      <c r="J19" s="748" t="s">
        <v>1115</v>
      </c>
      <c r="K19" s="748" t="s">
        <v>1116</v>
      </c>
      <c r="L19" s="748" t="s">
        <v>1117</v>
      </c>
      <c r="M19" s="748" t="s">
        <v>1118</v>
      </c>
      <c r="N19" s="748" t="s">
        <v>1119</v>
      </c>
      <c r="O19" s="748" t="s">
        <v>1120</v>
      </c>
      <c r="P19" s="749"/>
      <c r="Q19" s="748" t="s">
        <v>1121</v>
      </c>
      <c r="R19" s="748" t="s">
        <v>1122</v>
      </c>
      <c r="S19" s="748" t="s">
        <v>1123</v>
      </c>
      <c r="T19" s="748" t="s">
        <v>1124</v>
      </c>
      <c r="U19" s="748" t="s">
        <v>1125</v>
      </c>
      <c r="V19" s="749"/>
      <c r="W19" s="748" t="s">
        <v>1126</v>
      </c>
      <c r="X19" s="748" t="s">
        <v>1127</v>
      </c>
      <c r="Y19" s="748" t="s">
        <v>1128</v>
      </c>
      <c r="Z19" s="748" t="s">
        <v>1129</v>
      </c>
      <c r="AA19" s="748" t="s">
        <v>1130</v>
      </c>
      <c r="AB19" s="748" t="s">
        <v>1131</v>
      </c>
      <c r="AC19" s="748" t="s">
        <v>1132</v>
      </c>
      <c r="AD19" s="748" t="s">
        <v>1133</v>
      </c>
      <c r="AE19" s="748" t="s">
        <v>1134</v>
      </c>
      <c r="AF19" s="748" t="s">
        <v>1135</v>
      </c>
      <c r="AG19" s="748" t="s">
        <v>1136</v>
      </c>
      <c r="AH19" s="749"/>
      <c r="AI19" s="749"/>
      <c r="AJ19" s="748" t="s">
        <v>1137</v>
      </c>
      <c r="AK19" s="748" t="s">
        <v>1138</v>
      </c>
      <c r="AL19" s="748" t="s">
        <v>1139</v>
      </c>
      <c r="AM19" s="749"/>
      <c r="AN19" s="748" t="s">
        <v>1140</v>
      </c>
      <c r="AO19" s="748" t="s">
        <v>1141</v>
      </c>
      <c r="AP19" s="748" t="s">
        <v>1142</v>
      </c>
      <c r="AQ19" s="748" t="s">
        <v>1143</v>
      </c>
      <c r="AR19" s="749"/>
      <c r="AS19" s="749"/>
      <c r="AT19" s="748" t="s">
        <v>1144</v>
      </c>
      <c r="AU19" s="748" t="s">
        <v>1145</v>
      </c>
      <c r="AV19" s="748" t="s">
        <v>1146</v>
      </c>
      <c r="AW19" s="748" t="s">
        <v>1147</v>
      </c>
      <c r="AX19" s="749"/>
      <c r="AY19" s="749"/>
      <c r="AZ19" s="749"/>
      <c r="BA19" s="749"/>
      <c r="BB19" s="749"/>
      <c r="BC19" s="749"/>
      <c r="BD19" s="749"/>
      <c r="BE19" s="749"/>
      <c r="BF19" s="749"/>
      <c r="BG19" s="749"/>
      <c r="BH19" s="749"/>
      <c r="BI19" s="749"/>
      <c r="BJ19" s="749"/>
      <c r="BK19" s="749"/>
      <c r="BL19" s="749"/>
      <c r="BM19" s="749"/>
    </row>
    <row r="20" hidden="1">
      <c r="A20" s="4" t="s">
        <v>1148</v>
      </c>
      <c r="C20" s="4" t="s">
        <v>1149</v>
      </c>
      <c r="D20" s="4" t="s">
        <v>1150</v>
      </c>
      <c r="E20" s="4" t="s">
        <v>1151</v>
      </c>
      <c r="G20" s="4" t="s">
        <v>1152</v>
      </c>
      <c r="H20" s="4" t="s">
        <v>1153</v>
      </c>
      <c r="I20" s="4" t="s">
        <v>1154</v>
      </c>
      <c r="J20" s="4" t="s">
        <v>1155</v>
      </c>
      <c r="K20" s="4" t="s">
        <v>1156</v>
      </c>
      <c r="L20" s="4" t="s">
        <v>1157</v>
      </c>
      <c r="M20" s="4" t="s">
        <v>1158</v>
      </c>
      <c r="N20" s="4" t="s">
        <v>1159</v>
      </c>
      <c r="O20" s="4" t="s">
        <v>1160</v>
      </c>
      <c r="Q20" s="4" t="s">
        <v>1161</v>
      </c>
      <c r="R20" s="4" t="s">
        <v>1162</v>
      </c>
      <c r="S20" s="4" t="s">
        <v>1163</v>
      </c>
      <c r="T20" s="4" t="s">
        <v>1164</v>
      </c>
      <c r="U20" s="4" t="s">
        <v>1165</v>
      </c>
      <c r="W20" s="4" t="s">
        <v>1166</v>
      </c>
      <c r="X20" s="4" t="s">
        <v>1167</v>
      </c>
      <c r="Y20" s="4" t="s">
        <v>1168</v>
      </c>
      <c r="Z20" s="4" t="s">
        <v>1169</v>
      </c>
      <c r="AA20" s="4" t="s">
        <v>1170</v>
      </c>
      <c r="AB20" s="4" t="s">
        <v>1171</v>
      </c>
      <c r="AC20" s="4" t="s">
        <v>1172</v>
      </c>
      <c r="AD20" s="4" t="s">
        <v>1173</v>
      </c>
      <c r="AE20" s="4" t="s">
        <v>1174</v>
      </c>
      <c r="AF20" s="4" t="s">
        <v>1175</v>
      </c>
      <c r="AG20" s="4" t="s">
        <v>1176</v>
      </c>
      <c r="AJ20" s="4" t="s">
        <v>1177</v>
      </c>
      <c r="AK20" s="4" t="s">
        <v>1178</v>
      </c>
      <c r="AL20" s="4" t="s">
        <v>1179</v>
      </c>
      <c r="AN20" s="4" t="s">
        <v>1180</v>
      </c>
      <c r="AO20" s="4" t="s">
        <v>1181</v>
      </c>
      <c r="AP20" s="4" t="s">
        <v>1182</v>
      </c>
      <c r="AQ20" s="4" t="s">
        <v>1183</v>
      </c>
      <c r="AR20" s="4" t="s">
        <v>1184</v>
      </c>
      <c r="AS20" s="4" t="s">
        <v>1185</v>
      </c>
      <c r="AT20" s="4" t="s">
        <v>1186</v>
      </c>
      <c r="AU20" s="4" t="s">
        <v>1187</v>
      </c>
      <c r="AV20" s="4" t="s">
        <v>1188</v>
      </c>
      <c r="AW20" s="4" t="s">
        <v>1189</v>
      </c>
    </row>
  </sheetData>
  <mergeCells count="5">
    <mergeCell ref="A6:G7"/>
    <mergeCell ref="A8:G9"/>
    <mergeCell ref="A10:G11"/>
    <mergeCell ref="A13:H15"/>
    <mergeCell ref="A16:H17"/>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50"/>
      <c r="B1" s="751"/>
      <c r="C1" s="752"/>
      <c r="D1" s="750"/>
      <c r="E1" s="750"/>
      <c r="F1" s="752"/>
      <c r="G1" s="753"/>
      <c r="H1" s="753"/>
      <c r="I1" s="753"/>
      <c r="J1" s="753"/>
    </row>
    <row r="2">
      <c r="A2" s="754" t="s">
        <v>1190</v>
      </c>
      <c r="B2" s="755">
        <v>44938.0</v>
      </c>
      <c r="C2" s="756"/>
      <c r="D2" s="754" t="s">
        <v>1191</v>
      </c>
      <c r="E2" s="754" t="s">
        <v>1192</v>
      </c>
      <c r="F2" s="756"/>
      <c r="G2" s="757" t="s">
        <v>1193</v>
      </c>
      <c r="H2" s="514"/>
      <c r="I2" s="758" t="s">
        <v>1194</v>
      </c>
      <c r="J2" s="514"/>
    </row>
    <row r="3">
      <c r="A3" s="759" t="s">
        <v>1195</v>
      </c>
      <c r="B3" s="760">
        <v>31.0</v>
      </c>
      <c r="C3" s="761" t="s">
        <v>1196</v>
      </c>
      <c r="D3" s="762"/>
      <c r="E3" s="762"/>
      <c r="F3" s="763"/>
      <c r="G3" s="764" t="s">
        <v>1197</v>
      </c>
      <c r="H3" s="765">
        <v>1442794.0</v>
      </c>
      <c r="I3" s="766" t="s">
        <v>1198</v>
      </c>
      <c r="J3" s="767">
        <v>58775.0</v>
      </c>
    </row>
    <row r="4">
      <c r="A4" s="759" t="s">
        <v>1199</v>
      </c>
      <c r="B4" s="768">
        <f>count(Summary!B49:AF49)</f>
        <v>31</v>
      </c>
      <c r="C4" s="769"/>
      <c r="D4" s="770"/>
      <c r="E4" s="770"/>
      <c r="F4" s="771"/>
      <c r="G4" s="764" t="s">
        <v>1200</v>
      </c>
      <c r="H4" s="772">
        <v>6922.0</v>
      </c>
      <c r="I4" s="766" t="s">
        <v>1201</v>
      </c>
      <c r="J4" s="773">
        <v>230.0</v>
      </c>
    </row>
    <row r="5">
      <c r="A5" s="774"/>
      <c r="B5" s="775" t="s">
        <v>1202</v>
      </c>
      <c r="C5" s="514"/>
      <c r="D5" s="775" t="s">
        <v>1203</v>
      </c>
      <c r="E5" s="776"/>
      <c r="F5" s="514"/>
      <c r="G5" s="764" t="s">
        <v>1204</v>
      </c>
      <c r="H5" s="765">
        <v>509669.0</v>
      </c>
      <c r="I5" s="766" t="s">
        <v>1205</v>
      </c>
      <c r="J5" s="767">
        <v>16862.0</v>
      </c>
    </row>
    <row r="6">
      <c r="A6" s="777" t="s">
        <v>1206</v>
      </c>
      <c r="B6" s="777" t="s">
        <v>1207</v>
      </c>
      <c r="C6" s="778" t="s">
        <v>1199</v>
      </c>
      <c r="D6" s="777" t="s">
        <v>1203</v>
      </c>
      <c r="E6" s="777" t="s">
        <v>1208</v>
      </c>
      <c r="F6" s="777" t="s">
        <v>1209</v>
      </c>
      <c r="G6" s="764" t="s">
        <v>1210</v>
      </c>
      <c r="H6" s="779">
        <v>606911.0</v>
      </c>
      <c r="I6" s="766" t="s">
        <v>1211</v>
      </c>
      <c r="J6" s="780">
        <v>20230.0</v>
      </c>
    </row>
    <row r="7">
      <c r="A7" s="781">
        <v>1.0</v>
      </c>
      <c r="B7" s="782">
        <f t="shared" ref="B7:B37" si="1">$B$38/$B$3</f>
        <v>38709.67742</v>
      </c>
      <c r="C7" s="783">
        <f>Summary!B30</f>
        <v>41426.29</v>
      </c>
      <c r="D7" s="784">
        <f t="shared" ref="D7:D38" si="2">C7/$B$4*$B$3</f>
        <v>41426.29</v>
      </c>
      <c r="E7" s="785">
        <f t="shared" ref="E7:E38" si="3">D7/B7-1</f>
        <v>0.07017915833</v>
      </c>
      <c r="F7" s="786">
        <f t="shared" ref="F7:F38" si="4">D7-B7</f>
        <v>2716.612581</v>
      </c>
      <c r="G7" s="764" t="s">
        <v>1212</v>
      </c>
      <c r="H7" s="772">
        <v>3.63</v>
      </c>
      <c r="I7" s="787"/>
      <c r="J7" s="787"/>
    </row>
    <row r="8">
      <c r="A8" s="788">
        <v>2.0</v>
      </c>
      <c r="B8" s="789">
        <f t="shared" si="1"/>
        <v>38709.67742</v>
      </c>
      <c r="C8" s="790">
        <f>Summary!C30</f>
        <v>40714.39</v>
      </c>
      <c r="D8" s="784">
        <f t="shared" si="2"/>
        <v>40714.39</v>
      </c>
      <c r="E8" s="791">
        <f t="shared" si="3"/>
        <v>0.05178840833</v>
      </c>
      <c r="F8" s="792">
        <f t="shared" si="4"/>
        <v>2004.712581</v>
      </c>
      <c r="G8" s="764" t="s">
        <v>1213</v>
      </c>
      <c r="H8" s="793">
        <v>0.3</v>
      </c>
      <c r="I8" s="794"/>
      <c r="J8" s="787"/>
    </row>
    <row r="9">
      <c r="A9" s="788">
        <v>3.0</v>
      </c>
      <c r="B9" s="782">
        <f t="shared" si="1"/>
        <v>38709.67742</v>
      </c>
      <c r="C9" s="795">
        <f>Summary!D30</f>
        <v>47719.58</v>
      </c>
      <c r="D9" s="784">
        <f t="shared" si="2"/>
        <v>47719.58</v>
      </c>
      <c r="E9" s="791">
        <f t="shared" si="3"/>
        <v>0.2327558167</v>
      </c>
      <c r="F9" s="792">
        <f t="shared" si="4"/>
        <v>9009.902581</v>
      </c>
      <c r="G9" s="796" t="s">
        <v>1214</v>
      </c>
      <c r="H9" s="772" t="s">
        <v>1215</v>
      </c>
      <c r="I9" s="787"/>
      <c r="J9" s="787"/>
    </row>
    <row r="10">
      <c r="A10" s="788">
        <v>4.0</v>
      </c>
      <c r="B10" s="789">
        <f t="shared" si="1"/>
        <v>38709.67742</v>
      </c>
      <c r="C10" s="790">
        <f>Summary!E30</f>
        <v>41316.43</v>
      </c>
      <c r="D10" s="784">
        <f t="shared" si="2"/>
        <v>41316.43</v>
      </c>
      <c r="E10" s="791">
        <f t="shared" si="3"/>
        <v>0.06734110833</v>
      </c>
      <c r="F10" s="792">
        <f t="shared" si="4"/>
        <v>2606.752581</v>
      </c>
      <c r="G10" s="764" t="s">
        <v>1216</v>
      </c>
      <c r="H10" s="797">
        <v>256.11</v>
      </c>
      <c r="I10" s="787"/>
      <c r="J10" s="787"/>
    </row>
    <row r="11">
      <c r="A11" s="788">
        <v>5.0</v>
      </c>
      <c r="B11" s="782">
        <f t="shared" si="1"/>
        <v>38709.67742</v>
      </c>
      <c r="C11" s="795">
        <f>Summary!F30</f>
        <v>42299.43</v>
      </c>
      <c r="D11" s="784">
        <f t="shared" si="2"/>
        <v>42299.43</v>
      </c>
      <c r="E11" s="791">
        <f t="shared" si="3"/>
        <v>0.092735275</v>
      </c>
      <c r="F11" s="792">
        <f t="shared" si="4"/>
        <v>3589.752581</v>
      </c>
    </row>
    <row r="12">
      <c r="A12" s="788">
        <v>6.0</v>
      </c>
      <c r="B12" s="789">
        <f t="shared" si="1"/>
        <v>38709.67742</v>
      </c>
      <c r="C12" s="790">
        <f>Summary!G30</f>
        <v>43863.95</v>
      </c>
      <c r="D12" s="784">
        <f t="shared" si="2"/>
        <v>43863.95</v>
      </c>
      <c r="E12" s="791">
        <f t="shared" si="3"/>
        <v>0.1331520417</v>
      </c>
      <c r="F12" s="792">
        <f t="shared" si="4"/>
        <v>5154.272581</v>
      </c>
      <c r="G12" s="798" t="s">
        <v>1217</v>
      </c>
      <c r="H12" s="799" t="s">
        <v>1218</v>
      </c>
      <c r="I12" s="799" t="s">
        <v>1219</v>
      </c>
      <c r="J12" s="800" t="s">
        <v>1220</v>
      </c>
      <c r="K12" s="753"/>
    </row>
    <row r="13">
      <c r="A13" s="788">
        <v>7.0</v>
      </c>
      <c r="B13" s="782">
        <f t="shared" si="1"/>
        <v>38709.67742</v>
      </c>
      <c r="C13" s="795">
        <f>Summary!H30</f>
        <v>43795.06</v>
      </c>
      <c r="D13" s="784">
        <f t="shared" si="2"/>
        <v>43795.06</v>
      </c>
      <c r="E13" s="791">
        <f t="shared" si="3"/>
        <v>0.1313723833</v>
      </c>
      <c r="F13" s="792">
        <f t="shared" si="4"/>
        <v>5085.382581</v>
      </c>
      <c r="G13" s="801" t="s">
        <v>1221</v>
      </c>
      <c r="H13" s="802">
        <v>4550000.0</v>
      </c>
      <c r="I13" s="803">
        <f>C38</f>
        <v>1119852.838</v>
      </c>
      <c r="J13" s="804">
        <f t="shared" ref="J13:J20" si="5">I13/H13-1</f>
        <v>-0.7538784971</v>
      </c>
    </row>
    <row r="14">
      <c r="A14" s="788">
        <v>8.0</v>
      </c>
      <c r="B14" s="789">
        <f t="shared" si="1"/>
        <v>38709.67742</v>
      </c>
      <c r="C14" s="790">
        <f>Summary!I30</f>
        <v>40019.44</v>
      </c>
      <c r="D14" s="784">
        <f t="shared" si="2"/>
        <v>40019.44</v>
      </c>
      <c r="E14" s="791">
        <f t="shared" si="3"/>
        <v>0.03383553333</v>
      </c>
      <c r="F14" s="792">
        <f t="shared" si="4"/>
        <v>1309.762581</v>
      </c>
      <c r="G14" s="801" t="s">
        <v>1222</v>
      </c>
      <c r="H14" s="805">
        <v>18000.0</v>
      </c>
      <c r="I14" s="806">
        <f>sum(Summary!B60:AE60)</f>
        <v>4889</v>
      </c>
      <c r="J14" s="804">
        <f t="shared" si="5"/>
        <v>-0.7283888889</v>
      </c>
    </row>
    <row r="15">
      <c r="A15" s="788">
        <v>9.0</v>
      </c>
      <c r="B15" s="782">
        <f t="shared" si="1"/>
        <v>38709.67742</v>
      </c>
      <c r="C15" s="795">
        <f>Summary!J30</f>
        <v>34599.58</v>
      </c>
      <c r="D15" s="784">
        <f t="shared" si="2"/>
        <v>34599.58</v>
      </c>
      <c r="E15" s="791">
        <f t="shared" si="3"/>
        <v>-0.1061775167</v>
      </c>
      <c r="F15" s="792">
        <f t="shared" si="4"/>
        <v>-4110.097419</v>
      </c>
      <c r="G15" s="801" t="s">
        <v>1223</v>
      </c>
      <c r="H15" s="802">
        <v>1500000.0</v>
      </c>
      <c r="I15" s="803">
        <f>sum(Summary!B84:AE84)</f>
        <v>236894.2853</v>
      </c>
      <c r="J15" s="804">
        <f t="shared" si="5"/>
        <v>-0.8420704765</v>
      </c>
    </row>
    <row r="16">
      <c r="A16" s="788">
        <v>10.0</v>
      </c>
      <c r="B16" s="789">
        <f t="shared" si="1"/>
        <v>38709.67742</v>
      </c>
      <c r="C16" s="790">
        <f>Summary!K30</f>
        <v>30068.85</v>
      </c>
      <c r="D16" s="784">
        <f t="shared" si="2"/>
        <v>30068.85</v>
      </c>
      <c r="E16" s="791">
        <f t="shared" si="3"/>
        <v>-0.223221375</v>
      </c>
      <c r="F16" s="792">
        <f t="shared" si="4"/>
        <v>-8640.827419</v>
      </c>
      <c r="G16" s="801" t="s">
        <v>1224</v>
      </c>
      <c r="H16" s="807">
        <f t="shared" ref="H16:I16" si="6">H13/H15</f>
        <v>3.033333333</v>
      </c>
      <c r="I16" s="808">
        <f t="shared" si="6"/>
        <v>4.727226057</v>
      </c>
      <c r="J16" s="804">
        <f t="shared" si="5"/>
        <v>0.5584261725</v>
      </c>
    </row>
    <row r="17">
      <c r="A17" s="788">
        <v>11.0</v>
      </c>
      <c r="B17" s="782">
        <f t="shared" si="1"/>
        <v>38709.67742</v>
      </c>
      <c r="C17" s="795">
        <f>Summary!L30</f>
        <v>35617.12</v>
      </c>
      <c r="D17" s="784">
        <f t="shared" si="2"/>
        <v>35617.12</v>
      </c>
      <c r="E17" s="791">
        <f t="shared" si="3"/>
        <v>-0.07989106667</v>
      </c>
      <c r="F17" s="792">
        <f t="shared" si="4"/>
        <v>-3092.557419</v>
      </c>
      <c r="G17" s="801" t="s">
        <v>1225</v>
      </c>
      <c r="H17" s="809">
        <f t="shared" ref="H17:I17" si="7">H15/H13</f>
        <v>0.3296703297</v>
      </c>
      <c r="I17" s="810">
        <f t="shared" si="7"/>
        <v>0.21154055</v>
      </c>
      <c r="J17" s="804">
        <f t="shared" si="5"/>
        <v>-0.3583269983</v>
      </c>
    </row>
    <row r="18">
      <c r="A18" s="788">
        <v>12.0</v>
      </c>
      <c r="B18" s="789">
        <f t="shared" si="1"/>
        <v>38709.67742</v>
      </c>
      <c r="C18" s="789">
        <f>Summary!M30</f>
        <v>39583.13</v>
      </c>
      <c r="D18" s="784">
        <f t="shared" si="2"/>
        <v>39583.13</v>
      </c>
      <c r="E18" s="791">
        <f t="shared" si="3"/>
        <v>0.02256419167</v>
      </c>
      <c r="F18" s="792">
        <f t="shared" si="4"/>
        <v>873.4525806</v>
      </c>
      <c r="G18" s="801" t="s">
        <v>1226</v>
      </c>
      <c r="H18" s="811">
        <v>0.0125</v>
      </c>
      <c r="I18" s="810">
        <f>L18/I20</f>
        <v>0.006579840604</v>
      </c>
      <c r="J18" s="804">
        <f t="shared" si="5"/>
        <v>-0.4736127517</v>
      </c>
      <c r="K18" s="4" t="s">
        <v>1227</v>
      </c>
      <c r="L18" s="70">
        <f>sum(Summary!B49:AE49)</f>
        <v>3877</v>
      </c>
    </row>
    <row r="19">
      <c r="A19" s="788">
        <v>13.0</v>
      </c>
      <c r="B19" s="782">
        <f t="shared" si="1"/>
        <v>38709.67742</v>
      </c>
      <c r="C19" s="812">
        <f>Summary!N30</f>
        <v>36439.05</v>
      </c>
      <c r="D19" s="784">
        <f t="shared" si="2"/>
        <v>36439.05</v>
      </c>
      <c r="E19" s="791">
        <f t="shared" si="3"/>
        <v>-0.058657875</v>
      </c>
      <c r="F19" s="792">
        <f t="shared" si="4"/>
        <v>-2270.627419</v>
      </c>
      <c r="G19" s="801" t="s">
        <v>1228</v>
      </c>
      <c r="H19" s="813">
        <f t="shared" ref="H19:I19" si="8">H13/H14</f>
        <v>252.7777778</v>
      </c>
      <c r="I19" s="813">
        <f t="shared" si="8"/>
        <v>229.055602</v>
      </c>
      <c r="J19" s="804">
        <f t="shared" si="5"/>
        <v>-0.09384597013</v>
      </c>
    </row>
    <row r="20">
      <c r="A20" s="788">
        <v>14.0</v>
      </c>
      <c r="B20" s="789">
        <f t="shared" si="1"/>
        <v>38709.67742</v>
      </c>
      <c r="C20" s="789">
        <f>Summary!O30</f>
        <v>33160.23</v>
      </c>
      <c r="D20" s="784">
        <f t="shared" si="2"/>
        <v>33160.23</v>
      </c>
      <c r="E20" s="791">
        <f t="shared" si="3"/>
        <v>-0.143360725</v>
      </c>
      <c r="F20" s="792">
        <f t="shared" si="4"/>
        <v>-5549.447419</v>
      </c>
      <c r="G20" s="801" t="s">
        <v>1229</v>
      </c>
      <c r="H20" s="814">
        <f>H14/H18</f>
        <v>1440000</v>
      </c>
      <c r="I20" s="814">
        <f>sum(C83:C113)</f>
        <v>589224</v>
      </c>
      <c r="J20" s="804">
        <f t="shared" si="5"/>
        <v>-0.5908166667</v>
      </c>
    </row>
    <row r="21">
      <c r="A21" s="788">
        <v>15.0</v>
      </c>
      <c r="B21" s="782">
        <f t="shared" si="1"/>
        <v>38709.67742</v>
      </c>
      <c r="C21" s="812">
        <f>Summary!P30</f>
        <v>34317</v>
      </c>
      <c r="D21" s="784">
        <f t="shared" si="2"/>
        <v>34317</v>
      </c>
      <c r="E21" s="791">
        <f t="shared" si="3"/>
        <v>-0.1134775</v>
      </c>
      <c r="F21" s="792">
        <f t="shared" si="4"/>
        <v>-4392.677419</v>
      </c>
      <c r="G21" s="815"/>
      <c r="H21" s="753"/>
    </row>
    <row r="22">
      <c r="A22" s="788">
        <v>16.0</v>
      </c>
      <c r="B22" s="789">
        <f t="shared" si="1"/>
        <v>38709.67742</v>
      </c>
      <c r="C22" s="789">
        <f>Summary!Q30</f>
        <v>30903.68</v>
      </c>
      <c r="D22" s="784">
        <f t="shared" si="2"/>
        <v>30903.68</v>
      </c>
      <c r="E22" s="791">
        <f t="shared" si="3"/>
        <v>-0.2016549333</v>
      </c>
      <c r="F22" s="792">
        <f t="shared" si="4"/>
        <v>-7805.997419</v>
      </c>
      <c r="G22" s="816" t="s">
        <v>1230</v>
      </c>
      <c r="H22" s="817" t="s">
        <v>1231</v>
      </c>
      <c r="I22" s="818" t="s">
        <v>1232</v>
      </c>
    </row>
    <row r="23">
      <c r="A23" s="788">
        <v>17.0</v>
      </c>
      <c r="B23" s="782">
        <f t="shared" si="1"/>
        <v>38709.67742</v>
      </c>
      <c r="C23" s="812">
        <f>Summary!R30</f>
        <v>38574.51939</v>
      </c>
      <c r="D23" s="784">
        <f t="shared" si="2"/>
        <v>38574.51939</v>
      </c>
      <c r="E23" s="791">
        <f t="shared" si="3"/>
        <v>-0.003491582528</v>
      </c>
      <c r="F23" s="792">
        <f t="shared" si="4"/>
        <v>-135.1580334</v>
      </c>
      <c r="G23" s="816"/>
      <c r="H23" s="819"/>
      <c r="I23" s="820"/>
    </row>
    <row r="24">
      <c r="A24" s="788">
        <v>18.0</v>
      </c>
      <c r="B24" s="789">
        <f t="shared" si="1"/>
        <v>38709.67742</v>
      </c>
      <c r="C24" s="789">
        <f>Summary!S30</f>
        <v>34214.7</v>
      </c>
      <c r="D24" s="784">
        <f t="shared" si="2"/>
        <v>34214.7</v>
      </c>
      <c r="E24" s="791">
        <f t="shared" si="3"/>
        <v>-0.11612025</v>
      </c>
      <c r="F24" s="792">
        <f t="shared" si="4"/>
        <v>-4494.977419</v>
      </c>
      <c r="G24" s="816"/>
      <c r="H24" s="821"/>
      <c r="I24" s="821"/>
    </row>
    <row r="25">
      <c r="A25" s="788">
        <v>19.0</v>
      </c>
      <c r="B25" s="782">
        <f t="shared" si="1"/>
        <v>38709.67742</v>
      </c>
      <c r="C25" s="812">
        <f>Summary!T30</f>
        <v>35174.29939</v>
      </c>
      <c r="D25" s="784">
        <f t="shared" si="2"/>
        <v>35174.29939</v>
      </c>
      <c r="E25" s="791">
        <f t="shared" si="3"/>
        <v>-0.0913305992</v>
      </c>
      <c r="F25" s="792">
        <f t="shared" si="4"/>
        <v>-3535.378033</v>
      </c>
      <c r="G25" s="816"/>
      <c r="H25" s="822"/>
      <c r="I25" s="820"/>
    </row>
    <row r="26">
      <c r="A26" s="788">
        <v>20.0</v>
      </c>
      <c r="B26" s="789">
        <f t="shared" si="1"/>
        <v>38709.67742</v>
      </c>
      <c r="C26" s="789">
        <f>Summary!U30</f>
        <v>46818.26</v>
      </c>
      <c r="D26" s="784">
        <f t="shared" si="2"/>
        <v>46818.26</v>
      </c>
      <c r="E26" s="791">
        <f t="shared" si="3"/>
        <v>0.2094717167</v>
      </c>
      <c r="F26" s="792">
        <f t="shared" si="4"/>
        <v>8108.582581</v>
      </c>
      <c r="G26" s="823"/>
      <c r="H26" s="821"/>
      <c r="I26" s="820"/>
    </row>
    <row r="27">
      <c r="A27" s="788">
        <v>21.0</v>
      </c>
      <c r="B27" s="782">
        <f t="shared" si="1"/>
        <v>38709.67742</v>
      </c>
      <c r="C27" s="812">
        <f>Summary!V30</f>
        <v>33606.44</v>
      </c>
      <c r="D27" s="784">
        <f t="shared" si="2"/>
        <v>33606.44</v>
      </c>
      <c r="E27" s="791">
        <f t="shared" si="3"/>
        <v>-0.1318336333</v>
      </c>
      <c r="F27" s="792">
        <f t="shared" si="4"/>
        <v>-5103.237419</v>
      </c>
      <c r="G27" s="823"/>
      <c r="H27" s="821"/>
      <c r="I27" s="820"/>
    </row>
    <row r="28">
      <c r="A28" s="788">
        <v>22.0</v>
      </c>
      <c r="B28" s="789">
        <f t="shared" si="1"/>
        <v>38709.67742</v>
      </c>
      <c r="C28" s="789">
        <f>Summary!W30</f>
        <v>34605.96</v>
      </c>
      <c r="D28" s="784">
        <f t="shared" si="2"/>
        <v>34605.96</v>
      </c>
      <c r="E28" s="791">
        <f t="shared" si="3"/>
        <v>-0.1060127</v>
      </c>
      <c r="F28" s="792">
        <f t="shared" si="4"/>
        <v>-4103.717419</v>
      </c>
      <c r="G28" s="816"/>
      <c r="H28" s="824"/>
      <c r="I28" s="820"/>
    </row>
    <row r="29">
      <c r="A29" s="788">
        <v>23.0</v>
      </c>
      <c r="B29" s="782">
        <f t="shared" si="1"/>
        <v>38709.67742</v>
      </c>
      <c r="C29" s="812">
        <f>Summary!X30</f>
        <v>31691.46</v>
      </c>
      <c r="D29" s="784">
        <f t="shared" si="2"/>
        <v>31691.46</v>
      </c>
      <c r="E29" s="791">
        <f t="shared" si="3"/>
        <v>-0.18130395</v>
      </c>
      <c r="F29" s="792">
        <f t="shared" si="4"/>
        <v>-7018.217419</v>
      </c>
      <c r="G29" s="823"/>
      <c r="H29" s="819"/>
      <c r="I29" s="820"/>
    </row>
    <row r="30">
      <c r="A30" s="788">
        <v>24.0</v>
      </c>
      <c r="B30" s="789">
        <f t="shared" si="1"/>
        <v>38709.67742</v>
      </c>
      <c r="C30" s="789">
        <f>Summary!Y30</f>
        <v>29849.69</v>
      </c>
      <c r="D30" s="784">
        <f t="shared" si="2"/>
        <v>29849.69</v>
      </c>
      <c r="E30" s="791">
        <f t="shared" si="3"/>
        <v>-0.2288830083</v>
      </c>
      <c r="F30" s="792">
        <f t="shared" si="4"/>
        <v>-8859.987419</v>
      </c>
    </row>
    <row r="31">
      <c r="A31" s="788">
        <v>25.0</v>
      </c>
      <c r="B31" s="782">
        <f t="shared" si="1"/>
        <v>38709.67742</v>
      </c>
      <c r="C31" s="812">
        <f>Summary!Z30</f>
        <v>25832.95</v>
      </c>
      <c r="D31" s="784">
        <f t="shared" si="2"/>
        <v>25832.95</v>
      </c>
      <c r="E31" s="791">
        <f t="shared" si="3"/>
        <v>-0.3326487917</v>
      </c>
      <c r="F31" s="792">
        <f t="shared" si="4"/>
        <v>-12876.72742</v>
      </c>
    </row>
    <row r="32">
      <c r="A32" s="788">
        <v>26.0</v>
      </c>
      <c r="B32" s="789">
        <f t="shared" si="1"/>
        <v>38709.67742</v>
      </c>
      <c r="C32" s="789">
        <f>Summary!AA30</f>
        <v>29859.23</v>
      </c>
      <c r="D32" s="784">
        <f t="shared" si="2"/>
        <v>29859.23</v>
      </c>
      <c r="E32" s="791">
        <f t="shared" si="3"/>
        <v>-0.2286365583</v>
      </c>
      <c r="F32" s="792">
        <f t="shared" si="4"/>
        <v>-8850.447419</v>
      </c>
    </row>
    <row r="33">
      <c r="A33" s="788">
        <v>27.0</v>
      </c>
      <c r="B33" s="782">
        <f t="shared" si="1"/>
        <v>38709.67742</v>
      </c>
      <c r="C33" s="812">
        <f>Summary!AB30</f>
        <v>30378.73</v>
      </c>
      <c r="D33" s="784">
        <f t="shared" si="2"/>
        <v>30378.73</v>
      </c>
      <c r="E33" s="791">
        <f t="shared" si="3"/>
        <v>-0.2152161417</v>
      </c>
      <c r="F33" s="792">
        <f t="shared" si="4"/>
        <v>-8330.947419</v>
      </c>
    </row>
    <row r="34">
      <c r="A34" s="788">
        <v>28.0</v>
      </c>
      <c r="B34" s="789">
        <f t="shared" si="1"/>
        <v>38709.67742</v>
      </c>
      <c r="C34" s="789">
        <f>Summary!AC30</f>
        <v>37212.14</v>
      </c>
      <c r="D34" s="784">
        <f t="shared" si="2"/>
        <v>37212.14</v>
      </c>
      <c r="E34" s="791">
        <f t="shared" si="3"/>
        <v>-0.03868638333</v>
      </c>
      <c r="F34" s="792">
        <f t="shared" si="4"/>
        <v>-1497.537419</v>
      </c>
    </row>
    <row r="35">
      <c r="A35" s="788">
        <v>29.0</v>
      </c>
      <c r="B35" s="782">
        <f t="shared" si="1"/>
        <v>38709.67742</v>
      </c>
      <c r="C35" s="812">
        <f>Summary!AD30</f>
        <v>37139.06</v>
      </c>
      <c r="D35" s="784">
        <f t="shared" si="2"/>
        <v>37139.06</v>
      </c>
      <c r="E35" s="791">
        <f t="shared" si="3"/>
        <v>-0.04057428333</v>
      </c>
      <c r="F35" s="792">
        <f t="shared" si="4"/>
        <v>-1570.617419</v>
      </c>
    </row>
    <row r="36">
      <c r="A36" s="788">
        <v>30.0</v>
      </c>
      <c r="B36" s="789">
        <f t="shared" si="1"/>
        <v>38709.67742</v>
      </c>
      <c r="C36" s="789">
        <f>Summary!AE30</f>
        <v>26534.14939</v>
      </c>
      <c r="D36" s="784">
        <f t="shared" si="2"/>
        <v>26534.14939</v>
      </c>
      <c r="E36" s="791">
        <f t="shared" si="3"/>
        <v>-0.3145344742</v>
      </c>
      <c r="F36" s="792">
        <f t="shared" si="4"/>
        <v>-12175.52803</v>
      </c>
    </row>
    <row r="37">
      <c r="A37" s="788">
        <v>31.0</v>
      </c>
      <c r="B37" s="782">
        <f t="shared" si="1"/>
        <v>38709.67742</v>
      </c>
      <c r="C37" s="812">
        <f>Summary!AF30</f>
        <v>32518.04</v>
      </c>
      <c r="D37" s="784">
        <f t="shared" si="2"/>
        <v>32518.04</v>
      </c>
      <c r="E37" s="791">
        <f t="shared" si="3"/>
        <v>-0.1599506333</v>
      </c>
      <c r="F37" s="792">
        <f t="shared" si="4"/>
        <v>-6191.637419</v>
      </c>
    </row>
    <row r="38">
      <c r="A38" s="825" t="s">
        <v>1233</v>
      </c>
      <c r="B38" s="826">
        <v>1200000.0</v>
      </c>
      <c r="C38" s="826">
        <f>sum(C7:C37)</f>
        <v>1119852.838</v>
      </c>
      <c r="D38" s="827">
        <f t="shared" si="2"/>
        <v>1119852.838</v>
      </c>
      <c r="E38" s="828">
        <f t="shared" si="3"/>
        <v>-0.06678930154</v>
      </c>
      <c r="F38" s="826">
        <f t="shared" si="4"/>
        <v>-80147.16184</v>
      </c>
    </row>
    <row r="40">
      <c r="A40" s="754" t="s">
        <v>1190</v>
      </c>
      <c r="B40" s="755">
        <v>44938.0</v>
      </c>
      <c r="C40" s="756"/>
      <c r="D40" s="754" t="s">
        <v>1191</v>
      </c>
      <c r="E40" s="754" t="s">
        <v>1192</v>
      </c>
      <c r="F40" s="756"/>
    </row>
    <row r="41">
      <c r="A41" s="759" t="s">
        <v>1195</v>
      </c>
      <c r="B41" s="760">
        <v>31.0</v>
      </c>
      <c r="C41" s="761" t="s">
        <v>1234</v>
      </c>
      <c r="D41" s="762"/>
      <c r="E41" s="762"/>
      <c r="F41" s="763"/>
    </row>
    <row r="42">
      <c r="A42" s="759" t="s">
        <v>1199</v>
      </c>
      <c r="B42" s="768">
        <f>COUNT(Summary!B49:AE49)</f>
        <v>30</v>
      </c>
      <c r="C42" s="769"/>
      <c r="D42" s="770"/>
      <c r="E42" s="770"/>
      <c r="F42" s="771"/>
    </row>
    <row r="43">
      <c r="A43" s="774"/>
      <c r="B43" s="775" t="s">
        <v>1202</v>
      </c>
      <c r="C43" s="514"/>
      <c r="D43" s="775" t="s">
        <v>1203</v>
      </c>
      <c r="E43" s="776"/>
      <c r="F43" s="514"/>
    </row>
    <row r="44">
      <c r="A44" s="777" t="s">
        <v>1206</v>
      </c>
      <c r="B44" s="777" t="s">
        <v>1235</v>
      </c>
      <c r="C44" s="778" t="s">
        <v>1199</v>
      </c>
      <c r="D44" s="777" t="s">
        <v>1203</v>
      </c>
      <c r="E44" s="777" t="s">
        <v>1208</v>
      </c>
      <c r="F44" s="777" t="s">
        <v>1209</v>
      </c>
    </row>
    <row r="45">
      <c r="A45" s="781">
        <v>1.0</v>
      </c>
      <c r="B45" s="783">
        <f t="shared" ref="B45:B75" si="9">$B$76/$B$41</f>
        <v>48387.09677</v>
      </c>
      <c r="C45" s="783">
        <f>Summary!B84</f>
        <v>10532.13784</v>
      </c>
      <c r="D45" s="784">
        <f t="shared" ref="D45:D76" si="10">C45/$B$4*$B$3</f>
        <v>10532.13784</v>
      </c>
      <c r="E45" s="785">
        <f t="shared" ref="E45:E76" si="11">D45/B45-1</f>
        <v>-0.7823358181</v>
      </c>
      <c r="F45" s="786">
        <f t="shared" ref="F45:F76" si="12">D45-B45</f>
        <v>-37854.95894</v>
      </c>
    </row>
    <row r="46">
      <c r="A46" s="788">
        <v>2.0</v>
      </c>
      <c r="B46" s="790">
        <f t="shared" si="9"/>
        <v>48387.09677</v>
      </c>
      <c r="C46" s="790">
        <f>Summary!C84</f>
        <v>10646.36653</v>
      </c>
      <c r="D46" s="784">
        <f t="shared" si="10"/>
        <v>10646.36653</v>
      </c>
      <c r="E46" s="791">
        <f t="shared" si="11"/>
        <v>-0.7799750918</v>
      </c>
      <c r="F46" s="792">
        <f t="shared" si="12"/>
        <v>-37740.73025</v>
      </c>
    </row>
    <row r="47">
      <c r="A47" s="788">
        <v>3.0</v>
      </c>
      <c r="B47" s="783">
        <f t="shared" si="9"/>
        <v>48387.09677</v>
      </c>
      <c r="C47" s="795">
        <f>Summary!D84</f>
        <v>9527.897425</v>
      </c>
      <c r="D47" s="784">
        <f t="shared" si="10"/>
        <v>9527.897425</v>
      </c>
      <c r="E47" s="791">
        <f t="shared" si="11"/>
        <v>-0.8030901199</v>
      </c>
      <c r="F47" s="792">
        <f t="shared" si="12"/>
        <v>-38859.19935</v>
      </c>
    </row>
    <row r="48">
      <c r="A48" s="788">
        <v>4.0</v>
      </c>
      <c r="B48" s="790">
        <f t="shared" si="9"/>
        <v>48387.09677</v>
      </c>
      <c r="C48" s="790">
        <f>Summary!E84</f>
        <v>8585.512946</v>
      </c>
      <c r="D48" s="784">
        <f t="shared" si="10"/>
        <v>8585.512946</v>
      </c>
      <c r="E48" s="791">
        <f t="shared" si="11"/>
        <v>-0.8225660658</v>
      </c>
      <c r="F48" s="792">
        <f t="shared" si="12"/>
        <v>-39801.58383</v>
      </c>
    </row>
    <row r="49">
      <c r="A49" s="788">
        <v>5.0</v>
      </c>
      <c r="B49" s="783">
        <f t="shared" si="9"/>
        <v>48387.09677</v>
      </c>
      <c r="C49" s="795">
        <f>Summary!F84</f>
        <v>8640.83943</v>
      </c>
      <c r="D49" s="784">
        <f t="shared" si="10"/>
        <v>8640.83943</v>
      </c>
      <c r="E49" s="791">
        <f t="shared" si="11"/>
        <v>-0.8214226518</v>
      </c>
      <c r="F49" s="792">
        <f t="shared" si="12"/>
        <v>-39746.25734</v>
      </c>
    </row>
    <row r="50">
      <c r="A50" s="788">
        <v>6.0</v>
      </c>
      <c r="B50" s="790">
        <f t="shared" si="9"/>
        <v>48387.09677</v>
      </c>
      <c r="C50" s="790">
        <f>Summary!G84</f>
        <v>7076.099775</v>
      </c>
      <c r="D50" s="784">
        <f t="shared" si="10"/>
        <v>7076.099775</v>
      </c>
      <c r="E50" s="791">
        <f t="shared" si="11"/>
        <v>-0.8537606047</v>
      </c>
      <c r="F50" s="792">
        <f t="shared" si="12"/>
        <v>-41310.997</v>
      </c>
    </row>
    <row r="51">
      <c r="A51" s="788">
        <v>7.0</v>
      </c>
      <c r="B51" s="783">
        <f t="shared" si="9"/>
        <v>48387.09677</v>
      </c>
      <c r="C51" s="795">
        <f>Summary!H84</f>
        <v>7485.79154</v>
      </c>
      <c r="D51" s="784">
        <f t="shared" si="10"/>
        <v>7485.79154</v>
      </c>
      <c r="E51" s="791">
        <f t="shared" si="11"/>
        <v>-0.8452936415</v>
      </c>
      <c r="F51" s="792">
        <f t="shared" si="12"/>
        <v>-40901.30523</v>
      </c>
    </row>
    <row r="52">
      <c r="A52" s="788">
        <v>8.0</v>
      </c>
      <c r="B52" s="790">
        <f t="shared" si="9"/>
        <v>48387.09677</v>
      </c>
      <c r="C52" s="790">
        <f>Summary!I84</f>
        <v>7549.262808</v>
      </c>
      <c r="D52" s="784">
        <f t="shared" si="10"/>
        <v>7549.262808</v>
      </c>
      <c r="E52" s="791">
        <f t="shared" si="11"/>
        <v>-0.843981902</v>
      </c>
      <c r="F52" s="792">
        <f t="shared" si="12"/>
        <v>-40837.83397</v>
      </c>
    </row>
    <row r="53">
      <c r="A53" s="788">
        <v>9.0</v>
      </c>
      <c r="B53" s="783">
        <f t="shared" si="9"/>
        <v>48387.09677</v>
      </c>
      <c r="C53" s="795">
        <f>Summary!J84</f>
        <v>7891.1599</v>
      </c>
      <c r="D53" s="784">
        <f t="shared" si="10"/>
        <v>7891.1599</v>
      </c>
      <c r="E53" s="791">
        <f t="shared" si="11"/>
        <v>-0.8369160287</v>
      </c>
      <c r="F53" s="792">
        <f t="shared" si="12"/>
        <v>-40495.93687</v>
      </c>
    </row>
    <row r="54">
      <c r="A54" s="788">
        <v>10.0</v>
      </c>
      <c r="B54" s="790">
        <f t="shared" si="9"/>
        <v>48387.09677</v>
      </c>
      <c r="C54" s="790">
        <f>Summary!K84</f>
        <v>6819.774225</v>
      </c>
      <c r="D54" s="784">
        <f t="shared" si="10"/>
        <v>6819.774225</v>
      </c>
      <c r="E54" s="791">
        <f t="shared" si="11"/>
        <v>-0.8590579994</v>
      </c>
      <c r="F54" s="792">
        <f t="shared" si="12"/>
        <v>-41567.32255</v>
      </c>
    </row>
    <row r="55">
      <c r="A55" s="788">
        <v>11.0</v>
      </c>
      <c r="B55" s="783">
        <f t="shared" si="9"/>
        <v>48387.09677</v>
      </c>
      <c r="C55" s="795">
        <f>Summary!L84</f>
        <v>6909.360238</v>
      </c>
      <c r="D55" s="784">
        <f t="shared" si="10"/>
        <v>6909.360238</v>
      </c>
      <c r="E55" s="791">
        <f t="shared" si="11"/>
        <v>-0.8572065551</v>
      </c>
      <c r="F55" s="792">
        <f t="shared" si="12"/>
        <v>-41477.73654</v>
      </c>
    </row>
    <row r="56">
      <c r="A56" s="788">
        <v>12.0</v>
      </c>
      <c r="B56" s="790">
        <f t="shared" si="9"/>
        <v>48387.09677</v>
      </c>
      <c r="C56" s="789">
        <f>Summary!M84</f>
        <v>9369.76517</v>
      </c>
      <c r="D56" s="784">
        <f t="shared" si="10"/>
        <v>9369.76517</v>
      </c>
      <c r="E56" s="791">
        <f t="shared" si="11"/>
        <v>-0.8063581865</v>
      </c>
      <c r="F56" s="792">
        <f t="shared" si="12"/>
        <v>-39017.3316</v>
      </c>
    </row>
    <row r="57">
      <c r="A57" s="788">
        <v>13.0</v>
      </c>
      <c r="B57" s="783">
        <f t="shared" si="9"/>
        <v>48387.09677</v>
      </c>
      <c r="C57" s="812">
        <f>Summary!N84</f>
        <v>10458.38497</v>
      </c>
      <c r="D57" s="784">
        <f t="shared" si="10"/>
        <v>10458.38497</v>
      </c>
      <c r="E57" s="791">
        <f t="shared" si="11"/>
        <v>-0.7838600439</v>
      </c>
      <c r="F57" s="792">
        <f t="shared" si="12"/>
        <v>-37928.7118</v>
      </c>
    </row>
    <row r="58">
      <c r="A58" s="788">
        <v>14.0</v>
      </c>
      <c r="B58" s="790">
        <f t="shared" si="9"/>
        <v>48387.09677</v>
      </c>
      <c r="C58" s="789">
        <f>Summary!O84</f>
        <v>9148.859505</v>
      </c>
      <c r="D58" s="784">
        <f t="shared" si="10"/>
        <v>9148.859505</v>
      </c>
      <c r="E58" s="791">
        <f t="shared" si="11"/>
        <v>-0.8109235702</v>
      </c>
      <c r="F58" s="792">
        <f t="shared" si="12"/>
        <v>-39238.23727</v>
      </c>
    </row>
    <row r="59">
      <c r="A59" s="788">
        <v>15.0</v>
      </c>
      <c r="B59" s="783">
        <f t="shared" si="9"/>
        <v>48387.09677</v>
      </c>
      <c r="C59" s="812">
        <f>Summary!P84</f>
        <v>7256.975725</v>
      </c>
      <c r="D59" s="784">
        <f t="shared" si="10"/>
        <v>7256.975725</v>
      </c>
      <c r="E59" s="791">
        <f t="shared" si="11"/>
        <v>-0.8500225017</v>
      </c>
      <c r="F59" s="792">
        <f t="shared" si="12"/>
        <v>-41130.12105</v>
      </c>
    </row>
    <row r="60">
      <c r="A60" s="788">
        <v>16.0</v>
      </c>
      <c r="B60" s="790">
        <f t="shared" si="9"/>
        <v>48387.09677</v>
      </c>
      <c r="C60" s="789">
        <f>Summary!Q84</f>
        <v>6422.087345</v>
      </c>
      <c r="D60" s="784">
        <f t="shared" si="10"/>
        <v>6422.087345</v>
      </c>
      <c r="E60" s="791">
        <f t="shared" si="11"/>
        <v>-0.8672768615</v>
      </c>
      <c r="F60" s="792">
        <f t="shared" si="12"/>
        <v>-41965.00943</v>
      </c>
    </row>
    <row r="61">
      <c r="A61" s="788">
        <v>17.0</v>
      </c>
      <c r="B61" s="783">
        <f t="shared" si="9"/>
        <v>48387.09677</v>
      </c>
      <c r="C61" s="812">
        <f>Summary!R84</f>
        <v>6359.673432</v>
      </c>
      <c r="D61" s="784">
        <f t="shared" si="10"/>
        <v>6359.673432</v>
      </c>
      <c r="E61" s="791">
        <f t="shared" si="11"/>
        <v>-0.8685667491</v>
      </c>
      <c r="F61" s="792">
        <f t="shared" si="12"/>
        <v>-42027.42334</v>
      </c>
    </row>
    <row r="62">
      <c r="A62" s="788">
        <v>18.0</v>
      </c>
      <c r="B62" s="790">
        <f t="shared" si="9"/>
        <v>48387.09677</v>
      </c>
      <c r="C62" s="789">
        <f>Summary!S84</f>
        <v>6435.953632</v>
      </c>
      <c r="D62" s="784">
        <f t="shared" si="10"/>
        <v>6435.953632</v>
      </c>
      <c r="E62" s="791">
        <f t="shared" si="11"/>
        <v>-0.8669902916</v>
      </c>
      <c r="F62" s="792">
        <f t="shared" si="12"/>
        <v>-41951.14314</v>
      </c>
    </row>
    <row r="63">
      <c r="A63" s="788">
        <v>19.0</v>
      </c>
      <c r="B63" s="783">
        <f t="shared" si="9"/>
        <v>48387.09677</v>
      </c>
      <c r="C63" s="812">
        <f>Summary!T84</f>
        <v>7229.019742</v>
      </c>
      <c r="D63" s="784">
        <f t="shared" si="10"/>
        <v>7229.019742</v>
      </c>
      <c r="E63" s="791">
        <f t="shared" si="11"/>
        <v>-0.8506002587</v>
      </c>
      <c r="F63" s="792">
        <f t="shared" si="12"/>
        <v>-41158.07703</v>
      </c>
    </row>
    <row r="64">
      <c r="A64" s="788">
        <v>20.0</v>
      </c>
      <c r="B64" s="790">
        <f t="shared" si="9"/>
        <v>48387.09677</v>
      </c>
      <c r="C64" s="789">
        <f>Summary!U84</f>
        <v>9498.588335</v>
      </c>
      <c r="D64" s="784">
        <f t="shared" si="10"/>
        <v>9498.588335</v>
      </c>
      <c r="E64" s="791">
        <f t="shared" si="11"/>
        <v>-0.8036958411</v>
      </c>
      <c r="F64" s="792">
        <f t="shared" si="12"/>
        <v>-38888.50844</v>
      </c>
    </row>
    <row r="65">
      <c r="A65" s="788">
        <v>21.0</v>
      </c>
      <c r="B65" s="783">
        <f t="shared" si="9"/>
        <v>48387.09677</v>
      </c>
      <c r="C65" s="812">
        <f>Summary!V84</f>
        <v>9738.613533</v>
      </c>
      <c r="D65" s="784">
        <f t="shared" si="10"/>
        <v>9738.613533</v>
      </c>
      <c r="E65" s="791">
        <f t="shared" si="11"/>
        <v>-0.7987353203</v>
      </c>
      <c r="F65" s="792">
        <f t="shared" si="12"/>
        <v>-38648.48324</v>
      </c>
    </row>
    <row r="66">
      <c r="A66" s="788">
        <v>22.0</v>
      </c>
      <c r="B66" s="790">
        <f t="shared" si="9"/>
        <v>48387.09677</v>
      </c>
      <c r="C66" s="789">
        <f>Summary!W84</f>
        <v>7265.936881</v>
      </c>
      <c r="D66" s="784">
        <f t="shared" si="10"/>
        <v>7265.936881</v>
      </c>
      <c r="E66" s="791">
        <f t="shared" si="11"/>
        <v>-0.8498373045</v>
      </c>
      <c r="F66" s="792">
        <f t="shared" si="12"/>
        <v>-41121.15989</v>
      </c>
    </row>
    <row r="67">
      <c r="A67" s="788">
        <v>23.0</v>
      </c>
      <c r="B67" s="783">
        <f t="shared" si="9"/>
        <v>48387.09677</v>
      </c>
      <c r="C67" s="812">
        <f>Summary!X84</f>
        <v>6511.805172</v>
      </c>
      <c r="D67" s="784">
        <f t="shared" si="10"/>
        <v>6511.805172</v>
      </c>
      <c r="E67" s="791">
        <f t="shared" si="11"/>
        <v>-0.8654226931</v>
      </c>
      <c r="F67" s="792">
        <f t="shared" si="12"/>
        <v>-41875.2916</v>
      </c>
    </row>
    <row r="68">
      <c r="A68" s="788">
        <v>24.0</v>
      </c>
      <c r="B68" s="790">
        <f t="shared" si="9"/>
        <v>48387.09677</v>
      </c>
      <c r="C68" s="789">
        <f>Summary!Y84</f>
        <v>6347.532524</v>
      </c>
      <c r="D68" s="784">
        <f t="shared" si="10"/>
        <v>6347.532524</v>
      </c>
      <c r="E68" s="791">
        <f t="shared" si="11"/>
        <v>-0.8688176612</v>
      </c>
      <c r="F68" s="792">
        <f t="shared" si="12"/>
        <v>-42039.56425</v>
      </c>
    </row>
    <row r="69">
      <c r="A69" s="788">
        <v>25.0</v>
      </c>
      <c r="B69" s="783">
        <f t="shared" si="9"/>
        <v>48387.09677</v>
      </c>
      <c r="C69" s="812">
        <f>Summary!Z84</f>
        <v>6328.18172</v>
      </c>
      <c r="D69" s="784">
        <f t="shared" si="10"/>
        <v>6328.18172</v>
      </c>
      <c r="E69" s="791">
        <f t="shared" si="11"/>
        <v>-0.8692175778</v>
      </c>
      <c r="F69" s="792">
        <f t="shared" si="12"/>
        <v>-42058.91505</v>
      </c>
    </row>
    <row r="70">
      <c r="A70" s="788">
        <v>26.0</v>
      </c>
      <c r="B70" s="790">
        <f t="shared" si="9"/>
        <v>48387.09677</v>
      </c>
      <c r="C70" s="789">
        <f>Summary!AA84</f>
        <v>6941.76428</v>
      </c>
      <c r="D70" s="784">
        <f t="shared" si="10"/>
        <v>6941.76428</v>
      </c>
      <c r="E70" s="791">
        <f t="shared" si="11"/>
        <v>-0.8565368715</v>
      </c>
      <c r="F70" s="792">
        <f t="shared" si="12"/>
        <v>-41445.33249</v>
      </c>
    </row>
    <row r="71">
      <c r="A71" s="788">
        <v>27.0</v>
      </c>
      <c r="B71" s="783">
        <f t="shared" si="9"/>
        <v>48387.09677</v>
      </c>
      <c r="C71" s="812">
        <f>Summary!AB84</f>
        <v>7471.890713</v>
      </c>
      <c r="D71" s="784">
        <f t="shared" si="10"/>
        <v>7471.890713</v>
      </c>
      <c r="E71" s="791">
        <f t="shared" si="11"/>
        <v>-0.8455809253</v>
      </c>
      <c r="F71" s="792">
        <f t="shared" si="12"/>
        <v>-40915.20606</v>
      </c>
    </row>
    <row r="72">
      <c r="A72" s="788">
        <v>28.0</v>
      </c>
      <c r="B72" s="790">
        <f t="shared" si="9"/>
        <v>48387.09677</v>
      </c>
      <c r="C72" s="789">
        <f>Summary!AC84</f>
        <v>8308.683896</v>
      </c>
      <c r="D72" s="784">
        <f t="shared" si="10"/>
        <v>8308.683896</v>
      </c>
      <c r="E72" s="791">
        <f t="shared" si="11"/>
        <v>-0.8282871995</v>
      </c>
      <c r="F72" s="792">
        <f t="shared" si="12"/>
        <v>-40078.41288</v>
      </c>
    </row>
    <row r="73">
      <c r="A73" s="788">
        <v>29.0</v>
      </c>
      <c r="B73" s="783">
        <f t="shared" si="9"/>
        <v>48387.09677</v>
      </c>
      <c r="C73" s="812">
        <f>Summary!AD84</f>
        <v>7277.175691</v>
      </c>
      <c r="D73" s="784">
        <f t="shared" si="10"/>
        <v>7277.175691</v>
      </c>
      <c r="E73" s="791">
        <f t="shared" si="11"/>
        <v>-0.8496050357</v>
      </c>
      <c r="F73" s="792">
        <f t="shared" si="12"/>
        <v>-41109.92108</v>
      </c>
    </row>
    <row r="74">
      <c r="A74" s="788">
        <v>30.0</v>
      </c>
      <c r="B74" s="790">
        <f t="shared" si="9"/>
        <v>48387.09677</v>
      </c>
      <c r="C74" s="789">
        <f>Summary!AE84</f>
        <v>6859.190394</v>
      </c>
      <c r="D74" s="784">
        <f t="shared" si="10"/>
        <v>6859.190394</v>
      </c>
      <c r="E74" s="791">
        <f t="shared" si="11"/>
        <v>-0.8582433985</v>
      </c>
      <c r="F74" s="792">
        <f t="shared" si="12"/>
        <v>-41527.90638</v>
      </c>
    </row>
    <row r="75">
      <c r="A75" s="788">
        <v>31.0</v>
      </c>
      <c r="B75" s="783">
        <f t="shared" si="9"/>
        <v>48387.09677</v>
      </c>
      <c r="C75" s="812">
        <f>Summary!AF84</f>
        <v>6563.348883</v>
      </c>
      <c r="D75" s="784">
        <f t="shared" si="10"/>
        <v>6563.348883</v>
      </c>
      <c r="E75" s="791">
        <f t="shared" si="11"/>
        <v>-0.8643574564</v>
      </c>
      <c r="F75" s="792">
        <f t="shared" si="12"/>
        <v>-41823.74789</v>
      </c>
    </row>
    <row r="76">
      <c r="A76" s="825" t="s">
        <v>1233</v>
      </c>
      <c r="B76" s="826">
        <f>H15</f>
        <v>1500000</v>
      </c>
      <c r="C76" s="826">
        <f>sum(C45:C75)</f>
        <v>243457.6342</v>
      </c>
      <c r="D76" s="826">
        <f t="shared" si="10"/>
        <v>243457.6342</v>
      </c>
      <c r="E76" s="829">
        <f t="shared" si="11"/>
        <v>-0.8376949105</v>
      </c>
      <c r="F76" s="830">
        <f t="shared" si="12"/>
        <v>-1256542.366</v>
      </c>
    </row>
    <row r="78">
      <c r="A78" s="754" t="s">
        <v>1190</v>
      </c>
      <c r="B78" s="755">
        <v>44938.0</v>
      </c>
      <c r="C78" s="756"/>
      <c r="D78" s="754" t="s">
        <v>1191</v>
      </c>
      <c r="E78" s="754" t="s">
        <v>1192</v>
      </c>
      <c r="F78" s="756"/>
    </row>
    <row r="79">
      <c r="A79" s="759" t="s">
        <v>1195</v>
      </c>
      <c r="B79" s="760">
        <v>31.0</v>
      </c>
      <c r="C79" s="761" t="s">
        <v>1236</v>
      </c>
      <c r="D79" s="762"/>
      <c r="E79" s="762"/>
      <c r="F79" s="763"/>
    </row>
    <row r="80">
      <c r="A80" s="759" t="s">
        <v>1199</v>
      </c>
      <c r="B80" s="768">
        <f>COUNT(C83:C113)</f>
        <v>19</v>
      </c>
      <c r="C80" s="769"/>
      <c r="D80" s="770"/>
      <c r="E80" s="770"/>
      <c r="F80" s="771"/>
    </row>
    <row r="81">
      <c r="A81" s="774"/>
      <c r="B81" s="775" t="s">
        <v>1202</v>
      </c>
      <c r="C81" s="514"/>
      <c r="D81" s="775" t="s">
        <v>1203</v>
      </c>
      <c r="E81" s="776"/>
      <c r="F81" s="514"/>
      <c r="H81" s="831"/>
      <c r="I81" s="831"/>
      <c r="J81" s="831"/>
    </row>
    <row r="82">
      <c r="A82" s="777" t="s">
        <v>1206</v>
      </c>
      <c r="B82" s="777" t="s">
        <v>1237</v>
      </c>
      <c r="C82" s="778" t="s">
        <v>1199</v>
      </c>
      <c r="D82" s="777" t="s">
        <v>1203</v>
      </c>
      <c r="E82" s="777" t="s">
        <v>1208</v>
      </c>
      <c r="F82" s="777" t="s">
        <v>1209</v>
      </c>
      <c r="H82" s="831"/>
      <c r="I82" s="831"/>
      <c r="J82" s="831"/>
    </row>
    <row r="83">
      <c r="A83" s="781">
        <v>1.0</v>
      </c>
      <c r="B83" s="832">
        <f t="shared" ref="B83:B113" si="13">$B$114/$B$79</f>
        <v>46451.6129</v>
      </c>
      <c r="C83" s="833">
        <v>20317.0</v>
      </c>
      <c r="D83" s="834">
        <f t="shared" ref="D83:D114" si="14">C83/$B$4*$B$3</f>
        <v>20317</v>
      </c>
      <c r="E83" s="785">
        <f t="shared" ref="E83:E112" si="15">D83/B83-1</f>
        <v>-0.5626201389</v>
      </c>
      <c r="F83" s="835">
        <f t="shared" ref="F83:F112" si="16">D83-B83</f>
        <v>-26134.6129</v>
      </c>
      <c r="H83" s="831"/>
      <c r="I83" s="831"/>
      <c r="J83" s="831"/>
    </row>
    <row r="84">
      <c r="A84" s="788">
        <v>2.0</v>
      </c>
      <c r="B84" s="836">
        <f t="shared" si="13"/>
        <v>46451.6129</v>
      </c>
      <c r="C84" s="833">
        <v>24224.0</v>
      </c>
      <c r="D84" s="834">
        <f t="shared" si="14"/>
        <v>24224</v>
      </c>
      <c r="E84" s="791">
        <f t="shared" si="15"/>
        <v>-0.4785111111</v>
      </c>
      <c r="F84" s="837">
        <f t="shared" si="16"/>
        <v>-22227.6129</v>
      </c>
      <c r="H84" s="831"/>
      <c r="I84" s="831"/>
      <c r="J84" s="831"/>
    </row>
    <row r="85">
      <c r="A85" s="788">
        <v>3.0</v>
      </c>
      <c r="B85" s="832">
        <f t="shared" si="13"/>
        <v>46451.6129</v>
      </c>
      <c r="C85" s="833">
        <v>34313.0</v>
      </c>
      <c r="D85" s="834">
        <f t="shared" si="14"/>
        <v>34313</v>
      </c>
      <c r="E85" s="791">
        <f t="shared" si="15"/>
        <v>-0.2613173611</v>
      </c>
      <c r="F85" s="837">
        <f t="shared" si="16"/>
        <v>-12138.6129</v>
      </c>
      <c r="H85" s="831"/>
      <c r="I85" s="838"/>
      <c r="J85" s="831"/>
    </row>
    <row r="86">
      <c r="A86" s="788">
        <v>4.0</v>
      </c>
      <c r="B86" s="836">
        <f t="shared" si="13"/>
        <v>46451.6129</v>
      </c>
      <c r="C86" s="833">
        <v>35645.0</v>
      </c>
      <c r="D86" s="834">
        <f t="shared" si="14"/>
        <v>35645</v>
      </c>
      <c r="E86" s="791">
        <f t="shared" si="15"/>
        <v>-0.2326423611</v>
      </c>
      <c r="F86" s="837">
        <f t="shared" si="16"/>
        <v>-10806.6129</v>
      </c>
      <c r="H86" s="831"/>
      <c r="I86" s="831"/>
      <c r="J86" s="831"/>
    </row>
    <row r="87">
      <c r="A87" s="788">
        <v>5.0</v>
      </c>
      <c r="B87" s="832">
        <f t="shared" si="13"/>
        <v>46451.6129</v>
      </c>
      <c r="C87" s="833">
        <v>34458.0</v>
      </c>
      <c r="D87" s="834">
        <f t="shared" si="14"/>
        <v>34458</v>
      </c>
      <c r="E87" s="791">
        <f t="shared" si="15"/>
        <v>-0.2581958333</v>
      </c>
      <c r="F87" s="837">
        <f t="shared" si="16"/>
        <v>-11993.6129</v>
      </c>
      <c r="H87" s="831"/>
      <c r="I87" s="831"/>
      <c r="J87" s="831"/>
    </row>
    <row r="88">
      <c r="A88" s="788">
        <v>6.0</v>
      </c>
      <c r="B88" s="836">
        <f t="shared" si="13"/>
        <v>46451.6129</v>
      </c>
      <c r="C88" s="833">
        <v>34695.0</v>
      </c>
      <c r="D88" s="834">
        <f t="shared" si="14"/>
        <v>34695</v>
      </c>
      <c r="E88" s="791">
        <f t="shared" si="15"/>
        <v>-0.25309375</v>
      </c>
      <c r="F88" s="837">
        <f t="shared" si="16"/>
        <v>-11756.6129</v>
      </c>
      <c r="I88" s="831"/>
      <c r="J88" s="831"/>
    </row>
    <row r="89">
      <c r="A89" s="788">
        <v>7.0</v>
      </c>
      <c r="B89" s="832">
        <f t="shared" si="13"/>
        <v>46451.6129</v>
      </c>
      <c r="C89" s="833">
        <v>35634.0</v>
      </c>
      <c r="D89" s="834">
        <f t="shared" si="14"/>
        <v>35634</v>
      </c>
      <c r="E89" s="791">
        <f t="shared" si="15"/>
        <v>-0.2328791667</v>
      </c>
      <c r="F89" s="837">
        <f t="shared" si="16"/>
        <v>-10817.6129</v>
      </c>
      <c r="I89" s="831"/>
      <c r="J89" s="831"/>
    </row>
    <row r="90">
      <c r="A90" s="788">
        <v>8.0</v>
      </c>
      <c r="B90" s="836">
        <f t="shared" si="13"/>
        <v>46451.6129</v>
      </c>
      <c r="C90" s="833">
        <v>38995.0</v>
      </c>
      <c r="D90" s="834">
        <f t="shared" si="14"/>
        <v>38995</v>
      </c>
      <c r="E90" s="791">
        <f t="shared" si="15"/>
        <v>-0.1605243056</v>
      </c>
      <c r="F90" s="837">
        <f t="shared" si="16"/>
        <v>-7456.612903</v>
      </c>
      <c r="I90" s="831"/>
      <c r="J90" s="831"/>
    </row>
    <row r="91">
      <c r="A91" s="788">
        <v>9.0</v>
      </c>
      <c r="B91" s="832">
        <f t="shared" si="13"/>
        <v>46451.6129</v>
      </c>
      <c r="C91" s="833">
        <v>40404.0</v>
      </c>
      <c r="D91" s="834">
        <f t="shared" si="14"/>
        <v>40404</v>
      </c>
      <c r="E91" s="791">
        <f t="shared" si="15"/>
        <v>-0.1301916667</v>
      </c>
      <c r="F91" s="837">
        <f t="shared" si="16"/>
        <v>-6047.612903</v>
      </c>
      <c r="I91" s="831"/>
      <c r="J91" s="831"/>
    </row>
    <row r="92">
      <c r="A92" s="788">
        <v>10.0</v>
      </c>
      <c r="B92" s="836">
        <f t="shared" si="13"/>
        <v>46451.6129</v>
      </c>
      <c r="C92" s="833">
        <v>49184.0</v>
      </c>
      <c r="D92" s="834">
        <f t="shared" si="14"/>
        <v>49184</v>
      </c>
      <c r="E92" s="791">
        <f t="shared" si="15"/>
        <v>0.05882222222</v>
      </c>
      <c r="F92" s="837">
        <f t="shared" si="16"/>
        <v>2732.387097</v>
      </c>
      <c r="I92" s="831"/>
      <c r="J92" s="831"/>
    </row>
    <row r="93">
      <c r="A93" s="788">
        <v>11.0</v>
      </c>
      <c r="B93" s="832">
        <f t="shared" si="13"/>
        <v>46451.6129</v>
      </c>
      <c r="C93" s="833">
        <v>46144.0</v>
      </c>
      <c r="D93" s="834">
        <f t="shared" si="14"/>
        <v>46144</v>
      </c>
      <c r="E93" s="791">
        <f t="shared" si="15"/>
        <v>-0.006622222222</v>
      </c>
      <c r="F93" s="837">
        <f t="shared" si="16"/>
        <v>-307.6129032</v>
      </c>
      <c r="I93" s="831"/>
      <c r="J93" s="831"/>
    </row>
    <row r="94">
      <c r="A94" s="788">
        <v>12.0</v>
      </c>
      <c r="B94" s="836">
        <f t="shared" si="13"/>
        <v>46451.6129</v>
      </c>
      <c r="C94" s="833">
        <v>38215.0</v>
      </c>
      <c r="D94" s="834">
        <f t="shared" si="14"/>
        <v>38215</v>
      </c>
      <c r="E94" s="791">
        <f t="shared" si="15"/>
        <v>-0.1773159722</v>
      </c>
      <c r="F94" s="837">
        <f t="shared" si="16"/>
        <v>-8236.612903</v>
      </c>
      <c r="I94" s="831"/>
      <c r="J94" s="831"/>
    </row>
    <row r="95">
      <c r="A95" s="788">
        <v>13.0</v>
      </c>
      <c r="B95" s="832">
        <f t="shared" si="13"/>
        <v>46451.6129</v>
      </c>
      <c r="C95" s="833">
        <v>35435.0</v>
      </c>
      <c r="D95" s="834">
        <f t="shared" si="14"/>
        <v>35435</v>
      </c>
      <c r="E95" s="791">
        <f t="shared" si="15"/>
        <v>-0.2371631944</v>
      </c>
      <c r="F95" s="837">
        <f t="shared" si="16"/>
        <v>-11016.6129</v>
      </c>
      <c r="I95" s="831"/>
      <c r="J95" s="831"/>
    </row>
    <row r="96">
      <c r="A96" s="788">
        <v>14.0</v>
      </c>
      <c r="B96" s="836">
        <f t="shared" si="13"/>
        <v>46451.6129</v>
      </c>
      <c r="C96" s="833">
        <v>26728.0</v>
      </c>
      <c r="D96" s="834">
        <f t="shared" si="14"/>
        <v>26728</v>
      </c>
      <c r="E96" s="791">
        <f t="shared" si="15"/>
        <v>-0.4246055556</v>
      </c>
      <c r="F96" s="837">
        <f t="shared" si="16"/>
        <v>-19723.6129</v>
      </c>
      <c r="I96" s="839"/>
      <c r="J96" s="831"/>
    </row>
    <row r="97">
      <c r="A97" s="788">
        <v>15.0</v>
      </c>
      <c r="B97" s="832">
        <f t="shared" si="13"/>
        <v>46451.6129</v>
      </c>
      <c r="C97" s="833">
        <v>23369.0</v>
      </c>
      <c r="D97" s="834">
        <f t="shared" si="14"/>
        <v>23369</v>
      </c>
      <c r="E97" s="791">
        <f t="shared" si="15"/>
        <v>-0.4969173611</v>
      </c>
      <c r="F97" s="837">
        <f t="shared" si="16"/>
        <v>-23082.6129</v>
      </c>
      <c r="I97" s="831"/>
      <c r="J97" s="831"/>
    </row>
    <row r="98">
      <c r="A98" s="788">
        <v>16.0</v>
      </c>
      <c r="B98" s="836">
        <f t="shared" si="13"/>
        <v>46451.6129</v>
      </c>
      <c r="C98" s="833">
        <v>21186.0</v>
      </c>
      <c r="D98" s="834">
        <f t="shared" si="14"/>
        <v>21186</v>
      </c>
      <c r="E98" s="791">
        <f t="shared" si="15"/>
        <v>-0.5439125</v>
      </c>
      <c r="F98" s="837">
        <f t="shared" si="16"/>
        <v>-25265.6129</v>
      </c>
      <c r="I98" s="831"/>
      <c r="J98" s="831"/>
    </row>
    <row r="99">
      <c r="A99" s="788">
        <v>17.0</v>
      </c>
      <c r="B99" s="832">
        <f t="shared" si="13"/>
        <v>46451.6129</v>
      </c>
      <c r="C99" s="833">
        <v>20813.0</v>
      </c>
      <c r="D99" s="834">
        <f t="shared" si="14"/>
        <v>20813</v>
      </c>
      <c r="E99" s="791">
        <f t="shared" si="15"/>
        <v>-0.5519423611</v>
      </c>
      <c r="F99" s="837">
        <f t="shared" si="16"/>
        <v>-25638.6129</v>
      </c>
      <c r="I99" s="831"/>
      <c r="J99" s="831"/>
    </row>
    <row r="100">
      <c r="A100" s="788">
        <v>18.0</v>
      </c>
      <c r="B100" s="836">
        <f t="shared" si="13"/>
        <v>46451.6129</v>
      </c>
      <c r="C100" s="833">
        <v>17476.0</v>
      </c>
      <c r="D100" s="834">
        <f t="shared" si="14"/>
        <v>17476</v>
      </c>
      <c r="E100" s="791">
        <f t="shared" si="15"/>
        <v>-0.6237805556</v>
      </c>
      <c r="F100" s="837">
        <f t="shared" si="16"/>
        <v>-28975.6129</v>
      </c>
    </row>
    <row r="101">
      <c r="A101" s="788">
        <v>19.0</v>
      </c>
      <c r="B101" s="832">
        <f t="shared" si="13"/>
        <v>46451.6129</v>
      </c>
      <c r="C101" s="833">
        <v>11989.0</v>
      </c>
      <c r="D101" s="834">
        <f t="shared" si="14"/>
        <v>11989</v>
      </c>
      <c r="E101" s="791">
        <f t="shared" si="15"/>
        <v>-0.7419034722</v>
      </c>
      <c r="F101" s="837">
        <f t="shared" si="16"/>
        <v>-34462.6129</v>
      </c>
    </row>
    <row r="102">
      <c r="A102" s="788">
        <v>20.0</v>
      </c>
      <c r="B102" s="836">
        <f t="shared" si="13"/>
        <v>46451.6129</v>
      </c>
      <c r="C102" s="833"/>
      <c r="D102" s="834">
        <f t="shared" si="14"/>
        <v>0</v>
      </c>
      <c r="E102" s="791">
        <f t="shared" si="15"/>
        <v>-1</v>
      </c>
      <c r="F102" s="837">
        <f t="shared" si="16"/>
        <v>-46451.6129</v>
      </c>
    </row>
    <row r="103">
      <c r="A103" s="788">
        <v>21.0</v>
      </c>
      <c r="B103" s="832">
        <f t="shared" si="13"/>
        <v>46451.6129</v>
      </c>
      <c r="C103" s="833"/>
      <c r="D103" s="834">
        <f t="shared" si="14"/>
        <v>0</v>
      </c>
      <c r="E103" s="791">
        <f t="shared" si="15"/>
        <v>-1</v>
      </c>
      <c r="F103" s="837">
        <f t="shared" si="16"/>
        <v>-46451.6129</v>
      </c>
    </row>
    <row r="104">
      <c r="A104" s="788">
        <v>22.0</v>
      </c>
      <c r="B104" s="836">
        <f t="shared" si="13"/>
        <v>46451.6129</v>
      </c>
      <c r="C104" s="833"/>
      <c r="D104" s="834">
        <f t="shared" si="14"/>
        <v>0</v>
      </c>
      <c r="E104" s="791">
        <f t="shared" si="15"/>
        <v>-1</v>
      </c>
      <c r="F104" s="837">
        <f t="shared" si="16"/>
        <v>-46451.6129</v>
      </c>
    </row>
    <row r="105">
      <c r="A105" s="788">
        <v>23.0</v>
      </c>
      <c r="B105" s="832">
        <f t="shared" si="13"/>
        <v>46451.6129</v>
      </c>
      <c r="C105" s="833"/>
      <c r="D105" s="834">
        <f t="shared" si="14"/>
        <v>0</v>
      </c>
      <c r="E105" s="791">
        <f t="shared" si="15"/>
        <v>-1</v>
      </c>
      <c r="F105" s="837">
        <f t="shared" si="16"/>
        <v>-46451.6129</v>
      </c>
    </row>
    <row r="106">
      <c r="A106" s="788">
        <v>24.0</v>
      </c>
      <c r="B106" s="836">
        <f t="shared" si="13"/>
        <v>46451.6129</v>
      </c>
      <c r="C106" s="833"/>
      <c r="D106" s="834">
        <f t="shared" si="14"/>
        <v>0</v>
      </c>
      <c r="E106" s="791">
        <f t="shared" si="15"/>
        <v>-1</v>
      </c>
      <c r="F106" s="837">
        <f t="shared" si="16"/>
        <v>-46451.6129</v>
      </c>
    </row>
    <row r="107">
      <c r="A107" s="788">
        <v>25.0</v>
      </c>
      <c r="B107" s="832">
        <f t="shared" si="13"/>
        <v>46451.6129</v>
      </c>
      <c r="C107" s="833"/>
      <c r="D107" s="834">
        <f t="shared" si="14"/>
        <v>0</v>
      </c>
      <c r="E107" s="791">
        <f t="shared" si="15"/>
        <v>-1</v>
      </c>
      <c r="F107" s="837">
        <f t="shared" si="16"/>
        <v>-46451.6129</v>
      </c>
    </row>
    <row r="108">
      <c r="A108" s="788">
        <v>26.0</v>
      </c>
      <c r="B108" s="836">
        <f t="shared" si="13"/>
        <v>46451.6129</v>
      </c>
      <c r="C108" s="833"/>
      <c r="D108" s="834">
        <f t="shared" si="14"/>
        <v>0</v>
      </c>
      <c r="E108" s="791">
        <f t="shared" si="15"/>
        <v>-1</v>
      </c>
      <c r="F108" s="837">
        <f t="shared" si="16"/>
        <v>-46451.6129</v>
      </c>
      <c r="I108" s="840"/>
    </row>
    <row r="109">
      <c r="A109" s="788">
        <v>27.0</v>
      </c>
      <c r="B109" s="832">
        <f t="shared" si="13"/>
        <v>46451.6129</v>
      </c>
      <c r="C109" s="833"/>
      <c r="D109" s="834">
        <f t="shared" si="14"/>
        <v>0</v>
      </c>
      <c r="E109" s="791">
        <f t="shared" si="15"/>
        <v>-1</v>
      </c>
      <c r="F109" s="837">
        <f t="shared" si="16"/>
        <v>-46451.6129</v>
      </c>
    </row>
    <row r="110">
      <c r="A110" s="788">
        <v>28.0</v>
      </c>
      <c r="B110" s="836">
        <f t="shared" si="13"/>
        <v>46451.6129</v>
      </c>
      <c r="C110" s="833"/>
      <c r="D110" s="834">
        <f t="shared" si="14"/>
        <v>0</v>
      </c>
      <c r="E110" s="791">
        <f t="shared" si="15"/>
        <v>-1</v>
      </c>
      <c r="F110" s="837">
        <f t="shared" si="16"/>
        <v>-46451.6129</v>
      </c>
    </row>
    <row r="111">
      <c r="A111" s="788">
        <v>29.0</v>
      </c>
      <c r="B111" s="832">
        <f t="shared" si="13"/>
        <v>46451.6129</v>
      </c>
      <c r="C111" s="833"/>
      <c r="D111" s="834">
        <f t="shared" si="14"/>
        <v>0</v>
      </c>
      <c r="E111" s="791">
        <f t="shared" si="15"/>
        <v>-1</v>
      </c>
      <c r="F111" s="837">
        <f t="shared" si="16"/>
        <v>-46451.6129</v>
      </c>
    </row>
    <row r="112">
      <c r="A112" s="788">
        <v>30.0</v>
      </c>
      <c r="B112" s="836">
        <f t="shared" si="13"/>
        <v>46451.6129</v>
      </c>
      <c r="C112" s="833"/>
      <c r="D112" s="834">
        <f t="shared" si="14"/>
        <v>0</v>
      </c>
      <c r="E112" s="791">
        <f t="shared" si="15"/>
        <v>-1</v>
      </c>
      <c r="F112" s="837">
        <f t="shared" si="16"/>
        <v>-46451.6129</v>
      </c>
    </row>
    <row r="113">
      <c r="A113" s="788">
        <v>31.0</v>
      </c>
      <c r="B113" s="832">
        <f t="shared" si="13"/>
        <v>46451.6129</v>
      </c>
      <c r="C113" s="833"/>
      <c r="D113" s="834">
        <f t="shared" si="14"/>
        <v>0</v>
      </c>
      <c r="E113" s="791"/>
      <c r="F113" s="837"/>
    </row>
    <row r="114">
      <c r="A114" s="825" t="s">
        <v>1233</v>
      </c>
      <c r="B114" s="841">
        <f>H20</f>
        <v>1440000</v>
      </c>
      <c r="C114" s="841">
        <f>sum(C83:C113)</f>
        <v>589224</v>
      </c>
      <c r="D114" s="841">
        <f t="shared" si="14"/>
        <v>589224</v>
      </c>
      <c r="E114" s="828">
        <f>D114/B114-1</f>
        <v>-0.5908166667</v>
      </c>
      <c r="F114" s="841">
        <f>D114-B114</f>
        <v>-850776</v>
      </c>
    </row>
  </sheetData>
  <mergeCells count="12">
    <mergeCell ref="B43:C43"/>
    <mergeCell ref="D43:F43"/>
    <mergeCell ref="C79:F80"/>
    <mergeCell ref="B81:C81"/>
    <mergeCell ref="D81:F81"/>
    <mergeCell ref="G2:H2"/>
    <mergeCell ref="I2:J2"/>
    <mergeCell ref="C3:F4"/>
    <mergeCell ref="B5:C5"/>
    <mergeCell ref="D5:F5"/>
    <mergeCell ref="H21:I21"/>
    <mergeCell ref="C41:F42"/>
  </mergeCells>
  <conditionalFormatting sqref="E7:E37 E83:E113">
    <cfRule type="cellIs" dxfId="0" priority="1" operator="greaterThan">
      <formula>"0%"</formula>
    </cfRule>
  </conditionalFormatting>
  <conditionalFormatting sqref="E7:E37 E83:E113">
    <cfRule type="cellIs" dxfId="1" priority="2" operator="lessThanOrEqual">
      <formula>"0%"</formula>
    </cfRule>
  </conditionalFormatting>
  <conditionalFormatting sqref="E38 E114">
    <cfRule type="cellIs" dxfId="0" priority="3" operator="greaterThan">
      <formula>"0%"</formula>
    </cfRule>
  </conditionalFormatting>
  <conditionalFormatting sqref="E38 E114">
    <cfRule type="cellIs" dxfId="1" priority="4" operator="lessThanOrEqual">
      <formula>"0%"</formula>
    </cfRule>
  </conditionalFormatting>
  <conditionalFormatting sqref="F7:F38 F45:F75 F83:F114">
    <cfRule type="cellIs" dxfId="0" priority="5" operator="greaterThan">
      <formula>"0$"</formula>
    </cfRule>
  </conditionalFormatting>
  <conditionalFormatting sqref="F7:F38 F45:F75 F83:F114">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6 E114">
    <cfRule type="cellIs" dxfId="0" priority="17" operator="lessThanOrEqual">
      <formula>"0%"</formula>
    </cfRule>
  </conditionalFormatting>
  <conditionalFormatting sqref="F76 F114">
    <cfRule type="cellIs" dxfId="0" priority="18" operator="lessThanOrEqual">
      <formula>0</formula>
    </cfRule>
  </conditionalFormatting>
  <conditionalFormatting sqref="E76 E114">
    <cfRule type="cellIs" dxfId="2" priority="19" operator="greaterThan">
      <formula>"0%"</formula>
    </cfRule>
  </conditionalFormatting>
  <conditionalFormatting sqref="F76 F114">
    <cfRule type="cellIs" dxfId="2" priority="20" operator="greaterThan">
      <formula>0</formula>
    </cfRule>
  </conditionalFormatting>
  <conditionalFormatting sqref="E45:E75">
    <cfRule type="cellIs" dxfId="0" priority="21" operator="lessThanOrEqual">
      <formula>"0%"</formula>
    </cfRule>
  </conditionalFormatting>
  <conditionalFormatting sqref="E45:E75">
    <cfRule type="cellIs" dxfId="1" priority="22" operator="greaterThan">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842" t="s">
        <v>1238</v>
      </c>
      <c r="H1" s="843"/>
      <c r="I1" s="843"/>
      <c r="J1" s="843"/>
      <c r="K1" s="843"/>
      <c r="L1" s="843"/>
      <c r="M1" s="843"/>
      <c r="N1" s="843"/>
      <c r="O1" s="843"/>
      <c r="P1" s="843"/>
      <c r="Q1" s="843"/>
      <c r="R1" s="843"/>
      <c r="S1" s="843"/>
      <c r="T1" s="843"/>
      <c r="U1" s="843"/>
      <c r="V1" s="843"/>
      <c r="W1" s="843"/>
      <c r="X1" s="843"/>
      <c r="Y1" s="843"/>
      <c r="Z1" s="843"/>
      <c r="AA1" s="843"/>
      <c r="AB1" s="843"/>
      <c r="AC1" s="843"/>
      <c r="AD1" s="843"/>
      <c r="AE1" s="843"/>
      <c r="AF1" s="843"/>
      <c r="AG1" s="843"/>
      <c r="AH1" s="843"/>
      <c r="AI1" s="843"/>
      <c r="AJ1" s="843"/>
      <c r="AK1" s="843"/>
      <c r="AL1" s="560"/>
      <c r="AM1" s="560"/>
      <c r="AN1" s="560"/>
      <c r="AO1" s="7"/>
      <c r="AP1" s="4"/>
      <c r="AQ1" s="4"/>
      <c r="AR1" s="4"/>
      <c r="AS1" s="4"/>
      <c r="AT1" s="4"/>
      <c r="AU1" s="4"/>
      <c r="AV1" s="4"/>
      <c r="AW1" s="4"/>
      <c r="AX1" s="4"/>
      <c r="AY1" s="4"/>
      <c r="AZ1" s="4"/>
      <c r="BA1" s="4"/>
      <c r="BB1" s="4"/>
      <c r="BC1" s="4"/>
    </row>
    <row r="2">
      <c r="A2" s="842" t="s">
        <v>1239</v>
      </c>
      <c r="H2" s="843"/>
      <c r="I2" s="843"/>
      <c r="J2" s="843"/>
      <c r="K2" s="843"/>
      <c r="L2" s="843"/>
      <c r="M2" s="843"/>
      <c r="N2" s="843"/>
      <c r="O2" s="843"/>
      <c r="P2" s="843"/>
      <c r="Q2" s="843"/>
      <c r="R2" s="843"/>
      <c r="S2" s="843"/>
      <c r="T2" s="843"/>
      <c r="U2" s="843"/>
      <c r="V2" s="843"/>
      <c r="W2" s="843"/>
      <c r="X2" s="843"/>
      <c r="Y2" s="843"/>
      <c r="Z2" s="843"/>
      <c r="AA2" s="843"/>
      <c r="AB2" s="843"/>
      <c r="AC2" s="843"/>
      <c r="AD2" s="843"/>
      <c r="AE2" s="843"/>
      <c r="AF2" s="843"/>
      <c r="AG2" s="843"/>
      <c r="AH2" s="843"/>
      <c r="AI2" s="843"/>
      <c r="AJ2" s="843"/>
      <c r="AK2" s="843"/>
      <c r="AL2" s="560"/>
      <c r="AM2" s="560"/>
      <c r="AN2" s="560"/>
      <c r="AO2" s="7"/>
      <c r="AP2" s="4"/>
      <c r="AQ2" s="4"/>
      <c r="AR2" s="4"/>
      <c r="AS2" s="4"/>
      <c r="AT2" s="4"/>
      <c r="AU2" s="4"/>
      <c r="AV2" s="4"/>
      <c r="AW2" s="4"/>
      <c r="AX2" s="4"/>
      <c r="AY2" s="4"/>
      <c r="AZ2" s="4"/>
      <c r="BA2" s="4"/>
      <c r="BB2" s="4"/>
      <c r="BC2" s="4"/>
    </row>
    <row r="3">
      <c r="A3" s="842" t="s">
        <v>1240</v>
      </c>
      <c r="H3" s="843"/>
      <c r="I3" s="843"/>
      <c r="J3" s="843"/>
      <c r="K3" s="843"/>
      <c r="L3" s="843"/>
      <c r="M3" s="843"/>
      <c r="N3" s="843"/>
      <c r="O3" s="843"/>
      <c r="P3" s="843"/>
      <c r="Q3" s="843"/>
      <c r="R3" s="843"/>
      <c r="S3" s="843"/>
      <c r="T3" s="843"/>
      <c r="U3" s="843"/>
      <c r="V3" s="843"/>
      <c r="W3" s="843"/>
      <c r="X3" s="843"/>
      <c r="Y3" s="843"/>
      <c r="Z3" s="843"/>
      <c r="AA3" s="843"/>
      <c r="AB3" s="843"/>
      <c r="AC3" s="843"/>
      <c r="AD3" s="843"/>
      <c r="AE3" s="843"/>
      <c r="AF3" s="843"/>
      <c r="AG3" s="843"/>
      <c r="AH3" s="843"/>
      <c r="AI3" s="843"/>
      <c r="AJ3" s="843"/>
      <c r="AK3" s="843"/>
      <c r="AL3" s="560"/>
      <c r="AM3" s="560"/>
      <c r="AN3" s="560"/>
      <c r="AO3" s="7"/>
      <c r="AP3" s="4"/>
      <c r="AQ3" s="4"/>
      <c r="AR3" s="4"/>
      <c r="AS3" s="4"/>
      <c r="AT3" s="4"/>
      <c r="AU3" s="4"/>
      <c r="AV3" s="4"/>
      <c r="AW3" s="4"/>
      <c r="AX3" s="4"/>
      <c r="AY3" s="4"/>
      <c r="AZ3" s="4"/>
      <c r="BA3" s="4"/>
      <c r="BB3" s="4"/>
      <c r="BC3" s="4"/>
    </row>
    <row r="4">
      <c r="A4" s="842" t="s">
        <v>1241</v>
      </c>
      <c r="H4" s="843"/>
      <c r="I4" s="843"/>
      <c r="J4" s="843"/>
      <c r="K4" s="843"/>
      <c r="L4" s="843"/>
      <c r="M4" s="843"/>
      <c r="N4" s="843"/>
      <c r="O4" s="843"/>
      <c r="P4" s="843"/>
      <c r="Q4" s="843"/>
      <c r="R4" s="843"/>
      <c r="S4" s="843"/>
      <c r="T4" s="843"/>
      <c r="U4" s="843"/>
      <c r="V4" s="843"/>
      <c r="W4" s="843"/>
      <c r="X4" s="843"/>
      <c r="Y4" s="843"/>
      <c r="Z4" s="843"/>
      <c r="AA4" s="843"/>
      <c r="AB4" s="843"/>
      <c r="AC4" s="843"/>
      <c r="AD4" s="843"/>
      <c r="AE4" s="843"/>
      <c r="AF4" s="843"/>
      <c r="AG4" s="843"/>
      <c r="AH4" s="843"/>
      <c r="AI4" s="843"/>
      <c r="AJ4" s="843"/>
      <c r="AK4" s="843"/>
      <c r="AL4" s="560"/>
      <c r="AM4" s="844"/>
      <c r="AN4" s="560"/>
      <c r="AO4" s="7"/>
      <c r="AP4" s="4"/>
      <c r="AQ4" s="4"/>
      <c r="AR4" s="4"/>
      <c r="AS4" s="4"/>
      <c r="AT4" s="4"/>
      <c r="AU4" s="4"/>
      <c r="AV4" s="4"/>
      <c r="AW4" s="4"/>
      <c r="AX4" s="4"/>
      <c r="AY4" s="4"/>
      <c r="AZ4" s="4"/>
      <c r="BA4" s="4"/>
      <c r="BB4" s="4"/>
      <c r="BC4" s="4"/>
    </row>
    <row r="5">
      <c r="A5" s="842" t="s">
        <v>1242</v>
      </c>
      <c r="AL5" s="560"/>
      <c r="AM5" s="560"/>
      <c r="AN5" s="560"/>
      <c r="AO5" s="7"/>
      <c r="AP5" s="4"/>
      <c r="AQ5" s="4"/>
      <c r="AR5" s="4"/>
      <c r="AS5" s="4"/>
      <c r="AT5" s="4"/>
      <c r="AU5" s="4"/>
      <c r="AV5" s="4"/>
      <c r="AW5" s="4"/>
      <c r="AX5" s="4"/>
      <c r="AY5" s="4"/>
      <c r="AZ5" s="4"/>
      <c r="BA5" s="4"/>
      <c r="BB5" s="4"/>
      <c r="BC5" s="4"/>
    </row>
    <row r="6">
      <c r="A6" s="842" t="s">
        <v>1243</v>
      </c>
      <c r="AO6" s="7"/>
      <c r="AP6" s="4"/>
      <c r="AQ6" s="4"/>
      <c r="AR6" s="4"/>
      <c r="AS6" s="4"/>
      <c r="AT6" s="4"/>
      <c r="AU6" s="4"/>
      <c r="AV6" s="4"/>
      <c r="AW6" s="4"/>
      <c r="AX6" s="4"/>
      <c r="AY6" s="4"/>
      <c r="AZ6" s="4"/>
      <c r="BA6" s="4"/>
      <c r="BB6" s="4"/>
      <c r="BC6" s="4"/>
    </row>
    <row r="7">
      <c r="A7" s="842" t="s">
        <v>1244</v>
      </c>
      <c r="AN7" s="560"/>
      <c r="AO7" s="7"/>
      <c r="AP7" s="4"/>
      <c r="AQ7" s="4"/>
      <c r="AR7" s="4"/>
      <c r="AS7" s="4"/>
      <c r="AT7" s="4"/>
      <c r="AU7" s="4"/>
      <c r="AV7" s="4"/>
      <c r="AW7" s="4"/>
      <c r="AX7" s="4"/>
      <c r="AY7" s="4"/>
      <c r="AZ7" s="4"/>
      <c r="BA7" s="4"/>
      <c r="BB7" s="4"/>
      <c r="BC7" s="4"/>
    </row>
    <row r="8">
      <c r="A8" s="842" t="s">
        <v>1245</v>
      </c>
      <c r="H8" s="843"/>
      <c r="I8" s="843"/>
      <c r="J8" s="843"/>
      <c r="K8" s="843"/>
      <c r="L8" s="843"/>
      <c r="M8" s="843"/>
      <c r="N8" s="843"/>
      <c r="O8" s="843"/>
      <c r="P8" s="843"/>
      <c r="Q8" s="843"/>
      <c r="R8" s="843"/>
      <c r="S8" s="843"/>
      <c r="T8" s="843"/>
      <c r="U8" s="843"/>
      <c r="V8" s="843"/>
      <c r="W8" s="843"/>
      <c r="X8" s="843"/>
      <c r="Y8" s="843"/>
      <c r="Z8" s="843"/>
      <c r="AA8" s="843"/>
      <c r="AB8" s="843"/>
      <c r="AC8" s="843"/>
      <c r="AD8" s="843"/>
      <c r="AE8" s="843"/>
      <c r="AF8" s="843"/>
      <c r="AG8" s="843"/>
      <c r="AH8" s="843"/>
      <c r="AI8" s="843"/>
      <c r="AJ8" s="843"/>
      <c r="AK8" s="843"/>
      <c r="AL8" s="560"/>
      <c r="AM8" s="560"/>
      <c r="AN8" s="560"/>
      <c r="AO8" s="7"/>
      <c r="AP8" s="4"/>
      <c r="AQ8" s="4"/>
      <c r="AR8" s="4"/>
      <c r="AS8" s="4"/>
      <c r="AT8" s="4"/>
      <c r="AU8" s="4"/>
      <c r="AV8" s="4"/>
      <c r="AW8" s="4"/>
      <c r="AX8" s="4"/>
      <c r="AY8" s="4"/>
      <c r="AZ8" s="4"/>
      <c r="BA8" s="4"/>
      <c r="BB8" s="4"/>
      <c r="BC8" s="4"/>
    </row>
    <row r="9">
      <c r="A9" s="845"/>
      <c r="B9" s="845"/>
      <c r="C9" s="4"/>
      <c r="D9" s="4"/>
      <c r="E9" s="4"/>
      <c r="F9" s="4"/>
      <c r="G9" s="846"/>
      <c r="H9" s="846"/>
      <c r="I9" s="846"/>
      <c r="J9" s="846"/>
      <c r="K9" s="846"/>
      <c r="L9" s="846"/>
      <c r="M9" s="846"/>
      <c r="N9" s="846"/>
      <c r="O9" s="846"/>
      <c r="P9" s="846"/>
      <c r="Q9" s="846"/>
      <c r="R9" s="846"/>
      <c r="S9" s="846"/>
      <c r="T9" s="846"/>
      <c r="U9" s="846"/>
      <c r="V9" s="846"/>
      <c r="W9" s="846"/>
      <c r="X9" s="846"/>
      <c r="Y9" s="846"/>
      <c r="Z9" s="846"/>
      <c r="AA9" s="846"/>
      <c r="AB9" s="846"/>
      <c r="AC9" s="846"/>
      <c r="AD9" s="846"/>
      <c r="AE9" s="846"/>
      <c r="AF9" s="846"/>
      <c r="AG9" s="846"/>
      <c r="AH9" s="846"/>
      <c r="AI9" s="846"/>
      <c r="AJ9" s="846"/>
      <c r="AK9" s="846"/>
      <c r="AL9" s="7"/>
      <c r="AM9" s="7"/>
      <c r="AN9" s="7"/>
      <c r="AO9" s="7"/>
      <c r="AP9" s="4"/>
      <c r="AQ9" s="4"/>
      <c r="AR9" s="4"/>
      <c r="AS9" s="4"/>
      <c r="AT9" s="4"/>
      <c r="AU9" s="4"/>
      <c r="AV9" s="4"/>
      <c r="AW9" s="4"/>
      <c r="AX9" s="4"/>
      <c r="AY9" s="4"/>
      <c r="AZ9" s="4"/>
      <c r="BA9" s="4"/>
      <c r="BB9" s="4"/>
      <c r="BC9" s="4"/>
    </row>
    <row r="10">
      <c r="A10" s="847" t="s">
        <v>1246</v>
      </c>
      <c r="B10" s="762"/>
      <c r="C10" s="848" t="s">
        <v>1247</v>
      </c>
      <c r="D10" s="848" t="s">
        <v>1248</v>
      </c>
      <c r="E10" s="848" t="s">
        <v>1249</v>
      </c>
      <c r="F10" s="848" t="s">
        <v>1250</v>
      </c>
      <c r="G10" s="849" t="s">
        <v>1251</v>
      </c>
      <c r="H10" s="849" t="s">
        <v>1252</v>
      </c>
      <c r="I10" s="849" t="s">
        <v>1253</v>
      </c>
      <c r="J10" s="849" t="s">
        <v>1254</v>
      </c>
      <c r="K10" s="849" t="s">
        <v>1255</v>
      </c>
      <c r="L10" s="849" t="s">
        <v>1256</v>
      </c>
      <c r="M10" s="849" t="s">
        <v>1257</v>
      </c>
      <c r="N10" s="849" t="s">
        <v>1258</v>
      </c>
      <c r="O10" s="849" t="s">
        <v>1259</v>
      </c>
      <c r="P10" s="849" t="s">
        <v>1260</v>
      </c>
      <c r="Q10" s="849" t="s">
        <v>1261</v>
      </c>
      <c r="R10" s="849" t="s">
        <v>1262</v>
      </c>
      <c r="S10" s="849" t="s">
        <v>1263</v>
      </c>
      <c r="T10" s="849" t="s">
        <v>1264</v>
      </c>
      <c r="U10" s="849" t="s">
        <v>1265</v>
      </c>
      <c r="V10" s="849" t="s">
        <v>1266</v>
      </c>
      <c r="W10" s="849" t="s">
        <v>1267</v>
      </c>
      <c r="X10" s="849" t="s">
        <v>1268</v>
      </c>
      <c r="Y10" s="849" t="s">
        <v>1269</v>
      </c>
      <c r="Z10" s="849" t="s">
        <v>1270</v>
      </c>
      <c r="AA10" s="849" t="s">
        <v>1271</v>
      </c>
      <c r="AB10" s="849" t="s">
        <v>1272</v>
      </c>
      <c r="AC10" s="849" t="s">
        <v>1273</v>
      </c>
      <c r="AD10" s="849" t="s">
        <v>1274</v>
      </c>
      <c r="AE10" s="849" t="s">
        <v>1275</v>
      </c>
      <c r="AF10" s="849" t="s">
        <v>1276</v>
      </c>
      <c r="AG10" s="849" t="s">
        <v>1277</v>
      </c>
      <c r="AH10" s="849" t="s">
        <v>1278</v>
      </c>
      <c r="AI10" s="849" t="s">
        <v>1279</v>
      </c>
      <c r="AJ10" s="849" t="s">
        <v>1280</v>
      </c>
      <c r="AK10" s="849" t="s">
        <v>1281</v>
      </c>
      <c r="AL10" s="7" t="s">
        <v>1282</v>
      </c>
      <c r="AM10" s="7" t="s">
        <v>1283</v>
      </c>
      <c r="AN10" s="7" t="s">
        <v>1284</v>
      </c>
      <c r="AO10" s="7" t="s">
        <v>1285</v>
      </c>
      <c r="AP10" s="4"/>
      <c r="AQ10" s="4"/>
      <c r="AR10" s="4"/>
      <c r="AS10" s="4"/>
      <c r="AT10" s="4"/>
      <c r="AU10" s="4"/>
      <c r="AV10" s="4"/>
      <c r="AW10" s="4"/>
      <c r="AX10" s="4"/>
      <c r="AY10" s="4"/>
      <c r="AZ10" s="4"/>
      <c r="BA10" s="4"/>
      <c r="BB10" s="4"/>
      <c r="BC10" s="4"/>
    </row>
    <row r="11">
      <c r="A11" s="850" t="s">
        <v>1286</v>
      </c>
      <c r="B11" s="851" t="s">
        <v>1287</v>
      </c>
      <c r="G11" s="571"/>
      <c r="H11" s="571"/>
      <c r="I11" s="571"/>
      <c r="J11" s="571"/>
      <c r="K11" s="571"/>
      <c r="L11" s="571"/>
      <c r="M11" s="571"/>
      <c r="N11" s="571"/>
      <c r="O11" s="571"/>
      <c r="P11" s="571"/>
      <c r="Q11" s="571"/>
      <c r="R11" s="571"/>
      <c r="S11" s="571"/>
      <c r="T11" s="571"/>
      <c r="U11" s="571"/>
      <c r="V11" s="571"/>
      <c r="W11" s="571"/>
      <c r="X11" s="571"/>
      <c r="Y11" s="571"/>
      <c r="Z11" s="571"/>
      <c r="AA11" s="571"/>
      <c r="AB11" s="571"/>
      <c r="AC11" s="571"/>
      <c r="AD11" s="571"/>
      <c r="AE11" s="571"/>
      <c r="AF11" s="571"/>
      <c r="AG11" s="571"/>
      <c r="AH11" s="571"/>
      <c r="AI11" s="571"/>
      <c r="AJ11" s="571"/>
      <c r="AK11" s="571"/>
      <c r="AL11" s="571"/>
      <c r="AM11" s="571"/>
      <c r="AN11" s="571"/>
      <c r="AO11" s="571"/>
    </row>
    <row r="12">
      <c r="B12" s="852" t="s">
        <v>1288</v>
      </c>
      <c r="G12" s="571"/>
      <c r="H12" s="571"/>
      <c r="I12" s="571"/>
      <c r="J12" s="571"/>
      <c r="K12" s="571"/>
      <c r="L12" s="571"/>
      <c r="M12" s="571"/>
      <c r="N12" s="571"/>
      <c r="O12" s="571"/>
      <c r="P12" s="571"/>
      <c r="Q12" s="571"/>
      <c r="R12" s="571"/>
      <c r="S12" s="571"/>
      <c r="T12" s="571"/>
      <c r="U12" s="571"/>
      <c r="V12" s="571"/>
      <c r="W12" s="571"/>
      <c r="X12" s="571"/>
      <c r="Y12" s="571"/>
      <c r="Z12" s="571"/>
      <c r="AA12" s="571"/>
      <c r="AB12" s="571"/>
      <c r="AC12" s="571"/>
      <c r="AD12" s="571"/>
      <c r="AE12" s="571"/>
      <c r="AF12" s="571"/>
      <c r="AG12" s="571"/>
      <c r="AH12" s="571"/>
      <c r="AI12" s="571"/>
      <c r="AJ12" s="571"/>
      <c r="AK12" s="571"/>
      <c r="AL12" s="571"/>
      <c r="AM12" s="571"/>
      <c r="AN12" s="571"/>
      <c r="AO12" s="571"/>
    </row>
    <row r="13">
      <c r="B13" s="852" t="s">
        <v>1289</v>
      </c>
      <c r="G13" s="853">
        <v>0.3098949992935971</v>
      </c>
      <c r="H13" s="571"/>
      <c r="I13" s="571"/>
      <c r="J13" s="571"/>
      <c r="K13" s="571"/>
      <c r="L13" s="853">
        <v>0.31192169759475546</v>
      </c>
      <c r="M13" s="571"/>
      <c r="N13" s="571"/>
      <c r="O13" s="571"/>
      <c r="P13" s="571"/>
      <c r="Q13" s="853">
        <v>0.29415803897988385</v>
      </c>
      <c r="R13" s="571"/>
      <c r="S13" s="571"/>
      <c r="T13" s="571"/>
      <c r="U13" s="571"/>
      <c r="V13" s="853">
        <v>0.3086533518418032</v>
      </c>
      <c r="W13" s="571"/>
      <c r="X13" s="571"/>
      <c r="Y13" s="571"/>
      <c r="Z13" s="571"/>
      <c r="AA13" s="853">
        <v>0.31000241750316254</v>
      </c>
      <c r="AB13" s="571"/>
      <c r="AC13" s="571"/>
      <c r="AD13" s="571"/>
      <c r="AE13" s="571"/>
      <c r="AF13" s="853">
        <v>0.2798240892753884</v>
      </c>
      <c r="AG13" s="854">
        <v>0.2785</v>
      </c>
      <c r="AH13" s="854">
        <v>0.2856</v>
      </c>
      <c r="AI13" s="854">
        <v>0.3275</v>
      </c>
      <c r="AJ13" s="854">
        <v>0.18</v>
      </c>
      <c r="AK13" s="571"/>
      <c r="AL13" s="571"/>
      <c r="AM13" s="571"/>
      <c r="AN13" s="571"/>
      <c r="AO13" s="571"/>
    </row>
    <row r="14">
      <c r="B14" s="852" t="s">
        <v>1290</v>
      </c>
      <c r="G14" s="853">
        <v>0.250980812076589</v>
      </c>
      <c r="H14" s="571"/>
      <c r="I14" s="571"/>
      <c r="J14" s="571"/>
      <c r="K14" s="571"/>
      <c r="L14" s="853">
        <v>0.16544529700030713</v>
      </c>
      <c r="M14" s="571"/>
      <c r="N14" s="571"/>
      <c r="O14" s="571"/>
      <c r="P14" s="571"/>
      <c r="Q14" s="853">
        <v>0.16328349033786654</v>
      </c>
      <c r="R14" s="571"/>
      <c r="S14" s="571"/>
      <c r="T14" s="571"/>
      <c r="U14" s="571"/>
      <c r="V14" s="853">
        <v>0.23704978506865568</v>
      </c>
      <c r="W14" s="571"/>
      <c r="X14" s="571"/>
      <c r="Y14" s="571"/>
      <c r="Z14" s="571"/>
      <c r="AA14" s="853">
        <v>0.2729430944338703</v>
      </c>
      <c r="AB14" s="571"/>
      <c r="AC14" s="571"/>
      <c r="AD14" s="571"/>
      <c r="AE14" s="571"/>
      <c r="AF14" s="853">
        <v>0.2523527452422593</v>
      </c>
      <c r="AG14" s="854">
        <v>0.2384</v>
      </c>
      <c r="AH14" s="854">
        <v>0.2648</v>
      </c>
      <c r="AI14" s="854">
        <v>0.2539</v>
      </c>
      <c r="AJ14" s="854">
        <v>0.2468</v>
      </c>
      <c r="AK14" s="571"/>
      <c r="AL14" s="571"/>
      <c r="AM14" s="571"/>
      <c r="AN14" s="571"/>
      <c r="AO14" s="571"/>
    </row>
    <row r="15">
      <c r="B15" s="855" t="s">
        <v>1291</v>
      </c>
      <c r="H15" s="571"/>
      <c r="I15" s="571"/>
      <c r="J15" s="571"/>
      <c r="K15" s="571"/>
      <c r="L15" s="571"/>
      <c r="M15" s="571"/>
      <c r="N15" s="571"/>
      <c r="O15" s="571"/>
      <c r="P15" s="571"/>
      <c r="Q15" s="571"/>
      <c r="R15" s="571"/>
      <c r="S15" s="571"/>
      <c r="T15" s="571"/>
      <c r="U15" s="571"/>
      <c r="V15" s="571"/>
      <c r="W15" s="571"/>
      <c r="X15" s="571"/>
      <c r="Y15" s="571"/>
      <c r="Z15" s="571"/>
      <c r="AA15" s="571"/>
      <c r="AB15" s="571"/>
      <c r="AC15" s="571"/>
      <c r="AD15" s="571"/>
      <c r="AE15" s="571"/>
      <c r="AF15" s="571"/>
      <c r="AG15" s="571"/>
      <c r="AH15" s="571"/>
      <c r="AI15" s="571"/>
      <c r="AJ15" s="571"/>
      <c r="AK15" s="571"/>
      <c r="AL15" s="571"/>
      <c r="AM15" s="571"/>
      <c r="AN15" s="571"/>
      <c r="AO15" s="571"/>
    </row>
    <row r="16">
      <c r="B16" s="855" t="s">
        <v>1292</v>
      </c>
      <c r="G16" s="571"/>
      <c r="H16" s="571"/>
      <c r="I16" s="571"/>
      <c r="J16" s="571"/>
      <c r="K16" s="571"/>
      <c r="L16" s="571"/>
      <c r="M16" s="571"/>
      <c r="N16" s="571"/>
      <c r="O16" s="571"/>
      <c r="P16" s="571"/>
      <c r="Q16" s="571"/>
      <c r="R16" s="571"/>
      <c r="S16" s="571"/>
      <c r="T16" s="571"/>
      <c r="U16" s="571"/>
      <c r="V16" s="571"/>
      <c r="W16" s="571"/>
      <c r="X16" s="571"/>
      <c r="Y16" s="571"/>
      <c r="Z16" s="571"/>
      <c r="AA16" s="571"/>
      <c r="AB16" s="571"/>
      <c r="AC16" s="571"/>
      <c r="AD16" s="571"/>
      <c r="AE16" s="571"/>
      <c r="AF16" s="571"/>
      <c r="AG16" s="571"/>
      <c r="AH16" s="571"/>
      <c r="AI16" s="571"/>
      <c r="AJ16" s="571"/>
      <c r="AK16" s="571"/>
      <c r="AL16" s="571"/>
      <c r="AM16" s="571"/>
      <c r="AN16" s="571"/>
      <c r="AO16" s="571"/>
    </row>
    <row r="17">
      <c r="B17" s="852" t="s">
        <v>1293</v>
      </c>
      <c r="G17" s="571"/>
      <c r="H17" s="571"/>
      <c r="I17" s="571"/>
      <c r="J17" s="571"/>
      <c r="K17" s="571"/>
      <c r="L17" s="571"/>
      <c r="M17" s="571"/>
      <c r="N17" s="571"/>
      <c r="O17" s="571"/>
      <c r="P17" s="571"/>
      <c r="Q17" s="571"/>
      <c r="R17" s="571"/>
      <c r="S17" s="571"/>
      <c r="T17" s="571"/>
      <c r="U17" s="571"/>
      <c r="V17" s="571"/>
      <c r="W17" s="571"/>
      <c r="X17" s="571"/>
      <c r="Y17" s="571"/>
      <c r="Z17" s="571"/>
      <c r="AA17" s="571"/>
      <c r="AB17" s="571"/>
      <c r="AC17" s="571"/>
      <c r="AD17" s="571"/>
      <c r="AE17" s="571"/>
      <c r="AF17" s="571"/>
      <c r="AG17" s="571"/>
      <c r="AH17" s="571"/>
      <c r="AI17" s="571"/>
      <c r="AJ17" s="571"/>
      <c r="AK17" s="571"/>
      <c r="AL17" s="571"/>
      <c r="AM17" s="571"/>
      <c r="AN17" s="571"/>
      <c r="AO17" s="571"/>
    </row>
    <row r="18">
      <c r="B18" s="852" t="s">
        <v>1294</v>
      </c>
      <c r="G18" s="856">
        <v>321134.03</v>
      </c>
      <c r="H18" s="571"/>
      <c r="I18" s="571"/>
      <c r="J18" s="571"/>
      <c r="K18" s="571"/>
      <c r="L18" s="561">
        <v>230184.5</v>
      </c>
      <c r="M18" s="571"/>
      <c r="N18" s="571"/>
      <c r="O18" s="571"/>
      <c r="P18" s="571"/>
      <c r="Q18" s="856">
        <v>286763.81</v>
      </c>
      <c r="R18" s="571"/>
      <c r="S18" s="571"/>
      <c r="T18" s="571"/>
      <c r="U18" s="571"/>
      <c r="V18" s="856">
        <v>504547.38</v>
      </c>
      <c r="W18" s="571"/>
      <c r="X18" s="571"/>
      <c r="Y18" s="571"/>
      <c r="Z18" s="571"/>
      <c r="AA18" s="856">
        <v>682315.55</v>
      </c>
      <c r="AB18" s="571"/>
      <c r="AC18" s="571"/>
      <c r="AD18" s="571"/>
      <c r="AE18" s="571"/>
      <c r="AF18" s="856">
        <v>314811.96</v>
      </c>
      <c r="AG18" s="561">
        <v>67360.26</v>
      </c>
      <c r="AH18" s="561">
        <v>95833.95</v>
      </c>
      <c r="AI18" s="561">
        <v>99499.82</v>
      </c>
      <c r="AJ18" s="561">
        <v>52117.93</v>
      </c>
      <c r="AK18" s="571"/>
      <c r="AL18" s="571"/>
      <c r="AM18" s="571"/>
      <c r="AN18" s="571"/>
      <c r="AO18" s="571"/>
    </row>
    <row r="19">
      <c r="B19" s="852" t="s">
        <v>1295</v>
      </c>
      <c r="G19" s="857" t="s">
        <v>1296</v>
      </c>
      <c r="H19" s="858"/>
      <c r="I19" s="858"/>
      <c r="J19" s="858"/>
      <c r="K19" s="858"/>
      <c r="L19" s="857" t="s">
        <v>1296</v>
      </c>
      <c r="M19" s="858"/>
      <c r="N19" s="858"/>
      <c r="O19" s="858"/>
      <c r="P19" s="858"/>
      <c r="Q19" s="857" t="s">
        <v>1296</v>
      </c>
      <c r="R19" s="858"/>
      <c r="S19" s="858"/>
      <c r="T19" s="858"/>
      <c r="U19" s="858"/>
      <c r="V19" s="857" t="s">
        <v>1296</v>
      </c>
      <c r="W19" s="858"/>
      <c r="X19" s="858"/>
      <c r="Y19" s="858"/>
      <c r="Z19" s="858"/>
      <c r="AA19" s="857" t="s">
        <v>1296</v>
      </c>
      <c r="AB19" s="858"/>
      <c r="AC19" s="858"/>
      <c r="AD19" s="858"/>
      <c r="AE19" s="858"/>
      <c r="AF19" s="857" t="s">
        <v>1296</v>
      </c>
      <c r="AG19" s="858"/>
      <c r="AH19" s="858"/>
      <c r="AI19" s="858"/>
      <c r="AJ19" s="858"/>
      <c r="AK19" s="858"/>
      <c r="AL19" s="571"/>
      <c r="AM19" s="571"/>
      <c r="AN19" s="571"/>
      <c r="AO19" s="571"/>
    </row>
    <row r="20">
      <c r="A20" s="850" t="s">
        <v>1297</v>
      </c>
      <c r="B20" s="851" t="s">
        <v>1287</v>
      </c>
      <c r="G20" s="571"/>
      <c r="H20" s="571"/>
      <c r="I20" s="571"/>
      <c r="J20" s="571"/>
      <c r="K20" s="571"/>
      <c r="L20" s="571"/>
      <c r="M20" s="571"/>
      <c r="N20" s="571"/>
      <c r="O20" s="571"/>
      <c r="P20" s="571"/>
      <c r="Q20" s="571"/>
      <c r="R20" s="571"/>
      <c r="S20" s="571"/>
      <c r="T20" s="571"/>
      <c r="U20" s="571"/>
      <c r="V20" s="571"/>
      <c r="W20" s="571"/>
      <c r="X20" s="571"/>
      <c r="Y20" s="571"/>
      <c r="Z20" s="571"/>
      <c r="AA20" s="571"/>
      <c r="AB20" s="571"/>
      <c r="AC20" s="571"/>
      <c r="AD20" s="571"/>
      <c r="AE20" s="571"/>
      <c r="AF20" s="571"/>
      <c r="AG20" s="571"/>
      <c r="AH20" s="571"/>
      <c r="AI20" s="571"/>
      <c r="AJ20" s="571"/>
      <c r="AK20" s="571"/>
      <c r="AL20" s="571"/>
      <c r="AM20" s="571"/>
      <c r="AN20" s="571"/>
      <c r="AO20" s="571"/>
    </row>
    <row r="21">
      <c r="B21" s="852" t="s">
        <v>1288</v>
      </c>
      <c r="G21" s="571"/>
      <c r="H21" s="571"/>
      <c r="I21" s="571"/>
      <c r="J21" s="571"/>
      <c r="K21" s="571"/>
      <c r="L21" s="571"/>
      <c r="M21" s="571"/>
      <c r="N21" s="571"/>
      <c r="O21" s="571"/>
      <c r="P21" s="571"/>
      <c r="Q21" s="571"/>
      <c r="R21" s="571"/>
      <c r="S21" s="571"/>
      <c r="T21" s="571"/>
      <c r="U21" s="571"/>
      <c r="V21" s="571"/>
      <c r="W21" s="571"/>
      <c r="X21" s="571"/>
      <c r="Y21" s="571"/>
      <c r="Z21" s="571"/>
      <c r="AA21" s="571"/>
      <c r="AB21" s="571"/>
      <c r="AC21" s="571"/>
      <c r="AD21" s="571"/>
      <c r="AE21" s="571"/>
      <c r="AF21" s="571"/>
      <c r="AG21" s="571"/>
      <c r="AH21" s="571"/>
      <c r="AI21" s="571"/>
      <c r="AJ21" s="571"/>
      <c r="AK21" s="571"/>
      <c r="AL21" s="571"/>
      <c r="AM21" s="571"/>
      <c r="AN21" s="571"/>
      <c r="AO21" s="571"/>
    </row>
    <row r="22">
      <c r="B22" s="852" t="s">
        <v>1289</v>
      </c>
      <c r="G22" s="853">
        <v>0.281197586693855</v>
      </c>
      <c r="H22" s="571"/>
      <c r="I22" s="571"/>
      <c r="J22" s="571"/>
      <c r="K22" s="571"/>
      <c r="L22" s="853">
        <v>0.3004094299375702</v>
      </c>
      <c r="M22" s="571"/>
      <c r="N22" s="571"/>
      <c r="O22" s="571"/>
      <c r="P22" s="571"/>
      <c r="Q22" s="853">
        <v>0.2985524909055659</v>
      </c>
      <c r="R22" s="571"/>
      <c r="S22" s="571"/>
      <c r="T22" s="571"/>
      <c r="U22" s="571"/>
      <c r="V22" s="853">
        <v>0.29444208467489486</v>
      </c>
      <c r="W22" s="571"/>
      <c r="X22" s="571"/>
      <c r="Y22" s="571"/>
      <c r="Z22" s="571"/>
      <c r="AA22" s="853">
        <v>0.3023120156778905</v>
      </c>
      <c r="AB22" s="571"/>
      <c r="AC22" s="571"/>
      <c r="AD22" s="571"/>
      <c r="AE22" s="571"/>
      <c r="AF22" s="853">
        <v>0.28239229548198597</v>
      </c>
      <c r="AG22" s="854">
        <v>0.2712</v>
      </c>
      <c r="AH22" s="854">
        <v>0.2781</v>
      </c>
      <c r="AI22" s="854">
        <v>0.3018</v>
      </c>
      <c r="AJ22" s="854">
        <v>0.2709</v>
      </c>
      <c r="AK22" s="571"/>
      <c r="AL22" s="571"/>
      <c r="AM22" s="571"/>
      <c r="AN22" s="571"/>
      <c r="AO22" s="571"/>
    </row>
    <row r="23">
      <c r="B23" s="852" t="s">
        <v>1290</v>
      </c>
      <c r="G23" s="853">
        <v>0.4609425127586889</v>
      </c>
      <c r="H23" s="571"/>
      <c r="I23" s="571"/>
      <c r="J23" s="571"/>
      <c r="K23" s="571"/>
      <c r="L23" s="853">
        <v>0.6050635333673633</v>
      </c>
      <c r="M23" s="571"/>
      <c r="N23" s="571"/>
      <c r="O23" s="571"/>
      <c r="P23" s="571"/>
      <c r="Q23" s="853">
        <v>0.6405451172749753</v>
      </c>
      <c r="R23" s="571"/>
      <c r="S23" s="571"/>
      <c r="T23" s="571"/>
      <c r="U23" s="571"/>
      <c r="V23" s="853">
        <v>0.5955810815276068</v>
      </c>
      <c r="W23" s="571"/>
      <c r="X23" s="571"/>
      <c r="Y23" s="571"/>
      <c r="Z23" s="571"/>
      <c r="AA23" s="853">
        <v>0.5708243266431704</v>
      </c>
      <c r="AB23" s="571"/>
      <c r="AC23" s="571"/>
      <c r="AD23" s="571"/>
      <c r="AE23" s="571"/>
      <c r="AF23" s="853">
        <v>0.5773800154174615</v>
      </c>
      <c r="AG23" s="854">
        <v>0.6018</v>
      </c>
      <c r="AH23" s="854">
        <v>0.5506</v>
      </c>
      <c r="AI23" s="854">
        <v>0.56</v>
      </c>
      <c r="AJ23" s="854">
        <v>0.6229</v>
      </c>
      <c r="AK23" s="571"/>
      <c r="AL23" s="571"/>
      <c r="AM23" s="571"/>
      <c r="AN23" s="571"/>
      <c r="AO23" s="571"/>
    </row>
    <row r="24">
      <c r="B24" s="855" t="s">
        <v>1291</v>
      </c>
      <c r="G24" s="571"/>
      <c r="H24" s="571"/>
      <c r="I24" s="571"/>
      <c r="J24" s="571"/>
      <c r="K24" s="571"/>
      <c r="L24" s="571"/>
      <c r="M24" s="571"/>
      <c r="N24" s="571"/>
      <c r="O24" s="571"/>
      <c r="P24" s="571"/>
      <c r="Q24" s="571"/>
      <c r="R24" s="571"/>
      <c r="S24" s="571"/>
      <c r="T24" s="571"/>
      <c r="U24" s="571"/>
      <c r="V24" s="571"/>
      <c r="W24" s="571"/>
      <c r="X24" s="571"/>
      <c r="Y24" s="571"/>
      <c r="Z24" s="571"/>
      <c r="AA24" s="571"/>
      <c r="AB24" s="571"/>
      <c r="AC24" s="571"/>
      <c r="AD24" s="571"/>
      <c r="AE24" s="571"/>
      <c r="AF24" s="571"/>
      <c r="AG24" s="571"/>
      <c r="AH24" s="571"/>
      <c r="AI24" s="571"/>
      <c r="AJ24" s="571"/>
      <c r="AK24" s="571"/>
      <c r="AL24" s="571"/>
      <c r="AM24" s="571"/>
      <c r="AN24" s="571"/>
      <c r="AO24" s="571"/>
    </row>
    <row r="25">
      <c r="B25" s="855" t="s">
        <v>1292</v>
      </c>
      <c r="G25" s="571"/>
      <c r="H25" s="571"/>
      <c r="I25" s="571"/>
      <c r="J25" s="571"/>
      <c r="K25" s="571"/>
      <c r="L25" s="571"/>
      <c r="M25" s="571"/>
      <c r="N25" s="571"/>
      <c r="O25" s="571"/>
      <c r="P25" s="571"/>
      <c r="Q25" s="571"/>
      <c r="R25" s="571"/>
      <c r="S25" s="571"/>
      <c r="T25" s="571"/>
      <c r="U25" s="571"/>
      <c r="V25" s="571"/>
      <c r="W25" s="571"/>
      <c r="X25" s="571"/>
      <c r="Y25" s="571"/>
      <c r="Z25" s="571"/>
      <c r="AA25" s="571"/>
      <c r="AB25" s="571"/>
      <c r="AC25" s="571"/>
      <c r="AD25" s="571"/>
      <c r="AE25" s="571"/>
      <c r="AF25" s="571"/>
      <c r="AG25" s="571"/>
      <c r="AH25" s="571"/>
      <c r="AI25" s="571"/>
      <c r="AJ25" s="571"/>
      <c r="AK25" s="571"/>
      <c r="AL25" s="571"/>
      <c r="AM25" s="571"/>
      <c r="AN25" s="571"/>
      <c r="AO25" s="571"/>
    </row>
    <row r="26">
      <c r="B26" s="852" t="s">
        <v>1293</v>
      </c>
      <c r="G26" s="571"/>
      <c r="H26" s="571"/>
      <c r="I26" s="571"/>
      <c r="J26" s="571"/>
      <c r="K26" s="571"/>
      <c r="L26" s="571"/>
      <c r="M26" s="571"/>
      <c r="N26" s="571"/>
      <c r="O26" s="571"/>
      <c r="P26" s="571"/>
      <c r="Q26" s="571"/>
      <c r="R26" s="571"/>
      <c r="S26" s="571"/>
      <c r="T26" s="571"/>
      <c r="U26" s="571"/>
      <c r="V26" s="571"/>
      <c r="W26" s="571"/>
      <c r="X26" s="571"/>
      <c r="Y26" s="571"/>
      <c r="Z26" s="571"/>
      <c r="AA26" s="571"/>
      <c r="AB26" s="571"/>
      <c r="AC26" s="571"/>
      <c r="AD26" s="571"/>
      <c r="AE26" s="571"/>
      <c r="AF26" s="571"/>
      <c r="AG26" s="571"/>
      <c r="AH26" s="571"/>
      <c r="AI26" s="571"/>
      <c r="AJ26" s="571"/>
      <c r="AK26" s="571"/>
      <c r="AL26" s="571"/>
      <c r="AM26" s="571"/>
      <c r="AN26" s="571"/>
      <c r="AO26" s="571"/>
    </row>
    <row r="27">
      <c r="B27" s="852" t="s">
        <v>1294</v>
      </c>
      <c r="G27" s="856">
        <v>589783.44</v>
      </c>
      <c r="H27" s="571"/>
      <c r="I27" s="571"/>
      <c r="J27" s="571"/>
      <c r="K27" s="571"/>
      <c r="L27" s="561">
        <v>841826.57</v>
      </c>
      <c r="M27" s="571"/>
      <c r="N27" s="571"/>
      <c r="O27" s="571"/>
      <c r="P27" s="571"/>
      <c r="Q27" s="856">
        <v>1124946.3</v>
      </c>
      <c r="R27" s="571"/>
      <c r="S27" s="571"/>
      <c r="T27" s="571"/>
      <c r="U27" s="571"/>
      <c r="V27" s="856">
        <v>1267661.45</v>
      </c>
      <c r="W27" s="571"/>
      <c r="X27" s="571"/>
      <c r="Y27" s="571"/>
      <c r="Z27" s="571"/>
      <c r="AA27" s="856">
        <v>1426972.59</v>
      </c>
      <c r="AB27" s="571"/>
      <c r="AC27" s="571"/>
      <c r="AD27" s="571"/>
      <c r="AE27" s="571"/>
      <c r="AF27" s="856">
        <v>720285.94</v>
      </c>
      <c r="AG27" s="561">
        <v>170067.38</v>
      </c>
      <c r="AH27" s="561">
        <v>199232.97</v>
      </c>
      <c r="AI27" s="561">
        <v>219454.83</v>
      </c>
      <c r="AJ27" s="561">
        <v>131530.76</v>
      </c>
      <c r="AK27" s="571"/>
      <c r="AL27" s="571"/>
      <c r="AM27" s="571"/>
      <c r="AN27" s="571"/>
      <c r="AO27" s="571"/>
    </row>
    <row r="28">
      <c r="B28" s="852" t="s">
        <v>1295</v>
      </c>
      <c r="G28" s="857" t="s">
        <v>1296</v>
      </c>
      <c r="H28" s="858"/>
      <c r="I28" s="858"/>
      <c r="J28" s="858"/>
      <c r="K28" s="858"/>
      <c r="L28" s="857" t="s">
        <v>1296</v>
      </c>
      <c r="M28" s="858"/>
      <c r="N28" s="858"/>
      <c r="O28" s="858"/>
      <c r="P28" s="858"/>
      <c r="Q28" s="857" t="s">
        <v>1296</v>
      </c>
      <c r="R28" s="858"/>
      <c r="S28" s="858"/>
      <c r="T28" s="858"/>
      <c r="U28" s="858"/>
      <c r="V28" s="857" t="s">
        <v>1296</v>
      </c>
      <c r="W28" s="858"/>
      <c r="X28" s="858"/>
      <c r="Y28" s="858"/>
      <c r="Z28" s="858"/>
      <c r="AA28" s="857" t="s">
        <v>1296</v>
      </c>
      <c r="AB28" s="858"/>
      <c r="AC28" s="858"/>
      <c r="AD28" s="858"/>
      <c r="AE28" s="858"/>
      <c r="AF28" s="857" t="s">
        <v>1296</v>
      </c>
      <c r="AG28" s="858"/>
      <c r="AH28" s="858"/>
      <c r="AI28" s="858"/>
      <c r="AJ28" s="858"/>
      <c r="AK28" s="858"/>
      <c r="AL28" s="571"/>
      <c r="AM28" s="571"/>
      <c r="AN28" s="571"/>
      <c r="AO28" s="571"/>
    </row>
    <row r="29">
      <c r="A29" s="850" t="s">
        <v>1298</v>
      </c>
      <c r="B29" s="851" t="s">
        <v>1287</v>
      </c>
      <c r="G29" s="571"/>
      <c r="H29" s="571"/>
      <c r="I29" s="571"/>
      <c r="J29" s="571"/>
      <c r="K29" s="571"/>
      <c r="L29" s="571"/>
      <c r="M29" s="571"/>
      <c r="N29" s="571"/>
      <c r="O29" s="571"/>
      <c r="P29" s="571"/>
      <c r="Q29" s="571"/>
      <c r="R29" s="571"/>
      <c r="S29" s="571"/>
      <c r="T29" s="571"/>
      <c r="U29" s="571"/>
      <c r="V29" s="571"/>
      <c r="W29" s="571"/>
      <c r="X29" s="571"/>
      <c r="Y29" s="571"/>
      <c r="Z29" s="571"/>
      <c r="AA29" s="571"/>
      <c r="AB29" s="571"/>
      <c r="AC29" s="571"/>
      <c r="AD29" s="571"/>
      <c r="AE29" s="571"/>
      <c r="AF29" s="571"/>
      <c r="AG29" s="571"/>
      <c r="AH29" s="571"/>
      <c r="AI29" s="571"/>
      <c r="AJ29" s="571"/>
      <c r="AK29" s="571"/>
      <c r="AL29" s="571"/>
      <c r="AM29" s="571"/>
      <c r="AN29" s="571"/>
      <c r="AO29" s="571"/>
    </row>
    <row r="30">
      <c r="B30" s="852" t="s">
        <v>1288</v>
      </c>
      <c r="G30" s="571"/>
      <c r="H30" s="571"/>
      <c r="I30" s="571"/>
      <c r="J30" s="571"/>
      <c r="K30" s="571"/>
      <c r="L30" s="571"/>
      <c r="M30" s="571"/>
      <c r="N30" s="571"/>
      <c r="O30" s="571"/>
      <c r="P30" s="571"/>
      <c r="Q30" s="571"/>
      <c r="R30" s="571"/>
      <c r="S30" s="571"/>
      <c r="T30" s="571"/>
      <c r="U30" s="571"/>
      <c r="V30" s="571"/>
      <c r="W30" s="571"/>
      <c r="X30" s="571"/>
      <c r="Y30" s="571"/>
      <c r="Z30" s="571"/>
      <c r="AA30" s="571"/>
      <c r="AB30" s="571"/>
      <c r="AC30" s="571"/>
      <c r="AD30" s="571"/>
      <c r="AE30" s="571"/>
      <c r="AF30" s="571"/>
      <c r="AG30" s="571"/>
      <c r="AH30" s="571"/>
      <c r="AI30" s="571"/>
      <c r="AJ30" s="571"/>
      <c r="AK30" s="571"/>
      <c r="AL30" s="571"/>
      <c r="AM30" s="571"/>
      <c r="AN30" s="571"/>
      <c r="AO30" s="571"/>
    </row>
    <row r="31">
      <c r="B31" s="852" t="s">
        <v>1289</v>
      </c>
      <c r="G31" s="853">
        <v>0.13876090927890722</v>
      </c>
      <c r="H31" s="571"/>
      <c r="I31" s="571"/>
      <c r="J31" s="571"/>
      <c r="K31" s="571"/>
      <c r="L31" s="853">
        <v>0.13102871003538327</v>
      </c>
      <c r="M31" s="571"/>
      <c r="N31" s="571"/>
      <c r="O31" s="571"/>
      <c r="P31" s="571"/>
      <c r="Q31" s="853">
        <v>0.13358531776556035</v>
      </c>
      <c r="R31" s="571"/>
      <c r="S31" s="571"/>
      <c r="T31" s="571"/>
      <c r="U31" s="571"/>
      <c r="V31" s="853">
        <v>0.1425910408679177</v>
      </c>
      <c r="W31" s="571"/>
      <c r="X31" s="571"/>
      <c r="Y31" s="571"/>
      <c r="Z31" s="571"/>
      <c r="AA31" s="853">
        <v>0.13550836386199203</v>
      </c>
      <c r="AB31" s="571"/>
      <c r="AC31" s="571"/>
      <c r="AD31" s="571"/>
      <c r="AE31" s="571"/>
      <c r="AF31" s="853">
        <v>0.14426752029141737</v>
      </c>
      <c r="AG31" s="854">
        <v>0.1701</v>
      </c>
      <c r="AH31" s="854">
        <v>0.1362</v>
      </c>
      <c r="AI31" s="854">
        <v>0.1424</v>
      </c>
      <c r="AJ31" s="854">
        <v>0.129</v>
      </c>
      <c r="AK31" s="571"/>
      <c r="AL31" s="571"/>
      <c r="AM31" s="571"/>
      <c r="AN31" s="571"/>
      <c r="AO31" s="571"/>
    </row>
    <row r="32">
      <c r="B32" s="852" t="s">
        <v>1290</v>
      </c>
      <c r="G32" s="853">
        <v>0.09100483021606931</v>
      </c>
      <c r="H32" s="571"/>
      <c r="I32" s="571"/>
      <c r="J32" s="571"/>
      <c r="K32" s="571"/>
      <c r="L32" s="853">
        <v>0.028576756157827527</v>
      </c>
      <c r="M32" s="571"/>
      <c r="N32" s="571"/>
      <c r="O32" s="571"/>
      <c r="P32" s="571"/>
      <c r="Q32" s="853">
        <v>0.022503259007136258</v>
      </c>
      <c r="R32" s="571"/>
      <c r="S32" s="571"/>
      <c r="T32" s="571"/>
      <c r="U32" s="571"/>
      <c r="V32" s="853">
        <v>0.02916752188812941</v>
      </c>
      <c r="W32" s="571"/>
      <c r="X32" s="571"/>
      <c r="Y32" s="571"/>
      <c r="Z32" s="571"/>
      <c r="AA32" s="853">
        <v>0.019856887632220974</v>
      </c>
      <c r="AB32" s="571"/>
      <c r="AC32" s="571"/>
      <c r="AD32" s="571"/>
      <c r="AE32" s="571"/>
      <c r="AF32" s="853">
        <v>0.02922330964292265</v>
      </c>
      <c r="AG32" s="854">
        <v>0.0295</v>
      </c>
      <c r="AH32" s="854">
        <v>0.0306</v>
      </c>
      <c r="AI32" s="854">
        <v>0.0256</v>
      </c>
      <c r="AJ32" s="854">
        <v>0.0333</v>
      </c>
      <c r="AK32" s="571"/>
      <c r="AL32" s="571"/>
      <c r="AM32" s="571"/>
      <c r="AN32" s="571"/>
      <c r="AO32" s="571"/>
    </row>
    <row r="33">
      <c r="B33" s="855" t="s">
        <v>1291</v>
      </c>
      <c r="G33" s="571"/>
      <c r="H33" s="571"/>
      <c r="I33" s="571"/>
      <c r="J33" s="571"/>
      <c r="K33" s="571"/>
      <c r="L33" s="571"/>
      <c r="M33" s="571"/>
      <c r="N33" s="571"/>
      <c r="O33" s="571"/>
      <c r="P33" s="571"/>
      <c r="Q33" s="571"/>
      <c r="R33" s="571"/>
      <c r="S33" s="571"/>
      <c r="T33" s="571"/>
      <c r="U33" s="571"/>
      <c r="V33" s="571"/>
      <c r="W33" s="571"/>
      <c r="X33" s="571"/>
      <c r="Y33" s="571"/>
      <c r="Z33" s="571"/>
      <c r="AA33" s="571"/>
      <c r="AB33" s="571"/>
      <c r="AC33" s="571"/>
      <c r="AD33" s="571"/>
      <c r="AE33" s="571"/>
      <c r="AF33" s="571"/>
      <c r="AG33" s="571"/>
      <c r="AH33" s="571"/>
      <c r="AI33" s="571"/>
      <c r="AJ33" s="571"/>
      <c r="AK33" s="571"/>
      <c r="AL33" s="571"/>
      <c r="AM33" s="571"/>
      <c r="AN33" s="571"/>
      <c r="AO33" s="571"/>
    </row>
    <row r="34">
      <c r="B34" s="855" t="s">
        <v>1292</v>
      </c>
      <c r="G34" s="571"/>
      <c r="H34" s="571"/>
      <c r="I34" s="571"/>
      <c r="J34" s="571"/>
      <c r="K34" s="571"/>
      <c r="L34" s="571"/>
      <c r="M34" s="571"/>
      <c r="N34" s="571"/>
      <c r="O34" s="571"/>
      <c r="P34" s="571"/>
      <c r="Q34" s="571"/>
      <c r="R34" s="571"/>
      <c r="S34" s="571"/>
      <c r="T34" s="571"/>
      <c r="U34" s="571"/>
      <c r="V34" s="571"/>
      <c r="W34" s="571"/>
      <c r="X34" s="571"/>
      <c r="Y34" s="571"/>
      <c r="Z34" s="571"/>
      <c r="AA34" s="571"/>
      <c r="AB34" s="571"/>
      <c r="AC34" s="571"/>
      <c r="AD34" s="571"/>
      <c r="AE34" s="571"/>
      <c r="AF34" s="571"/>
      <c r="AG34" s="571"/>
      <c r="AH34" s="571"/>
      <c r="AI34" s="571"/>
      <c r="AJ34" s="571"/>
      <c r="AK34" s="571"/>
      <c r="AL34" s="571"/>
      <c r="AM34" s="571"/>
      <c r="AN34" s="571"/>
      <c r="AO34" s="571"/>
    </row>
    <row r="35">
      <c r="B35" s="852" t="s">
        <v>1293</v>
      </c>
      <c r="G35" s="571"/>
      <c r="H35" s="571"/>
      <c r="I35" s="571"/>
      <c r="J35" s="571"/>
      <c r="K35" s="571"/>
      <c r="L35" s="571"/>
      <c r="M35" s="571"/>
      <c r="N35" s="571"/>
      <c r="O35" s="571"/>
      <c r="P35" s="571"/>
      <c r="Q35" s="571"/>
      <c r="R35" s="571"/>
      <c r="S35" s="571"/>
      <c r="T35" s="571"/>
      <c r="U35" s="571"/>
      <c r="V35" s="571"/>
      <c r="W35" s="571"/>
      <c r="X35" s="571"/>
      <c r="Y35" s="571"/>
      <c r="Z35" s="571"/>
      <c r="AA35" s="571"/>
      <c r="AB35" s="571"/>
      <c r="AC35" s="571"/>
      <c r="AD35" s="571"/>
      <c r="AE35" s="571"/>
      <c r="AF35" s="571"/>
      <c r="AG35" s="571"/>
      <c r="AH35" s="571"/>
      <c r="AI35" s="571"/>
      <c r="AJ35" s="571"/>
      <c r="AK35" s="571"/>
      <c r="AL35" s="571"/>
      <c r="AM35" s="571"/>
      <c r="AN35" s="571"/>
      <c r="AO35" s="571"/>
    </row>
    <row r="36">
      <c r="B36" s="852" t="s">
        <v>1294</v>
      </c>
      <c r="G36" s="859">
        <v>116442.16</v>
      </c>
      <c r="H36" s="571"/>
      <c r="I36" s="571"/>
      <c r="J36" s="571"/>
      <c r="K36" s="571"/>
      <c r="L36" s="859">
        <v>39758.92</v>
      </c>
      <c r="M36" s="571"/>
      <c r="N36" s="571"/>
      <c r="O36" s="571"/>
      <c r="P36" s="571"/>
      <c r="Q36" s="859">
        <v>39520.96</v>
      </c>
      <c r="R36" s="571"/>
      <c r="S36" s="571"/>
      <c r="T36" s="571"/>
      <c r="U36" s="571"/>
      <c r="V36" s="859">
        <v>62081.46000000001</v>
      </c>
      <c r="W36" s="571"/>
      <c r="X36" s="571"/>
      <c r="Y36" s="571"/>
      <c r="Z36" s="571"/>
      <c r="AA36" s="859">
        <v>49639.149999999994</v>
      </c>
      <c r="AB36" s="571"/>
      <c r="AC36" s="571"/>
      <c r="AD36" s="571"/>
      <c r="AE36" s="571"/>
      <c r="AF36" s="859">
        <v>36456.3</v>
      </c>
      <c r="AG36" s="561">
        <v>8333.11</v>
      </c>
      <c r="AH36" s="561">
        <v>11062.28</v>
      </c>
      <c r="AI36" s="561">
        <v>10023.0</v>
      </c>
      <c r="AJ36" s="561">
        <v>7037.91</v>
      </c>
      <c r="AK36" s="571"/>
      <c r="AL36" s="571"/>
      <c r="AM36" s="571"/>
      <c r="AN36" s="571"/>
      <c r="AO36" s="571"/>
    </row>
    <row r="37">
      <c r="B37" s="852" t="s">
        <v>1295</v>
      </c>
      <c r="C37" s="860"/>
      <c r="D37" s="860"/>
      <c r="E37" s="860"/>
      <c r="F37" s="860"/>
      <c r="G37" s="857" t="s">
        <v>1296</v>
      </c>
      <c r="H37" s="858"/>
      <c r="I37" s="858"/>
      <c r="J37" s="858"/>
      <c r="K37" s="858"/>
      <c r="L37" s="857" t="s">
        <v>1296</v>
      </c>
      <c r="M37" s="858"/>
      <c r="N37" s="858"/>
      <c r="O37" s="858"/>
      <c r="P37" s="858"/>
      <c r="Q37" s="857" t="s">
        <v>1296</v>
      </c>
      <c r="R37" s="858"/>
      <c r="S37" s="858"/>
      <c r="T37" s="858"/>
      <c r="U37" s="858"/>
      <c r="V37" s="857" t="s">
        <v>1296</v>
      </c>
      <c r="W37" s="858"/>
      <c r="X37" s="858"/>
      <c r="Y37" s="858"/>
      <c r="Z37" s="858"/>
      <c r="AA37" s="857" t="s">
        <v>1296</v>
      </c>
      <c r="AB37" s="858"/>
      <c r="AC37" s="858"/>
      <c r="AD37" s="858"/>
      <c r="AE37" s="858"/>
      <c r="AF37" s="857" t="s">
        <v>1296</v>
      </c>
      <c r="AG37" s="858"/>
      <c r="AH37" s="858"/>
      <c r="AI37" s="858"/>
      <c r="AJ37" s="858"/>
      <c r="AK37" s="858"/>
      <c r="AL37" s="571"/>
      <c r="AM37" s="571"/>
      <c r="AN37" s="571"/>
      <c r="AO37" s="571"/>
    </row>
    <row r="38">
      <c r="A38" s="845" t="s">
        <v>1299</v>
      </c>
      <c r="G38" s="571"/>
      <c r="H38" s="571"/>
      <c r="I38" s="571"/>
      <c r="J38" s="571"/>
      <c r="K38" s="571"/>
      <c r="L38" s="571"/>
      <c r="M38" s="571"/>
      <c r="N38" s="571"/>
      <c r="O38" s="571"/>
      <c r="P38" s="571"/>
      <c r="Q38" s="571"/>
      <c r="R38" s="571"/>
      <c r="S38" s="571"/>
      <c r="T38" s="571"/>
      <c r="U38" s="571"/>
      <c r="V38" s="571"/>
      <c r="W38" s="571"/>
      <c r="X38" s="571"/>
      <c r="Y38" s="571"/>
      <c r="Z38" s="571"/>
      <c r="AA38" s="571"/>
      <c r="AB38" s="571"/>
      <c r="AC38" s="571"/>
      <c r="AD38" s="571"/>
      <c r="AE38" s="571"/>
      <c r="AF38" s="571"/>
      <c r="AG38" s="571"/>
      <c r="AH38" s="571"/>
      <c r="AI38" s="571"/>
      <c r="AJ38" s="571"/>
      <c r="AK38" s="571"/>
      <c r="AL38" s="571"/>
      <c r="AM38" s="571"/>
      <c r="AN38" s="571"/>
      <c r="AO38" s="571"/>
    </row>
    <row r="39">
      <c r="A39" s="861" t="s">
        <v>1300</v>
      </c>
      <c r="B39" s="851" t="s">
        <v>1287</v>
      </c>
      <c r="G39" s="571"/>
      <c r="H39" s="571"/>
      <c r="I39" s="571"/>
      <c r="J39" s="571"/>
      <c r="K39" s="571"/>
      <c r="L39" s="571"/>
      <c r="M39" s="571"/>
      <c r="N39" s="571"/>
      <c r="O39" s="571"/>
      <c r="P39" s="571"/>
      <c r="Q39" s="571"/>
      <c r="R39" s="571"/>
      <c r="S39" s="571"/>
      <c r="T39" s="571"/>
      <c r="U39" s="571"/>
      <c r="V39" s="571"/>
      <c r="W39" s="571"/>
      <c r="X39" s="571"/>
      <c r="Y39" s="571"/>
      <c r="Z39" s="571"/>
      <c r="AA39" s="571"/>
      <c r="AB39" s="571"/>
      <c r="AC39" s="571"/>
      <c r="AD39" s="571"/>
      <c r="AE39" s="571"/>
      <c r="AF39" s="571"/>
      <c r="AG39" s="571"/>
      <c r="AH39" s="571"/>
      <c r="AI39" s="571"/>
      <c r="AJ39" s="571"/>
      <c r="AK39" s="571"/>
      <c r="AL39" s="571"/>
      <c r="AM39" s="571"/>
      <c r="AN39" s="571"/>
      <c r="AO39" s="571"/>
    </row>
    <row r="40">
      <c r="B40" s="852" t="s">
        <v>1288</v>
      </c>
      <c r="G40" s="571"/>
      <c r="H40" s="571"/>
      <c r="I40" s="571"/>
      <c r="J40" s="571"/>
      <c r="K40" s="571"/>
      <c r="L40" s="571"/>
      <c r="M40" s="571"/>
      <c r="N40" s="571"/>
      <c r="O40" s="571"/>
      <c r="P40" s="571"/>
      <c r="Q40" s="571"/>
      <c r="R40" s="571"/>
      <c r="S40" s="571"/>
      <c r="T40" s="571"/>
      <c r="U40" s="571"/>
      <c r="V40" s="571"/>
      <c r="W40" s="571"/>
      <c r="X40" s="571"/>
      <c r="Y40" s="571"/>
      <c r="Z40" s="571"/>
      <c r="AA40" s="571"/>
      <c r="AB40" s="571"/>
      <c r="AC40" s="571"/>
      <c r="AD40" s="571"/>
      <c r="AE40" s="571"/>
      <c r="AF40" s="571"/>
      <c r="AG40" s="571"/>
      <c r="AH40" s="571"/>
      <c r="AI40" s="571"/>
      <c r="AJ40" s="571"/>
      <c r="AK40" s="571"/>
      <c r="AL40" s="571"/>
      <c r="AM40" s="571"/>
      <c r="AN40" s="571"/>
      <c r="AO40" s="571"/>
    </row>
    <row r="41">
      <c r="B41" s="852" t="s">
        <v>1289</v>
      </c>
      <c r="G41" s="571"/>
      <c r="H41" s="571"/>
      <c r="I41" s="571"/>
      <c r="J41" s="571"/>
      <c r="K41" s="571"/>
      <c r="L41" s="571"/>
      <c r="M41" s="571"/>
      <c r="N41" s="571"/>
      <c r="O41" s="571"/>
      <c r="P41" s="571"/>
      <c r="Q41" s="571"/>
      <c r="R41" s="571"/>
      <c r="S41" s="571"/>
      <c r="T41" s="571"/>
      <c r="U41" s="571"/>
      <c r="V41" s="571"/>
      <c r="W41" s="571"/>
      <c r="X41" s="571"/>
      <c r="Y41" s="571"/>
      <c r="Z41" s="571"/>
      <c r="AA41" s="571"/>
      <c r="AB41" s="571"/>
      <c r="AC41" s="571"/>
      <c r="AD41" s="571"/>
      <c r="AE41" s="571"/>
      <c r="AF41" s="571"/>
      <c r="AG41" s="571"/>
      <c r="AH41" s="571"/>
      <c r="AI41" s="571"/>
      <c r="AJ41" s="571"/>
      <c r="AK41" s="571"/>
      <c r="AL41" s="571"/>
      <c r="AM41" s="571"/>
      <c r="AN41" s="571"/>
      <c r="AO41" s="571"/>
    </row>
    <row r="42">
      <c r="B42" s="852" t="s">
        <v>1290</v>
      </c>
      <c r="G42" s="571"/>
      <c r="H42" s="571"/>
      <c r="I42" s="571"/>
      <c r="J42" s="571"/>
      <c r="K42" s="571"/>
      <c r="L42" s="571"/>
      <c r="M42" s="571"/>
      <c r="N42" s="571"/>
      <c r="O42" s="571"/>
      <c r="P42" s="571"/>
      <c r="Q42" s="571"/>
      <c r="R42" s="571"/>
      <c r="S42" s="571"/>
      <c r="T42" s="571"/>
      <c r="U42" s="571"/>
      <c r="V42" s="571"/>
      <c r="W42" s="571"/>
      <c r="X42" s="571"/>
      <c r="Y42" s="571"/>
      <c r="Z42" s="571"/>
      <c r="AA42" s="571"/>
      <c r="AB42" s="571"/>
      <c r="AC42" s="571"/>
      <c r="AD42" s="571"/>
      <c r="AE42" s="571"/>
      <c r="AF42" s="571"/>
      <c r="AG42" s="571"/>
      <c r="AH42" s="571"/>
      <c r="AI42" s="571"/>
      <c r="AJ42" s="571"/>
      <c r="AK42" s="571"/>
      <c r="AL42" s="571"/>
      <c r="AM42" s="571"/>
      <c r="AN42" s="571"/>
      <c r="AO42" s="571"/>
    </row>
    <row r="43">
      <c r="B43" s="855" t="s">
        <v>1291</v>
      </c>
      <c r="G43" s="571"/>
      <c r="H43" s="571"/>
      <c r="I43" s="571"/>
      <c r="J43" s="571"/>
      <c r="K43" s="571"/>
      <c r="L43" s="571"/>
      <c r="M43" s="571"/>
      <c r="N43" s="571"/>
      <c r="O43" s="571"/>
      <c r="P43" s="571"/>
      <c r="Q43" s="571"/>
      <c r="R43" s="571"/>
      <c r="S43" s="571"/>
      <c r="T43" s="571"/>
      <c r="U43" s="571"/>
      <c r="V43" s="571"/>
      <c r="W43" s="571"/>
      <c r="X43" s="571"/>
      <c r="Y43" s="571"/>
      <c r="Z43" s="571"/>
      <c r="AA43" s="571"/>
      <c r="AB43" s="571"/>
      <c r="AC43" s="571"/>
      <c r="AD43" s="571"/>
      <c r="AE43" s="571"/>
      <c r="AF43" s="571"/>
      <c r="AG43" s="571"/>
      <c r="AH43" s="571"/>
      <c r="AI43" s="571"/>
      <c r="AJ43" s="571"/>
      <c r="AK43" s="571"/>
      <c r="AL43" s="571"/>
      <c r="AM43" s="571"/>
      <c r="AN43" s="571"/>
      <c r="AO43" s="571"/>
    </row>
    <row r="44">
      <c r="B44" s="855" t="s">
        <v>1292</v>
      </c>
      <c r="G44" s="571"/>
      <c r="H44" s="571"/>
      <c r="I44" s="571"/>
      <c r="J44" s="571"/>
      <c r="K44" s="571"/>
      <c r="L44" s="571"/>
      <c r="M44" s="571"/>
      <c r="N44" s="571"/>
      <c r="O44" s="571"/>
      <c r="P44" s="571"/>
      <c r="Q44" s="571"/>
      <c r="R44" s="571"/>
      <c r="S44" s="571"/>
      <c r="T44" s="571"/>
      <c r="U44" s="571"/>
      <c r="V44" s="571"/>
      <c r="W44" s="571"/>
      <c r="X44" s="571"/>
      <c r="Y44" s="571"/>
      <c r="Z44" s="571"/>
      <c r="AA44" s="571"/>
      <c r="AB44" s="571"/>
      <c r="AC44" s="571"/>
      <c r="AD44" s="571"/>
      <c r="AE44" s="571"/>
      <c r="AF44" s="571"/>
      <c r="AG44" s="571"/>
      <c r="AH44" s="571"/>
      <c r="AI44" s="571"/>
      <c r="AJ44" s="571"/>
      <c r="AK44" s="571"/>
      <c r="AL44" s="571"/>
      <c r="AM44" s="571"/>
      <c r="AN44" s="571"/>
      <c r="AO44" s="571"/>
    </row>
    <row r="45">
      <c r="B45" s="852" t="s">
        <v>1293</v>
      </c>
      <c r="G45" s="571"/>
      <c r="H45" s="571"/>
      <c r="I45" s="571"/>
      <c r="J45" s="571"/>
      <c r="K45" s="571"/>
      <c r="L45" s="571"/>
      <c r="M45" s="571"/>
      <c r="N45" s="571"/>
      <c r="O45" s="571"/>
      <c r="P45" s="571"/>
      <c r="Q45" s="571"/>
      <c r="R45" s="571"/>
      <c r="S45" s="571"/>
      <c r="T45" s="571"/>
      <c r="U45" s="571"/>
      <c r="V45" s="571"/>
      <c r="W45" s="571"/>
      <c r="X45" s="571"/>
      <c r="Y45" s="571"/>
      <c r="Z45" s="571"/>
      <c r="AA45" s="571"/>
      <c r="AB45" s="571"/>
      <c r="AC45" s="571"/>
      <c r="AD45" s="571"/>
      <c r="AE45" s="571"/>
      <c r="AF45" s="571"/>
      <c r="AG45" s="571"/>
      <c r="AH45" s="571"/>
      <c r="AI45" s="571"/>
      <c r="AJ45" s="571"/>
      <c r="AK45" s="571"/>
      <c r="AL45" s="571"/>
      <c r="AM45" s="571"/>
      <c r="AN45" s="571"/>
      <c r="AO45" s="571"/>
    </row>
    <row r="46">
      <c r="B46" s="852" t="s">
        <v>1294</v>
      </c>
      <c r="G46" s="571"/>
      <c r="H46" s="571"/>
      <c r="I46" s="571"/>
      <c r="J46" s="571"/>
      <c r="K46" s="571"/>
      <c r="L46" s="571"/>
      <c r="M46" s="571"/>
      <c r="N46" s="571"/>
      <c r="O46" s="571"/>
      <c r="P46" s="571"/>
      <c r="Q46" s="571"/>
      <c r="R46" s="571"/>
      <c r="S46" s="571"/>
      <c r="T46" s="571"/>
      <c r="U46" s="571"/>
      <c r="V46" s="571"/>
      <c r="W46" s="571"/>
      <c r="X46" s="571"/>
      <c r="Y46" s="571"/>
      <c r="Z46" s="571"/>
      <c r="AA46" s="571"/>
      <c r="AB46" s="571"/>
      <c r="AC46" s="571"/>
      <c r="AD46" s="571"/>
      <c r="AE46" s="571"/>
      <c r="AF46" s="571"/>
      <c r="AG46" s="571"/>
      <c r="AH46" s="571"/>
      <c r="AI46" s="571"/>
      <c r="AJ46" s="571"/>
      <c r="AK46" s="571"/>
      <c r="AL46" s="571"/>
      <c r="AM46" s="571"/>
      <c r="AN46" s="571"/>
      <c r="AO46" s="571"/>
    </row>
    <row r="47">
      <c r="B47" s="852" t="s">
        <v>1295</v>
      </c>
      <c r="G47" s="571"/>
      <c r="H47" s="571"/>
      <c r="I47" s="571"/>
      <c r="J47" s="571"/>
      <c r="K47" s="571"/>
      <c r="L47" s="571"/>
      <c r="M47" s="571"/>
      <c r="N47" s="571"/>
      <c r="O47" s="571"/>
      <c r="P47" s="571"/>
      <c r="Q47" s="571"/>
      <c r="R47" s="571"/>
      <c r="S47" s="571"/>
      <c r="T47" s="571"/>
      <c r="U47" s="571"/>
      <c r="V47" s="571"/>
      <c r="W47" s="571"/>
      <c r="X47" s="571"/>
      <c r="Y47" s="571"/>
      <c r="Z47" s="571"/>
      <c r="AA47" s="571"/>
      <c r="AB47" s="571"/>
      <c r="AC47" s="571"/>
      <c r="AD47" s="571"/>
      <c r="AE47" s="571"/>
      <c r="AF47" s="571"/>
      <c r="AG47" s="571"/>
      <c r="AH47" s="571"/>
      <c r="AI47" s="571"/>
      <c r="AJ47" s="571"/>
      <c r="AK47" s="571"/>
      <c r="AL47" s="571"/>
      <c r="AM47" s="571"/>
      <c r="AN47" s="571"/>
      <c r="AO47" s="571"/>
    </row>
    <row r="48">
      <c r="A48" s="850" t="s">
        <v>1301</v>
      </c>
      <c r="B48" s="851" t="s">
        <v>1287</v>
      </c>
      <c r="G48" s="571"/>
      <c r="H48" s="571"/>
      <c r="I48" s="571"/>
      <c r="J48" s="571"/>
      <c r="K48" s="571"/>
      <c r="L48" s="571"/>
      <c r="M48" s="571"/>
      <c r="N48" s="571"/>
      <c r="O48" s="571"/>
      <c r="P48" s="571"/>
      <c r="Q48" s="571"/>
      <c r="R48" s="571"/>
      <c r="S48" s="571"/>
      <c r="T48" s="571"/>
      <c r="U48" s="571"/>
      <c r="V48" s="571"/>
      <c r="W48" s="571"/>
      <c r="X48" s="571"/>
      <c r="Y48" s="571"/>
      <c r="Z48" s="571"/>
      <c r="AA48" s="571"/>
      <c r="AB48" s="571"/>
      <c r="AC48" s="571"/>
      <c r="AD48" s="571"/>
      <c r="AE48" s="571"/>
      <c r="AF48" s="571"/>
      <c r="AG48" s="571"/>
      <c r="AH48" s="571"/>
      <c r="AI48" s="571"/>
      <c r="AJ48" s="571"/>
      <c r="AK48" s="571"/>
      <c r="AL48" s="571"/>
      <c r="AM48" s="571"/>
      <c r="AN48" s="571"/>
      <c r="AO48" s="571"/>
    </row>
    <row r="49">
      <c r="B49" s="852" t="s">
        <v>1288</v>
      </c>
      <c r="G49" s="571"/>
      <c r="H49" s="571"/>
      <c r="I49" s="571"/>
      <c r="J49" s="571"/>
      <c r="K49" s="571"/>
      <c r="L49" s="571"/>
      <c r="M49" s="571"/>
      <c r="N49" s="571"/>
      <c r="O49" s="571"/>
      <c r="P49" s="571"/>
      <c r="Q49" s="571"/>
      <c r="R49" s="571"/>
      <c r="S49" s="571"/>
      <c r="T49" s="571"/>
      <c r="U49" s="571"/>
      <c r="V49" s="571"/>
      <c r="W49" s="571"/>
      <c r="X49" s="571"/>
      <c r="Y49" s="571"/>
      <c r="Z49" s="571"/>
      <c r="AA49" s="571"/>
      <c r="AB49" s="571"/>
      <c r="AC49" s="571"/>
      <c r="AD49" s="571"/>
      <c r="AE49" s="571"/>
      <c r="AF49" s="571"/>
      <c r="AG49" s="571"/>
      <c r="AH49" s="571"/>
      <c r="AI49" s="571"/>
      <c r="AJ49" s="571"/>
      <c r="AK49" s="571"/>
      <c r="AL49" s="571"/>
      <c r="AM49" s="571"/>
      <c r="AN49" s="571"/>
      <c r="AO49" s="571"/>
    </row>
    <row r="50">
      <c r="B50" s="852" t="s">
        <v>1289</v>
      </c>
      <c r="G50" s="571"/>
      <c r="H50" s="571"/>
      <c r="I50" s="571"/>
      <c r="J50" s="571"/>
      <c r="K50" s="571"/>
      <c r="L50" s="571"/>
      <c r="M50" s="571"/>
      <c r="N50" s="571"/>
      <c r="O50" s="571"/>
      <c r="P50" s="571"/>
      <c r="Q50" s="571"/>
      <c r="R50" s="571"/>
      <c r="S50" s="571"/>
      <c r="T50" s="571"/>
      <c r="U50" s="571"/>
      <c r="V50" s="571"/>
      <c r="W50" s="571"/>
      <c r="X50" s="571"/>
      <c r="Y50" s="571"/>
      <c r="Z50" s="571"/>
      <c r="AA50" s="571"/>
      <c r="AB50" s="571"/>
      <c r="AC50" s="571"/>
      <c r="AD50" s="571"/>
      <c r="AE50" s="571"/>
      <c r="AF50" s="571"/>
      <c r="AG50" s="571"/>
      <c r="AH50" s="571"/>
      <c r="AI50" s="571"/>
      <c r="AJ50" s="571"/>
      <c r="AK50" s="571"/>
      <c r="AL50" s="571"/>
      <c r="AM50" s="571"/>
      <c r="AN50" s="571"/>
      <c r="AO50" s="571"/>
    </row>
    <row r="51">
      <c r="B51" s="852" t="s">
        <v>1290</v>
      </c>
      <c r="G51" s="571"/>
      <c r="H51" s="571"/>
      <c r="I51" s="571"/>
      <c r="J51" s="571"/>
      <c r="K51" s="571"/>
      <c r="L51" s="571"/>
      <c r="M51" s="571"/>
      <c r="N51" s="571"/>
      <c r="O51" s="571"/>
      <c r="P51" s="571"/>
      <c r="Q51" s="571"/>
      <c r="R51" s="571"/>
      <c r="S51" s="571"/>
      <c r="T51" s="571"/>
      <c r="U51" s="571"/>
      <c r="V51" s="571"/>
      <c r="W51" s="571"/>
      <c r="X51" s="571"/>
      <c r="Y51" s="571"/>
      <c r="Z51" s="571"/>
      <c r="AA51" s="571"/>
      <c r="AB51" s="571"/>
      <c r="AC51" s="571"/>
      <c r="AD51" s="571"/>
      <c r="AE51" s="571"/>
      <c r="AF51" s="571"/>
      <c r="AG51" s="571"/>
      <c r="AH51" s="571"/>
      <c r="AI51" s="571"/>
      <c r="AJ51" s="571"/>
      <c r="AK51" s="571"/>
      <c r="AL51" s="571"/>
      <c r="AM51" s="571"/>
      <c r="AN51" s="571"/>
      <c r="AO51" s="571"/>
    </row>
    <row r="52">
      <c r="B52" s="855" t="s">
        <v>1291</v>
      </c>
      <c r="G52" s="571"/>
      <c r="H52" s="571"/>
      <c r="I52" s="571"/>
      <c r="J52" s="571"/>
      <c r="K52" s="571"/>
      <c r="L52" s="571"/>
      <c r="M52" s="571"/>
      <c r="N52" s="571"/>
      <c r="O52" s="571"/>
      <c r="P52" s="571"/>
      <c r="Q52" s="571"/>
      <c r="R52" s="571"/>
      <c r="S52" s="571"/>
      <c r="T52" s="571"/>
      <c r="U52" s="571"/>
      <c r="V52" s="571"/>
      <c r="W52" s="571"/>
      <c r="X52" s="571"/>
      <c r="Y52" s="571"/>
      <c r="Z52" s="571"/>
      <c r="AA52" s="571"/>
      <c r="AB52" s="571"/>
      <c r="AC52" s="571"/>
      <c r="AD52" s="571"/>
      <c r="AE52" s="571"/>
      <c r="AF52" s="571"/>
      <c r="AG52" s="571"/>
      <c r="AH52" s="571"/>
      <c r="AI52" s="571"/>
      <c r="AJ52" s="571"/>
      <c r="AK52" s="571"/>
      <c r="AL52" s="571"/>
      <c r="AM52" s="571"/>
      <c r="AN52" s="571"/>
      <c r="AO52" s="571"/>
    </row>
    <row r="53">
      <c r="B53" s="855" t="s">
        <v>1292</v>
      </c>
      <c r="G53" s="571"/>
      <c r="H53" s="571"/>
      <c r="I53" s="571"/>
      <c r="J53" s="571"/>
      <c r="K53" s="571"/>
      <c r="L53" s="571"/>
      <c r="M53" s="571"/>
      <c r="N53" s="571"/>
      <c r="O53" s="571"/>
      <c r="P53" s="571"/>
      <c r="Q53" s="571"/>
      <c r="R53" s="571"/>
      <c r="S53" s="571"/>
      <c r="T53" s="571"/>
      <c r="U53" s="571"/>
      <c r="V53" s="571"/>
      <c r="W53" s="571"/>
      <c r="X53" s="571"/>
      <c r="Y53" s="571"/>
      <c r="Z53" s="571"/>
      <c r="AA53" s="571"/>
      <c r="AB53" s="571"/>
      <c r="AC53" s="571"/>
      <c r="AD53" s="571"/>
      <c r="AE53" s="571"/>
      <c r="AF53" s="571"/>
      <c r="AG53" s="571"/>
      <c r="AH53" s="571"/>
      <c r="AI53" s="571"/>
      <c r="AJ53" s="571"/>
      <c r="AK53" s="571"/>
      <c r="AL53" s="571"/>
      <c r="AM53" s="571"/>
      <c r="AN53" s="571"/>
      <c r="AO53" s="571"/>
    </row>
    <row r="54">
      <c r="B54" s="852" t="s">
        <v>1293</v>
      </c>
      <c r="G54" s="571"/>
      <c r="H54" s="571"/>
      <c r="I54" s="571"/>
      <c r="J54" s="571"/>
      <c r="K54" s="571"/>
      <c r="L54" s="571"/>
      <c r="M54" s="571"/>
      <c r="N54" s="571"/>
      <c r="O54" s="571"/>
      <c r="P54" s="571"/>
      <c r="Q54" s="571"/>
      <c r="R54" s="571"/>
      <c r="S54" s="571"/>
      <c r="T54" s="571"/>
      <c r="U54" s="571"/>
      <c r="V54" s="571"/>
      <c r="W54" s="571"/>
      <c r="X54" s="571"/>
      <c r="Y54" s="571"/>
      <c r="Z54" s="571"/>
      <c r="AA54" s="571"/>
      <c r="AB54" s="571"/>
      <c r="AC54" s="571"/>
      <c r="AD54" s="571"/>
      <c r="AE54" s="571"/>
      <c r="AF54" s="571"/>
      <c r="AG54" s="571"/>
      <c r="AH54" s="571"/>
      <c r="AI54" s="571"/>
      <c r="AJ54" s="571"/>
      <c r="AK54" s="571"/>
      <c r="AL54" s="571"/>
      <c r="AM54" s="571"/>
      <c r="AN54" s="571"/>
      <c r="AO54" s="571"/>
    </row>
    <row r="55">
      <c r="B55" s="852" t="s">
        <v>1294</v>
      </c>
      <c r="G55" s="571"/>
      <c r="H55" s="571"/>
      <c r="I55" s="571"/>
      <c r="J55" s="571"/>
      <c r="K55" s="571"/>
      <c r="L55" s="571"/>
      <c r="M55" s="571"/>
      <c r="N55" s="571"/>
      <c r="O55" s="571"/>
      <c r="P55" s="571"/>
      <c r="Q55" s="571"/>
      <c r="R55" s="571"/>
      <c r="S55" s="571"/>
      <c r="T55" s="571"/>
      <c r="U55" s="571"/>
      <c r="V55" s="571"/>
      <c r="W55" s="571"/>
      <c r="X55" s="571"/>
      <c r="Y55" s="571"/>
      <c r="Z55" s="571"/>
      <c r="AA55" s="571"/>
      <c r="AB55" s="571"/>
      <c r="AC55" s="571"/>
      <c r="AD55" s="571"/>
      <c r="AE55" s="571"/>
      <c r="AF55" s="571"/>
      <c r="AG55" s="571"/>
      <c r="AH55" s="571"/>
      <c r="AI55" s="571"/>
      <c r="AJ55" s="571"/>
      <c r="AK55" s="571"/>
      <c r="AL55" s="571"/>
      <c r="AM55" s="571"/>
      <c r="AN55" s="571"/>
      <c r="AO55" s="571"/>
    </row>
    <row r="56">
      <c r="B56" s="852" t="s">
        <v>1295</v>
      </c>
      <c r="G56" s="571"/>
      <c r="H56" s="571"/>
      <c r="I56" s="571"/>
      <c r="J56" s="571"/>
      <c r="K56" s="571"/>
      <c r="L56" s="571"/>
      <c r="M56" s="571"/>
      <c r="N56" s="571"/>
      <c r="O56" s="571"/>
      <c r="P56" s="571"/>
      <c r="Q56" s="571"/>
      <c r="R56" s="571"/>
      <c r="S56" s="571"/>
      <c r="T56" s="571"/>
      <c r="U56" s="571"/>
      <c r="V56" s="571"/>
      <c r="W56" s="571"/>
      <c r="X56" s="571"/>
      <c r="Y56" s="571"/>
      <c r="Z56" s="571"/>
      <c r="AA56" s="571"/>
      <c r="AB56" s="571"/>
      <c r="AC56" s="571"/>
      <c r="AD56" s="571"/>
      <c r="AE56" s="571"/>
      <c r="AF56" s="571"/>
      <c r="AG56" s="571"/>
      <c r="AH56" s="571"/>
      <c r="AI56" s="571"/>
      <c r="AJ56" s="571"/>
      <c r="AK56" s="571"/>
      <c r="AL56" s="571"/>
      <c r="AM56" s="571"/>
      <c r="AN56" s="571"/>
      <c r="AO56" s="571"/>
    </row>
    <row r="57">
      <c r="A57" s="850" t="s">
        <v>1302</v>
      </c>
      <c r="B57" s="851" t="s">
        <v>1287</v>
      </c>
      <c r="G57" s="571"/>
      <c r="H57" s="571"/>
      <c r="I57" s="571"/>
      <c r="J57" s="571"/>
      <c r="K57" s="571"/>
      <c r="L57" s="571"/>
      <c r="M57" s="571"/>
      <c r="N57" s="571"/>
      <c r="O57" s="571"/>
      <c r="P57" s="571"/>
      <c r="Q57" s="571"/>
      <c r="R57" s="571"/>
      <c r="S57" s="571"/>
      <c r="T57" s="571"/>
      <c r="U57" s="571"/>
      <c r="V57" s="571"/>
      <c r="W57" s="571"/>
      <c r="X57" s="571"/>
      <c r="Y57" s="571"/>
      <c r="Z57" s="571"/>
      <c r="AA57" s="571"/>
      <c r="AB57" s="571"/>
      <c r="AC57" s="571"/>
      <c r="AD57" s="571"/>
      <c r="AE57" s="571"/>
      <c r="AF57" s="571"/>
      <c r="AG57" s="571"/>
      <c r="AH57" s="571"/>
      <c r="AI57" s="571"/>
      <c r="AJ57" s="571"/>
      <c r="AK57" s="571"/>
      <c r="AL57" s="571"/>
      <c r="AM57" s="571"/>
      <c r="AN57" s="571"/>
      <c r="AO57" s="571"/>
    </row>
    <row r="58">
      <c r="B58" s="852" t="s">
        <v>1288</v>
      </c>
      <c r="G58" s="571"/>
      <c r="H58" s="571"/>
      <c r="I58" s="571"/>
      <c r="J58" s="571"/>
      <c r="K58" s="571"/>
      <c r="L58" s="571"/>
      <c r="M58" s="571"/>
      <c r="N58" s="571"/>
      <c r="O58" s="571"/>
      <c r="P58" s="571"/>
      <c r="Q58" s="571"/>
      <c r="R58" s="571"/>
      <c r="S58" s="571"/>
      <c r="T58" s="571"/>
      <c r="U58" s="571"/>
      <c r="V58" s="571"/>
      <c r="W58" s="571"/>
      <c r="X58" s="571"/>
      <c r="Y58" s="571"/>
      <c r="Z58" s="571"/>
      <c r="AA58" s="571"/>
      <c r="AB58" s="571"/>
      <c r="AC58" s="571"/>
      <c r="AD58" s="571"/>
      <c r="AE58" s="571"/>
      <c r="AF58" s="571"/>
      <c r="AG58" s="571"/>
      <c r="AH58" s="571"/>
      <c r="AI58" s="571"/>
      <c r="AJ58" s="571"/>
      <c r="AK58" s="571"/>
      <c r="AL58" s="571"/>
      <c r="AM58" s="571"/>
      <c r="AN58" s="571"/>
      <c r="AO58" s="571"/>
    </row>
    <row r="59">
      <c r="B59" s="852" t="s">
        <v>1289</v>
      </c>
      <c r="G59" s="571"/>
      <c r="H59" s="571"/>
      <c r="I59" s="571"/>
      <c r="J59" s="571"/>
      <c r="K59" s="571"/>
      <c r="L59" s="571"/>
      <c r="M59" s="571"/>
      <c r="N59" s="571"/>
      <c r="O59" s="571"/>
      <c r="P59" s="571"/>
      <c r="Q59" s="571"/>
      <c r="R59" s="571"/>
      <c r="S59" s="571"/>
      <c r="T59" s="571"/>
      <c r="U59" s="571"/>
      <c r="V59" s="571"/>
      <c r="W59" s="571"/>
      <c r="X59" s="571"/>
      <c r="Y59" s="571"/>
      <c r="Z59" s="571"/>
      <c r="AA59" s="571"/>
      <c r="AB59" s="571"/>
      <c r="AC59" s="571"/>
      <c r="AD59" s="571"/>
      <c r="AE59" s="571"/>
      <c r="AF59" s="571"/>
      <c r="AG59" s="571"/>
      <c r="AH59" s="571"/>
      <c r="AI59" s="571"/>
      <c r="AJ59" s="571"/>
      <c r="AK59" s="571"/>
      <c r="AL59" s="571"/>
      <c r="AM59" s="571"/>
      <c r="AN59" s="571"/>
      <c r="AO59" s="571"/>
    </row>
    <row r="60">
      <c r="B60" s="852" t="s">
        <v>1290</v>
      </c>
      <c r="G60" s="571"/>
      <c r="H60" s="571"/>
      <c r="I60" s="571"/>
      <c r="J60" s="571"/>
      <c r="K60" s="571"/>
      <c r="L60" s="571"/>
      <c r="M60" s="571"/>
      <c r="N60" s="571"/>
      <c r="O60" s="571"/>
      <c r="P60" s="571"/>
      <c r="Q60" s="571"/>
      <c r="R60" s="571"/>
      <c r="S60" s="571"/>
      <c r="T60" s="571"/>
      <c r="U60" s="571"/>
      <c r="V60" s="571"/>
      <c r="W60" s="571"/>
      <c r="X60" s="571"/>
      <c r="Y60" s="571"/>
      <c r="Z60" s="571"/>
      <c r="AA60" s="571"/>
      <c r="AB60" s="571"/>
      <c r="AC60" s="571"/>
      <c r="AD60" s="571"/>
      <c r="AE60" s="571"/>
      <c r="AF60" s="571"/>
      <c r="AG60" s="571"/>
      <c r="AH60" s="571"/>
      <c r="AI60" s="571"/>
      <c r="AJ60" s="571"/>
      <c r="AK60" s="571"/>
      <c r="AL60" s="571"/>
      <c r="AM60" s="571"/>
      <c r="AN60" s="571"/>
      <c r="AO60" s="571"/>
    </row>
    <row r="61">
      <c r="B61" s="855" t="s">
        <v>1291</v>
      </c>
      <c r="G61" s="571"/>
      <c r="H61" s="571"/>
      <c r="I61" s="571"/>
      <c r="J61" s="571"/>
      <c r="K61" s="571"/>
      <c r="L61" s="571"/>
      <c r="M61" s="571"/>
      <c r="N61" s="571"/>
      <c r="O61" s="571"/>
      <c r="P61" s="571"/>
      <c r="Q61" s="571"/>
      <c r="R61" s="571"/>
      <c r="S61" s="571"/>
      <c r="T61" s="571"/>
      <c r="U61" s="571"/>
      <c r="V61" s="571"/>
      <c r="W61" s="571"/>
      <c r="X61" s="571"/>
      <c r="Y61" s="571"/>
      <c r="Z61" s="571"/>
      <c r="AA61" s="571"/>
      <c r="AB61" s="571"/>
      <c r="AC61" s="571"/>
      <c r="AD61" s="571"/>
      <c r="AE61" s="571"/>
      <c r="AF61" s="571"/>
      <c r="AG61" s="571"/>
      <c r="AH61" s="571"/>
      <c r="AI61" s="571"/>
      <c r="AJ61" s="571"/>
      <c r="AK61" s="571"/>
      <c r="AL61" s="571"/>
      <c r="AM61" s="571"/>
      <c r="AN61" s="571"/>
      <c r="AO61" s="571"/>
    </row>
    <row r="62">
      <c r="B62" s="855" t="s">
        <v>1292</v>
      </c>
      <c r="G62" s="571"/>
      <c r="H62" s="571"/>
      <c r="I62" s="571"/>
      <c r="J62" s="571"/>
      <c r="K62" s="571"/>
      <c r="L62" s="571"/>
      <c r="M62" s="571"/>
      <c r="N62" s="571"/>
      <c r="O62" s="571"/>
      <c r="P62" s="571"/>
      <c r="Q62" s="571"/>
      <c r="R62" s="571"/>
      <c r="S62" s="571"/>
      <c r="T62" s="571"/>
      <c r="U62" s="571"/>
      <c r="V62" s="571"/>
      <c r="W62" s="571"/>
      <c r="X62" s="571"/>
      <c r="Y62" s="571"/>
      <c r="Z62" s="571"/>
      <c r="AA62" s="571"/>
      <c r="AB62" s="571"/>
      <c r="AC62" s="571"/>
      <c r="AD62" s="571"/>
      <c r="AE62" s="571"/>
      <c r="AF62" s="571"/>
      <c r="AG62" s="571"/>
      <c r="AH62" s="571"/>
      <c r="AI62" s="571"/>
      <c r="AJ62" s="571"/>
      <c r="AK62" s="571"/>
      <c r="AL62" s="571"/>
      <c r="AM62" s="571"/>
      <c r="AN62" s="571"/>
      <c r="AO62" s="571"/>
    </row>
    <row r="63">
      <c r="B63" s="852" t="s">
        <v>1293</v>
      </c>
      <c r="G63" s="571"/>
      <c r="H63" s="571"/>
      <c r="I63" s="571"/>
      <c r="J63" s="571"/>
      <c r="K63" s="571"/>
      <c r="L63" s="571"/>
      <c r="M63" s="571"/>
      <c r="N63" s="571"/>
      <c r="O63" s="571"/>
      <c r="P63" s="571"/>
      <c r="Q63" s="571"/>
      <c r="R63" s="571"/>
      <c r="S63" s="571"/>
      <c r="T63" s="571"/>
      <c r="U63" s="571"/>
      <c r="V63" s="571"/>
      <c r="W63" s="571"/>
      <c r="X63" s="571"/>
      <c r="Y63" s="571"/>
      <c r="Z63" s="571"/>
      <c r="AA63" s="571"/>
      <c r="AB63" s="571"/>
      <c r="AC63" s="571"/>
      <c r="AD63" s="571"/>
      <c r="AE63" s="571"/>
      <c r="AF63" s="571"/>
      <c r="AG63" s="571"/>
      <c r="AH63" s="571"/>
      <c r="AI63" s="571"/>
      <c r="AJ63" s="571"/>
      <c r="AK63" s="571"/>
      <c r="AL63" s="571"/>
      <c r="AM63" s="571"/>
      <c r="AN63" s="571"/>
      <c r="AO63" s="571"/>
    </row>
    <row r="64">
      <c r="B64" s="852" t="s">
        <v>1294</v>
      </c>
      <c r="G64" s="571"/>
      <c r="H64" s="571"/>
      <c r="I64" s="571"/>
      <c r="J64" s="571"/>
      <c r="K64" s="571"/>
      <c r="L64" s="571"/>
      <c r="M64" s="571"/>
      <c r="N64" s="571"/>
      <c r="O64" s="571"/>
      <c r="P64" s="571"/>
      <c r="Q64" s="571"/>
      <c r="R64" s="571"/>
      <c r="S64" s="571"/>
      <c r="T64" s="571"/>
      <c r="U64" s="571"/>
      <c r="V64" s="571"/>
      <c r="W64" s="571"/>
      <c r="X64" s="571"/>
      <c r="Y64" s="571"/>
      <c r="Z64" s="571"/>
      <c r="AA64" s="571"/>
      <c r="AB64" s="571"/>
      <c r="AC64" s="571"/>
      <c r="AD64" s="571"/>
      <c r="AE64" s="571"/>
      <c r="AF64" s="571"/>
      <c r="AG64" s="571"/>
      <c r="AH64" s="571"/>
      <c r="AI64" s="571"/>
      <c r="AJ64" s="571"/>
      <c r="AK64" s="571"/>
      <c r="AL64" s="571"/>
      <c r="AM64" s="571"/>
      <c r="AN64" s="571"/>
      <c r="AO64" s="571"/>
    </row>
    <row r="65">
      <c r="B65" s="852" t="s">
        <v>1295</v>
      </c>
      <c r="G65" s="571"/>
      <c r="H65" s="571"/>
      <c r="I65" s="571"/>
      <c r="J65" s="571"/>
      <c r="K65" s="571"/>
      <c r="L65" s="571"/>
      <c r="M65" s="571"/>
      <c r="N65" s="571"/>
      <c r="O65" s="571"/>
      <c r="P65" s="571"/>
      <c r="Q65" s="571"/>
      <c r="R65" s="571"/>
      <c r="S65" s="571"/>
      <c r="T65" s="571"/>
      <c r="U65" s="571"/>
      <c r="V65" s="571"/>
      <c r="W65" s="571"/>
      <c r="X65" s="571"/>
      <c r="Y65" s="571"/>
      <c r="Z65" s="571"/>
      <c r="AA65" s="571"/>
      <c r="AB65" s="571"/>
      <c r="AC65" s="571"/>
      <c r="AD65" s="571"/>
      <c r="AE65" s="571"/>
      <c r="AF65" s="571"/>
      <c r="AG65" s="571"/>
      <c r="AH65" s="571"/>
      <c r="AI65" s="571"/>
      <c r="AJ65" s="571"/>
      <c r="AK65" s="571"/>
      <c r="AL65" s="571"/>
      <c r="AM65" s="571"/>
      <c r="AN65" s="571"/>
      <c r="AO65" s="571"/>
    </row>
    <row r="66">
      <c r="A66" s="850" t="s">
        <v>1303</v>
      </c>
      <c r="B66" s="851" t="s">
        <v>1287</v>
      </c>
      <c r="G66" s="571"/>
      <c r="H66" s="571"/>
      <c r="I66" s="571"/>
      <c r="J66" s="571"/>
      <c r="K66" s="571"/>
      <c r="L66" s="571"/>
      <c r="M66" s="571"/>
      <c r="N66" s="571"/>
      <c r="O66" s="571"/>
      <c r="P66" s="571"/>
      <c r="Q66" s="571"/>
      <c r="R66" s="571"/>
      <c r="S66" s="571"/>
      <c r="T66" s="571"/>
      <c r="U66" s="571"/>
      <c r="V66" s="571"/>
      <c r="W66" s="571"/>
      <c r="X66" s="571"/>
      <c r="Y66" s="571"/>
      <c r="Z66" s="571"/>
      <c r="AA66" s="571"/>
      <c r="AB66" s="571"/>
      <c r="AC66" s="571"/>
      <c r="AD66" s="571"/>
      <c r="AE66" s="571"/>
      <c r="AF66" s="571"/>
      <c r="AG66" s="571"/>
      <c r="AH66" s="571"/>
      <c r="AI66" s="571"/>
      <c r="AJ66" s="571"/>
      <c r="AK66" s="571"/>
      <c r="AL66" s="571"/>
      <c r="AM66" s="571"/>
      <c r="AN66" s="571"/>
      <c r="AO66" s="571"/>
    </row>
    <row r="67">
      <c r="B67" s="852" t="s">
        <v>1288</v>
      </c>
      <c r="G67" s="571"/>
      <c r="H67" s="571"/>
      <c r="I67" s="571"/>
      <c r="J67" s="571"/>
      <c r="K67" s="571"/>
      <c r="L67" s="571"/>
      <c r="M67" s="571"/>
      <c r="N67" s="571"/>
      <c r="O67" s="571"/>
      <c r="P67" s="571"/>
      <c r="Q67" s="571"/>
      <c r="R67" s="571"/>
      <c r="S67" s="571"/>
      <c r="T67" s="571"/>
      <c r="U67" s="571"/>
      <c r="V67" s="571"/>
      <c r="W67" s="571"/>
      <c r="X67" s="571"/>
      <c r="Y67" s="571"/>
      <c r="Z67" s="571"/>
      <c r="AA67" s="571"/>
      <c r="AB67" s="571"/>
      <c r="AC67" s="571"/>
      <c r="AD67" s="571"/>
      <c r="AE67" s="571"/>
      <c r="AF67" s="571"/>
      <c r="AG67" s="571"/>
      <c r="AH67" s="571"/>
      <c r="AI67" s="571"/>
      <c r="AJ67" s="571"/>
      <c r="AK67" s="571"/>
      <c r="AL67" s="571"/>
      <c r="AM67" s="571"/>
      <c r="AN67" s="571"/>
      <c r="AO67" s="571"/>
    </row>
    <row r="68">
      <c r="B68" s="852" t="s">
        <v>1289</v>
      </c>
      <c r="G68" s="571"/>
      <c r="H68" s="571"/>
      <c r="I68" s="571"/>
      <c r="J68" s="571"/>
      <c r="K68" s="571"/>
      <c r="L68" s="571"/>
      <c r="M68" s="571"/>
      <c r="N68" s="571"/>
      <c r="O68" s="571"/>
      <c r="P68" s="571"/>
      <c r="Q68" s="571"/>
      <c r="R68" s="571"/>
      <c r="S68" s="571"/>
      <c r="T68" s="571"/>
      <c r="U68" s="571"/>
      <c r="V68" s="571"/>
      <c r="W68" s="571"/>
      <c r="X68" s="571"/>
      <c r="Y68" s="571"/>
      <c r="Z68" s="571"/>
      <c r="AA68" s="571"/>
      <c r="AB68" s="571"/>
      <c r="AC68" s="571"/>
      <c r="AD68" s="571"/>
      <c r="AE68" s="571"/>
      <c r="AF68" s="571"/>
      <c r="AG68" s="571"/>
      <c r="AH68" s="571"/>
      <c r="AI68" s="571"/>
      <c r="AJ68" s="571"/>
      <c r="AK68" s="571"/>
      <c r="AL68" s="571"/>
      <c r="AM68" s="571"/>
      <c r="AN68" s="571"/>
      <c r="AO68" s="571"/>
    </row>
    <row r="69">
      <c r="B69" s="852" t="s">
        <v>1290</v>
      </c>
      <c r="G69" s="571"/>
      <c r="H69" s="571"/>
      <c r="I69" s="571"/>
      <c r="J69" s="571"/>
      <c r="K69" s="571"/>
      <c r="L69" s="571"/>
      <c r="M69" s="571"/>
      <c r="N69" s="571"/>
      <c r="O69" s="571"/>
      <c r="P69" s="571"/>
      <c r="Q69" s="571"/>
      <c r="R69" s="571"/>
      <c r="S69" s="571"/>
      <c r="T69" s="571"/>
      <c r="U69" s="571"/>
      <c r="V69" s="571"/>
      <c r="W69" s="571"/>
      <c r="X69" s="571"/>
      <c r="Y69" s="571"/>
      <c r="Z69" s="571"/>
      <c r="AA69" s="571"/>
      <c r="AB69" s="571"/>
      <c r="AC69" s="571"/>
      <c r="AD69" s="571"/>
      <c r="AE69" s="571"/>
      <c r="AF69" s="571"/>
      <c r="AG69" s="571"/>
      <c r="AH69" s="571"/>
      <c r="AI69" s="571"/>
      <c r="AJ69" s="571"/>
      <c r="AK69" s="571"/>
      <c r="AL69" s="571"/>
      <c r="AM69" s="571"/>
      <c r="AN69" s="571"/>
      <c r="AO69" s="571"/>
    </row>
    <row r="70">
      <c r="B70" s="855" t="s">
        <v>1291</v>
      </c>
      <c r="G70" s="571"/>
      <c r="H70" s="571"/>
      <c r="I70" s="571"/>
      <c r="J70" s="571"/>
      <c r="K70" s="571"/>
      <c r="L70" s="571"/>
      <c r="M70" s="571"/>
      <c r="N70" s="571"/>
      <c r="O70" s="571"/>
      <c r="P70" s="571"/>
      <c r="Q70" s="571"/>
      <c r="R70" s="571"/>
      <c r="S70" s="571"/>
      <c r="T70" s="571"/>
      <c r="U70" s="571"/>
      <c r="V70" s="571"/>
      <c r="W70" s="571"/>
      <c r="X70" s="571"/>
      <c r="Y70" s="571"/>
      <c r="Z70" s="571"/>
      <c r="AA70" s="571"/>
      <c r="AB70" s="571"/>
      <c r="AC70" s="571"/>
      <c r="AD70" s="571"/>
      <c r="AE70" s="571"/>
      <c r="AF70" s="571"/>
      <c r="AG70" s="571"/>
      <c r="AH70" s="571"/>
      <c r="AI70" s="571"/>
      <c r="AJ70" s="571"/>
      <c r="AK70" s="571"/>
      <c r="AL70" s="571"/>
      <c r="AM70" s="571"/>
      <c r="AN70" s="571"/>
      <c r="AO70" s="571"/>
    </row>
    <row r="71">
      <c r="B71" s="855" t="s">
        <v>1292</v>
      </c>
      <c r="G71" s="571"/>
      <c r="H71" s="571"/>
      <c r="I71" s="571"/>
      <c r="J71" s="571"/>
      <c r="K71" s="571"/>
      <c r="L71" s="571"/>
      <c r="M71" s="571"/>
      <c r="N71" s="571"/>
      <c r="O71" s="571"/>
      <c r="P71" s="571"/>
      <c r="Q71" s="571"/>
      <c r="R71" s="571"/>
      <c r="S71" s="571"/>
      <c r="T71" s="571"/>
      <c r="U71" s="571"/>
      <c r="V71" s="571"/>
      <c r="W71" s="571"/>
      <c r="X71" s="571"/>
      <c r="Y71" s="571"/>
      <c r="Z71" s="571"/>
      <c r="AA71" s="571"/>
      <c r="AB71" s="571"/>
      <c r="AC71" s="571"/>
      <c r="AD71" s="571"/>
      <c r="AE71" s="571"/>
      <c r="AF71" s="571"/>
      <c r="AG71" s="571"/>
      <c r="AH71" s="571"/>
      <c r="AI71" s="571"/>
      <c r="AJ71" s="571"/>
      <c r="AK71" s="571"/>
      <c r="AL71" s="571"/>
      <c r="AM71" s="571"/>
      <c r="AN71" s="571"/>
      <c r="AO71" s="571"/>
    </row>
    <row r="72">
      <c r="B72" s="852" t="s">
        <v>1293</v>
      </c>
      <c r="G72" s="571"/>
      <c r="H72" s="571"/>
      <c r="I72" s="571"/>
      <c r="J72" s="571"/>
      <c r="K72" s="571"/>
      <c r="L72" s="571"/>
      <c r="M72" s="571"/>
      <c r="N72" s="571"/>
      <c r="O72" s="571"/>
      <c r="P72" s="571"/>
      <c r="Q72" s="571"/>
      <c r="R72" s="571"/>
      <c r="S72" s="571"/>
      <c r="T72" s="571"/>
      <c r="U72" s="571"/>
      <c r="V72" s="571"/>
      <c r="W72" s="571"/>
      <c r="X72" s="571"/>
      <c r="Y72" s="571"/>
      <c r="Z72" s="571"/>
      <c r="AA72" s="571"/>
      <c r="AB72" s="571"/>
      <c r="AC72" s="571"/>
      <c r="AD72" s="571"/>
      <c r="AE72" s="571"/>
      <c r="AF72" s="571"/>
      <c r="AG72" s="571"/>
      <c r="AH72" s="571"/>
      <c r="AI72" s="571"/>
      <c r="AJ72" s="571"/>
      <c r="AK72" s="571"/>
      <c r="AL72" s="571"/>
      <c r="AM72" s="571"/>
      <c r="AN72" s="571"/>
      <c r="AO72" s="571"/>
    </row>
    <row r="73">
      <c r="B73" s="852" t="s">
        <v>1294</v>
      </c>
      <c r="G73" s="571"/>
      <c r="H73" s="571"/>
      <c r="I73" s="571"/>
      <c r="J73" s="571"/>
      <c r="K73" s="571"/>
      <c r="L73" s="571"/>
      <c r="M73" s="571"/>
      <c r="N73" s="571"/>
      <c r="O73" s="571"/>
      <c r="P73" s="571"/>
      <c r="Q73" s="571"/>
      <c r="R73" s="571"/>
      <c r="S73" s="571"/>
      <c r="T73" s="571"/>
      <c r="U73" s="571"/>
      <c r="V73" s="571"/>
      <c r="W73" s="571"/>
      <c r="X73" s="571"/>
      <c r="Y73" s="571"/>
      <c r="Z73" s="571"/>
      <c r="AA73" s="571"/>
      <c r="AB73" s="571"/>
      <c r="AC73" s="571"/>
      <c r="AD73" s="571"/>
      <c r="AE73" s="571"/>
      <c r="AF73" s="571"/>
      <c r="AG73" s="571"/>
      <c r="AH73" s="571"/>
      <c r="AI73" s="571"/>
      <c r="AJ73" s="571"/>
      <c r="AK73" s="571"/>
      <c r="AL73" s="571"/>
      <c r="AM73" s="571"/>
      <c r="AN73" s="571"/>
      <c r="AO73" s="571"/>
    </row>
    <row r="74">
      <c r="B74" s="852" t="s">
        <v>1295</v>
      </c>
      <c r="G74" s="571"/>
      <c r="H74" s="571"/>
      <c r="I74" s="571"/>
      <c r="J74" s="571"/>
      <c r="K74" s="571"/>
      <c r="L74" s="571"/>
      <c r="M74" s="571"/>
      <c r="N74" s="571"/>
      <c r="O74" s="571"/>
      <c r="P74" s="571"/>
      <c r="Q74" s="571"/>
      <c r="R74" s="571"/>
      <c r="S74" s="571"/>
      <c r="T74" s="571"/>
      <c r="U74" s="571"/>
      <c r="V74" s="571"/>
      <c r="W74" s="571"/>
      <c r="X74" s="571"/>
      <c r="Y74" s="571"/>
      <c r="Z74" s="571"/>
      <c r="AA74" s="571"/>
      <c r="AB74" s="571"/>
      <c r="AC74" s="571"/>
      <c r="AD74" s="571"/>
      <c r="AE74" s="571"/>
      <c r="AF74" s="571"/>
      <c r="AG74" s="571"/>
      <c r="AH74" s="571"/>
      <c r="AI74" s="571"/>
      <c r="AJ74" s="571"/>
      <c r="AK74" s="571"/>
      <c r="AL74" s="571"/>
      <c r="AM74" s="571"/>
      <c r="AN74" s="571"/>
      <c r="AO74" s="571"/>
    </row>
    <row r="75">
      <c r="A75" s="850" t="s">
        <v>1304</v>
      </c>
      <c r="B75" s="851" t="s">
        <v>1287</v>
      </c>
      <c r="G75" s="571"/>
      <c r="H75" s="571"/>
      <c r="I75" s="571"/>
      <c r="J75" s="571"/>
      <c r="K75" s="571"/>
      <c r="L75" s="571"/>
      <c r="M75" s="571"/>
      <c r="N75" s="571"/>
      <c r="O75" s="571"/>
      <c r="P75" s="571"/>
      <c r="Q75" s="571"/>
      <c r="R75" s="571"/>
      <c r="S75" s="571"/>
      <c r="T75" s="571"/>
      <c r="U75" s="571"/>
      <c r="V75" s="571"/>
      <c r="W75" s="571"/>
      <c r="X75" s="571"/>
      <c r="Y75" s="571"/>
      <c r="Z75" s="571"/>
      <c r="AA75" s="571"/>
      <c r="AB75" s="571"/>
      <c r="AC75" s="571"/>
      <c r="AD75" s="571"/>
      <c r="AE75" s="571"/>
      <c r="AF75" s="571"/>
      <c r="AG75" s="571"/>
      <c r="AH75" s="571"/>
      <c r="AI75" s="571"/>
      <c r="AJ75" s="571"/>
      <c r="AK75" s="571"/>
      <c r="AL75" s="571"/>
      <c r="AM75" s="571"/>
      <c r="AN75" s="571"/>
      <c r="AO75" s="571"/>
    </row>
    <row r="76">
      <c r="B76" s="852" t="s">
        <v>1288</v>
      </c>
      <c r="G76" s="571"/>
      <c r="H76" s="571"/>
      <c r="I76" s="571"/>
      <c r="J76" s="571"/>
      <c r="K76" s="571"/>
      <c r="L76" s="571"/>
      <c r="M76" s="571"/>
      <c r="N76" s="571"/>
      <c r="O76" s="571"/>
      <c r="P76" s="571"/>
      <c r="Q76" s="571"/>
      <c r="R76" s="571"/>
      <c r="S76" s="571"/>
      <c r="T76" s="571"/>
      <c r="U76" s="571"/>
      <c r="V76" s="571"/>
      <c r="W76" s="571"/>
      <c r="X76" s="571"/>
      <c r="Y76" s="571"/>
      <c r="Z76" s="571"/>
      <c r="AA76" s="571"/>
      <c r="AB76" s="571"/>
      <c r="AC76" s="571"/>
      <c r="AD76" s="571"/>
      <c r="AE76" s="571"/>
      <c r="AF76" s="571"/>
      <c r="AG76" s="571"/>
      <c r="AH76" s="571"/>
      <c r="AI76" s="571"/>
      <c r="AJ76" s="571"/>
      <c r="AK76" s="571"/>
      <c r="AL76" s="571"/>
      <c r="AM76" s="571"/>
      <c r="AN76" s="571"/>
      <c r="AO76" s="571"/>
    </row>
    <row r="77">
      <c r="B77" s="852" t="s">
        <v>1289</v>
      </c>
      <c r="G77" s="571"/>
      <c r="H77" s="571"/>
      <c r="I77" s="571"/>
      <c r="J77" s="571"/>
      <c r="K77" s="571"/>
      <c r="L77" s="571"/>
      <c r="M77" s="571"/>
      <c r="N77" s="571"/>
      <c r="O77" s="571"/>
      <c r="P77" s="571"/>
      <c r="Q77" s="571"/>
      <c r="R77" s="571"/>
      <c r="S77" s="571"/>
      <c r="T77" s="571"/>
      <c r="U77" s="571"/>
      <c r="V77" s="571"/>
      <c r="W77" s="571"/>
      <c r="X77" s="571"/>
      <c r="Y77" s="571"/>
      <c r="Z77" s="571"/>
      <c r="AA77" s="571"/>
      <c r="AB77" s="571"/>
      <c r="AC77" s="571"/>
      <c r="AD77" s="571"/>
      <c r="AE77" s="571"/>
      <c r="AF77" s="571"/>
      <c r="AG77" s="571"/>
      <c r="AH77" s="571"/>
      <c r="AI77" s="571"/>
      <c r="AJ77" s="571"/>
      <c r="AK77" s="571"/>
      <c r="AL77" s="571"/>
      <c r="AM77" s="571"/>
      <c r="AN77" s="571"/>
      <c r="AO77" s="571"/>
    </row>
    <row r="78">
      <c r="B78" s="852" t="s">
        <v>1290</v>
      </c>
      <c r="G78" s="571"/>
      <c r="H78" s="571"/>
      <c r="I78" s="571"/>
      <c r="J78" s="571"/>
      <c r="K78" s="571"/>
      <c r="L78" s="571"/>
      <c r="M78" s="571"/>
      <c r="N78" s="571"/>
      <c r="O78" s="571"/>
      <c r="P78" s="571"/>
      <c r="Q78" s="571"/>
      <c r="R78" s="571"/>
      <c r="S78" s="571"/>
      <c r="T78" s="571"/>
      <c r="U78" s="571"/>
      <c r="V78" s="571"/>
      <c r="W78" s="571"/>
      <c r="X78" s="571"/>
      <c r="Y78" s="571"/>
      <c r="Z78" s="571"/>
      <c r="AA78" s="571"/>
      <c r="AB78" s="571"/>
      <c r="AC78" s="571"/>
      <c r="AD78" s="571"/>
      <c r="AE78" s="571"/>
      <c r="AF78" s="571"/>
      <c r="AG78" s="571"/>
      <c r="AH78" s="571"/>
      <c r="AI78" s="571"/>
      <c r="AJ78" s="571"/>
      <c r="AK78" s="571"/>
      <c r="AL78" s="571"/>
      <c r="AM78" s="571"/>
      <c r="AN78" s="571"/>
      <c r="AO78" s="571"/>
    </row>
    <row r="79">
      <c r="B79" s="855" t="s">
        <v>1291</v>
      </c>
      <c r="G79" s="571"/>
      <c r="H79" s="571"/>
      <c r="I79" s="571"/>
      <c r="J79" s="571"/>
      <c r="K79" s="571"/>
      <c r="L79" s="571"/>
      <c r="M79" s="571"/>
      <c r="N79" s="571"/>
      <c r="O79" s="571"/>
      <c r="P79" s="571"/>
      <c r="Q79" s="571"/>
      <c r="R79" s="571"/>
      <c r="S79" s="571"/>
      <c r="T79" s="571"/>
      <c r="U79" s="571"/>
      <c r="V79" s="571"/>
      <c r="W79" s="571"/>
      <c r="X79" s="571"/>
      <c r="Y79" s="571"/>
      <c r="Z79" s="571"/>
      <c r="AA79" s="571"/>
      <c r="AB79" s="571"/>
      <c r="AC79" s="571"/>
      <c r="AD79" s="571"/>
      <c r="AE79" s="571"/>
      <c r="AF79" s="571"/>
      <c r="AG79" s="571"/>
      <c r="AH79" s="571"/>
      <c r="AI79" s="571"/>
      <c r="AJ79" s="571"/>
      <c r="AK79" s="571"/>
      <c r="AL79" s="571"/>
      <c r="AM79" s="571"/>
      <c r="AN79" s="571"/>
      <c r="AO79" s="571"/>
    </row>
    <row r="80">
      <c r="B80" s="855" t="s">
        <v>1292</v>
      </c>
      <c r="G80" s="571"/>
      <c r="H80" s="571"/>
      <c r="I80" s="571"/>
      <c r="J80" s="571"/>
      <c r="K80" s="571"/>
      <c r="L80" s="571"/>
      <c r="M80" s="571"/>
      <c r="N80" s="571"/>
      <c r="O80" s="571"/>
      <c r="P80" s="571"/>
      <c r="Q80" s="571"/>
      <c r="R80" s="571"/>
      <c r="S80" s="571"/>
      <c r="T80" s="571"/>
      <c r="U80" s="571"/>
      <c r="V80" s="571"/>
      <c r="W80" s="571"/>
      <c r="X80" s="571"/>
      <c r="Y80" s="571"/>
      <c r="Z80" s="571"/>
      <c r="AA80" s="571"/>
      <c r="AB80" s="571"/>
      <c r="AC80" s="571"/>
      <c r="AD80" s="571"/>
      <c r="AE80" s="571"/>
      <c r="AF80" s="571"/>
      <c r="AG80" s="571"/>
      <c r="AH80" s="571"/>
      <c r="AI80" s="571"/>
      <c r="AJ80" s="571"/>
      <c r="AK80" s="571"/>
      <c r="AL80" s="571"/>
      <c r="AM80" s="571"/>
      <c r="AN80" s="571"/>
      <c r="AO80" s="571"/>
    </row>
    <row r="81">
      <c r="B81" s="852" t="s">
        <v>1293</v>
      </c>
      <c r="G81" s="571"/>
      <c r="H81" s="571"/>
      <c r="I81" s="571"/>
      <c r="J81" s="571"/>
      <c r="K81" s="571"/>
      <c r="L81" s="571"/>
      <c r="M81" s="571"/>
      <c r="N81" s="571"/>
      <c r="O81" s="571"/>
      <c r="P81" s="571"/>
      <c r="Q81" s="571"/>
      <c r="R81" s="571"/>
      <c r="S81" s="571"/>
      <c r="T81" s="571"/>
      <c r="U81" s="571"/>
      <c r="V81" s="571"/>
      <c r="W81" s="571"/>
      <c r="X81" s="571"/>
      <c r="Y81" s="571"/>
      <c r="Z81" s="571"/>
      <c r="AA81" s="571"/>
      <c r="AB81" s="571"/>
      <c r="AC81" s="571"/>
      <c r="AD81" s="571"/>
      <c r="AE81" s="571"/>
      <c r="AF81" s="571"/>
      <c r="AG81" s="571"/>
      <c r="AH81" s="571"/>
      <c r="AI81" s="571"/>
      <c r="AJ81" s="571"/>
      <c r="AK81" s="571"/>
      <c r="AL81" s="571"/>
      <c r="AM81" s="571"/>
      <c r="AN81" s="571"/>
      <c r="AO81" s="571"/>
    </row>
    <row r="82">
      <c r="B82" s="852" t="s">
        <v>1294</v>
      </c>
      <c r="G82" s="571"/>
      <c r="H82" s="571"/>
      <c r="I82" s="571"/>
      <c r="J82" s="571"/>
      <c r="K82" s="571"/>
      <c r="L82" s="571"/>
      <c r="M82" s="571"/>
      <c r="N82" s="571"/>
      <c r="O82" s="571"/>
      <c r="P82" s="571"/>
      <c r="Q82" s="571"/>
      <c r="R82" s="571"/>
      <c r="S82" s="571"/>
      <c r="T82" s="571"/>
      <c r="U82" s="571"/>
      <c r="V82" s="571"/>
      <c r="W82" s="571"/>
      <c r="X82" s="571"/>
      <c r="Y82" s="571"/>
      <c r="Z82" s="571"/>
      <c r="AA82" s="571"/>
      <c r="AB82" s="571"/>
      <c r="AC82" s="571"/>
      <c r="AD82" s="571"/>
      <c r="AE82" s="571"/>
      <c r="AF82" s="571"/>
      <c r="AG82" s="571"/>
      <c r="AH82" s="571"/>
      <c r="AI82" s="571"/>
      <c r="AJ82" s="571"/>
      <c r="AK82" s="571"/>
      <c r="AL82" s="571"/>
      <c r="AM82" s="571"/>
      <c r="AN82" s="571"/>
      <c r="AO82" s="571"/>
    </row>
    <row r="83">
      <c r="B83" s="852" t="s">
        <v>1295</v>
      </c>
      <c r="G83" s="571"/>
      <c r="H83" s="571"/>
      <c r="I83" s="571"/>
      <c r="J83" s="571"/>
      <c r="K83" s="571"/>
      <c r="L83" s="571"/>
      <c r="M83" s="571"/>
      <c r="N83" s="571"/>
      <c r="O83" s="571"/>
      <c r="P83" s="571"/>
      <c r="Q83" s="571"/>
      <c r="R83" s="571"/>
      <c r="S83" s="571"/>
      <c r="T83" s="571"/>
      <c r="U83" s="571"/>
      <c r="V83" s="571"/>
      <c r="W83" s="571"/>
      <c r="X83" s="571"/>
      <c r="Y83" s="571"/>
      <c r="Z83" s="571"/>
      <c r="AA83" s="571"/>
      <c r="AB83" s="571"/>
      <c r="AC83" s="571"/>
      <c r="AD83" s="571"/>
      <c r="AE83" s="571"/>
      <c r="AF83" s="571"/>
      <c r="AG83" s="571"/>
      <c r="AH83" s="571"/>
      <c r="AI83" s="571"/>
      <c r="AJ83" s="571"/>
      <c r="AK83" s="571"/>
      <c r="AL83" s="571"/>
      <c r="AM83" s="571"/>
      <c r="AN83" s="571"/>
      <c r="AO83" s="571"/>
    </row>
    <row r="84">
      <c r="A84" s="850" t="s">
        <v>1305</v>
      </c>
      <c r="B84" s="851" t="s">
        <v>1287</v>
      </c>
      <c r="G84" s="571"/>
      <c r="H84" s="571"/>
      <c r="I84" s="571"/>
      <c r="J84" s="571"/>
      <c r="K84" s="571"/>
      <c r="L84" s="571"/>
      <c r="M84" s="571"/>
      <c r="N84" s="571"/>
      <c r="O84" s="571"/>
      <c r="P84" s="571"/>
      <c r="Q84" s="571"/>
      <c r="R84" s="571"/>
      <c r="S84" s="571"/>
      <c r="T84" s="571"/>
      <c r="U84" s="571"/>
      <c r="V84" s="571"/>
      <c r="W84" s="571"/>
      <c r="X84" s="571"/>
      <c r="Y84" s="571"/>
      <c r="Z84" s="571"/>
      <c r="AA84" s="571"/>
      <c r="AB84" s="571"/>
      <c r="AC84" s="571"/>
      <c r="AD84" s="571"/>
      <c r="AE84" s="571"/>
      <c r="AF84" s="571"/>
      <c r="AG84" s="571"/>
      <c r="AH84" s="571"/>
      <c r="AI84" s="571"/>
      <c r="AJ84" s="571"/>
      <c r="AK84" s="571"/>
      <c r="AL84" s="571"/>
      <c r="AM84" s="571"/>
      <c r="AN84" s="571"/>
      <c r="AO84" s="571"/>
    </row>
    <row r="85">
      <c r="B85" s="852" t="s">
        <v>1288</v>
      </c>
      <c r="G85" s="571"/>
      <c r="H85" s="571"/>
      <c r="I85" s="571"/>
      <c r="J85" s="571"/>
      <c r="K85" s="571"/>
      <c r="L85" s="571"/>
      <c r="M85" s="571"/>
      <c r="N85" s="571"/>
      <c r="O85" s="571"/>
      <c r="P85" s="571"/>
      <c r="Q85" s="571"/>
      <c r="R85" s="571"/>
      <c r="S85" s="571"/>
      <c r="T85" s="571"/>
      <c r="U85" s="571"/>
      <c r="V85" s="571"/>
      <c r="W85" s="571"/>
      <c r="X85" s="571"/>
      <c r="Y85" s="571"/>
      <c r="Z85" s="571"/>
      <c r="AA85" s="571"/>
      <c r="AB85" s="571"/>
      <c r="AC85" s="571"/>
      <c r="AD85" s="571"/>
      <c r="AE85" s="571"/>
      <c r="AF85" s="571"/>
      <c r="AG85" s="571"/>
      <c r="AH85" s="571"/>
      <c r="AI85" s="571"/>
      <c r="AJ85" s="571"/>
      <c r="AK85" s="571"/>
      <c r="AL85" s="571"/>
      <c r="AM85" s="571"/>
      <c r="AN85" s="571"/>
      <c r="AO85" s="571"/>
    </row>
    <row r="86">
      <c r="B86" s="852" t="s">
        <v>1289</v>
      </c>
      <c r="G86" s="571"/>
      <c r="H86" s="571"/>
      <c r="I86" s="571"/>
      <c r="J86" s="571"/>
      <c r="K86" s="571"/>
      <c r="L86" s="571"/>
      <c r="M86" s="571"/>
      <c r="N86" s="571"/>
      <c r="O86" s="571"/>
      <c r="P86" s="571"/>
      <c r="Q86" s="571"/>
      <c r="R86" s="571"/>
      <c r="S86" s="571"/>
      <c r="T86" s="571"/>
      <c r="U86" s="571"/>
      <c r="V86" s="571"/>
      <c r="W86" s="571"/>
      <c r="X86" s="571"/>
      <c r="Y86" s="571"/>
      <c r="Z86" s="571"/>
      <c r="AA86" s="571"/>
      <c r="AB86" s="571"/>
      <c r="AC86" s="571"/>
      <c r="AD86" s="571"/>
      <c r="AE86" s="571"/>
      <c r="AF86" s="571"/>
      <c r="AG86" s="571"/>
      <c r="AH86" s="571"/>
      <c r="AI86" s="571"/>
      <c r="AJ86" s="571"/>
      <c r="AK86" s="571"/>
      <c r="AL86" s="571"/>
      <c r="AM86" s="571"/>
      <c r="AN86" s="571"/>
      <c r="AO86" s="571"/>
    </row>
    <row r="87">
      <c r="B87" s="852" t="s">
        <v>1290</v>
      </c>
      <c r="G87" s="571"/>
      <c r="H87" s="571"/>
      <c r="I87" s="571"/>
      <c r="J87" s="571"/>
      <c r="K87" s="571"/>
      <c r="L87" s="571"/>
      <c r="M87" s="571"/>
      <c r="N87" s="571"/>
      <c r="O87" s="571"/>
      <c r="P87" s="571"/>
      <c r="Q87" s="571"/>
      <c r="R87" s="571"/>
      <c r="S87" s="571"/>
      <c r="T87" s="571"/>
      <c r="U87" s="571"/>
      <c r="V87" s="571"/>
      <c r="W87" s="571"/>
      <c r="X87" s="571"/>
      <c r="Y87" s="571"/>
      <c r="Z87" s="571"/>
      <c r="AA87" s="571"/>
      <c r="AB87" s="571"/>
      <c r="AC87" s="571"/>
      <c r="AD87" s="571"/>
      <c r="AE87" s="571"/>
      <c r="AF87" s="571"/>
      <c r="AG87" s="571"/>
      <c r="AH87" s="571"/>
      <c r="AI87" s="571"/>
      <c r="AJ87" s="571"/>
      <c r="AK87" s="571"/>
      <c r="AL87" s="571"/>
      <c r="AM87" s="571"/>
      <c r="AN87" s="571"/>
      <c r="AO87" s="571"/>
    </row>
    <row r="88">
      <c r="B88" s="855" t="s">
        <v>1291</v>
      </c>
      <c r="G88" s="571"/>
      <c r="H88" s="571"/>
      <c r="I88" s="571"/>
      <c r="J88" s="571"/>
      <c r="K88" s="571"/>
      <c r="L88" s="571"/>
      <c r="M88" s="571"/>
      <c r="N88" s="571"/>
      <c r="O88" s="571"/>
      <c r="P88" s="571"/>
      <c r="Q88" s="571"/>
      <c r="R88" s="571"/>
      <c r="S88" s="571"/>
      <c r="T88" s="571"/>
      <c r="U88" s="571"/>
      <c r="V88" s="571"/>
      <c r="W88" s="571"/>
      <c r="X88" s="571"/>
      <c r="Y88" s="571"/>
      <c r="Z88" s="571"/>
      <c r="AA88" s="571"/>
      <c r="AB88" s="571"/>
      <c r="AC88" s="571"/>
      <c r="AD88" s="571"/>
      <c r="AE88" s="571"/>
      <c r="AF88" s="571"/>
      <c r="AG88" s="571"/>
      <c r="AH88" s="571"/>
      <c r="AI88" s="571"/>
      <c r="AJ88" s="571"/>
      <c r="AK88" s="571"/>
      <c r="AL88" s="571"/>
      <c r="AM88" s="571"/>
      <c r="AN88" s="571"/>
      <c r="AO88" s="571"/>
    </row>
    <row r="89">
      <c r="B89" s="855" t="s">
        <v>1292</v>
      </c>
      <c r="G89" s="571"/>
      <c r="H89" s="571"/>
      <c r="I89" s="571"/>
      <c r="J89" s="571"/>
      <c r="K89" s="571"/>
      <c r="L89" s="571"/>
      <c r="M89" s="571"/>
      <c r="N89" s="571"/>
      <c r="O89" s="571"/>
      <c r="P89" s="571"/>
      <c r="Q89" s="571"/>
      <c r="R89" s="571"/>
      <c r="S89" s="571"/>
      <c r="T89" s="571"/>
      <c r="U89" s="571"/>
      <c r="V89" s="571"/>
      <c r="W89" s="571"/>
      <c r="X89" s="571"/>
      <c r="Y89" s="571"/>
      <c r="Z89" s="571"/>
      <c r="AA89" s="571"/>
      <c r="AB89" s="571"/>
      <c r="AC89" s="571"/>
      <c r="AD89" s="571"/>
      <c r="AE89" s="571"/>
      <c r="AF89" s="571"/>
      <c r="AG89" s="571"/>
      <c r="AH89" s="571"/>
      <c r="AI89" s="571"/>
      <c r="AJ89" s="571"/>
      <c r="AK89" s="571"/>
      <c r="AL89" s="571"/>
      <c r="AM89" s="571"/>
      <c r="AN89" s="571"/>
      <c r="AO89" s="571"/>
    </row>
    <row r="90">
      <c r="B90" s="852" t="s">
        <v>1293</v>
      </c>
      <c r="G90" s="571"/>
      <c r="H90" s="571"/>
      <c r="I90" s="571"/>
      <c r="J90" s="571"/>
      <c r="K90" s="571"/>
      <c r="L90" s="571"/>
      <c r="M90" s="571"/>
      <c r="N90" s="571"/>
      <c r="O90" s="571"/>
      <c r="P90" s="571"/>
      <c r="Q90" s="571"/>
      <c r="R90" s="571"/>
      <c r="S90" s="571"/>
      <c r="T90" s="571"/>
      <c r="U90" s="571"/>
      <c r="V90" s="571"/>
      <c r="W90" s="571"/>
      <c r="X90" s="571"/>
      <c r="Y90" s="571"/>
      <c r="Z90" s="571"/>
      <c r="AA90" s="571"/>
      <c r="AB90" s="571"/>
      <c r="AC90" s="571"/>
      <c r="AD90" s="571"/>
      <c r="AE90" s="571"/>
      <c r="AF90" s="571"/>
      <c r="AG90" s="571"/>
      <c r="AH90" s="571"/>
      <c r="AI90" s="571"/>
      <c r="AJ90" s="571"/>
      <c r="AK90" s="571"/>
      <c r="AL90" s="571"/>
      <c r="AM90" s="571"/>
      <c r="AN90" s="571"/>
      <c r="AO90" s="571"/>
    </row>
    <row r="91">
      <c r="B91" s="852" t="s">
        <v>1294</v>
      </c>
      <c r="G91" s="571"/>
      <c r="H91" s="571"/>
      <c r="I91" s="571"/>
      <c r="J91" s="571"/>
      <c r="K91" s="571"/>
      <c r="L91" s="571"/>
      <c r="M91" s="571"/>
      <c r="N91" s="571"/>
      <c r="O91" s="571"/>
      <c r="P91" s="571"/>
      <c r="Q91" s="571"/>
      <c r="R91" s="571"/>
      <c r="S91" s="571"/>
      <c r="T91" s="571"/>
      <c r="U91" s="571"/>
      <c r="V91" s="571"/>
      <c r="W91" s="571"/>
      <c r="X91" s="571"/>
      <c r="Y91" s="571"/>
      <c r="Z91" s="571"/>
      <c r="AA91" s="571"/>
      <c r="AB91" s="571"/>
      <c r="AC91" s="571"/>
      <c r="AD91" s="571"/>
      <c r="AE91" s="571"/>
      <c r="AF91" s="571"/>
      <c r="AG91" s="571"/>
      <c r="AH91" s="571"/>
      <c r="AI91" s="571"/>
      <c r="AJ91" s="571"/>
      <c r="AK91" s="571"/>
      <c r="AL91" s="571"/>
      <c r="AM91" s="571"/>
      <c r="AN91" s="571"/>
      <c r="AO91" s="571"/>
    </row>
    <row r="92">
      <c r="B92" s="852" t="s">
        <v>1295</v>
      </c>
      <c r="G92" s="571"/>
      <c r="H92" s="571"/>
      <c r="I92" s="571"/>
      <c r="J92" s="571"/>
      <c r="K92" s="571"/>
      <c r="L92" s="571"/>
      <c r="M92" s="571"/>
      <c r="N92" s="571"/>
      <c r="O92" s="571"/>
      <c r="P92" s="571"/>
      <c r="Q92" s="571"/>
      <c r="R92" s="571"/>
      <c r="S92" s="571"/>
      <c r="T92" s="571"/>
      <c r="U92" s="571"/>
      <c r="V92" s="571"/>
      <c r="W92" s="571"/>
      <c r="X92" s="571"/>
      <c r="Y92" s="571"/>
      <c r="Z92" s="571"/>
      <c r="AA92" s="571"/>
      <c r="AB92" s="571"/>
      <c r="AC92" s="571"/>
      <c r="AD92" s="571"/>
      <c r="AE92" s="571"/>
      <c r="AF92" s="571"/>
      <c r="AG92" s="571"/>
      <c r="AH92" s="571"/>
      <c r="AI92" s="571"/>
      <c r="AJ92" s="571"/>
      <c r="AK92" s="571"/>
      <c r="AL92" s="571"/>
      <c r="AM92" s="571"/>
      <c r="AN92" s="571"/>
      <c r="AO92" s="571"/>
    </row>
    <row r="93">
      <c r="A93" s="850" t="s">
        <v>1306</v>
      </c>
      <c r="B93" s="851" t="s">
        <v>1287</v>
      </c>
      <c r="G93" s="571"/>
      <c r="H93" s="571"/>
      <c r="I93" s="571"/>
      <c r="J93" s="571"/>
      <c r="K93" s="571"/>
      <c r="L93" s="571"/>
      <c r="M93" s="571"/>
      <c r="N93" s="571"/>
      <c r="O93" s="571"/>
      <c r="P93" s="571"/>
      <c r="Q93" s="571"/>
      <c r="R93" s="571"/>
      <c r="S93" s="571"/>
      <c r="T93" s="571"/>
      <c r="U93" s="571"/>
      <c r="V93" s="571"/>
      <c r="W93" s="571"/>
      <c r="X93" s="571"/>
      <c r="Y93" s="571"/>
      <c r="Z93" s="571"/>
      <c r="AA93" s="571"/>
      <c r="AB93" s="571"/>
      <c r="AC93" s="571"/>
      <c r="AD93" s="571"/>
      <c r="AE93" s="571"/>
      <c r="AF93" s="571"/>
      <c r="AG93" s="571"/>
      <c r="AH93" s="571"/>
      <c r="AI93" s="571"/>
      <c r="AJ93" s="571"/>
      <c r="AK93" s="571"/>
      <c r="AL93" s="571"/>
      <c r="AM93" s="571"/>
      <c r="AN93" s="571"/>
      <c r="AO93" s="571"/>
    </row>
    <row r="94">
      <c r="B94" s="852" t="s">
        <v>1288</v>
      </c>
      <c r="G94" s="571"/>
      <c r="H94" s="571"/>
      <c r="I94" s="571"/>
      <c r="J94" s="571"/>
      <c r="K94" s="571"/>
      <c r="L94" s="571"/>
      <c r="M94" s="571"/>
      <c r="N94" s="571"/>
      <c r="O94" s="571"/>
      <c r="P94" s="571"/>
      <c r="Q94" s="571"/>
      <c r="R94" s="571"/>
      <c r="S94" s="571"/>
      <c r="T94" s="571"/>
      <c r="U94" s="571"/>
      <c r="V94" s="571"/>
      <c r="W94" s="571"/>
      <c r="X94" s="571"/>
      <c r="Y94" s="571"/>
      <c r="Z94" s="571"/>
      <c r="AA94" s="571"/>
      <c r="AB94" s="571"/>
      <c r="AC94" s="571"/>
      <c r="AD94" s="571"/>
      <c r="AE94" s="571"/>
      <c r="AF94" s="571"/>
      <c r="AG94" s="571"/>
      <c r="AH94" s="571"/>
      <c r="AI94" s="571"/>
      <c r="AJ94" s="571"/>
      <c r="AK94" s="571"/>
      <c r="AL94" s="571"/>
      <c r="AM94" s="571"/>
      <c r="AN94" s="571"/>
      <c r="AO94" s="571"/>
    </row>
    <row r="95">
      <c r="B95" s="852" t="s">
        <v>1289</v>
      </c>
      <c r="G95" s="571"/>
      <c r="H95" s="571"/>
      <c r="I95" s="571"/>
      <c r="J95" s="571"/>
      <c r="K95" s="571"/>
      <c r="L95" s="571"/>
      <c r="M95" s="571"/>
      <c r="N95" s="571"/>
      <c r="O95" s="571"/>
      <c r="P95" s="571"/>
      <c r="Q95" s="571"/>
      <c r="R95" s="571"/>
      <c r="S95" s="571"/>
      <c r="T95" s="571"/>
      <c r="U95" s="571"/>
      <c r="V95" s="571"/>
      <c r="W95" s="571"/>
      <c r="X95" s="571"/>
      <c r="Y95" s="571"/>
      <c r="Z95" s="571"/>
      <c r="AA95" s="571"/>
      <c r="AB95" s="571"/>
      <c r="AC95" s="571"/>
      <c r="AD95" s="571"/>
      <c r="AE95" s="571"/>
      <c r="AF95" s="571"/>
      <c r="AG95" s="571"/>
      <c r="AH95" s="571"/>
      <c r="AI95" s="571"/>
      <c r="AJ95" s="571"/>
      <c r="AK95" s="571"/>
      <c r="AL95" s="571"/>
      <c r="AM95" s="571"/>
      <c r="AN95" s="571"/>
      <c r="AO95" s="571"/>
    </row>
    <row r="96">
      <c r="B96" s="852" t="s">
        <v>1290</v>
      </c>
      <c r="G96" s="571"/>
      <c r="H96" s="571"/>
      <c r="I96" s="571"/>
      <c r="J96" s="571"/>
      <c r="K96" s="571"/>
      <c r="L96" s="571"/>
      <c r="M96" s="571"/>
      <c r="N96" s="571"/>
      <c r="O96" s="571"/>
      <c r="P96" s="571"/>
      <c r="Q96" s="571"/>
      <c r="R96" s="571"/>
      <c r="S96" s="571"/>
      <c r="T96" s="571"/>
      <c r="U96" s="571"/>
      <c r="V96" s="571"/>
      <c r="W96" s="571"/>
      <c r="X96" s="571"/>
      <c r="Y96" s="571"/>
      <c r="Z96" s="571"/>
      <c r="AA96" s="571"/>
      <c r="AB96" s="571"/>
      <c r="AC96" s="571"/>
      <c r="AD96" s="571"/>
      <c r="AE96" s="571"/>
      <c r="AF96" s="571"/>
      <c r="AG96" s="571"/>
      <c r="AH96" s="571"/>
      <c r="AI96" s="571"/>
      <c r="AJ96" s="571"/>
      <c r="AK96" s="571"/>
      <c r="AL96" s="571"/>
      <c r="AM96" s="571"/>
      <c r="AN96" s="571"/>
      <c r="AO96" s="571"/>
    </row>
    <row r="97">
      <c r="B97" s="855" t="s">
        <v>1291</v>
      </c>
      <c r="G97" s="571"/>
      <c r="H97" s="571"/>
      <c r="I97" s="571"/>
      <c r="J97" s="571"/>
      <c r="K97" s="571"/>
      <c r="L97" s="571"/>
      <c r="M97" s="571"/>
      <c r="N97" s="571"/>
      <c r="O97" s="571"/>
      <c r="P97" s="571"/>
      <c r="Q97" s="571"/>
      <c r="R97" s="571"/>
      <c r="S97" s="571"/>
      <c r="T97" s="571"/>
      <c r="U97" s="571"/>
      <c r="V97" s="571"/>
      <c r="W97" s="571"/>
      <c r="X97" s="571"/>
      <c r="Y97" s="571"/>
      <c r="Z97" s="571"/>
      <c r="AA97" s="571"/>
      <c r="AB97" s="571"/>
      <c r="AC97" s="571"/>
      <c r="AD97" s="571"/>
      <c r="AE97" s="571"/>
      <c r="AF97" s="571"/>
      <c r="AG97" s="571"/>
      <c r="AH97" s="571"/>
      <c r="AI97" s="571"/>
      <c r="AJ97" s="571"/>
      <c r="AK97" s="571"/>
      <c r="AL97" s="571"/>
      <c r="AM97" s="571"/>
      <c r="AN97" s="571"/>
      <c r="AO97" s="571"/>
    </row>
    <row r="98">
      <c r="B98" s="855" t="s">
        <v>1292</v>
      </c>
      <c r="G98" s="571"/>
      <c r="H98" s="571"/>
      <c r="I98" s="571"/>
      <c r="J98" s="571"/>
      <c r="K98" s="571"/>
      <c r="L98" s="571"/>
      <c r="M98" s="571"/>
      <c r="N98" s="571"/>
      <c r="O98" s="571"/>
      <c r="P98" s="571"/>
      <c r="Q98" s="571"/>
      <c r="R98" s="571"/>
      <c r="S98" s="571"/>
      <c r="T98" s="571"/>
      <c r="U98" s="571"/>
      <c r="V98" s="571"/>
      <c r="W98" s="571"/>
      <c r="X98" s="571"/>
      <c r="Y98" s="571"/>
      <c r="Z98" s="571"/>
      <c r="AA98" s="571"/>
      <c r="AB98" s="571"/>
      <c r="AC98" s="571"/>
      <c r="AD98" s="571"/>
      <c r="AE98" s="571"/>
      <c r="AF98" s="571"/>
      <c r="AG98" s="571"/>
      <c r="AH98" s="571"/>
      <c r="AI98" s="571"/>
      <c r="AJ98" s="571"/>
      <c r="AK98" s="571"/>
      <c r="AL98" s="571"/>
      <c r="AM98" s="571"/>
      <c r="AN98" s="571"/>
      <c r="AO98" s="571"/>
    </row>
    <row r="99">
      <c r="B99" s="852" t="s">
        <v>1293</v>
      </c>
      <c r="G99" s="571"/>
      <c r="H99" s="571"/>
      <c r="I99" s="571"/>
      <c r="J99" s="571"/>
      <c r="K99" s="571"/>
      <c r="L99" s="571"/>
      <c r="M99" s="571"/>
      <c r="N99" s="571"/>
      <c r="O99" s="571"/>
      <c r="P99" s="571"/>
      <c r="Q99" s="571"/>
      <c r="R99" s="571"/>
      <c r="S99" s="571"/>
      <c r="T99" s="571"/>
      <c r="U99" s="571"/>
      <c r="V99" s="571"/>
      <c r="W99" s="571"/>
      <c r="X99" s="571"/>
      <c r="Y99" s="571"/>
      <c r="Z99" s="571"/>
      <c r="AA99" s="571"/>
      <c r="AB99" s="571"/>
      <c r="AC99" s="571"/>
      <c r="AD99" s="571"/>
      <c r="AE99" s="571"/>
      <c r="AF99" s="571"/>
      <c r="AG99" s="571"/>
      <c r="AH99" s="571"/>
      <c r="AI99" s="571"/>
      <c r="AJ99" s="571"/>
      <c r="AK99" s="571"/>
      <c r="AL99" s="571"/>
      <c r="AM99" s="571"/>
      <c r="AN99" s="571"/>
      <c r="AO99" s="571"/>
    </row>
    <row r="100">
      <c r="B100" s="852" t="s">
        <v>1294</v>
      </c>
      <c r="G100" s="571"/>
      <c r="H100" s="571"/>
      <c r="I100" s="571"/>
      <c r="J100" s="571"/>
      <c r="K100" s="571"/>
      <c r="L100" s="571"/>
      <c r="M100" s="571"/>
      <c r="N100" s="571"/>
      <c r="O100" s="571"/>
      <c r="P100" s="571"/>
      <c r="Q100" s="571"/>
      <c r="R100" s="571"/>
      <c r="S100" s="571"/>
      <c r="T100" s="571"/>
      <c r="U100" s="571"/>
      <c r="V100" s="571"/>
      <c r="W100" s="571"/>
      <c r="X100" s="571"/>
      <c r="Y100" s="571"/>
      <c r="Z100" s="571"/>
      <c r="AA100" s="571"/>
      <c r="AB100" s="571"/>
      <c r="AC100" s="571"/>
      <c r="AD100" s="571"/>
      <c r="AE100" s="571"/>
      <c r="AF100" s="571"/>
      <c r="AG100" s="571"/>
      <c r="AH100" s="571"/>
      <c r="AI100" s="571"/>
      <c r="AJ100" s="571"/>
      <c r="AK100" s="571"/>
      <c r="AL100" s="571"/>
      <c r="AM100" s="571"/>
      <c r="AN100" s="571"/>
      <c r="AO100" s="571"/>
    </row>
    <row r="101">
      <c r="B101" s="852" t="s">
        <v>1295</v>
      </c>
      <c r="G101" s="571"/>
      <c r="H101" s="571"/>
      <c r="I101" s="571"/>
      <c r="J101" s="571"/>
      <c r="K101" s="571"/>
      <c r="L101" s="571"/>
      <c r="M101" s="571"/>
      <c r="N101" s="571"/>
      <c r="O101" s="571"/>
      <c r="P101" s="571"/>
      <c r="Q101" s="571"/>
      <c r="R101" s="571"/>
      <c r="S101" s="571"/>
      <c r="T101" s="571"/>
      <c r="U101" s="571"/>
      <c r="V101" s="571"/>
      <c r="W101" s="571"/>
      <c r="X101" s="571"/>
      <c r="Y101" s="571"/>
      <c r="Z101" s="571"/>
      <c r="AA101" s="571"/>
      <c r="AB101" s="571"/>
      <c r="AC101" s="571"/>
      <c r="AD101" s="571"/>
      <c r="AE101" s="571"/>
      <c r="AF101" s="571"/>
      <c r="AG101" s="571"/>
      <c r="AH101" s="571"/>
      <c r="AI101" s="571"/>
      <c r="AJ101" s="571"/>
      <c r="AK101" s="571"/>
      <c r="AL101" s="571"/>
      <c r="AM101" s="571"/>
      <c r="AN101" s="571"/>
      <c r="AO101" s="571"/>
    </row>
    <row r="102">
      <c r="A102" s="850" t="s">
        <v>1307</v>
      </c>
      <c r="B102" s="851" t="s">
        <v>1287</v>
      </c>
      <c r="G102" s="571"/>
      <c r="H102" s="571"/>
      <c r="I102" s="571"/>
      <c r="J102" s="571"/>
      <c r="K102" s="571"/>
      <c r="L102" s="571"/>
      <c r="M102" s="571"/>
      <c r="N102" s="571"/>
      <c r="O102" s="571"/>
      <c r="P102" s="571"/>
      <c r="Q102" s="571"/>
      <c r="R102" s="571"/>
      <c r="S102" s="571"/>
      <c r="T102" s="571"/>
      <c r="U102" s="571"/>
      <c r="V102" s="571"/>
      <c r="W102" s="571"/>
      <c r="X102" s="571"/>
      <c r="Y102" s="571"/>
      <c r="Z102" s="571"/>
      <c r="AA102" s="571"/>
      <c r="AB102" s="571"/>
      <c r="AC102" s="571"/>
      <c r="AD102" s="571"/>
      <c r="AE102" s="571"/>
      <c r="AF102" s="571"/>
      <c r="AG102" s="571"/>
      <c r="AH102" s="571"/>
      <c r="AI102" s="571"/>
      <c r="AJ102" s="571"/>
      <c r="AK102" s="571"/>
      <c r="AL102" s="571"/>
      <c r="AM102" s="571"/>
      <c r="AN102" s="571"/>
      <c r="AO102" s="571"/>
    </row>
    <row r="103">
      <c r="B103" s="852" t="s">
        <v>1288</v>
      </c>
      <c r="G103" s="571"/>
      <c r="H103" s="571"/>
      <c r="I103" s="571"/>
      <c r="J103" s="571"/>
      <c r="K103" s="571"/>
      <c r="L103" s="571"/>
      <c r="M103" s="571"/>
      <c r="N103" s="571"/>
      <c r="O103" s="571"/>
      <c r="P103" s="571"/>
      <c r="Q103" s="571"/>
      <c r="R103" s="571"/>
      <c r="S103" s="571"/>
      <c r="T103" s="571"/>
      <c r="U103" s="571"/>
      <c r="V103" s="571"/>
      <c r="W103" s="571"/>
      <c r="X103" s="571"/>
      <c r="Y103" s="571"/>
      <c r="Z103" s="571"/>
      <c r="AA103" s="571"/>
      <c r="AB103" s="571"/>
      <c r="AC103" s="571"/>
      <c r="AD103" s="571"/>
      <c r="AE103" s="571"/>
      <c r="AF103" s="571"/>
      <c r="AG103" s="571"/>
      <c r="AH103" s="571"/>
      <c r="AI103" s="571"/>
      <c r="AJ103" s="571"/>
      <c r="AK103" s="571"/>
      <c r="AL103" s="571"/>
      <c r="AM103" s="571"/>
      <c r="AN103" s="571"/>
      <c r="AO103" s="571"/>
    </row>
    <row r="104">
      <c r="B104" s="852" t="s">
        <v>1289</v>
      </c>
      <c r="G104" s="571"/>
      <c r="H104" s="571"/>
      <c r="I104" s="571"/>
      <c r="J104" s="571"/>
      <c r="K104" s="571"/>
      <c r="L104" s="571"/>
      <c r="M104" s="571"/>
      <c r="N104" s="571"/>
      <c r="O104" s="571"/>
      <c r="P104" s="571"/>
      <c r="Q104" s="571"/>
      <c r="R104" s="571"/>
      <c r="S104" s="571"/>
      <c r="T104" s="571"/>
      <c r="U104" s="571"/>
      <c r="V104" s="571"/>
      <c r="W104" s="571"/>
      <c r="X104" s="571"/>
      <c r="Y104" s="571"/>
      <c r="Z104" s="571"/>
      <c r="AA104" s="571"/>
      <c r="AB104" s="571"/>
      <c r="AC104" s="571"/>
      <c r="AD104" s="571"/>
      <c r="AE104" s="571"/>
      <c r="AF104" s="571"/>
      <c r="AG104" s="571"/>
      <c r="AH104" s="571"/>
      <c r="AI104" s="571"/>
      <c r="AJ104" s="571"/>
      <c r="AK104" s="571"/>
      <c r="AL104" s="571"/>
      <c r="AM104" s="571"/>
      <c r="AN104" s="571"/>
      <c r="AO104" s="571"/>
    </row>
    <row r="105">
      <c r="B105" s="852" t="s">
        <v>1290</v>
      </c>
      <c r="G105" s="571"/>
      <c r="H105" s="571"/>
      <c r="I105" s="571"/>
      <c r="J105" s="571"/>
      <c r="K105" s="571"/>
      <c r="L105" s="571"/>
      <c r="M105" s="571"/>
      <c r="N105" s="571"/>
      <c r="O105" s="571"/>
      <c r="P105" s="571"/>
      <c r="Q105" s="571"/>
      <c r="R105" s="571"/>
      <c r="S105" s="571"/>
      <c r="T105" s="571"/>
      <c r="U105" s="571"/>
      <c r="V105" s="571"/>
      <c r="W105" s="571"/>
      <c r="X105" s="571"/>
      <c r="Y105" s="571"/>
      <c r="Z105" s="571"/>
      <c r="AA105" s="571"/>
      <c r="AB105" s="571"/>
      <c r="AC105" s="571"/>
      <c r="AD105" s="571"/>
      <c r="AE105" s="571"/>
      <c r="AF105" s="571"/>
      <c r="AG105" s="571"/>
      <c r="AH105" s="571"/>
      <c r="AI105" s="571"/>
      <c r="AJ105" s="571"/>
      <c r="AK105" s="571"/>
      <c r="AL105" s="571"/>
      <c r="AM105" s="571"/>
      <c r="AN105" s="571"/>
      <c r="AO105" s="571"/>
    </row>
    <row r="106">
      <c r="B106" s="855" t="s">
        <v>1291</v>
      </c>
      <c r="G106" s="571"/>
      <c r="H106" s="571"/>
      <c r="I106" s="571"/>
      <c r="J106" s="571"/>
      <c r="K106" s="571"/>
      <c r="L106" s="571"/>
      <c r="M106" s="571"/>
      <c r="N106" s="571"/>
      <c r="O106" s="571"/>
      <c r="P106" s="571"/>
      <c r="Q106" s="571"/>
      <c r="R106" s="571"/>
      <c r="S106" s="571"/>
      <c r="T106" s="571"/>
      <c r="U106" s="571"/>
      <c r="V106" s="571"/>
      <c r="W106" s="571"/>
      <c r="X106" s="571"/>
      <c r="Y106" s="571"/>
      <c r="Z106" s="571"/>
      <c r="AA106" s="571"/>
      <c r="AB106" s="571"/>
      <c r="AC106" s="571"/>
      <c r="AD106" s="571"/>
      <c r="AE106" s="571"/>
      <c r="AF106" s="571"/>
      <c r="AG106" s="571"/>
      <c r="AH106" s="571"/>
      <c r="AI106" s="571"/>
      <c r="AJ106" s="571"/>
      <c r="AK106" s="571"/>
      <c r="AL106" s="571"/>
      <c r="AM106" s="571"/>
      <c r="AN106" s="571"/>
      <c r="AO106" s="571"/>
    </row>
    <row r="107">
      <c r="B107" s="855" t="s">
        <v>1292</v>
      </c>
      <c r="G107" s="571"/>
      <c r="H107" s="571"/>
      <c r="I107" s="571"/>
      <c r="J107" s="571"/>
      <c r="K107" s="571"/>
      <c r="L107" s="571"/>
      <c r="M107" s="571"/>
      <c r="N107" s="571"/>
      <c r="O107" s="571"/>
      <c r="P107" s="571"/>
      <c r="Q107" s="571"/>
      <c r="R107" s="571"/>
      <c r="S107" s="571"/>
      <c r="T107" s="571"/>
      <c r="U107" s="571"/>
      <c r="V107" s="571"/>
      <c r="W107" s="571"/>
      <c r="X107" s="571"/>
      <c r="Y107" s="571"/>
      <c r="Z107" s="571"/>
      <c r="AA107" s="571"/>
      <c r="AB107" s="571"/>
      <c r="AC107" s="571"/>
      <c r="AD107" s="571"/>
      <c r="AE107" s="571"/>
      <c r="AF107" s="571"/>
      <c r="AG107" s="571"/>
      <c r="AH107" s="571"/>
      <c r="AI107" s="571"/>
      <c r="AJ107" s="571"/>
      <c r="AK107" s="571"/>
      <c r="AL107" s="571"/>
      <c r="AM107" s="571"/>
      <c r="AN107" s="571"/>
      <c r="AO107" s="571"/>
    </row>
    <row r="108">
      <c r="B108" s="852" t="s">
        <v>1293</v>
      </c>
      <c r="G108" s="571"/>
      <c r="H108" s="571"/>
      <c r="I108" s="571"/>
      <c r="J108" s="571"/>
      <c r="K108" s="571"/>
      <c r="L108" s="571"/>
      <c r="M108" s="571"/>
      <c r="N108" s="571"/>
      <c r="O108" s="571"/>
      <c r="P108" s="571"/>
      <c r="Q108" s="571"/>
      <c r="R108" s="571"/>
      <c r="S108" s="571"/>
      <c r="T108" s="571"/>
      <c r="U108" s="571"/>
      <c r="V108" s="571"/>
      <c r="W108" s="571"/>
      <c r="X108" s="571"/>
      <c r="Y108" s="571"/>
      <c r="Z108" s="571"/>
      <c r="AA108" s="571"/>
      <c r="AB108" s="571"/>
      <c r="AC108" s="571"/>
      <c r="AD108" s="571"/>
      <c r="AE108" s="571"/>
      <c r="AF108" s="571"/>
      <c r="AG108" s="571"/>
      <c r="AH108" s="571"/>
      <c r="AI108" s="571"/>
      <c r="AJ108" s="571"/>
      <c r="AK108" s="571"/>
      <c r="AL108" s="571"/>
      <c r="AM108" s="571"/>
      <c r="AN108" s="571"/>
      <c r="AO108" s="571"/>
    </row>
    <row r="109">
      <c r="B109" s="852" t="s">
        <v>1294</v>
      </c>
      <c r="G109" s="571"/>
      <c r="H109" s="571"/>
      <c r="I109" s="571"/>
      <c r="J109" s="571"/>
      <c r="K109" s="571"/>
      <c r="L109" s="571"/>
      <c r="M109" s="571"/>
      <c r="N109" s="571"/>
      <c r="O109" s="571"/>
      <c r="P109" s="571"/>
      <c r="Q109" s="571"/>
      <c r="R109" s="571"/>
      <c r="S109" s="571"/>
      <c r="T109" s="571"/>
      <c r="U109" s="571"/>
      <c r="V109" s="571"/>
      <c r="W109" s="571"/>
      <c r="X109" s="571"/>
      <c r="Y109" s="571"/>
      <c r="Z109" s="571"/>
      <c r="AA109" s="571"/>
      <c r="AB109" s="571"/>
      <c r="AC109" s="571"/>
      <c r="AD109" s="571"/>
      <c r="AE109" s="571"/>
      <c r="AF109" s="571"/>
      <c r="AG109" s="571"/>
      <c r="AH109" s="571"/>
      <c r="AI109" s="571"/>
      <c r="AJ109" s="571"/>
      <c r="AK109" s="571"/>
      <c r="AL109" s="571"/>
      <c r="AM109" s="571"/>
      <c r="AN109" s="571"/>
      <c r="AO109" s="571"/>
    </row>
    <row r="110">
      <c r="B110" s="852" t="s">
        <v>1295</v>
      </c>
      <c r="G110" s="571"/>
      <c r="H110" s="571"/>
      <c r="I110" s="571"/>
      <c r="J110" s="571"/>
      <c r="K110" s="571"/>
      <c r="L110" s="571"/>
      <c r="M110" s="571"/>
      <c r="N110" s="571"/>
      <c r="O110" s="571"/>
      <c r="P110" s="571"/>
      <c r="Q110" s="571"/>
      <c r="R110" s="571"/>
      <c r="S110" s="571"/>
      <c r="T110" s="571"/>
      <c r="U110" s="571"/>
      <c r="V110" s="571"/>
      <c r="W110" s="571"/>
      <c r="X110" s="571"/>
      <c r="Y110" s="571"/>
      <c r="Z110" s="571"/>
      <c r="AA110" s="571"/>
      <c r="AB110" s="571"/>
      <c r="AC110" s="571"/>
      <c r="AD110" s="571"/>
      <c r="AE110" s="571"/>
      <c r="AF110" s="571"/>
      <c r="AG110" s="571"/>
      <c r="AH110" s="571"/>
      <c r="AI110" s="571"/>
      <c r="AJ110" s="571"/>
      <c r="AK110" s="571"/>
      <c r="AL110" s="571"/>
      <c r="AM110" s="571"/>
      <c r="AN110" s="571"/>
      <c r="AO110" s="571"/>
    </row>
    <row r="111">
      <c r="A111" s="850" t="s">
        <v>1308</v>
      </c>
      <c r="B111" s="851" t="s">
        <v>1287</v>
      </c>
      <c r="G111" s="571"/>
      <c r="H111" s="571"/>
      <c r="I111" s="571"/>
      <c r="J111" s="571"/>
      <c r="K111" s="571"/>
      <c r="L111" s="571"/>
      <c r="M111" s="571"/>
      <c r="N111" s="571"/>
      <c r="O111" s="571"/>
      <c r="P111" s="571"/>
      <c r="Q111" s="571"/>
      <c r="R111" s="571"/>
      <c r="S111" s="571"/>
      <c r="T111" s="571"/>
      <c r="U111" s="571"/>
      <c r="V111" s="571"/>
      <c r="W111" s="571"/>
      <c r="X111" s="571"/>
      <c r="Y111" s="571"/>
      <c r="Z111" s="571"/>
      <c r="AA111" s="571"/>
      <c r="AB111" s="571"/>
      <c r="AC111" s="571"/>
      <c r="AD111" s="571"/>
      <c r="AE111" s="571"/>
      <c r="AF111" s="571"/>
      <c r="AG111" s="571"/>
      <c r="AH111" s="571"/>
      <c r="AI111" s="571"/>
      <c r="AJ111" s="571"/>
      <c r="AK111" s="571"/>
      <c r="AL111" s="571"/>
      <c r="AM111" s="571"/>
      <c r="AN111" s="571"/>
      <c r="AO111" s="571"/>
    </row>
    <row r="112">
      <c r="B112" s="852" t="s">
        <v>1288</v>
      </c>
      <c r="G112" s="571"/>
      <c r="H112" s="571"/>
      <c r="I112" s="571"/>
      <c r="J112" s="571"/>
      <c r="K112" s="571"/>
      <c r="L112" s="571"/>
      <c r="M112" s="571"/>
      <c r="N112" s="571"/>
      <c r="O112" s="571"/>
      <c r="P112" s="571"/>
      <c r="Q112" s="571"/>
      <c r="R112" s="571"/>
      <c r="S112" s="571"/>
      <c r="T112" s="571"/>
      <c r="U112" s="571"/>
      <c r="V112" s="571"/>
      <c r="W112" s="571"/>
      <c r="X112" s="571"/>
      <c r="Y112" s="571"/>
      <c r="Z112" s="571"/>
      <c r="AA112" s="571"/>
      <c r="AB112" s="571"/>
      <c r="AC112" s="571"/>
      <c r="AD112" s="571"/>
      <c r="AE112" s="571"/>
      <c r="AF112" s="571"/>
      <c r="AG112" s="571"/>
      <c r="AH112" s="571"/>
      <c r="AI112" s="571"/>
      <c r="AJ112" s="571"/>
      <c r="AK112" s="571"/>
      <c r="AL112" s="571"/>
      <c r="AM112" s="571"/>
      <c r="AN112" s="571"/>
      <c r="AO112" s="571"/>
    </row>
    <row r="113">
      <c r="B113" s="852" t="s">
        <v>1289</v>
      </c>
      <c r="G113" s="571"/>
      <c r="H113" s="571"/>
      <c r="I113" s="571"/>
      <c r="J113" s="571"/>
      <c r="K113" s="571"/>
      <c r="L113" s="571"/>
      <c r="M113" s="571"/>
      <c r="N113" s="571"/>
      <c r="O113" s="571"/>
      <c r="P113" s="571"/>
      <c r="Q113" s="571"/>
      <c r="R113" s="571"/>
      <c r="S113" s="571"/>
      <c r="T113" s="571"/>
      <c r="U113" s="571"/>
      <c r="V113" s="571"/>
      <c r="W113" s="571"/>
      <c r="X113" s="571"/>
      <c r="Y113" s="571"/>
      <c r="Z113" s="571"/>
      <c r="AA113" s="571"/>
      <c r="AB113" s="571"/>
      <c r="AC113" s="571"/>
      <c r="AD113" s="571"/>
      <c r="AE113" s="571"/>
      <c r="AF113" s="571"/>
      <c r="AG113" s="571"/>
      <c r="AH113" s="571"/>
      <c r="AI113" s="571"/>
      <c r="AJ113" s="571"/>
      <c r="AK113" s="571"/>
      <c r="AL113" s="571"/>
      <c r="AM113" s="571"/>
      <c r="AN113" s="571"/>
      <c r="AO113" s="571"/>
    </row>
    <row r="114">
      <c r="B114" s="852" t="s">
        <v>1290</v>
      </c>
      <c r="G114" s="571"/>
      <c r="H114" s="571"/>
      <c r="I114" s="571"/>
      <c r="J114" s="571"/>
      <c r="K114" s="571"/>
      <c r="L114" s="571"/>
      <c r="M114" s="571"/>
      <c r="N114" s="571"/>
      <c r="O114" s="571"/>
      <c r="P114" s="571"/>
      <c r="Q114" s="571"/>
      <c r="R114" s="571"/>
      <c r="S114" s="571"/>
      <c r="T114" s="571"/>
      <c r="U114" s="571"/>
      <c r="V114" s="571"/>
      <c r="W114" s="571"/>
      <c r="X114" s="571"/>
      <c r="Y114" s="571"/>
      <c r="Z114" s="571"/>
      <c r="AA114" s="571"/>
      <c r="AB114" s="571"/>
      <c r="AC114" s="571"/>
      <c r="AD114" s="571"/>
      <c r="AE114" s="571"/>
      <c r="AF114" s="571"/>
      <c r="AG114" s="571"/>
      <c r="AH114" s="571"/>
      <c r="AI114" s="571"/>
      <c r="AJ114" s="571"/>
      <c r="AK114" s="571"/>
      <c r="AL114" s="571"/>
      <c r="AM114" s="571"/>
      <c r="AN114" s="571"/>
      <c r="AO114" s="571"/>
    </row>
    <row r="115">
      <c r="B115" s="855" t="s">
        <v>1291</v>
      </c>
      <c r="G115" s="571"/>
      <c r="H115" s="571"/>
      <c r="I115" s="571"/>
      <c r="J115" s="571"/>
      <c r="K115" s="571"/>
      <c r="L115" s="571"/>
      <c r="M115" s="571"/>
      <c r="N115" s="571"/>
      <c r="O115" s="571"/>
      <c r="P115" s="571"/>
      <c r="Q115" s="571"/>
      <c r="R115" s="571"/>
      <c r="S115" s="571"/>
      <c r="T115" s="571"/>
      <c r="U115" s="571"/>
      <c r="V115" s="571"/>
      <c r="W115" s="571"/>
      <c r="X115" s="571"/>
      <c r="Y115" s="571"/>
      <c r="Z115" s="571"/>
      <c r="AA115" s="571"/>
      <c r="AB115" s="571"/>
      <c r="AC115" s="571"/>
      <c r="AD115" s="571"/>
      <c r="AE115" s="571"/>
      <c r="AF115" s="571"/>
      <c r="AG115" s="571"/>
      <c r="AH115" s="571"/>
      <c r="AI115" s="571"/>
      <c r="AJ115" s="571"/>
      <c r="AK115" s="571"/>
      <c r="AL115" s="571"/>
      <c r="AM115" s="571"/>
      <c r="AN115" s="571"/>
      <c r="AO115" s="571"/>
    </row>
    <row r="116">
      <c r="B116" s="855" t="s">
        <v>1292</v>
      </c>
      <c r="G116" s="571"/>
      <c r="H116" s="571"/>
      <c r="I116" s="571"/>
      <c r="J116" s="571"/>
      <c r="K116" s="571"/>
      <c r="L116" s="571"/>
      <c r="M116" s="571"/>
      <c r="N116" s="571"/>
      <c r="O116" s="571"/>
      <c r="P116" s="571"/>
      <c r="Q116" s="571"/>
      <c r="R116" s="571"/>
      <c r="S116" s="571"/>
      <c r="T116" s="571"/>
      <c r="U116" s="571"/>
      <c r="V116" s="571"/>
      <c r="W116" s="571"/>
      <c r="X116" s="571"/>
      <c r="Y116" s="571"/>
      <c r="Z116" s="571"/>
      <c r="AA116" s="571"/>
      <c r="AB116" s="571"/>
      <c r="AC116" s="571"/>
      <c r="AD116" s="571"/>
      <c r="AE116" s="571"/>
      <c r="AF116" s="571"/>
      <c r="AG116" s="571"/>
      <c r="AH116" s="571"/>
      <c r="AI116" s="571"/>
      <c r="AJ116" s="571"/>
      <c r="AK116" s="571"/>
      <c r="AL116" s="571"/>
      <c r="AM116" s="571"/>
      <c r="AN116" s="571"/>
      <c r="AO116" s="571"/>
    </row>
    <row r="117">
      <c r="B117" s="852" t="s">
        <v>1293</v>
      </c>
      <c r="G117" s="571"/>
      <c r="H117" s="571"/>
      <c r="I117" s="571"/>
      <c r="J117" s="571"/>
      <c r="K117" s="571"/>
      <c r="L117" s="571"/>
      <c r="M117" s="571"/>
      <c r="N117" s="571"/>
      <c r="O117" s="571"/>
      <c r="P117" s="571"/>
      <c r="Q117" s="571"/>
      <c r="R117" s="571"/>
      <c r="S117" s="571"/>
      <c r="T117" s="571"/>
      <c r="U117" s="571"/>
      <c r="V117" s="571"/>
      <c r="W117" s="571"/>
      <c r="X117" s="571"/>
      <c r="Y117" s="571"/>
      <c r="Z117" s="571"/>
      <c r="AA117" s="571"/>
      <c r="AB117" s="571"/>
      <c r="AC117" s="571"/>
      <c r="AD117" s="571"/>
      <c r="AE117" s="571"/>
      <c r="AF117" s="571"/>
      <c r="AG117" s="571"/>
      <c r="AH117" s="571"/>
      <c r="AI117" s="571"/>
      <c r="AJ117" s="571"/>
      <c r="AK117" s="571"/>
      <c r="AL117" s="571"/>
      <c r="AM117" s="571"/>
      <c r="AN117" s="571"/>
      <c r="AO117" s="571"/>
    </row>
    <row r="118">
      <c r="B118" s="852" t="s">
        <v>1294</v>
      </c>
      <c r="G118" s="571"/>
      <c r="H118" s="571"/>
      <c r="I118" s="571"/>
      <c r="J118" s="571"/>
      <c r="K118" s="571"/>
      <c r="L118" s="571"/>
      <c r="M118" s="571"/>
      <c r="N118" s="571"/>
      <c r="O118" s="571"/>
      <c r="P118" s="571"/>
      <c r="Q118" s="571"/>
      <c r="R118" s="571"/>
      <c r="S118" s="571"/>
      <c r="T118" s="571"/>
      <c r="U118" s="571"/>
      <c r="V118" s="571"/>
      <c r="W118" s="571"/>
      <c r="X118" s="571"/>
      <c r="Y118" s="571"/>
      <c r="Z118" s="571"/>
      <c r="AA118" s="571"/>
      <c r="AB118" s="571"/>
      <c r="AC118" s="571"/>
      <c r="AD118" s="571"/>
      <c r="AE118" s="571"/>
      <c r="AF118" s="571"/>
      <c r="AG118" s="571"/>
      <c r="AH118" s="571"/>
      <c r="AI118" s="571"/>
      <c r="AJ118" s="571"/>
      <c r="AK118" s="571"/>
      <c r="AL118" s="571"/>
      <c r="AM118" s="571"/>
      <c r="AN118" s="571"/>
      <c r="AO118" s="571"/>
    </row>
    <row r="119">
      <c r="B119" s="852" t="s">
        <v>1295</v>
      </c>
      <c r="G119" s="571"/>
      <c r="H119" s="571"/>
      <c r="I119" s="571"/>
      <c r="J119" s="571"/>
      <c r="K119" s="571"/>
      <c r="L119" s="571"/>
      <c r="M119" s="571"/>
      <c r="N119" s="571"/>
      <c r="O119" s="571"/>
      <c r="P119" s="571"/>
      <c r="Q119" s="571"/>
      <c r="R119" s="571"/>
      <c r="S119" s="571"/>
      <c r="T119" s="571"/>
      <c r="U119" s="571"/>
      <c r="V119" s="571"/>
      <c r="W119" s="571"/>
      <c r="X119" s="571"/>
      <c r="Y119" s="571"/>
      <c r="Z119" s="571"/>
      <c r="AA119" s="571"/>
      <c r="AB119" s="571"/>
      <c r="AC119" s="571"/>
      <c r="AD119" s="571"/>
      <c r="AE119" s="571"/>
      <c r="AF119" s="571"/>
      <c r="AG119" s="571"/>
      <c r="AH119" s="571"/>
      <c r="AI119" s="571"/>
      <c r="AJ119" s="571"/>
      <c r="AK119" s="571"/>
      <c r="AL119" s="571"/>
      <c r="AM119" s="571"/>
      <c r="AN119" s="571"/>
      <c r="AO119" s="571"/>
    </row>
    <row r="120">
      <c r="A120" s="850" t="s">
        <v>1309</v>
      </c>
      <c r="B120" s="851" t="s">
        <v>1287</v>
      </c>
      <c r="G120" s="571"/>
      <c r="H120" s="571"/>
      <c r="I120" s="571"/>
      <c r="J120" s="571"/>
      <c r="K120" s="571"/>
      <c r="L120" s="571"/>
      <c r="M120" s="571"/>
      <c r="N120" s="571"/>
      <c r="O120" s="571"/>
      <c r="P120" s="571"/>
      <c r="Q120" s="571"/>
      <c r="R120" s="571"/>
      <c r="S120" s="571"/>
      <c r="T120" s="571"/>
      <c r="U120" s="571"/>
      <c r="V120" s="571"/>
      <c r="W120" s="571"/>
      <c r="X120" s="571"/>
      <c r="Y120" s="571"/>
      <c r="Z120" s="571"/>
      <c r="AA120" s="571"/>
      <c r="AB120" s="571"/>
      <c r="AC120" s="571"/>
      <c r="AD120" s="571"/>
      <c r="AE120" s="571"/>
      <c r="AF120" s="571"/>
      <c r="AG120" s="571"/>
      <c r="AH120" s="571"/>
      <c r="AI120" s="571"/>
      <c r="AJ120" s="571"/>
      <c r="AK120" s="571"/>
      <c r="AL120" s="571"/>
      <c r="AM120" s="571"/>
      <c r="AN120" s="571"/>
      <c r="AO120" s="571"/>
    </row>
    <row r="121">
      <c r="B121" s="852" t="s">
        <v>1288</v>
      </c>
      <c r="G121" s="571"/>
      <c r="H121" s="571"/>
      <c r="I121" s="571"/>
      <c r="J121" s="571"/>
      <c r="K121" s="571"/>
      <c r="L121" s="571"/>
      <c r="M121" s="571"/>
      <c r="N121" s="571"/>
      <c r="O121" s="571"/>
      <c r="P121" s="571"/>
      <c r="Q121" s="571"/>
      <c r="R121" s="571"/>
      <c r="S121" s="571"/>
      <c r="T121" s="571"/>
      <c r="U121" s="571"/>
      <c r="V121" s="571"/>
      <c r="W121" s="571"/>
      <c r="X121" s="571"/>
      <c r="Y121" s="571"/>
      <c r="Z121" s="571"/>
      <c r="AA121" s="571"/>
      <c r="AB121" s="571"/>
      <c r="AC121" s="571"/>
      <c r="AD121" s="571"/>
      <c r="AE121" s="571"/>
      <c r="AF121" s="571"/>
      <c r="AG121" s="571"/>
      <c r="AH121" s="571"/>
      <c r="AI121" s="571"/>
      <c r="AJ121" s="571"/>
      <c r="AK121" s="571"/>
      <c r="AL121" s="571"/>
      <c r="AM121" s="571"/>
      <c r="AN121" s="571"/>
      <c r="AO121" s="571"/>
    </row>
    <row r="122">
      <c r="B122" s="852" t="s">
        <v>1289</v>
      </c>
      <c r="G122" s="571"/>
      <c r="H122" s="571"/>
      <c r="I122" s="571"/>
      <c r="J122" s="571"/>
      <c r="K122" s="571"/>
      <c r="L122" s="571"/>
      <c r="M122" s="571"/>
      <c r="N122" s="571"/>
      <c r="O122" s="571"/>
      <c r="P122" s="571"/>
      <c r="Q122" s="571"/>
      <c r="R122" s="571"/>
      <c r="S122" s="571"/>
      <c r="T122" s="571"/>
      <c r="U122" s="571"/>
      <c r="V122" s="571"/>
      <c r="W122" s="571"/>
      <c r="X122" s="571"/>
      <c r="Y122" s="571"/>
      <c r="Z122" s="571"/>
      <c r="AA122" s="571"/>
      <c r="AB122" s="571"/>
      <c r="AC122" s="571"/>
      <c r="AD122" s="571"/>
      <c r="AE122" s="571"/>
      <c r="AF122" s="571"/>
      <c r="AG122" s="571"/>
      <c r="AH122" s="571"/>
      <c r="AI122" s="571"/>
      <c r="AJ122" s="571"/>
      <c r="AK122" s="571"/>
      <c r="AL122" s="571"/>
      <c r="AM122" s="571"/>
      <c r="AN122" s="571"/>
      <c r="AO122" s="571"/>
    </row>
    <row r="123">
      <c r="B123" s="852" t="s">
        <v>1290</v>
      </c>
      <c r="G123" s="571"/>
      <c r="H123" s="571"/>
      <c r="I123" s="571"/>
      <c r="J123" s="571"/>
      <c r="K123" s="571"/>
      <c r="L123" s="571"/>
      <c r="M123" s="571"/>
      <c r="N123" s="571"/>
      <c r="O123" s="571"/>
      <c r="P123" s="571"/>
      <c r="Q123" s="571"/>
      <c r="R123" s="571"/>
      <c r="S123" s="571"/>
      <c r="T123" s="571"/>
      <c r="U123" s="571"/>
      <c r="V123" s="571"/>
      <c r="W123" s="571"/>
      <c r="X123" s="571"/>
      <c r="Y123" s="571"/>
      <c r="Z123" s="571"/>
      <c r="AA123" s="571"/>
      <c r="AB123" s="571"/>
      <c r="AC123" s="571"/>
      <c r="AD123" s="571"/>
      <c r="AE123" s="571"/>
      <c r="AF123" s="571"/>
      <c r="AG123" s="571"/>
      <c r="AH123" s="571"/>
      <c r="AI123" s="571"/>
      <c r="AJ123" s="571"/>
      <c r="AK123" s="571"/>
      <c r="AL123" s="571"/>
      <c r="AM123" s="571"/>
      <c r="AN123" s="571"/>
      <c r="AO123" s="571"/>
    </row>
    <row r="124">
      <c r="B124" s="855" t="s">
        <v>1291</v>
      </c>
      <c r="G124" s="571"/>
      <c r="H124" s="571"/>
      <c r="I124" s="571"/>
      <c r="J124" s="571"/>
      <c r="K124" s="571"/>
      <c r="L124" s="571"/>
      <c r="M124" s="571"/>
      <c r="N124" s="571"/>
      <c r="O124" s="571"/>
      <c r="P124" s="571"/>
      <c r="Q124" s="571"/>
      <c r="R124" s="571"/>
      <c r="S124" s="571"/>
      <c r="T124" s="571"/>
      <c r="U124" s="571"/>
      <c r="V124" s="571"/>
      <c r="W124" s="571"/>
      <c r="X124" s="571"/>
      <c r="Y124" s="571"/>
      <c r="Z124" s="571"/>
      <c r="AA124" s="571"/>
      <c r="AB124" s="571"/>
      <c r="AC124" s="571"/>
      <c r="AD124" s="571"/>
      <c r="AE124" s="571"/>
      <c r="AF124" s="571"/>
      <c r="AG124" s="571"/>
      <c r="AH124" s="571"/>
      <c r="AI124" s="571"/>
      <c r="AJ124" s="571"/>
      <c r="AK124" s="571"/>
      <c r="AL124" s="571"/>
      <c r="AM124" s="571"/>
      <c r="AN124" s="571"/>
      <c r="AO124" s="571"/>
    </row>
    <row r="125">
      <c r="B125" s="855" t="s">
        <v>1292</v>
      </c>
      <c r="G125" s="571"/>
      <c r="H125" s="571"/>
      <c r="I125" s="571"/>
      <c r="J125" s="571"/>
      <c r="K125" s="571"/>
      <c r="L125" s="571"/>
      <c r="M125" s="571"/>
      <c r="N125" s="571"/>
      <c r="O125" s="571"/>
      <c r="P125" s="571"/>
      <c r="Q125" s="571"/>
      <c r="R125" s="571"/>
      <c r="S125" s="571"/>
      <c r="T125" s="571"/>
      <c r="U125" s="571"/>
      <c r="V125" s="571"/>
      <c r="W125" s="571"/>
      <c r="X125" s="571"/>
      <c r="Y125" s="571"/>
      <c r="Z125" s="571"/>
      <c r="AA125" s="571"/>
      <c r="AB125" s="571"/>
      <c r="AC125" s="571"/>
      <c r="AD125" s="571"/>
      <c r="AE125" s="571"/>
      <c r="AF125" s="571"/>
      <c r="AG125" s="571"/>
      <c r="AH125" s="571"/>
      <c r="AI125" s="571"/>
      <c r="AJ125" s="571"/>
      <c r="AK125" s="571"/>
      <c r="AL125" s="571"/>
      <c r="AM125" s="571"/>
      <c r="AN125" s="571"/>
      <c r="AO125" s="571"/>
    </row>
    <row r="126">
      <c r="B126" s="852" t="s">
        <v>1293</v>
      </c>
      <c r="G126" s="571"/>
      <c r="H126" s="571"/>
      <c r="I126" s="571"/>
      <c r="J126" s="571"/>
      <c r="K126" s="571"/>
      <c r="L126" s="571"/>
      <c r="M126" s="571"/>
      <c r="N126" s="571"/>
      <c r="O126" s="571"/>
      <c r="P126" s="571"/>
      <c r="Q126" s="571"/>
      <c r="R126" s="571"/>
      <c r="S126" s="571"/>
      <c r="T126" s="571"/>
      <c r="U126" s="571"/>
      <c r="V126" s="571"/>
      <c r="W126" s="571"/>
      <c r="X126" s="571"/>
      <c r="Y126" s="571"/>
      <c r="Z126" s="571"/>
      <c r="AA126" s="571"/>
      <c r="AB126" s="571"/>
      <c r="AC126" s="571"/>
      <c r="AD126" s="571"/>
      <c r="AE126" s="571"/>
      <c r="AF126" s="571"/>
      <c r="AG126" s="571"/>
      <c r="AH126" s="571"/>
      <c r="AI126" s="571"/>
      <c r="AJ126" s="571"/>
      <c r="AK126" s="571"/>
      <c r="AL126" s="571"/>
      <c r="AM126" s="571"/>
      <c r="AN126" s="571"/>
      <c r="AO126" s="571"/>
    </row>
    <row r="127">
      <c r="B127" s="852" t="s">
        <v>1294</v>
      </c>
      <c r="G127" s="571"/>
      <c r="H127" s="571"/>
      <c r="I127" s="571"/>
      <c r="J127" s="571"/>
      <c r="K127" s="571"/>
      <c r="L127" s="571"/>
      <c r="M127" s="571"/>
      <c r="N127" s="571"/>
      <c r="O127" s="571"/>
      <c r="P127" s="571"/>
      <c r="Q127" s="571"/>
      <c r="R127" s="571"/>
      <c r="S127" s="571"/>
      <c r="T127" s="571"/>
      <c r="U127" s="571"/>
      <c r="V127" s="571"/>
      <c r="W127" s="571"/>
      <c r="X127" s="571"/>
      <c r="Y127" s="571"/>
      <c r="Z127" s="571"/>
      <c r="AA127" s="571"/>
      <c r="AB127" s="571"/>
      <c r="AC127" s="571"/>
      <c r="AD127" s="571"/>
      <c r="AE127" s="571"/>
      <c r="AF127" s="571"/>
      <c r="AG127" s="571"/>
      <c r="AH127" s="571"/>
      <c r="AI127" s="571"/>
      <c r="AJ127" s="571"/>
      <c r="AK127" s="571"/>
      <c r="AL127" s="571"/>
      <c r="AM127" s="571"/>
      <c r="AN127" s="571"/>
      <c r="AO127" s="571"/>
    </row>
    <row r="128">
      <c r="B128" s="852" t="s">
        <v>1295</v>
      </c>
      <c r="G128" s="571"/>
      <c r="H128" s="571"/>
      <c r="I128" s="571"/>
      <c r="J128" s="571"/>
      <c r="K128" s="571"/>
      <c r="L128" s="571"/>
      <c r="M128" s="571"/>
      <c r="N128" s="571"/>
      <c r="O128" s="571"/>
      <c r="P128" s="571"/>
      <c r="Q128" s="571"/>
      <c r="R128" s="571"/>
      <c r="S128" s="571"/>
      <c r="T128" s="571"/>
      <c r="U128" s="571"/>
      <c r="V128" s="571"/>
      <c r="W128" s="571"/>
      <c r="X128" s="571"/>
      <c r="Y128" s="571"/>
      <c r="Z128" s="571"/>
      <c r="AA128" s="571"/>
      <c r="AB128" s="571"/>
      <c r="AC128" s="571"/>
      <c r="AD128" s="571"/>
      <c r="AE128" s="571"/>
      <c r="AF128" s="571"/>
      <c r="AG128" s="571"/>
      <c r="AH128" s="571"/>
      <c r="AI128" s="571"/>
      <c r="AJ128" s="571"/>
      <c r="AK128" s="571"/>
      <c r="AL128" s="571"/>
      <c r="AM128" s="571"/>
      <c r="AN128" s="571"/>
      <c r="AO128" s="571"/>
    </row>
    <row r="129">
      <c r="A129" s="850" t="s">
        <v>1310</v>
      </c>
      <c r="B129" s="851" t="s">
        <v>1287</v>
      </c>
      <c r="G129" s="571"/>
      <c r="H129" s="571"/>
      <c r="I129" s="571"/>
      <c r="J129" s="571"/>
      <c r="K129" s="571"/>
      <c r="L129" s="571"/>
      <c r="M129" s="571"/>
      <c r="N129" s="571"/>
      <c r="O129" s="571"/>
      <c r="P129" s="571"/>
      <c r="Q129" s="571"/>
      <c r="R129" s="571"/>
      <c r="S129" s="571"/>
      <c r="T129" s="571"/>
      <c r="U129" s="571"/>
      <c r="V129" s="571"/>
      <c r="W129" s="571"/>
      <c r="X129" s="571"/>
      <c r="Y129" s="571"/>
      <c r="Z129" s="571"/>
      <c r="AA129" s="571"/>
      <c r="AB129" s="571"/>
      <c r="AC129" s="571"/>
      <c r="AD129" s="571"/>
      <c r="AE129" s="571"/>
      <c r="AF129" s="571"/>
      <c r="AG129" s="571"/>
      <c r="AH129" s="571"/>
      <c r="AI129" s="571"/>
      <c r="AJ129" s="571"/>
      <c r="AK129" s="571"/>
      <c r="AL129" s="571"/>
      <c r="AM129" s="571"/>
      <c r="AN129" s="571"/>
      <c r="AO129" s="571"/>
    </row>
    <row r="130">
      <c r="B130" s="852" t="s">
        <v>1288</v>
      </c>
      <c r="G130" s="571"/>
      <c r="H130" s="571"/>
      <c r="I130" s="571"/>
      <c r="J130" s="571"/>
      <c r="K130" s="571"/>
      <c r="L130" s="571"/>
      <c r="M130" s="571"/>
      <c r="N130" s="571"/>
      <c r="O130" s="571"/>
      <c r="P130" s="571"/>
      <c r="Q130" s="571"/>
      <c r="R130" s="571"/>
      <c r="S130" s="571"/>
      <c r="T130" s="571"/>
      <c r="U130" s="571"/>
      <c r="V130" s="571"/>
      <c r="W130" s="571"/>
      <c r="X130" s="571"/>
      <c r="Y130" s="571"/>
      <c r="Z130" s="571"/>
      <c r="AA130" s="571"/>
      <c r="AB130" s="571"/>
      <c r="AC130" s="571"/>
      <c r="AD130" s="571"/>
      <c r="AE130" s="571"/>
      <c r="AF130" s="571"/>
      <c r="AG130" s="571"/>
      <c r="AH130" s="571"/>
      <c r="AI130" s="571"/>
      <c r="AJ130" s="571"/>
      <c r="AK130" s="571"/>
      <c r="AL130" s="571"/>
      <c r="AM130" s="571"/>
      <c r="AN130" s="571"/>
      <c r="AO130" s="571"/>
    </row>
    <row r="131">
      <c r="B131" s="852" t="s">
        <v>1289</v>
      </c>
      <c r="G131" s="571"/>
      <c r="H131" s="571"/>
      <c r="I131" s="571"/>
      <c r="J131" s="571"/>
      <c r="K131" s="571"/>
      <c r="L131" s="571"/>
      <c r="M131" s="571"/>
      <c r="N131" s="571"/>
      <c r="O131" s="571"/>
      <c r="P131" s="571"/>
      <c r="Q131" s="571"/>
      <c r="R131" s="571"/>
      <c r="S131" s="571"/>
      <c r="T131" s="571"/>
      <c r="U131" s="571"/>
      <c r="V131" s="571"/>
      <c r="W131" s="571"/>
      <c r="X131" s="571"/>
      <c r="Y131" s="571"/>
      <c r="Z131" s="571"/>
      <c r="AA131" s="571"/>
      <c r="AB131" s="571"/>
      <c r="AC131" s="571"/>
      <c r="AD131" s="571"/>
      <c r="AE131" s="571"/>
      <c r="AF131" s="571"/>
      <c r="AG131" s="571"/>
      <c r="AH131" s="571"/>
      <c r="AI131" s="571"/>
      <c r="AJ131" s="571"/>
      <c r="AK131" s="571"/>
      <c r="AL131" s="571"/>
      <c r="AM131" s="571"/>
      <c r="AN131" s="571"/>
      <c r="AO131" s="571"/>
    </row>
    <row r="132">
      <c r="B132" s="852" t="s">
        <v>1290</v>
      </c>
      <c r="G132" s="571"/>
      <c r="H132" s="571"/>
      <c r="I132" s="571"/>
      <c r="J132" s="571"/>
      <c r="K132" s="571"/>
      <c r="L132" s="571"/>
      <c r="M132" s="571"/>
      <c r="N132" s="571"/>
      <c r="O132" s="571"/>
      <c r="P132" s="571"/>
      <c r="Q132" s="571"/>
      <c r="R132" s="571"/>
      <c r="S132" s="571"/>
      <c r="T132" s="571"/>
      <c r="U132" s="571"/>
      <c r="V132" s="571"/>
      <c r="W132" s="571"/>
      <c r="X132" s="571"/>
      <c r="Y132" s="571"/>
      <c r="Z132" s="571"/>
      <c r="AA132" s="571"/>
      <c r="AB132" s="571"/>
      <c r="AC132" s="571"/>
      <c r="AD132" s="571"/>
      <c r="AE132" s="571"/>
      <c r="AF132" s="571"/>
      <c r="AG132" s="571"/>
      <c r="AH132" s="571"/>
      <c r="AI132" s="571"/>
      <c r="AJ132" s="571"/>
      <c r="AK132" s="571"/>
      <c r="AL132" s="571"/>
      <c r="AM132" s="571"/>
      <c r="AN132" s="571"/>
      <c r="AO132" s="571"/>
    </row>
    <row r="133">
      <c r="B133" s="855" t="s">
        <v>1291</v>
      </c>
      <c r="G133" s="571"/>
      <c r="H133" s="571"/>
      <c r="I133" s="571"/>
      <c r="J133" s="571"/>
      <c r="K133" s="571"/>
      <c r="L133" s="571"/>
      <c r="M133" s="571"/>
      <c r="N133" s="571"/>
      <c r="O133" s="571"/>
      <c r="P133" s="571"/>
      <c r="Q133" s="571"/>
      <c r="R133" s="571"/>
      <c r="S133" s="571"/>
      <c r="T133" s="571"/>
      <c r="U133" s="571"/>
      <c r="V133" s="571"/>
      <c r="W133" s="571"/>
      <c r="X133" s="571"/>
      <c r="Y133" s="571"/>
      <c r="Z133" s="571"/>
      <c r="AA133" s="571"/>
      <c r="AB133" s="571"/>
      <c r="AC133" s="571"/>
      <c r="AD133" s="571"/>
      <c r="AE133" s="571"/>
      <c r="AF133" s="571"/>
      <c r="AG133" s="571"/>
      <c r="AH133" s="571"/>
      <c r="AI133" s="571"/>
      <c r="AJ133" s="571"/>
      <c r="AK133" s="571"/>
      <c r="AL133" s="571"/>
      <c r="AM133" s="571"/>
      <c r="AN133" s="571"/>
      <c r="AO133" s="571"/>
    </row>
    <row r="134">
      <c r="B134" s="855" t="s">
        <v>1292</v>
      </c>
      <c r="G134" s="571"/>
      <c r="H134" s="571"/>
      <c r="I134" s="571"/>
      <c r="J134" s="571"/>
      <c r="K134" s="571"/>
      <c r="L134" s="571"/>
      <c r="M134" s="571"/>
      <c r="N134" s="571"/>
      <c r="O134" s="571"/>
      <c r="P134" s="571"/>
      <c r="Q134" s="571"/>
      <c r="R134" s="571"/>
      <c r="S134" s="571"/>
      <c r="T134" s="571"/>
      <c r="U134" s="571"/>
      <c r="V134" s="571"/>
      <c r="W134" s="571"/>
      <c r="X134" s="571"/>
      <c r="Y134" s="571"/>
      <c r="Z134" s="571"/>
      <c r="AA134" s="571"/>
      <c r="AB134" s="571"/>
      <c r="AC134" s="571"/>
      <c r="AD134" s="571"/>
      <c r="AE134" s="571"/>
      <c r="AF134" s="571"/>
      <c r="AG134" s="571"/>
      <c r="AH134" s="571"/>
      <c r="AI134" s="571"/>
      <c r="AJ134" s="571"/>
      <c r="AK134" s="571"/>
      <c r="AL134" s="571"/>
      <c r="AM134" s="571"/>
      <c r="AN134" s="571"/>
      <c r="AO134" s="571"/>
    </row>
    <row r="135">
      <c r="B135" s="852" t="s">
        <v>1293</v>
      </c>
      <c r="G135" s="571"/>
      <c r="H135" s="571"/>
      <c r="I135" s="571"/>
      <c r="J135" s="571"/>
      <c r="K135" s="571"/>
      <c r="L135" s="571"/>
      <c r="M135" s="571"/>
      <c r="N135" s="571"/>
      <c r="O135" s="571"/>
      <c r="P135" s="571"/>
      <c r="Q135" s="571"/>
      <c r="R135" s="571"/>
      <c r="S135" s="571"/>
      <c r="T135" s="571"/>
      <c r="U135" s="571"/>
      <c r="V135" s="571"/>
      <c r="W135" s="571"/>
      <c r="X135" s="571"/>
      <c r="Y135" s="571"/>
      <c r="Z135" s="571"/>
      <c r="AA135" s="571"/>
      <c r="AB135" s="571"/>
      <c r="AC135" s="571"/>
      <c r="AD135" s="571"/>
      <c r="AE135" s="571"/>
      <c r="AF135" s="571"/>
      <c r="AG135" s="571"/>
      <c r="AH135" s="571"/>
      <c r="AI135" s="571"/>
      <c r="AJ135" s="571"/>
      <c r="AK135" s="571"/>
      <c r="AL135" s="571"/>
      <c r="AM135" s="571"/>
      <c r="AN135" s="571"/>
      <c r="AO135" s="571"/>
    </row>
    <row r="136">
      <c r="B136" s="852" t="s">
        <v>1294</v>
      </c>
      <c r="G136" s="571"/>
      <c r="H136" s="571"/>
      <c r="I136" s="571"/>
      <c r="J136" s="571"/>
      <c r="K136" s="571"/>
      <c r="L136" s="571"/>
      <c r="M136" s="571"/>
      <c r="N136" s="571"/>
      <c r="O136" s="571"/>
      <c r="P136" s="571"/>
      <c r="Q136" s="571"/>
      <c r="R136" s="571"/>
      <c r="S136" s="571"/>
      <c r="T136" s="571"/>
      <c r="U136" s="571"/>
      <c r="V136" s="571"/>
      <c r="W136" s="571"/>
      <c r="X136" s="571"/>
      <c r="Y136" s="571"/>
      <c r="Z136" s="571"/>
      <c r="AA136" s="571"/>
      <c r="AB136" s="571"/>
      <c r="AC136" s="571"/>
      <c r="AD136" s="571"/>
      <c r="AE136" s="571"/>
      <c r="AF136" s="571"/>
      <c r="AG136" s="571"/>
      <c r="AH136" s="571"/>
      <c r="AI136" s="571"/>
      <c r="AJ136" s="571"/>
      <c r="AK136" s="571"/>
      <c r="AL136" s="571"/>
      <c r="AM136" s="571"/>
      <c r="AN136" s="571"/>
      <c r="AO136" s="571"/>
    </row>
    <row r="137">
      <c r="B137" s="852" t="s">
        <v>1295</v>
      </c>
      <c r="G137" s="571"/>
      <c r="H137" s="571"/>
      <c r="I137" s="571"/>
      <c r="J137" s="571"/>
      <c r="K137" s="571"/>
      <c r="L137" s="571"/>
      <c r="M137" s="571"/>
      <c r="N137" s="571"/>
      <c r="O137" s="571"/>
      <c r="P137" s="571"/>
      <c r="Q137" s="571"/>
      <c r="R137" s="571"/>
      <c r="S137" s="571"/>
      <c r="T137" s="571"/>
      <c r="U137" s="571"/>
      <c r="V137" s="571"/>
      <c r="W137" s="571"/>
      <c r="X137" s="571"/>
      <c r="Y137" s="571"/>
      <c r="Z137" s="571"/>
      <c r="AA137" s="571"/>
      <c r="AB137" s="571"/>
      <c r="AC137" s="571"/>
      <c r="AD137" s="571"/>
      <c r="AE137" s="571"/>
      <c r="AF137" s="571"/>
      <c r="AG137" s="571"/>
      <c r="AH137" s="571"/>
      <c r="AI137" s="571"/>
      <c r="AJ137" s="571"/>
      <c r="AK137" s="571"/>
      <c r="AL137" s="571"/>
      <c r="AM137" s="571"/>
      <c r="AN137" s="571"/>
      <c r="AO137" s="571"/>
    </row>
    <row r="138">
      <c r="A138" s="845" t="s">
        <v>1311</v>
      </c>
      <c r="G138" s="571"/>
      <c r="H138" s="571"/>
      <c r="I138" s="571"/>
      <c r="J138" s="571"/>
      <c r="K138" s="571"/>
      <c r="L138" s="571"/>
      <c r="M138" s="571"/>
      <c r="N138" s="571"/>
      <c r="O138" s="571"/>
      <c r="P138" s="571"/>
      <c r="Q138" s="571"/>
      <c r="R138" s="571"/>
      <c r="S138" s="571"/>
      <c r="T138" s="571"/>
      <c r="U138" s="571"/>
      <c r="V138" s="571"/>
      <c r="W138" s="571"/>
      <c r="X138" s="571"/>
      <c r="Y138" s="571"/>
      <c r="Z138" s="571"/>
      <c r="AA138" s="571"/>
      <c r="AB138" s="571"/>
      <c r="AC138" s="571"/>
      <c r="AD138" s="571"/>
      <c r="AE138" s="571"/>
      <c r="AF138" s="571"/>
      <c r="AG138" s="571"/>
      <c r="AH138" s="571"/>
      <c r="AI138" s="571"/>
      <c r="AJ138" s="571"/>
      <c r="AK138" s="571"/>
      <c r="AL138" s="571"/>
      <c r="AM138" s="571"/>
      <c r="AN138" s="571"/>
      <c r="AO138" s="571"/>
    </row>
    <row r="139">
      <c r="A139" s="861" t="s">
        <v>1300</v>
      </c>
      <c r="B139" s="851" t="s">
        <v>1287</v>
      </c>
      <c r="G139" s="571"/>
      <c r="H139" s="571"/>
      <c r="I139" s="571"/>
      <c r="J139" s="571"/>
      <c r="K139" s="571"/>
      <c r="L139" s="571"/>
      <c r="M139" s="571"/>
      <c r="N139" s="571"/>
      <c r="O139" s="571"/>
      <c r="P139" s="571"/>
      <c r="Q139" s="571"/>
      <c r="R139" s="571"/>
      <c r="S139" s="571"/>
      <c r="T139" s="571"/>
      <c r="U139" s="571"/>
      <c r="V139" s="571"/>
      <c r="W139" s="571"/>
      <c r="X139" s="571"/>
      <c r="Y139" s="571"/>
      <c r="Z139" s="571"/>
      <c r="AA139" s="571"/>
      <c r="AB139" s="571"/>
      <c r="AC139" s="571"/>
      <c r="AD139" s="571"/>
      <c r="AE139" s="571"/>
      <c r="AF139" s="571"/>
      <c r="AG139" s="571"/>
      <c r="AH139" s="571"/>
      <c r="AI139" s="571"/>
      <c r="AJ139" s="571"/>
      <c r="AK139" s="571"/>
      <c r="AL139" s="571"/>
      <c r="AM139" s="571"/>
      <c r="AN139" s="571"/>
      <c r="AO139" s="571"/>
    </row>
    <row r="140">
      <c r="B140" s="852" t="s">
        <v>1288</v>
      </c>
      <c r="G140" s="571"/>
      <c r="H140" s="571"/>
      <c r="I140" s="571"/>
      <c r="J140" s="571"/>
      <c r="K140" s="571"/>
      <c r="L140" s="571"/>
      <c r="M140" s="571"/>
      <c r="N140" s="571"/>
      <c r="O140" s="571"/>
      <c r="P140" s="571"/>
      <c r="Q140" s="571"/>
      <c r="R140" s="571"/>
      <c r="S140" s="571"/>
      <c r="T140" s="571"/>
      <c r="U140" s="571"/>
      <c r="V140" s="571"/>
      <c r="W140" s="571"/>
      <c r="X140" s="571"/>
      <c r="Y140" s="571"/>
      <c r="Z140" s="571"/>
      <c r="AA140" s="571"/>
      <c r="AB140" s="571"/>
      <c r="AC140" s="571"/>
      <c r="AD140" s="571"/>
      <c r="AE140" s="571"/>
      <c r="AF140" s="571"/>
      <c r="AG140" s="571"/>
      <c r="AH140" s="571"/>
      <c r="AI140" s="571"/>
      <c r="AJ140" s="571"/>
      <c r="AK140" s="571"/>
      <c r="AL140" s="571"/>
      <c r="AM140" s="571"/>
      <c r="AN140" s="571"/>
      <c r="AO140" s="571"/>
    </row>
    <row r="141">
      <c r="B141" s="852" t="s">
        <v>1289</v>
      </c>
      <c r="G141" s="571"/>
      <c r="H141" s="571"/>
      <c r="I141" s="571"/>
      <c r="J141" s="571"/>
      <c r="K141" s="571"/>
      <c r="L141" s="571"/>
      <c r="M141" s="571"/>
      <c r="N141" s="571"/>
      <c r="O141" s="571"/>
      <c r="P141" s="571"/>
      <c r="Q141" s="571"/>
      <c r="R141" s="571"/>
      <c r="S141" s="571"/>
      <c r="T141" s="571"/>
      <c r="U141" s="571"/>
      <c r="V141" s="571"/>
      <c r="W141" s="571"/>
      <c r="X141" s="571"/>
      <c r="Y141" s="571"/>
      <c r="Z141" s="571"/>
      <c r="AA141" s="571"/>
      <c r="AB141" s="571"/>
      <c r="AC141" s="571"/>
      <c r="AD141" s="571"/>
      <c r="AE141" s="571"/>
      <c r="AF141" s="571"/>
      <c r="AG141" s="571"/>
      <c r="AH141" s="571"/>
      <c r="AI141" s="571"/>
      <c r="AJ141" s="571"/>
      <c r="AK141" s="571"/>
      <c r="AL141" s="571"/>
      <c r="AM141" s="571"/>
      <c r="AN141" s="571"/>
      <c r="AO141" s="571"/>
    </row>
    <row r="142">
      <c r="B142" s="852" t="s">
        <v>1290</v>
      </c>
      <c r="G142" s="571"/>
      <c r="H142" s="571"/>
      <c r="I142" s="571"/>
      <c r="J142" s="571"/>
      <c r="K142" s="571"/>
      <c r="L142" s="571"/>
      <c r="M142" s="571"/>
      <c r="N142" s="571"/>
      <c r="O142" s="571"/>
      <c r="P142" s="571"/>
      <c r="Q142" s="571"/>
      <c r="R142" s="571"/>
      <c r="S142" s="571"/>
      <c r="T142" s="571"/>
      <c r="U142" s="571"/>
      <c r="V142" s="571"/>
      <c r="W142" s="571"/>
      <c r="X142" s="571"/>
      <c r="Y142" s="571"/>
      <c r="Z142" s="571"/>
      <c r="AA142" s="571"/>
      <c r="AB142" s="571"/>
      <c r="AC142" s="571"/>
      <c r="AD142" s="571"/>
      <c r="AE142" s="571"/>
      <c r="AF142" s="571"/>
      <c r="AG142" s="571"/>
      <c r="AH142" s="571"/>
      <c r="AI142" s="571"/>
      <c r="AJ142" s="571"/>
      <c r="AK142" s="571"/>
      <c r="AL142" s="571"/>
      <c r="AM142" s="571"/>
      <c r="AN142" s="571"/>
      <c r="AO142" s="571"/>
    </row>
    <row r="143">
      <c r="B143" s="855" t="s">
        <v>1291</v>
      </c>
      <c r="G143" s="571"/>
      <c r="H143" s="571"/>
      <c r="I143" s="571"/>
      <c r="J143" s="571"/>
      <c r="K143" s="571"/>
      <c r="L143" s="571"/>
      <c r="M143" s="571"/>
      <c r="N143" s="571"/>
      <c r="O143" s="571"/>
      <c r="P143" s="571"/>
      <c r="Q143" s="571"/>
      <c r="R143" s="571"/>
      <c r="S143" s="571"/>
      <c r="T143" s="571"/>
      <c r="U143" s="571"/>
      <c r="V143" s="571"/>
      <c r="W143" s="571"/>
      <c r="X143" s="571"/>
      <c r="Y143" s="571"/>
      <c r="Z143" s="571"/>
      <c r="AA143" s="571"/>
      <c r="AB143" s="571"/>
      <c r="AC143" s="571"/>
      <c r="AD143" s="571"/>
      <c r="AE143" s="571"/>
      <c r="AF143" s="571"/>
      <c r="AG143" s="571"/>
      <c r="AH143" s="571"/>
      <c r="AI143" s="571"/>
      <c r="AJ143" s="571"/>
      <c r="AK143" s="571"/>
      <c r="AL143" s="571"/>
      <c r="AM143" s="571"/>
      <c r="AN143" s="571"/>
      <c r="AO143" s="571"/>
    </row>
    <row r="144">
      <c r="B144" s="855" t="s">
        <v>1292</v>
      </c>
      <c r="G144" s="571"/>
      <c r="H144" s="571"/>
      <c r="I144" s="571"/>
      <c r="J144" s="571"/>
      <c r="K144" s="571"/>
      <c r="L144" s="571"/>
      <c r="M144" s="571"/>
      <c r="N144" s="571"/>
      <c r="O144" s="571"/>
      <c r="P144" s="571"/>
      <c r="Q144" s="571"/>
      <c r="R144" s="571"/>
      <c r="S144" s="571"/>
      <c r="T144" s="571"/>
      <c r="U144" s="571"/>
      <c r="V144" s="571"/>
      <c r="W144" s="571"/>
      <c r="X144" s="571"/>
      <c r="Y144" s="571"/>
      <c r="Z144" s="571"/>
      <c r="AA144" s="571"/>
      <c r="AB144" s="571"/>
      <c r="AC144" s="571"/>
      <c r="AD144" s="571"/>
      <c r="AE144" s="571"/>
      <c r="AF144" s="571"/>
      <c r="AG144" s="571"/>
      <c r="AH144" s="571"/>
      <c r="AI144" s="571"/>
      <c r="AJ144" s="571"/>
      <c r="AK144" s="571"/>
      <c r="AL144" s="571"/>
      <c r="AM144" s="571"/>
      <c r="AN144" s="571"/>
      <c r="AO144" s="571"/>
    </row>
    <row r="145">
      <c r="B145" s="852" t="s">
        <v>1293</v>
      </c>
      <c r="G145" s="571"/>
      <c r="H145" s="571"/>
      <c r="I145" s="571"/>
      <c r="J145" s="571"/>
      <c r="K145" s="571"/>
      <c r="L145" s="571"/>
      <c r="M145" s="571"/>
      <c r="N145" s="571"/>
      <c r="O145" s="571"/>
      <c r="P145" s="571"/>
      <c r="Q145" s="571"/>
      <c r="R145" s="571"/>
      <c r="S145" s="571"/>
      <c r="T145" s="571"/>
      <c r="U145" s="571"/>
      <c r="V145" s="571"/>
      <c r="W145" s="571"/>
      <c r="X145" s="571"/>
      <c r="Y145" s="571"/>
      <c r="Z145" s="571"/>
      <c r="AA145" s="571"/>
      <c r="AB145" s="571"/>
      <c r="AC145" s="571"/>
      <c r="AD145" s="571"/>
      <c r="AE145" s="571"/>
      <c r="AF145" s="571"/>
      <c r="AG145" s="571"/>
      <c r="AH145" s="571"/>
      <c r="AI145" s="571"/>
      <c r="AJ145" s="571"/>
      <c r="AK145" s="571"/>
      <c r="AL145" s="571"/>
      <c r="AM145" s="571"/>
      <c r="AN145" s="571"/>
      <c r="AO145" s="571"/>
    </row>
    <row r="146">
      <c r="B146" s="852" t="s">
        <v>1294</v>
      </c>
      <c r="G146" s="571"/>
      <c r="H146" s="571"/>
      <c r="I146" s="571"/>
      <c r="J146" s="571"/>
      <c r="K146" s="571"/>
      <c r="L146" s="571"/>
      <c r="M146" s="571"/>
      <c r="N146" s="571"/>
      <c r="O146" s="571"/>
      <c r="P146" s="571"/>
      <c r="Q146" s="571"/>
      <c r="R146" s="571"/>
      <c r="S146" s="571"/>
      <c r="T146" s="571"/>
      <c r="U146" s="571"/>
      <c r="V146" s="571"/>
      <c r="W146" s="571"/>
      <c r="X146" s="571"/>
      <c r="Y146" s="571"/>
      <c r="Z146" s="571"/>
      <c r="AA146" s="571"/>
      <c r="AB146" s="571"/>
      <c r="AC146" s="571"/>
      <c r="AD146" s="571"/>
      <c r="AE146" s="571"/>
      <c r="AF146" s="571"/>
      <c r="AG146" s="571"/>
      <c r="AH146" s="571"/>
      <c r="AI146" s="571"/>
      <c r="AJ146" s="571"/>
      <c r="AK146" s="571"/>
      <c r="AL146" s="571"/>
      <c r="AM146" s="571"/>
      <c r="AN146" s="571"/>
      <c r="AO146" s="571"/>
    </row>
    <row r="147">
      <c r="B147" s="852" t="s">
        <v>1295</v>
      </c>
      <c r="G147" s="571"/>
      <c r="H147" s="571"/>
      <c r="I147" s="571"/>
      <c r="J147" s="571"/>
      <c r="K147" s="571"/>
      <c r="L147" s="571"/>
      <c r="M147" s="571"/>
      <c r="N147" s="571"/>
      <c r="O147" s="571"/>
      <c r="P147" s="571"/>
      <c r="Q147" s="571"/>
      <c r="R147" s="571"/>
      <c r="S147" s="571"/>
      <c r="T147" s="571"/>
      <c r="U147" s="571"/>
      <c r="V147" s="571"/>
      <c r="W147" s="571"/>
      <c r="X147" s="571"/>
      <c r="Y147" s="571"/>
      <c r="Z147" s="571"/>
      <c r="AA147" s="571"/>
      <c r="AB147" s="571"/>
      <c r="AC147" s="571"/>
      <c r="AD147" s="571"/>
      <c r="AE147" s="571"/>
      <c r="AF147" s="571"/>
      <c r="AG147" s="571"/>
      <c r="AH147" s="571"/>
      <c r="AI147" s="571"/>
      <c r="AJ147" s="571"/>
      <c r="AK147" s="571"/>
      <c r="AL147" s="571"/>
      <c r="AM147" s="571"/>
      <c r="AN147" s="571"/>
      <c r="AO147" s="571"/>
    </row>
    <row r="148">
      <c r="A148" s="850" t="s">
        <v>1301</v>
      </c>
      <c r="B148" s="851" t="s">
        <v>1287</v>
      </c>
      <c r="G148" s="571"/>
      <c r="H148" s="571"/>
      <c r="I148" s="571"/>
      <c r="J148" s="571"/>
      <c r="K148" s="571"/>
      <c r="L148" s="571"/>
      <c r="M148" s="571"/>
      <c r="N148" s="571"/>
      <c r="O148" s="571"/>
      <c r="P148" s="571"/>
      <c r="Q148" s="571"/>
      <c r="R148" s="571"/>
      <c r="S148" s="571"/>
      <c r="T148" s="571"/>
      <c r="U148" s="571"/>
      <c r="V148" s="571"/>
      <c r="W148" s="571"/>
      <c r="X148" s="571"/>
      <c r="Y148" s="571"/>
      <c r="Z148" s="571"/>
      <c r="AA148" s="571"/>
      <c r="AB148" s="571"/>
      <c r="AC148" s="571"/>
      <c r="AD148" s="571"/>
      <c r="AE148" s="571"/>
      <c r="AF148" s="571"/>
      <c r="AG148" s="571"/>
      <c r="AH148" s="571"/>
      <c r="AI148" s="571"/>
      <c r="AJ148" s="571"/>
      <c r="AK148" s="571"/>
      <c r="AL148" s="571"/>
      <c r="AM148" s="571"/>
      <c r="AN148" s="571"/>
      <c r="AO148" s="571"/>
    </row>
    <row r="149">
      <c r="B149" s="852" t="s">
        <v>1288</v>
      </c>
      <c r="G149" s="571"/>
      <c r="H149" s="571"/>
      <c r="I149" s="571"/>
      <c r="J149" s="571"/>
      <c r="K149" s="571"/>
      <c r="L149" s="571"/>
      <c r="M149" s="571"/>
      <c r="N149" s="571"/>
      <c r="O149" s="571"/>
      <c r="P149" s="571"/>
      <c r="Q149" s="571"/>
      <c r="R149" s="571"/>
      <c r="S149" s="571"/>
      <c r="T149" s="571"/>
      <c r="U149" s="571"/>
      <c r="V149" s="571"/>
      <c r="W149" s="571"/>
      <c r="X149" s="571"/>
      <c r="Y149" s="571"/>
      <c r="Z149" s="571"/>
      <c r="AA149" s="571"/>
      <c r="AB149" s="571"/>
      <c r="AC149" s="571"/>
      <c r="AD149" s="571"/>
      <c r="AE149" s="571"/>
      <c r="AF149" s="571"/>
      <c r="AG149" s="571"/>
      <c r="AH149" s="571"/>
      <c r="AI149" s="571"/>
      <c r="AJ149" s="571"/>
      <c r="AK149" s="571"/>
      <c r="AL149" s="571"/>
      <c r="AM149" s="571"/>
      <c r="AN149" s="571"/>
      <c r="AO149" s="571"/>
    </row>
    <row r="150">
      <c r="B150" s="852" t="s">
        <v>1289</v>
      </c>
      <c r="G150" s="571"/>
      <c r="H150" s="571"/>
      <c r="I150" s="571"/>
      <c r="J150" s="571"/>
      <c r="K150" s="571"/>
      <c r="L150" s="571"/>
      <c r="M150" s="571"/>
      <c r="N150" s="571"/>
      <c r="O150" s="571"/>
      <c r="P150" s="571"/>
      <c r="Q150" s="571"/>
      <c r="R150" s="571"/>
      <c r="S150" s="571"/>
      <c r="T150" s="571"/>
      <c r="U150" s="571"/>
      <c r="V150" s="571"/>
      <c r="W150" s="571"/>
      <c r="X150" s="571"/>
      <c r="Y150" s="571"/>
      <c r="Z150" s="571"/>
      <c r="AA150" s="571"/>
      <c r="AB150" s="571"/>
      <c r="AC150" s="571"/>
      <c r="AD150" s="571"/>
      <c r="AE150" s="571"/>
      <c r="AF150" s="571"/>
      <c r="AG150" s="571"/>
      <c r="AH150" s="571"/>
      <c r="AI150" s="571"/>
      <c r="AJ150" s="571"/>
      <c r="AK150" s="571"/>
      <c r="AL150" s="571"/>
      <c r="AM150" s="571"/>
      <c r="AN150" s="571"/>
      <c r="AO150" s="571"/>
    </row>
    <row r="151">
      <c r="B151" s="852" t="s">
        <v>1290</v>
      </c>
      <c r="G151" s="571"/>
      <c r="H151" s="571"/>
      <c r="I151" s="571"/>
      <c r="J151" s="571"/>
      <c r="K151" s="571"/>
      <c r="L151" s="571"/>
      <c r="M151" s="571"/>
      <c r="N151" s="571"/>
      <c r="O151" s="571"/>
      <c r="P151" s="571"/>
      <c r="Q151" s="571"/>
      <c r="R151" s="571"/>
      <c r="S151" s="571"/>
      <c r="T151" s="571"/>
      <c r="U151" s="571"/>
      <c r="V151" s="571"/>
      <c r="W151" s="571"/>
      <c r="X151" s="571"/>
      <c r="Y151" s="571"/>
      <c r="Z151" s="571"/>
      <c r="AA151" s="571"/>
      <c r="AB151" s="571"/>
      <c r="AC151" s="571"/>
      <c r="AD151" s="571"/>
      <c r="AE151" s="571"/>
      <c r="AF151" s="571"/>
      <c r="AG151" s="571"/>
      <c r="AH151" s="571"/>
      <c r="AI151" s="571"/>
      <c r="AJ151" s="571"/>
      <c r="AK151" s="571"/>
      <c r="AL151" s="571"/>
      <c r="AM151" s="571"/>
      <c r="AN151" s="571"/>
      <c r="AO151" s="571"/>
    </row>
    <row r="152">
      <c r="B152" s="855" t="s">
        <v>1291</v>
      </c>
      <c r="G152" s="571"/>
      <c r="H152" s="571"/>
      <c r="I152" s="571"/>
      <c r="J152" s="571"/>
      <c r="K152" s="571"/>
      <c r="L152" s="571"/>
      <c r="M152" s="571"/>
      <c r="N152" s="571"/>
      <c r="O152" s="571"/>
      <c r="P152" s="571"/>
      <c r="Q152" s="571"/>
      <c r="R152" s="571"/>
      <c r="S152" s="571"/>
      <c r="T152" s="571"/>
      <c r="U152" s="571"/>
      <c r="V152" s="571"/>
      <c r="W152" s="571"/>
      <c r="X152" s="571"/>
      <c r="Y152" s="571"/>
      <c r="Z152" s="571"/>
      <c r="AA152" s="571"/>
      <c r="AB152" s="571"/>
      <c r="AC152" s="571"/>
      <c r="AD152" s="571"/>
      <c r="AE152" s="571"/>
      <c r="AF152" s="571"/>
      <c r="AG152" s="571"/>
      <c r="AH152" s="571"/>
      <c r="AI152" s="571"/>
      <c r="AJ152" s="571"/>
      <c r="AK152" s="571"/>
      <c r="AL152" s="571"/>
      <c r="AM152" s="571"/>
      <c r="AN152" s="571"/>
      <c r="AO152" s="571"/>
    </row>
    <row r="153">
      <c r="B153" s="855" t="s">
        <v>1292</v>
      </c>
      <c r="G153" s="571"/>
      <c r="H153" s="571"/>
      <c r="I153" s="571"/>
      <c r="J153" s="571"/>
      <c r="K153" s="571"/>
      <c r="L153" s="571"/>
      <c r="M153" s="571"/>
      <c r="N153" s="571"/>
      <c r="O153" s="571"/>
      <c r="P153" s="571"/>
      <c r="Q153" s="571"/>
      <c r="R153" s="571"/>
      <c r="S153" s="571"/>
      <c r="T153" s="571"/>
      <c r="U153" s="571"/>
      <c r="V153" s="571"/>
      <c r="W153" s="571"/>
      <c r="X153" s="571"/>
      <c r="Y153" s="571"/>
      <c r="Z153" s="571"/>
      <c r="AA153" s="571"/>
      <c r="AB153" s="571"/>
      <c r="AC153" s="571"/>
      <c r="AD153" s="571"/>
      <c r="AE153" s="571"/>
      <c r="AF153" s="571"/>
      <c r="AG153" s="571"/>
      <c r="AH153" s="571"/>
      <c r="AI153" s="571"/>
      <c r="AJ153" s="571"/>
      <c r="AK153" s="571"/>
      <c r="AL153" s="571"/>
      <c r="AM153" s="571"/>
      <c r="AN153" s="571"/>
      <c r="AO153" s="571"/>
    </row>
    <row r="154">
      <c r="B154" s="852" t="s">
        <v>1293</v>
      </c>
      <c r="G154" s="571"/>
      <c r="H154" s="571"/>
      <c r="I154" s="571"/>
      <c r="J154" s="571"/>
      <c r="K154" s="571"/>
      <c r="L154" s="571"/>
      <c r="M154" s="571"/>
      <c r="N154" s="571"/>
      <c r="O154" s="571"/>
      <c r="P154" s="571"/>
      <c r="Q154" s="571"/>
      <c r="R154" s="571"/>
      <c r="S154" s="571"/>
      <c r="T154" s="571"/>
      <c r="U154" s="571"/>
      <c r="V154" s="571"/>
      <c r="W154" s="571"/>
      <c r="X154" s="571"/>
      <c r="Y154" s="571"/>
      <c r="Z154" s="571"/>
      <c r="AA154" s="571"/>
      <c r="AB154" s="571"/>
      <c r="AC154" s="571"/>
      <c r="AD154" s="571"/>
      <c r="AE154" s="571"/>
      <c r="AF154" s="571"/>
      <c r="AG154" s="571"/>
      <c r="AH154" s="571"/>
      <c r="AI154" s="571"/>
      <c r="AJ154" s="571"/>
      <c r="AK154" s="571"/>
      <c r="AL154" s="571"/>
      <c r="AM154" s="571"/>
      <c r="AN154" s="571"/>
      <c r="AO154" s="571"/>
    </row>
    <row r="155">
      <c r="B155" s="852" t="s">
        <v>1294</v>
      </c>
      <c r="G155" s="571"/>
      <c r="H155" s="571"/>
      <c r="I155" s="571"/>
      <c r="J155" s="571"/>
      <c r="K155" s="571"/>
      <c r="L155" s="571"/>
      <c r="M155" s="571"/>
      <c r="N155" s="571"/>
      <c r="O155" s="571"/>
      <c r="P155" s="571"/>
      <c r="Q155" s="571"/>
      <c r="R155" s="571"/>
      <c r="S155" s="571"/>
      <c r="T155" s="571"/>
      <c r="U155" s="571"/>
      <c r="V155" s="571"/>
      <c r="W155" s="571"/>
      <c r="X155" s="571"/>
      <c r="Y155" s="571"/>
      <c r="Z155" s="571"/>
      <c r="AA155" s="571"/>
      <c r="AB155" s="571"/>
      <c r="AC155" s="571"/>
      <c r="AD155" s="571"/>
      <c r="AE155" s="571"/>
      <c r="AF155" s="571"/>
      <c r="AG155" s="571"/>
      <c r="AH155" s="571"/>
      <c r="AI155" s="571"/>
      <c r="AJ155" s="571"/>
      <c r="AK155" s="571"/>
      <c r="AL155" s="571"/>
      <c r="AM155" s="571"/>
      <c r="AN155" s="571"/>
      <c r="AO155" s="571"/>
    </row>
    <row r="156">
      <c r="B156" s="852" t="s">
        <v>1295</v>
      </c>
      <c r="G156" s="571"/>
      <c r="H156" s="571"/>
      <c r="I156" s="571"/>
      <c r="J156" s="571"/>
      <c r="K156" s="571"/>
      <c r="L156" s="571"/>
      <c r="M156" s="571"/>
      <c r="N156" s="571"/>
      <c r="O156" s="571"/>
      <c r="P156" s="571"/>
      <c r="Q156" s="571"/>
      <c r="R156" s="571"/>
      <c r="S156" s="571"/>
      <c r="T156" s="571"/>
      <c r="U156" s="571"/>
      <c r="V156" s="571"/>
      <c r="W156" s="571"/>
      <c r="X156" s="571"/>
      <c r="Y156" s="571"/>
      <c r="Z156" s="571"/>
      <c r="AA156" s="571"/>
      <c r="AB156" s="571"/>
      <c r="AC156" s="571"/>
      <c r="AD156" s="571"/>
      <c r="AE156" s="571"/>
      <c r="AF156" s="571"/>
      <c r="AG156" s="571"/>
      <c r="AH156" s="571"/>
      <c r="AI156" s="571"/>
      <c r="AJ156" s="571"/>
      <c r="AK156" s="571"/>
      <c r="AL156" s="571"/>
      <c r="AM156" s="571"/>
      <c r="AN156" s="571"/>
      <c r="AO156" s="571"/>
    </row>
    <row r="157">
      <c r="A157" s="850" t="s">
        <v>1302</v>
      </c>
      <c r="B157" s="851" t="s">
        <v>1287</v>
      </c>
      <c r="G157" s="571"/>
      <c r="H157" s="571"/>
      <c r="I157" s="571"/>
      <c r="J157" s="571"/>
      <c r="K157" s="571"/>
      <c r="L157" s="571"/>
      <c r="M157" s="571"/>
      <c r="N157" s="571"/>
      <c r="O157" s="571"/>
      <c r="P157" s="571"/>
      <c r="Q157" s="571"/>
      <c r="R157" s="571"/>
      <c r="S157" s="571"/>
      <c r="T157" s="571"/>
      <c r="U157" s="571"/>
      <c r="V157" s="571"/>
      <c r="W157" s="571"/>
      <c r="X157" s="571"/>
      <c r="Y157" s="571"/>
      <c r="Z157" s="571"/>
      <c r="AA157" s="571"/>
      <c r="AB157" s="571"/>
      <c r="AC157" s="571"/>
      <c r="AD157" s="571"/>
      <c r="AE157" s="571"/>
      <c r="AF157" s="571"/>
      <c r="AG157" s="571"/>
      <c r="AH157" s="571"/>
      <c r="AI157" s="571"/>
      <c r="AJ157" s="571"/>
      <c r="AK157" s="571"/>
      <c r="AL157" s="571"/>
      <c r="AM157" s="571"/>
      <c r="AN157" s="571"/>
      <c r="AO157" s="571"/>
    </row>
    <row r="158">
      <c r="B158" s="852" t="s">
        <v>1288</v>
      </c>
      <c r="G158" s="571"/>
      <c r="H158" s="571"/>
      <c r="I158" s="571"/>
      <c r="J158" s="571"/>
      <c r="K158" s="571"/>
      <c r="L158" s="571"/>
      <c r="M158" s="571"/>
      <c r="N158" s="571"/>
      <c r="O158" s="571"/>
      <c r="P158" s="571"/>
      <c r="Q158" s="571"/>
      <c r="R158" s="571"/>
      <c r="S158" s="571"/>
      <c r="T158" s="571"/>
      <c r="U158" s="571"/>
      <c r="V158" s="571"/>
      <c r="W158" s="571"/>
      <c r="X158" s="571"/>
      <c r="Y158" s="571"/>
      <c r="Z158" s="571"/>
      <c r="AA158" s="571"/>
      <c r="AB158" s="571"/>
      <c r="AC158" s="571"/>
      <c r="AD158" s="571"/>
      <c r="AE158" s="571"/>
      <c r="AF158" s="571"/>
      <c r="AG158" s="571"/>
      <c r="AH158" s="571"/>
      <c r="AI158" s="571"/>
      <c r="AJ158" s="571"/>
      <c r="AK158" s="571"/>
      <c r="AL158" s="571"/>
      <c r="AM158" s="571"/>
      <c r="AN158" s="571"/>
      <c r="AO158" s="571"/>
    </row>
    <row r="159">
      <c r="B159" s="852" t="s">
        <v>1289</v>
      </c>
      <c r="G159" s="571"/>
      <c r="H159" s="571"/>
      <c r="I159" s="571"/>
      <c r="J159" s="571"/>
      <c r="K159" s="571"/>
      <c r="L159" s="571"/>
      <c r="M159" s="571"/>
      <c r="N159" s="571"/>
      <c r="O159" s="571"/>
      <c r="P159" s="571"/>
      <c r="Q159" s="571"/>
      <c r="R159" s="571"/>
      <c r="S159" s="571"/>
      <c r="T159" s="571"/>
      <c r="U159" s="571"/>
      <c r="V159" s="571"/>
      <c r="W159" s="571"/>
      <c r="X159" s="571"/>
      <c r="Y159" s="571"/>
      <c r="Z159" s="571"/>
      <c r="AA159" s="571"/>
      <c r="AB159" s="571"/>
      <c r="AC159" s="571"/>
      <c r="AD159" s="571"/>
      <c r="AE159" s="571"/>
      <c r="AF159" s="571"/>
      <c r="AG159" s="571"/>
      <c r="AH159" s="571"/>
      <c r="AI159" s="571"/>
      <c r="AJ159" s="571"/>
      <c r="AK159" s="571"/>
      <c r="AL159" s="571"/>
      <c r="AM159" s="571"/>
      <c r="AN159" s="571"/>
      <c r="AO159" s="571"/>
    </row>
    <row r="160">
      <c r="B160" s="852" t="s">
        <v>1290</v>
      </c>
      <c r="G160" s="571"/>
      <c r="H160" s="571"/>
      <c r="I160" s="571"/>
      <c r="J160" s="571"/>
      <c r="K160" s="571"/>
      <c r="L160" s="571"/>
      <c r="M160" s="571"/>
      <c r="N160" s="571"/>
      <c r="O160" s="571"/>
      <c r="P160" s="571"/>
      <c r="Q160" s="571"/>
      <c r="R160" s="571"/>
      <c r="S160" s="571"/>
      <c r="T160" s="571"/>
      <c r="U160" s="571"/>
      <c r="V160" s="571"/>
      <c r="W160" s="571"/>
      <c r="X160" s="571"/>
      <c r="Y160" s="571"/>
      <c r="Z160" s="571"/>
      <c r="AA160" s="571"/>
      <c r="AB160" s="571"/>
      <c r="AC160" s="571"/>
      <c r="AD160" s="571"/>
      <c r="AE160" s="571"/>
      <c r="AF160" s="571"/>
      <c r="AG160" s="571"/>
      <c r="AH160" s="571"/>
      <c r="AI160" s="571"/>
      <c r="AJ160" s="571"/>
      <c r="AK160" s="571"/>
      <c r="AL160" s="571"/>
      <c r="AM160" s="571"/>
      <c r="AN160" s="571"/>
      <c r="AO160" s="571"/>
    </row>
    <row r="161">
      <c r="B161" s="855" t="s">
        <v>1291</v>
      </c>
      <c r="G161" s="571"/>
      <c r="H161" s="571"/>
      <c r="I161" s="571"/>
      <c r="J161" s="571"/>
      <c r="K161" s="571"/>
      <c r="L161" s="571"/>
      <c r="M161" s="571"/>
      <c r="N161" s="571"/>
      <c r="O161" s="571"/>
      <c r="P161" s="571"/>
      <c r="Q161" s="571"/>
      <c r="R161" s="571"/>
      <c r="S161" s="571"/>
      <c r="T161" s="571"/>
      <c r="U161" s="571"/>
      <c r="V161" s="571"/>
      <c r="W161" s="571"/>
      <c r="X161" s="571"/>
      <c r="Y161" s="571"/>
      <c r="Z161" s="571"/>
      <c r="AA161" s="571"/>
      <c r="AB161" s="571"/>
      <c r="AC161" s="571"/>
      <c r="AD161" s="571"/>
      <c r="AE161" s="571"/>
      <c r="AF161" s="571"/>
      <c r="AG161" s="571"/>
      <c r="AH161" s="571"/>
      <c r="AI161" s="571"/>
      <c r="AJ161" s="571"/>
      <c r="AK161" s="571"/>
      <c r="AL161" s="571"/>
      <c r="AM161" s="571"/>
      <c r="AN161" s="571"/>
      <c r="AO161" s="571"/>
    </row>
    <row r="162">
      <c r="B162" s="855" t="s">
        <v>1292</v>
      </c>
      <c r="G162" s="571"/>
      <c r="H162" s="571"/>
      <c r="I162" s="571"/>
      <c r="J162" s="571"/>
      <c r="K162" s="571"/>
      <c r="L162" s="571"/>
      <c r="M162" s="571"/>
      <c r="N162" s="571"/>
      <c r="O162" s="571"/>
      <c r="P162" s="571"/>
      <c r="Q162" s="571"/>
      <c r="R162" s="571"/>
      <c r="S162" s="571"/>
      <c r="T162" s="571"/>
      <c r="U162" s="571"/>
      <c r="V162" s="571"/>
      <c r="W162" s="571"/>
      <c r="X162" s="571"/>
      <c r="Y162" s="571"/>
      <c r="Z162" s="571"/>
      <c r="AA162" s="571"/>
      <c r="AB162" s="571"/>
      <c r="AC162" s="571"/>
      <c r="AD162" s="571"/>
      <c r="AE162" s="571"/>
      <c r="AF162" s="571"/>
      <c r="AG162" s="571"/>
      <c r="AH162" s="571"/>
      <c r="AI162" s="571"/>
      <c r="AJ162" s="571"/>
      <c r="AK162" s="571"/>
      <c r="AL162" s="571"/>
      <c r="AM162" s="571"/>
      <c r="AN162" s="571"/>
      <c r="AO162" s="571"/>
    </row>
    <row r="163">
      <c r="B163" s="852" t="s">
        <v>1293</v>
      </c>
      <c r="G163" s="571"/>
      <c r="H163" s="571"/>
      <c r="I163" s="571"/>
      <c r="J163" s="571"/>
      <c r="K163" s="571"/>
      <c r="L163" s="571"/>
      <c r="M163" s="571"/>
      <c r="N163" s="571"/>
      <c r="O163" s="571"/>
      <c r="P163" s="571"/>
      <c r="Q163" s="571"/>
      <c r="R163" s="571"/>
      <c r="S163" s="571"/>
      <c r="T163" s="571"/>
      <c r="U163" s="571"/>
      <c r="V163" s="571"/>
      <c r="W163" s="571"/>
      <c r="X163" s="571"/>
      <c r="Y163" s="571"/>
      <c r="Z163" s="571"/>
      <c r="AA163" s="571"/>
      <c r="AB163" s="571"/>
      <c r="AC163" s="571"/>
      <c r="AD163" s="571"/>
      <c r="AE163" s="571"/>
      <c r="AF163" s="571"/>
      <c r="AG163" s="571"/>
      <c r="AH163" s="571"/>
      <c r="AI163" s="571"/>
      <c r="AJ163" s="571"/>
      <c r="AK163" s="571"/>
      <c r="AL163" s="571"/>
      <c r="AM163" s="571"/>
      <c r="AN163" s="571"/>
      <c r="AO163" s="571"/>
    </row>
    <row r="164">
      <c r="B164" s="852" t="s">
        <v>1294</v>
      </c>
      <c r="G164" s="571"/>
      <c r="H164" s="571"/>
      <c r="I164" s="571"/>
      <c r="J164" s="571"/>
      <c r="K164" s="571"/>
      <c r="L164" s="571"/>
      <c r="M164" s="571"/>
      <c r="N164" s="571"/>
      <c r="O164" s="571"/>
      <c r="P164" s="571"/>
      <c r="Q164" s="571"/>
      <c r="R164" s="571"/>
      <c r="S164" s="571"/>
      <c r="T164" s="571"/>
      <c r="U164" s="571"/>
      <c r="V164" s="571"/>
      <c r="W164" s="571"/>
      <c r="X164" s="571"/>
      <c r="Y164" s="571"/>
      <c r="Z164" s="571"/>
      <c r="AA164" s="571"/>
      <c r="AB164" s="571"/>
      <c r="AC164" s="571"/>
      <c r="AD164" s="571"/>
      <c r="AE164" s="571"/>
      <c r="AF164" s="571"/>
      <c r="AG164" s="571"/>
      <c r="AH164" s="571"/>
      <c r="AI164" s="571"/>
      <c r="AJ164" s="571"/>
      <c r="AK164" s="571"/>
      <c r="AL164" s="571"/>
      <c r="AM164" s="571"/>
      <c r="AN164" s="571"/>
      <c r="AO164" s="571"/>
    </row>
    <row r="165">
      <c r="B165" s="852" t="s">
        <v>1295</v>
      </c>
      <c r="G165" s="571"/>
      <c r="H165" s="571"/>
      <c r="I165" s="571"/>
      <c r="J165" s="571"/>
      <c r="K165" s="571"/>
      <c r="L165" s="571"/>
      <c r="M165" s="571"/>
      <c r="N165" s="571"/>
      <c r="O165" s="571"/>
      <c r="P165" s="571"/>
      <c r="Q165" s="571"/>
      <c r="R165" s="571"/>
      <c r="S165" s="571"/>
      <c r="T165" s="571"/>
      <c r="U165" s="571"/>
      <c r="V165" s="571"/>
      <c r="W165" s="571"/>
      <c r="X165" s="571"/>
      <c r="Y165" s="571"/>
      <c r="Z165" s="571"/>
      <c r="AA165" s="571"/>
      <c r="AB165" s="571"/>
      <c r="AC165" s="571"/>
      <c r="AD165" s="571"/>
      <c r="AE165" s="571"/>
      <c r="AF165" s="571"/>
      <c r="AG165" s="571"/>
      <c r="AH165" s="571"/>
      <c r="AI165" s="571"/>
      <c r="AJ165" s="571"/>
      <c r="AK165" s="571"/>
      <c r="AL165" s="571"/>
      <c r="AM165" s="571"/>
      <c r="AN165" s="571"/>
      <c r="AO165" s="571"/>
    </row>
    <row r="166">
      <c r="A166" s="850" t="s">
        <v>1303</v>
      </c>
      <c r="B166" s="851" t="s">
        <v>1287</v>
      </c>
      <c r="G166" s="571"/>
      <c r="H166" s="571"/>
      <c r="I166" s="571"/>
      <c r="J166" s="571"/>
      <c r="K166" s="571"/>
      <c r="L166" s="571"/>
      <c r="M166" s="571"/>
      <c r="N166" s="571"/>
      <c r="O166" s="571"/>
      <c r="P166" s="571"/>
      <c r="Q166" s="571"/>
      <c r="R166" s="571"/>
      <c r="S166" s="571"/>
      <c r="T166" s="571"/>
      <c r="U166" s="571"/>
      <c r="V166" s="571"/>
      <c r="W166" s="571"/>
      <c r="X166" s="571"/>
      <c r="Y166" s="571"/>
      <c r="Z166" s="571"/>
      <c r="AA166" s="571"/>
      <c r="AB166" s="571"/>
      <c r="AC166" s="571"/>
      <c r="AD166" s="571"/>
      <c r="AE166" s="571"/>
      <c r="AF166" s="571"/>
      <c r="AG166" s="571"/>
      <c r="AH166" s="571"/>
      <c r="AI166" s="571"/>
      <c r="AJ166" s="571"/>
      <c r="AK166" s="571"/>
      <c r="AL166" s="571"/>
      <c r="AM166" s="571"/>
      <c r="AN166" s="571"/>
      <c r="AO166" s="571"/>
    </row>
    <row r="167">
      <c r="B167" s="852" t="s">
        <v>1288</v>
      </c>
      <c r="G167" s="571"/>
      <c r="H167" s="571"/>
      <c r="I167" s="571"/>
      <c r="J167" s="571"/>
      <c r="K167" s="571"/>
      <c r="L167" s="571"/>
      <c r="M167" s="571"/>
      <c r="N167" s="571"/>
      <c r="O167" s="571"/>
      <c r="P167" s="571"/>
      <c r="Q167" s="571"/>
      <c r="R167" s="571"/>
      <c r="S167" s="571"/>
      <c r="T167" s="571"/>
      <c r="U167" s="571"/>
      <c r="V167" s="571"/>
      <c r="W167" s="571"/>
      <c r="X167" s="571"/>
      <c r="Y167" s="571"/>
      <c r="Z167" s="571"/>
      <c r="AA167" s="571"/>
      <c r="AB167" s="571"/>
      <c r="AC167" s="571"/>
      <c r="AD167" s="571"/>
      <c r="AE167" s="571"/>
      <c r="AF167" s="571"/>
      <c r="AG167" s="571"/>
      <c r="AH167" s="571"/>
      <c r="AI167" s="571"/>
      <c r="AJ167" s="571"/>
      <c r="AK167" s="571"/>
      <c r="AL167" s="571"/>
      <c r="AM167" s="571"/>
      <c r="AN167" s="571"/>
      <c r="AO167" s="571"/>
    </row>
    <row r="168">
      <c r="B168" s="852" t="s">
        <v>1289</v>
      </c>
      <c r="G168" s="571"/>
      <c r="H168" s="571"/>
      <c r="I168" s="571"/>
      <c r="J168" s="571"/>
      <c r="K168" s="571"/>
      <c r="L168" s="571"/>
      <c r="M168" s="571"/>
      <c r="N168" s="571"/>
      <c r="O168" s="571"/>
      <c r="P168" s="571"/>
      <c r="Q168" s="571"/>
      <c r="R168" s="571"/>
      <c r="S168" s="571"/>
      <c r="T168" s="571"/>
      <c r="U168" s="571"/>
      <c r="V168" s="571"/>
      <c r="W168" s="571"/>
      <c r="X168" s="571"/>
      <c r="Y168" s="571"/>
      <c r="Z168" s="571"/>
      <c r="AA168" s="571"/>
      <c r="AB168" s="571"/>
      <c r="AC168" s="571"/>
      <c r="AD168" s="571"/>
      <c r="AE168" s="571"/>
      <c r="AF168" s="571"/>
      <c r="AG168" s="571"/>
      <c r="AH168" s="571"/>
      <c r="AI168" s="571"/>
      <c r="AJ168" s="571"/>
      <c r="AK168" s="571"/>
      <c r="AL168" s="571"/>
      <c r="AM168" s="571"/>
      <c r="AN168" s="571"/>
      <c r="AO168" s="571"/>
    </row>
    <row r="169">
      <c r="B169" s="852" t="s">
        <v>1290</v>
      </c>
      <c r="G169" s="571"/>
      <c r="H169" s="571"/>
      <c r="I169" s="571"/>
      <c r="J169" s="571"/>
      <c r="K169" s="571"/>
      <c r="L169" s="571"/>
      <c r="M169" s="571"/>
      <c r="N169" s="571"/>
      <c r="O169" s="571"/>
      <c r="P169" s="571"/>
      <c r="Q169" s="571"/>
      <c r="R169" s="571"/>
      <c r="S169" s="571"/>
      <c r="T169" s="571"/>
      <c r="U169" s="571"/>
      <c r="V169" s="571"/>
      <c r="W169" s="571"/>
      <c r="X169" s="571"/>
      <c r="Y169" s="571"/>
      <c r="Z169" s="571"/>
      <c r="AA169" s="571"/>
      <c r="AB169" s="571"/>
      <c r="AC169" s="571"/>
      <c r="AD169" s="571"/>
      <c r="AE169" s="571"/>
      <c r="AF169" s="571"/>
      <c r="AG169" s="571"/>
      <c r="AH169" s="571"/>
      <c r="AI169" s="571"/>
      <c r="AJ169" s="571"/>
      <c r="AK169" s="571"/>
      <c r="AL169" s="571"/>
      <c r="AM169" s="571"/>
      <c r="AN169" s="571"/>
      <c r="AO169" s="571"/>
    </row>
    <row r="170">
      <c r="B170" s="855" t="s">
        <v>1291</v>
      </c>
      <c r="G170" s="571"/>
      <c r="H170" s="571"/>
      <c r="I170" s="571"/>
      <c r="J170" s="571"/>
      <c r="K170" s="571"/>
      <c r="L170" s="571"/>
      <c r="M170" s="571"/>
      <c r="N170" s="571"/>
      <c r="O170" s="571"/>
      <c r="P170" s="571"/>
      <c r="Q170" s="571"/>
      <c r="R170" s="571"/>
      <c r="S170" s="571"/>
      <c r="T170" s="571"/>
      <c r="U170" s="571"/>
      <c r="V170" s="571"/>
      <c r="W170" s="571"/>
      <c r="X170" s="571"/>
      <c r="Y170" s="571"/>
      <c r="Z170" s="571"/>
      <c r="AA170" s="571"/>
      <c r="AB170" s="571"/>
      <c r="AC170" s="571"/>
      <c r="AD170" s="571"/>
      <c r="AE170" s="571"/>
      <c r="AF170" s="571"/>
      <c r="AG170" s="571"/>
      <c r="AH170" s="571"/>
      <c r="AI170" s="571"/>
      <c r="AJ170" s="571"/>
      <c r="AK170" s="571"/>
      <c r="AL170" s="571"/>
      <c r="AM170" s="571"/>
      <c r="AN170" s="571"/>
      <c r="AO170" s="571"/>
    </row>
    <row r="171">
      <c r="B171" s="855" t="s">
        <v>1292</v>
      </c>
      <c r="G171" s="571"/>
      <c r="H171" s="571"/>
      <c r="I171" s="571"/>
      <c r="J171" s="571"/>
      <c r="K171" s="571"/>
      <c r="L171" s="571"/>
      <c r="M171" s="571"/>
      <c r="N171" s="571"/>
      <c r="O171" s="571"/>
      <c r="P171" s="571"/>
      <c r="Q171" s="571"/>
      <c r="R171" s="571"/>
      <c r="S171" s="571"/>
      <c r="T171" s="571"/>
      <c r="U171" s="571"/>
      <c r="V171" s="571"/>
      <c r="W171" s="571"/>
      <c r="X171" s="571"/>
      <c r="Y171" s="571"/>
      <c r="Z171" s="571"/>
      <c r="AA171" s="571"/>
      <c r="AB171" s="571"/>
      <c r="AC171" s="571"/>
      <c r="AD171" s="571"/>
      <c r="AE171" s="571"/>
      <c r="AF171" s="571"/>
      <c r="AG171" s="571"/>
      <c r="AH171" s="571"/>
      <c r="AI171" s="571"/>
      <c r="AJ171" s="571"/>
      <c r="AK171" s="571"/>
      <c r="AL171" s="571"/>
      <c r="AM171" s="571"/>
      <c r="AN171" s="571"/>
      <c r="AO171" s="571"/>
    </row>
    <row r="172">
      <c r="B172" s="852" t="s">
        <v>1293</v>
      </c>
      <c r="G172" s="571"/>
      <c r="H172" s="571"/>
      <c r="I172" s="571"/>
      <c r="J172" s="571"/>
      <c r="K172" s="571"/>
      <c r="L172" s="571"/>
      <c r="M172" s="571"/>
      <c r="N172" s="571"/>
      <c r="O172" s="571"/>
      <c r="P172" s="571"/>
      <c r="Q172" s="571"/>
      <c r="R172" s="571"/>
      <c r="S172" s="571"/>
      <c r="T172" s="571"/>
      <c r="U172" s="571"/>
      <c r="V172" s="571"/>
      <c r="W172" s="571"/>
      <c r="X172" s="571"/>
      <c r="Y172" s="571"/>
      <c r="Z172" s="571"/>
      <c r="AA172" s="571"/>
      <c r="AB172" s="571"/>
      <c r="AC172" s="571"/>
      <c r="AD172" s="571"/>
      <c r="AE172" s="571"/>
      <c r="AF172" s="571"/>
      <c r="AG172" s="571"/>
      <c r="AH172" s="571"/>
      <c r="AI172" s="571"/>
      <c r="AJ172" s="571"/>
      <c r="AK172" s="571"/>
      <c r="AL172" s="571"/>
      <c r="AM172" s="571"/>
      <c r="AN172" s="571"/>
      <c r="AO172" s="571"/>
    </row>
    <row r="173">
      <c r="B173" s="852" t="s">
        <v>1294</v>
      </c>
      <c r="G173" s="571"/>
      <c r="H173" s="571"/>
      <c r="I173" s="571"/>
      <c r="J173" s="571"/>
      <c r="K173" s="571"/>
      <c r="L173" s="571"/>
      <c r="M173" s="571"/>
      <c r="N173" s="571"/>
      <c r="O173" s="571"/>
      <c r="P173" s="571"/>
      <c r="Q173" s="571"/>
      <c r="R173" s="571"/>
      <c r="S173" s="571"/>
      <c r="T173" s="571"/>
      <c r="U173" s="571"/>
      <c r="V173" s="571"/>
      <c r="W173" s="571"/>
      <c r="X173" s="571"/>
      <c r="Y173" s="571"/>
      <c r="Z173" s="571"/>
      <c r="AA173" s="571"/>
      <c r="AB173" s="571"/>
      <c r="AC173" s="571"/>
      <c r="AD173" s="571"/>
      <c r="AE173" s="571"/>
      <c r="AF173" s="571"/>
      <c r="AG173" s="571"/>
      <c r="AH173" s="571"/>
      <c r="AI173" s="571"/>
      <c r="AJ173" s="571"/>
      <c r="AK173" s="571"/>
      <c r="AL173" s="571"/>
      <c r="AM173" s="571"/>
      <c r="AN173" s="571"/>
      <c r="AO173" s="571"/>
    </row>
    <row r="174">
      <c r="B174" s="852" t="s">
        <v>1295</v>
      </c>
      <c r="G174" s="571"/>
      <c r="H174" s="571"/>
      <c r="I174" s="571"/>
      <c r="J174" s="571"/>
      <c r="K174" s="571"/>
      <c r="L174" s="571"/>
      <c r="M174" s="571"/>
      <c r="N174" s="571"/>
      <c r="O174" s="571"/>
      <c r="P174" s="571"/>
      <c r="Q174" s="571"/>
      <c r="R174" s="571"/>
      <c r="S174" s="571"/>
      <c r="T174" s="571"/>
      <c r="U174" s="571"/>
      <c r="V174" s="571"/>
      <c r="W174" s="571"/>
      <c r="X174" s="571"/>
      <c r="Y174" s="571"/>
      <c r="Z174" s="571"/>
      <c r="AA174" s="571"/>
      <c r="AB174" s="571"/>
      <c r="AC174" s="571"/>
      <c r="AD174" s="571"/>
      <c r="AE174" s="571"/>
      <c r="AF174" s="571"/>
      <c r="AG174" s="571"/>
      <c r="AH174" s="571"/>
      <c r="AI174" s="571"/>
      <c r="AJ174" s="571"/>
      <c r="AK174" s="571"/>
      <c r="AL174" s="571"/>
      <c r="AM174" s="571"/>
      <c r="AN174" s="571"/>
      <c r="AO174" s="571"/>
    </row>
    <row r="175">
      <c r="A175" s="850" t="s">
        <v>1304</v>
      </c>
      <c r="B175" s="851" t="s">
        <v>1287</v>
      </c>
      <c r="G175" s="571"/>
      <c r="H175" s="571"/>
      <c r="I175" s="571"/>
      <c r="J175" s="571"/>
      <c r="K175" s="571"/>
      <c r="L175" s="571"/>
      <c r="M175" s="571"/>
      <c r="N175" s="571"/>
      <c r="O175" s="571"/>
      <c r="P175" s="571"/>
      <c r="Q175" s="571"/>
      <c r="R175" s="571"/>
      <c r="S175" s="571"/>
      <c r="T175" s="571"/>
      <c r="U175" s="571"/>
      <c r="V175" s="571"/>
      <c r="W175" s="571"/>
      <c r="X175" s="571"/>
      <c r="Y175" s="571"/>
      <c r="Z175" s="571"/>
      <c r="AA175" s="571"/>
      <c r="AB175" s="571"/>
      <c r="AC175" s="571"/>
      <c r="AD175" s="571"/>
      <c r="AE175" s="571"/>
      <c r="AF175" s="571"/>
      <c r="AG175" s="571"/>
      <c r="AH175" s="571"/>
      <c r="AI175" s="571"/>
      <c r="AJ175" s="571"/>
      <c r="AK175" s="571"/>
      <c r="AL175" s="571"/>
      <c r="AM175" s="571"/>
      <c r="AN175" s="571"/>
      <c r="AO175" s="571"/>
    </row>
    <row r="176">
      <c r="B176" s="852" t="s">
        <v>1288</v>
      </c>
      <c r="G176" s="571"/>
      <c r="H176" s="571"/>
      <c r="I176" s="571"/>
      <c r="J176" s="571"/>
      <c r="K176" s="571"/>
      <c r="L176" s="571"/>
      <c r="M176" s="571"/>
      <c r="N176" s="571"/>
      <c r="O176" s="571"/>
      <c r="P176" s="571"/>
      <c r="Q176" s="571"/>
      <c r="R176" s="571"/>
      <c r="S176" s="571"/>
      <c r="T176" s="571"/>
      <c r="U176" s="571"/>
      <c r="V176" s="571"/>
      <c r="W176" s="571"/>
      <c r="X176" s="571"/>
      <c r="Y176" s="571"/>
      <c r="Z176" s="571"/>
      <c r="AA176" s="571"/>
      <c r="AB176" s="571"/>
      <c r="AC176" s="571"/>
      <c r="AD176" s="571"/>
      <c r="AE176" s="571"/>
      <c r="AF176" s="571"/>
      <c r="AG176" s="571"/>
      <c r="AH176" s="571"/>
      <c r="AI176" s="571"/>
      <c r="AJ176" s="571"/>
      <c r="AK176" s="571"/>
      <c r="AL176" s="571"/>
      <c r="AM176" s="571"/>
      <c r="AN176" s="571"/>
      <c r="AO176" s="571"/>
    </row>
    <row r="177">
      <c r="B177" s="852" t="s">
        <v>1289</v>
      </c>
      <c r="G177" s="571"/>
      <c r="H177" s="571"/>
      <c r="I177" s="571"/>
      <c r="J177" s="571"/>
      <c r="K177" s="571"/>
      <c r="L177" s="571"/>
      <c r="M177" s="571"/>
      <c r="N177" s="571"/>
      <c r="O177" s="571"/>
      <c r="P177" s="571"/>
      <c r="Q177" s="571"/>
      <c r="R177" s="571"/>
      <c r="S177" s="571"/>
      <c r="T177" s="571"/>
      <c r="U177" s="571"/>
      <c r="V177" s="571"/>
      <c r="W177" s="571"/>
      <c r="X177" s="571"/>
      <c r="Y177" s="571"/>
      <c r="Z177" s="571"/>
      <c r="AA177" s="571"/>
      <c r="AB177" s="571"/>
      <c r="AC177" s="571"/>
      <c r="AD177" s="571"/>
      <c r="AE177" s="571"/>
      <c r="AF177" s="571"/>
      <c r="AG177" s="571"/>
      <c r="AH177" s="571"/>
      <c r="AI177" s="571"/>
      <c r="AJ177" s="571"/>
      <c r="AK177" s="571"/>
      <c r="AL177" s="571"/>
      <c r="AM177" s="571"/>
      <c r="AN177" s="571"/>
      <c r="AO177" s="571"/>
    </row>
    <row r="178">
      <c r="B178" s="852" t="s">
        <v>1290</v>
      </c>
      <c r="G178" s="571"/>
      <c r="H178" s="571"/>
      <c r="I178" s="571"/>
      <c r="J178" s="571"/>
      <c r="K178" s="571"/>
      <c r="L178" s="571"/>
      <c r="M178" s="571"/>
      <c r="N178" s="571"/>
      <c r="O178" s="571"/>
      <c r="P178" s="571"/>
      <c r="Q178" s="571"/>
      <c r="R178" s="571"/>
      <c r="S178" s="571"/>
      <c r="T178" s="571"/>
      <c r="U178" s="571"/>
      <c r="V178" s="571"/>
      <c r="W178" s="571"/>
      <c r="X178" s="571"/>
      <c r="Y178" s="571"/>
      <c r="Z178" s="571"/>
      <c r="AA178" s="571"/>
      <c r="AB178" s="571"/>
      <c r="AC178" s="571"/>
      <c r="AD178" s="571"/>
      <c r="AE178" s="571"/>
      <c r="AF178" s="571"/>
      <c r="AG178" s="571"/>
      <c r="AH178" s="571"/>
      <c r="AI178" s="571"/>
      <c r="AJ178" s="571"/>
      <c r="AK178" s="571"/>
      <c r="AL178" s="571"/>
      <c r="AM178" s="571"/>
      <c r="AN178" s="571"/>
      <c r="AO178" s="571"/>
    </row>
    <row r="179">
      <c r="B179" s="855" t="s">
        <v>1291</v>
      </c>
      <c r="G179" s="571"/>
      <c r="H179" s="571"/>
      <c r="I179" s="571"/>
      <c r="J179" s="571"/>
      <c r="K179" s="571"/>
      <c r="L179" s="571"/>
      <c r="M179" s="571"/>
      <c r="N179" s="571"/>
      <c r="O179" s="571"/>
      <c r="P179" s="571"/>
      <c r="Q179" s="571"/>
      <c r="R179" s="571"/>
      <c r="S179" s="571"/>
      <c r="T179" s="571"/>
      <c r="U179" s="571"/>
      <c r="V179" s="571"/>
      <c r="W179" s="571"/>
      <c r="X179" s="571"/>
      <c r="Y179" s="571"/>
      <c r="Z179" s="571"/>
      <c r="AA179" s="571"/>
      <c r="AB179" s="571"/>
      <c r="AC179" s="571"/>
      <c r="AD179" s="571"/>
      <c r="AE179" s="571"/>
      <c r="AF179" s="571"/>
      <c r="AG179" s="571"/>
      <c r="AH179" s="571"/>
      <c r="AI179" s="571"/>
      <c r="AJ179" s="571"/>
      <c r="AK179" s="571"/>
      <c r="AL179" s="571"/>
      <c r="AM179" s="571"/>
      <c r="AN179" s="571"/>
      <c r="AO179" s="571"/>
    </row>
    <row r="180">
      <c r="B180" s="855" t="s">
        <v>1292</v>
      </c>
      <c r="G180" s="571"/>
      <c r="H180" s="571"/>
      <c r="I180" s="571"/>
      <c r="J180" s="571"/>
      <c r="K180" s="571"/>
      <c r="L180" s="571"/>
      <c r="M180" s="571"/>
      <c r="N180" s="571"/>
      <c r="O180" s="571"/>
      <c r="P180" s="571"/>
      <c r="Q180" s="571"/>
      <c r="R180" s="571"/>
      <c r="S180" s="571"/>
      <c r="T180" s="571"/>
      <c r="U180" s="571"/>
      <c r="V180" s="571"/>
      <c r="W180" s="571"/>
      <c r="X180" s="571"/>
      <c r="Y180" s="571"/>
      <c r="Z180" s="571"/>
      <c r="AA180" s="571"/>
      <c r="AB180" s="571"/>
      <c r="AC180" s="571"/>
      <c r="AD180" s="571"/>
      <c r="AE180" s="571"/>
      <c r="AF180" s="571"/>
      <c r="AG180" s="571"/>
      <c r="AH180" s="571"/>
      <c r="AI180" s="571"/>
      <c r="AJ180" s="571"/>
      <c r="AK180" s="571"/>
      <c r="AL180" s="571"/>
      <c r="AM180" s="571"/>
      <c r="AN180" s="571"/>
      <c r="AO180" s="571"/>
    </row>
    <row r="181">
      <c r="B181" s="852" t="s">
        <v>1293</v>
      </c>
      <c r="G181" s="571"/>
      <c r="H181" s="571"/>
      <c r="I181" s="571"/>
      <c r="J181" s="571"/>
      <c r="K181" s="571"/>
      <c r="L181" s="571"/>
      <c r="M181" s="571"/>
      <c r="N181" s="571"/>
      <c r="O181" s="571"/>
      <c r="P181" s="571"/>
      <c r="Q181" s="571"/>
      <c r="R181" s="571"/>
      <c r="S181" s="571"/>
      <c r="T181" s="571"/>
      <c r="U181" s="571"/>
      <c r="V181" s="571"/>
      <c r="W181" s="571"/>
      <c r="X181" s="571"/>
      <c r="Y181" s="571"/>
      <c r="Z181" s="571"/>
      <c r="AA181" s="571"/>
      <c r="AB181" s="571"/>
      <c r="AC181" s="571"/>
      <c r="AD181" s="571"/>
      <c r="AE181" s="571"/>
      <c r="AF181" s="571"/>
      <c r="AG181" s="571"/>
      <c r="AH181" s="571"/>
      <c r="AI181" s="571"/>
      <c r="AJ181" s="571"/>
      <c r="AK181" s="571"/>
      <c r="AL181" s="571"/>
      <c r="AM181" s="571"/>
      <c r="AN181" s="571"/>
      <c r="AO181" s="571"/>
    </row>
    <row r="182">
      <c r="B182" s="852" t="s">
        <v>1294</v>
      </c>
      <c r="G182" s="571"/>
      <c r="H182" s="571"/>
      <c r="I182" s="571"/>
      <c r="J182" s="571"/>
      <c r="K182" s="571"/>
      <c r="L182" s="571"/>
      <c r="M182" s="571"/>
      <c r="N182" s="571"/>
      <c r="O182" s="571"/>
      <c r="P182" s="571"/>
      <c r="Q182" s="571"/>
      <c r="R182" s="571"/>
      <c r="S182" s="571"/>
      <c r="T182" s="571"/>
      <c r="U182" s="571"/>
      <c r="V182" s="571"/>
      <c r="W182" s="571"/>
      <c r="X182" s="571"/>
      <c r="Y182" s="571"/>
      <c r="Z182" s="571"/>
      <c r="AA182" s="571"/>
      <c r="AB182" s="571"/>
      <c r="AC182" s="571"/>
      <c r="AD182" s="571"/>
      <c r="AE182" s="571"/>
      <c r="AF182" s="571"/>
      <c r="AG182" s="571"/>
      <c r="AH182" s="571"/>
      <c r="AI182" s="571"/>
      <c r="AJ182" s="571"/>
      <c r="AK182" s="571"/>
      <c r="AL182" s="571"/>
      <c r="AM182" s="571"/>
      <c r="AN182" s="571"/>
      <c r="AO182" s="571"/>
    </row>
    <row r="183">
      <c r="B183" s="852" t="s">
        <v>1295</v>
      </c>
      <c r="G183" s="571"/>
      <c r="H183" s="571"/>
      <c r="I183" s="571"/>
      <c r="J183" s="571"/>
      <c r="K183" s="571"/>
      <c r="L183" s="571"/>
      <c r="M183" s="571"/>
      <c r="N183" s="571"/>
      <c r="O183" s="571"/>
      <c r="P183" s="571"/>
      <c r="Q183" s="571"/>
      <c r="R183" s="571"/>
      <c r="S183" s="571"/>
      <c r="T183" s="571"/>
      <c r="U183" s="571"/>
      <c r="V183" s="571"/>
      <c r="W183" s="571"/>
      <c r="X183" s="571"/>
      <c r="Y183" s="571"/>
      <c r="Z183" s="571"/>
      <c r="AA183" s="571"/>
      <c r="AB183" s="571"/>
      <c r="AC183" s="571"/>
      <c r="AD183" s="571"/>
      <c r="AE183" s="571"/>
      <c r="AF183" s="571"/>
      <c r="AG183" s="571"/>
      <c r="AH183" s="571"/>
      <c r="AI183" s="571"/>
      <c r="AJ183" s="571"/>
      <c r="AK183" s="571"/>
      <c r="AL183" s="571"/>
      <c r="AM183" s="571"/>
      <c r="AN183" s="571"/>
      <c r="AO183" s="571"/>
    </row>
    <row r="184">
      <c r="A184" s="850" t="s">
        <v>1305</v>
      </c>
      <c r="B184" s="851" t="s">
        <v>1287</v>
      </c>
      <c r="G184" s="571"/>
      <c r="H184" s="571"/>
      <c r="I184" s="571"/>
      <c r="J184" s="571"/>
      <c r="K184" s="571"/>
      <c r="L184" s="571"/>
      <c r="M184" s="571"/>
      <c r="N184" s="571"/>
      <c r="O184" s="571"/>
      <c r="P184" s="571"/>
      <c r="Q184" s="571"/>
      <c r="R184" s="571"/>
      <c r="S184" s="571"/>
      <c r="T184" s="571"/>
      <c r="U184" s="571"/>
      <c r="V184" s="571"/>
      <c r="W184" s="571"/>
      <c r="X184" s="571"/>
      <c r="Y184" s="571"/>
      <c r="Z184" s="571"/>
      <c r="AA184" s="571"/>
      <c r="AB184" s="571"/>
      <c r="AC184" s="571"/>
      <c r="AD184" s="571"/>
      <c r="AE184" s="571"/>
      <c r="AF184" s="571"/>
      <c r="AG184" s="571"/>
      <c r="AH184" s="571"/>
      <c r="AI184" s="571"/>
      <c r="AJ184" s="571"/>
      <c r="AK184" s="571"/>
      <c r="AL184" s="571"/>
      <c r="AM184" s="571"/>
      <c r="AN184" s="571"/>
      <c r="AO184" s="571"/>
    </row>
    <row r="185">
      <c r="B185" s="852" t="s">
        <v>1288</v>
      </c>
      <c r="G185" s="571"/>
      <c r="H185" s="571"/>
      <c r="I185" s="571"/>
      <c r="J185" s="571"/>
      <c r="K185" s="571"/>
      <c r="L185" s="571"/>
      <c r="M185" s="571"/>
      <c r="N185" s="571"/>
      <c r="O185" s="571"/>
      <c r="P185" s="571"/>
      <c r="Q185" s="571"/>
      <c r="R185" s="571"/>
      <c r="S185" s="571"/>
      <c r="T185" s="571"/>
      <c r="U185" s="571"/>
      <c r="V185" s="571"/>
      <c r="W185" s="571"/>
      <c r="X185" s="571"/>
      <c r="Y185" s="571"/>
      <c r="Z185" s="571"/>
      <c r="AA185" s="571"/>
      <c r="AB185" s="571"/>
      <c r="AC185" s="571"/>
      <c r="AD185" s="571"/>
      <c r="AE185" s="571"/>
      <c r="AF185" s="571"/>
      <c r="AG185" s="571"/>
      <c r="AH185" s="571"/>
      <c r="AI185" s="571"/>
      <c r="AJ185" s="571"/>
      <c r="AK185" s="571"/>
      <c r="AL185" s="571"/>
      <c r="AM185" s="571"/>
      <c r="AN185" s="571"/>
      <c r="AO185" s="571"/>
    </row>
    <row r="186">
      <c r="B186" s="852" t="s">
        <v>1289</v>
      </c>
      <c r="G186" s="571"/>
      <c r="H186" s="571"/>
      <c r="I186" s="571"/>
      <c r="J186" s="571"/>
      <c r="K186" s="571"/>
      <c r="L186" s="571"/>
      <c r="M186" s="571"/>
      <c r="N186" s="571"/>
      <c r="O186" s="571"/>
      <c r="P186" s="571"/>
      <c r="Q186" s="571"/>
      <c r="R186" s="571"/>
      <c r="S186" s="571"/>
      <c r="T186" s="571"/>
      <c r="U186" s="571"/>
      <c r="V186" s="571"/>
      <c r="W186" s="571"/>
      <c r="X186" s="571"/>
      <c r="Y186" s="571"/>
      <c r="Z186" s="571"/>
      <c r="AA186" s="571"/>
      <c r="AB186" s="571"/>
      <c r="AC186" s="571"/>
      <c r="AD186" s="571"/>
      <c r="AE186" s="571"/>
      <c r="AF186" s="571"/>
      <c r="AG186" s="571"/>
      <c r="AH186" s="571"/>
      <c r="AI186" s="571"/>
      <c r="AJ186" s="571"/>
      <c r="AK186" s="571"/>
      <c r="AL186" s="571"/>
      <c r="AM186" s="571"/>
      <c r="AN186" s="571"/>
      <c r="AO186" s="571"/>
    </row>
    <row r="187">
      <c r="B187" s="852" t="s">
        <v>1290</v>
      </c>
      <c r="G187" s="571"/>
      <c r="H187" s="571"/>
      <c r="I187" s="571"/>
      <c r="J187" s="571"/>
      <c r="K187" s="571"/>
      <c r="L187" s="571"/>
      <c r="M187" s="571"/>
      <c r="N187" s="571"/>
      <c r="O187" s="571"/>
      <c r="P187" s="571"/>
      <c r="Q187" s="571"/>
      <c r="R187" s="571"/>
      <c r="S187" s="571"/>
      <c r="T187" s="571"/>
      <c r="U187" s="571"/>
      <c r="V187" s="571"/>
      <c r="W187" s="571"/>
      <c r="X187" s="571"/>
      <c r="Y187" s="571"/>
      <c r="Z187" s="571"/>
      <c r="AA187" s="571"/>
      <c r="AB187" s="571"/>
      <c r="AC187" s="571"/>
      <c r="AD187" s="571"/>
      <c r="AE187" s="571"/>
      <c r="AF187" s="571"/>
      <c r="AG187" s="571"/>
      <c r="AH187" s="571"/>
      <c r="AI187" s="571"/>
      <c r="AJ187" s="571"/>
      <c r="AK187" s="571"/>
      <c r="AL187" s="571"/>
      <c r="AM187" s="571"/>
      <c r="AN187" s="571"/>
      <c r="AO187" s="571"/>
    </row>
    <row r="188">
      <c r="B188" s="855" t="s">
        <v>1291</v>
      </c>
      <c r="G188" s="571"/>
      <c r="H188" s="571"/>
      <c r="I188" s="571"/>
      <c r="J188" s="571"/>
      <c r="K188" s="571"/>
      <c r="L188" s="571"/>
      <c r="M188" s="571"/>
      <c r="N188" s="571"/>
      <c r="O188" s="571"/>
      <c r="P188" s="571"/>
      <c r="Q188" s="571"/>
      <c r="R188" s="571"/>
      <c r="S188" s="571"/>
      <c r="T188" s="571"/>
      <c r="U188" s="571"/>
      <c r="V188" s="571"/>
      <c r="W188" s="571"/>
      <c r="X188" s="571"/>
      <c r="Y188" s="571"/>
      <c r="Z188" s="571"/>
      <c r="AA188" s="571"/>
      <c r="AB188" s="571"/>
      <c r="AC188" s="571"/>
      <c r="AD188" s="571"/>
      <c r="AE188" s="571"/>
      <c r="AF188" s="571"/>
      <c r="AG188" s="571"/>
      <c r="AH188" s="571"/>
      <c r="AI188" s="571"/>
      <c r="AJ188" s="571"/>
      <c r="AK188" s="571"/>
      <c r="AL188" s="571"/>
      <c r="AM188" s="571"/>
      <c r="AN188" s="571"/>
      <c r="AO188" s="571"/>
    </row>
    <row r="189">
      <c r="B189" s="855" t="s">
        <v>1292</v>
      </c>
      <c r="G189" s="571"/>
      <c r="H189" s="571"/>
      <c r="I189" s="571"/>
      <c r="J189" s="571"/>
      <c r="K189" s="571"/>
      <c r="L189" s="571"/>
      <c r="M189" s="571"/>
      <c r="N189" s="571"/>
      <c r="O189" s="571"/>
      <c r="P189" s="571"/>
      <c r="Q189" s="571"/>
      <c r="R189" s="571"/>
      <c r="S189" s="571"/>
      <c r="T189" s="571"/>
      <c r="U189" s="571"/>
      <c r="V189" s="571"/>
      <c r="W189" s="571"/>
      <c r="X189" s="571"/>
      <c r="Y189" s="571"/>
      <c r="Z189" s="571"/>
      <c r="AA189" s="571"/>
      <c r="AB189" s="571"/>
      <c r="AC189" s="571"/>
      <c r="AD189" s="571"/>
      <c r="AE189" s="571"/>
      <c r="AF189" s="571"/>
      <c r="AG189" s="571"/>
      <c r="AH189" s="571"/>
      <c r="AI189" s="571"/>
      <c r="AJ189" s="571"/>
      <c r="AK189" s="571"/>
      <c r="AL189" s="571"/>
      <c r="AM189" s="571"/>
      <c r="AN189" s="571"/>
      <c r="AO189" s="571"/>
    </row>
    <row r="190">
      <c r="B190" s="852" t="s">
        <v>1293</v>
      </c>
      <c r="G190" s="571"/>
      <c r="H190" s="571"/>
      <c r="I190" s="571"/>
      <c r="J190" s="571"/>
      <c r="K190" s="571"/>
      <c r="L190" s="571"/>
      <c r="M190" s="571"/>
      <c r="N190" s="571"/>
      <c r="O190" s="571"/>
      <c r="P190" s="571"/>
      <c r="Q190" s="571"/>
      <c r="R190" s="571"/>
      <c r="S190" s="571"/>
      <c r="T190" s="571"/>
      <c r="U190" s="571"/>
      <c r="V190" s="571"/>
      <c r="W190" s="571"/>
      <c r="X190" s="571"/>
      <c r="Y190" s="571"/>
      <c r="Z190" s="571"/>
      <c r="AA190" s="571"/>
      <c r="AB190" s="571"/>
      <c r="AC190" s="571"/>
      <c r="AD190" s="571"/>
      <c r="AE190" s="571"/>
      <c r="AF190" s="571"/>
      <c r="AG190" s="571"/>
      <c r="AH190" s="571"/>
      <c r="AI190" s="571"/>
      <c r="AJ190" s="571"/>
      <c r="AK190" s="571"/>
      <c r="AL190" s="571"/>
      <c r="AM190" s="571"/>
      <c r="AN190" s="571"/>
      <c r="AO190" s="571"/>
    </row>
    <row r="191">
      <c r="B191" s="852" t="s">
        <v>1294</v>
      </c>
      <c r="G191" s="571"/>
      <c r="H191" s="571"/>
      <c r="I191" s="571"/>
      <c r="J191" s="571"/>
      <c r="K191" s="571"/>
      <c r="L191" s="571"/>
      <c r="M191" s="571"/>
      <c r="N191" s="571"/>
      <c r="O191" s="571"/>
      <c r="P191" s="571"/>
      <c r="Q191" s="571"/>
      <c r="R191" s="571"/>
      <c r="S191" s="571"/>
      <c r="T191" s="571"/>
      <c r="U191" s="571"/>
      <c r="V191" s="571"/>
      <c r="W191" s="571"/>
      <c r="X191" s="571"/>
      <c r="Y191" s="571"/>
      <c r="Z191" s="571"/>
      <c r="AA191" s="571"/>
      <c r="AB191" s="571"/>
      <c r="AC191" s="571"/>
      <c r="AD191" s="571"/>
      <c r="AE191" s="571"/>
      <c r="AF191" s="571"/>
      <c r="AG191" s="571"/>
      <c r="AH191" s="571"/>
      <c r="AI191" s="571"/>
      <c r="AJ191" s="571"/>
      <c r="AK191" s="571"/>
      <c r="AL191" s="571"/>
      <c r="AM191" s="571"/>
      <c r="AN191" s="571"/>
      <c r="AO191" s="571"/>
    </row>
    <row r="192">
      <c r="B192" s="852" t="s">
        <v>1295</v>
      </c>
      <c r="G192" s="571"/>
      <c r="H192" s="571"/>
      <c r="I192" s="571"/>
      <c r="J192" s="571"/>
      <c r="K192" s="571"/>
      <c r="L192" s="571"/>
      <c r="M192" s="571"/>
      <c r="N192" s="571"/>
      <c r="O192" s="571"/>
      <c r="P192" s="571"/>
      <c r="Q192" s="571"/>
      <c r="R192" s="571"/>
      <c r="S192" s="571"/>
      <c r="T192" s="571"/>
      <c r="U192" s="571"/>
      <c r="V192" s="571"/>
      <c r="W192" s="571"/>
      <c r="X192" s="571"/>
      <c r="Y192" s="571"/>
      <c r="Z192" s="571"/>
      <c r="AA192" s="571"/>
      <c r="AB192" s="571"/>
      <c r="AC192" s="571"/>
      <c r="AD192" s="571"/>
      <c r="AE192" s="571"/>
      <c r="AF192" s="571"/>
      <c r="AG192" s="571"/>
      <c r="AH192" s="571"/>
      <c r="AI192" s="571"/>
      <c r="AJ192" s="571"/>
      <c r="AK192" s="571"/>
      <c r="AL192" s="571"/>
      <c r="AM192" s="571"/>
      <c r="AN192" s="571"/>
      <c r="AO192" s="571"/>
    </row>
    <row r="193">
      <c r="A193" s="850" t="s">
        <v>1306</v>
      </c>
      <c r="B193" s="851" t="s">
        <v>1287</v>
      </c>
      <c r="G193" s="571"/>
      <c r="H193" s="571"/>
      <c r="I193" s="571"/>
      <c r="J193" s="571"/>
      <c r="K193" s="571"/>
      <c r="L193" s="571"/>
      <c r="M193" s="571"/>
      <c r="N193" s="571"/>
      <c r="O193" s="571"/>
      <c r="P193" s="571"/>
      <c r="Q193" s="571"/>
      <c r="R193" s="571"/>
      <c r="S193" s="571"/>
      <c r="T193" s="571"/>
      <c r="U193" s="571"/>
      <c r="V193" s="571"/>
      <c r="W193" s="571"/>
      <c r="X193" s="571"/>
      <c r="Y193" s="571"/>
      <c r="Z193" s="571"/>
      <c r="AA193" s="571"/>
      <c r="AB193" s="571"/>
      <c r="AC193" s="571"/>
      <c r="AD193" s="571"/>
      <c r="AE193" s="571"/>
      <c r="AF193" s="571"/>
      <c r="AG193" s="571"/>
      <c r="AH193" s="571"/>
      <c r="AI193" s="571"/>
      <c r="AJ193" s="571"/>
      <c r="AK193" s="571"/>
      <c r="AL193" s="571"/>
      <c r="AM193" s="571"/>
      <c r="AN193" s="571"/>
      <c r="AO193" s="571"/>
    </row>
    <row r="194">
      <c r="B194" s="852" t="s">
        <v>1288</v>
      </c>
      <c r="G194" s="571"/>
      <c r="H194" s="571"/>
      <c r="I194" s="571"/>
      <c r="J194" s="571"/>
      <c r="K194" s="571"/>
      <c r="L194" s="571"/>
      <c r="M194" s="571"/>
      <c r="N194" s="571"/>
      <c r="O194" s="571"/>
      <c r="P194" s="571"/>
      <c r="Q194" s="571"/>
      <c r="R194" s="571"/>
      <c r="S194" s="571"/>
      <c r="T194" s="571"/>
      <c r="U194" s="571"/>
      <c r="V194" s="571"/>
      <c r="W194" s="571"/>
      <c r="X194" s="571"/>
      <c r="Y194" s="571"/>
      <c r="Z194" s="571"/>
      <c r="AA194" s="571"/>
      <c r="AB194" s="571"/>
      <c r="AC194" s="571"/>
      <c r="AD194" s="571"/>
      <c r="AE194" s="571"/>
      <c r="AF194" s="571"/>
      <c r="AG194" s="571"/>
      <c r="AH194" s="571"/>
      <c r="AI194" s="571"/>
      <c r="AJ194" s="571"/>
      <c r="AK194" s="571"/>
      <c r="AL194" s="571"/>
      <c r="AM194" s="571"/>
      <c r="AN194" s="571"/>
      <c r="AO194" s="571"/>
    </row>
    <row r="195">
      <c r="B195" s="852" t="s">
        <v>1289</v>
      </c>
      <c r="G195" s="571"/>
      <c r="H195" s="571"/>
      <c r="I195" s="571"/>
      <c r="J195" s="571"/>
      <c r="K195" s="571"/>
      <c r="L195" s="571"/>
      <c r="M195" s="571"/>
      <c r="N195" s="571"/>
      <c r="O195" s="571"/>
      <c r="P195" s="571"/>
      <c r="Q195" s="571"/>
      <c r="R195" s="571"/>
      <c r="S195" s="571"/>
      <c r="T195" s="571"/>
      <c r="U195" s="571"/>
      <c r="V195" s="571"/>
      <c r="W195" s="571"/>
      <c r="X195" s="571"/>
      <c r="Y195" s="571"/>
      <c r="Z195" s="571"/>
      <c r="AA195" s="571"/>
      <c r="AB195" s="571"/>
      <c r="AC195" s="571"/>
      <c r="AD195" s="571"/>
      <c r="AE195" s="571"/>
      <c r="AF195" s="571"/>
      <c r="AG195" s="571"/>
      <c r="AH195" s="571"/>
      <c r="AI195" s="571"/>
      <c r="AJ195" s="571"/>
      <c r="AK195" s="571"/>
      <c r="AL195" s="571"/>
      <c r="AM195" s="571"/>
      <c r="AN195" s="571"/>
      <c r="AO195" s="571"/>
    </row>
    <row r="196">
      <c r="B196" s="852" t="s">
        <v>1290</v>
      </c>
      <c r="G196" s="571"/>
      <c r="H196" s="571"/>
      <c r="I196" s="571"/>
      <c r="J196" s="571"/>
      <c r="K196" s="571"/>
      <c r="L196" s="571"/>
      <c r="M196" s="571"/>
      <c r="N196" s="571"/>
      <c r="O196" s="571"/>
      <c r="P196" s="571"/>
      <c r="Q196" s="571"/>
      <c r="R196" s="571"/>
      <c r="S196" s="571"/>
      <c r="T196" s="571"/>
      <c r="U196" s="571"/>
      <c r="V196" s="571"/>
      <c r="W196" s="571"/>
      <c r="X196" s="571"/>
      <c r="Y196" s="571"/>
      <c r="Z196" s="571"/>
      <c r="AA196" s="571"/>
      <c r="AB196" s="571"/>
      <c r="AC196" s="571"/>
      <c r="AD196" s="571"/>
      <c r="AE196" s="571"/>
      <c r="AF196" s="571"/>
      <c r="AG196" s="571"/>
      <c r="AH196" s="571"/>
      <c r="AI196" s="571"/>
      <c r="AJ196" s="571"/>
      <c r="AK196" s="571"/>
      <c r="AL196" s="571"/>
      <c r="AM196" s="571"/>
      <c r="AN196" s="571"/>
      <c r="AO196" s="571"/>
    </row>
    <row r="197">
      <c r="B197" s="855" t="s">
        <v>1291</v>
      </c>
      <c r="G197" s="571"/>
      <c r="H197" s="571"/>
      <c r="I197" s="571"/>
      <c r="J197" s="571"/>
      <c r="K197" s="571"/>
      <c r="L197" s="571"/>
      <c r="M197" s="571"/>
      <c r="N197" s="571"/>
      <c r="O197" s="571"/>
      <c r="P197" s="571"/>
      <c r="Q197" s="571"/>
      <c r="R197" s="571"/>
      <c r="S197" s="571"/>
      <c r="T197" s="571"/>
      <c r="U197" s="571"/>
      <c r="V197" s="571"/>
      <c r="W197" s="571"/>
      <c r="X197" s="571"/>
      <c r="Y197" s="571"/>
      <c r="Z197" s="571"/>
      <c r="AA197" s="571"/>
      <c r="AB197" s="571"/>
      <c r="AC197" s="571"/>
      <c r="AD197" s="571"/>
      <c r="AE197" s="571"/>
      <c r="AF197" s="571"/>
      <c r="AG197" s="571"/>
      <c r="AH197" s="571"/>
      <c r="AI197" s="571"/>
      <c r="AJ197" s="571"/>
      <c r="AK197" s="571"/>
      <c r="AL197" s="571"/>
      <c r="AM197" s="571"/>
      <c r="AN197" s="571"/>
      <c r="AO197" s="571"/>
    </row>
    <row r="198">
      <c r="B198" s="855" t="s">
        <v>1292</v>
      </c>
      <c r="G198" s="571"/>
      <c r="H198" s="571"/>
      <c r="I198" s="571"/>
      <c r="J198" s="571"/>
      <c r="K198" s="571"/>
      <c r="L198" s="571"/>
      <c r="M198" s="571"/>
      <c r="N198" s="571"/>
      <c r="O198" s="571"/>
      <c r="P198" s="571"/>
      <c r="Q198" s="571"/>
      <c r="R198" s="571"/>
      <c r="S198" s="571"/>
      <c r="T198" s="571"/>
      <c r="U198" s="571"/>
      <c r="V198" s="571"/>
      <c r="W198" s="571"/>
      <c r="X198" s="571"/>
      <c r="Y198" s="571"/>
      <c r="Z198" s="571"/>
      <c r="AA198" s="571"/>
      <c r="AB198" s="571"/>
      <c r="AC198" s="571"/>
      <c r="AD198" s="571"/>
      <c r="AE198" s="571"/>
      <c r="AF198" s="571"/>
      <c r="AG198" s="571"/>
      <c r="AH198" s="571"/>
      <c r="AI198" s="571"/>
      <c r="AJ198" s="571"/>
      <c r="AK198" s="571"/>
      <c r="AL198" s="571"/>
      <c r="AM198" s="571"/>
      <c r="AN198" s="571"/>
      <c r="AO198" s="571"/>
    </row>
    <row r="199">
      <c r="B199" s="852" t="s">
        <v>1293</v>
      </c>
      <c r="G199" s="571"/>
      <c r="H199" s="571"/>
      <c r="I199" s="571"/>
      <c r="J199" s="571"/>
      <c r="K199" s="571"/>
      <c r="L199" s="571"/>
      <c r="M199" s="571"/>
      <c r="N199" s="571"/>
      <c r="O199" s="571"/>
      <c r="P199" s="571"/>
      <c r="Q199" s="571"/>
      <c r="R199" s="571"/>
      <c r="S199" s="571"/>
      <c r="T199" s="571"/>
      <c r="U199" s="571"/>
      <c r="V199" s="571"/>
      <c r="W199" s="571"/>
      <c r="X199" s="571"/>
      <c r="Y199" s="571"/>
      <c r="Z199" s="571"/>
      <c r="AA199" s="571"/>
      <c r="AB199" s="571"/>
      <c r="AC199" s="571"/>
      <c r="AD199" s="571"/>
      <c r="AE199" s="571"/>
      <c r="AF199" s="571"/>
      <c r="AG199" s="571"/>
      <c r="AH199" s="571"/>
      <c r="AI199" s="571"/>
      <c r="AJ199" s="571"/>
      <c r="AK199" s="571"/>
      <c r="AL199" s="571"/>
      <c r="AM199" s="571"/>
      <c r="AN199" s="571"/>
      <c r="AO199" s="571"/>
    </row>
    <row r="200">
      <c r="B200" s="852" t="s">
        <v>1294</v>
      </c>
      <c r="G200" s="571"/>
      <c r="H200" s="571"/>
      <c r="I200" s="571"/>
      <c r="J200" s="571"/>
      <c r="K200" s="571"/>
      <c r="L200" s="571"/>
      <c r="M200" s="571"/>
      <c r="N200" s="571"/>
      <c r="O200" s="571"/>
      <c r="P200" s="571"/>
      <c r="Q200" s="571"/>
      <c r="R200" s="571"/>
      <c r="S200" s="571"/>
      <c r="T200" s="571"/>
      <c r="U200" s="571"/>
      <c r="V200" s="571"/>
      <c r="W200" s="571"/>
      <c r="X200" s="571"/>
      <c r="Y200" s="571"/>
      <c r="Z200" s="571"/>
      <c r="AA200" s="571"/>
      <c r="AB200" s="571"/>
      <c r="AC200" s="571"/>
      <c r="AD200" s="571"/>
      <c r="AE200" s="571"/>
      <c r="AF200" s="571"/>
      <c r="AG200" s="571"/>
      <c r="AH200" s="571"/>
      <c r="AI200" s="571"/>
      <c r="AJ200" s="571"/>
      <c r="AK200" s="571"/>
      <c r="AL200" s="571"/>
      <c r="AM200" s="571"/>
      <c r="AN200" s="571"/>
      <c r="AO200" s="571"/>
    </row>
    <row r="201">
      <c r="B201" s="852" t="s">
        <v>1295</v>
      </c>
      <c r="G201" s="571"/>
      <c r="H201" s="571"/>
      <c r="I201" s="571"/>
      <c r="J201" s="571"/>
      <c r="K201" s="571"/>
      <c r="L201" s="571"/>
      <c r="M201" s="571"/>
      <c r="N201" s="571"/>
      <c r="O201" s="571"/>
      <c r="P201" s="571"/>
      <c r="Q201" s="571"/>
      <c r="R201" s="571"/>
      <c r="S201" s="571"/>
      <c r="T201" s="571"/>
      <c r="U201" s="571"/>
      <c r="V201" s="571"/>
      <c r="W201" s="571"/>
      <c r="X201" s="571"/>
      <c r="Y201" s="571"/>
      <c r="Z201" s="571"/>
      <c r="AA201" s="571"/>
      <c r="AB201" s="571"/>
      <c r="AC201" s="571"/>
      <c r="AD201" s="571"/>
      <c r="AE201" s="571"/>
      <c r="AF201" s="571"/>
      <c r="AG201" s="571"/>
      <c r="AH201" s="571"/>
      <c r="AI201" s="571"/>
      <c r="AJ201" s="571"/>
      <c r="AK201" s="571"/>
      <c r="AL201" s="571"/>
      <c r="AM201" s="571"/>
      <c r="AN201" s="571"/>
      <c r="AO201" s="571"/>
    </row>
    <row r="202">
      <c r="A202" s="850" t="s">
        <v>1307</v>
      </c>
      <c r="B202" s="851" t="s">
        <v>1287</v>
      </c>
      <c r="G202" s="571"/>
      <c r="H202" s="571"/>
      <c r="I202" s="571"/>
      <c r="J202" s="571"/>
      <c r="K202" s="571"/>
      <c r="L202" s="571"/>
      <c r="M202" s="571"/>
      <c r="N202" s="571"/>
      <c r="O202" s="571"/>
      <c r="P202" s="571"/>
      <c r="Q202" s="571"/>
      <c r="R202" s="571"/>
      <c r="S202" s="571"/>
      <c r="T202" s="571"/>
      <c r="U202" s="571"/>
      <c r="V202" s="571"/>
      <c r="W202" s="571"/>
      <c r="X202" s="571"/>
      <c r="Y202" s="571"/>
      <c r="Z202" s="571"/>
      <c r="AA202" s="571"/>
      <c r="AB202" s="571"/>
      <c r="AC202" s="571"/>
      <c r="AD202" s="571"/>
      <c r="AE202" s="571"/>
      <c r="AF202" s="571"/>
      <c r="AG202" s="571"/>
      <c r="AH202" s="571"/>
      <c r="AI202" s="571"/>
      <c r="AJ202" s="571"/>
      <c r="AK202" s="571"/>
      <c r="AL202" s="571"/>
      <c r="AM202" s="571"/>
      <c r="AN202" s="571"/>
      <c r="AO202" s="571"/>
    </row>
    <row r="203">
      <c r="B203" s="852" t="s">
        <v>1288</v>
      </c>
      <c r="G203" s="571"/>
      <c r="H203" s="571"/>
      <c r="I203" s="571"/>
      <c r="J203" s="571"/>
      <c r="K203" s="571"/>
      <c r="L203" s="571"/>
      <c r="M203" s="571"/>
      <c r="N203" s="571"/>
      <c r="O203" s="571"/>
      <c r="P203" s="571"/>
      <c r="Q203" s="571"/>
      <c r="R203" s="571"/>
      <c r="S203" s="571"/>
      <c r="T203" s="571"/>
      <c r="U203" s="571"/>
      <c r="V203" s="571"/>
      <c r="W203" s="571"/>
      <c r="X203" s="571"/>
      <c r="Y203" s="571"/>
      <c r="Z203" s="571"/>
      <c r="AA203" s="571"/>
      <c r="AB203" s="571"/>
      <c r="AC203" s="571"/>
      <c r="AD203" s="571"/>
      <c r="AE203" s="571"/>
      <c r="AF203" s="571"/>
      <c r="AG203" s="571"/>
      <c r="AH203" s="571"/>
      <c r="AI203" s="571"/>
      <c r="AJ203" s="571"/>
      <c r="AK203" s="571"/>
      <c r="AL203" s="571"/>
      <c r="AM203" s="571"/>
      <c r="AN203" s="571"/>
      <c r="AO203" s="571"/>
    </row>
    <row r="204">
      <c r="B204" s="852" t="s">
        <v>1289</v>
      </c>
      <c r="G204" s="571"/>
      <c r="H204" s="571"/>
      <c r="I204" s="571"/>
      <c r="J204" s="571"/>
      <c r="K204" s="571"/>
      <c r="L204" s="571"/>
      <c r="M204" s="571"/>
      <c r="N204" s="571"/>
      <c r="O204" s="571"/>
      <c r="P204" s="571"/>
      <c r="Q204" s="571"/>
      <c r="R204" s="571"/>
      <c r="S204" s="571"/>
      <c r="T204" s="571"/>
      <c r="U204" s="571"/>
      <c r="V204" s="571"/>
      <c r="W204" s="571"/>
      <c r="X204" s="571"/>
      <c r="Y204" s="571"/>
      <c r="Z204" s="571"/>
      <c r="AA204" s="571"/>
      <c r="AB204" s="571"/>
      <c r="AC204" s="571"/>
      <c r="AD204" s="571"/>
      <c r="AE204" s="571"/>
      <c r="AF204" s="571"/>
      <c r="AG204" s="571"/>
      <c r="AH204" s="571"/>
      <c r="AI204" s="571"/>
      <c r="AJ204" s="571"/>
      <c r="AK204" s="571"/>
      <c r="AL204" s="571"/>
      <c r="AM204" s="571"/>
      <c r="AN204" s="571"/>
      <c r="AO204" s="571"/>
    </row>
    <row r="205">
      <c r="B205" s="852" t="s">
        <v>1290</v>
      </c>
      <c r="G205" s="571"/>
      <c r="H205" s="571"/>
      <c r="I205" s="571"/>
      <c r="J205" s="571"/>
      <c r="K205" s="571"/>
      <c r="L205" s="571"/>
      <c r="M205" s="571"/>
      <c r="N205" s="571"/>
      <c r="O205" s="571"/>
      <c r="P205" s="571"/>
      <c r="Q205" s="571"/>
      <c r="R205" s="571"/>
      <c r="S205" s="571"/>
      <c r="T205" s="571"/>
      <c r="U205" s="571"/>
      <c r="V205" s="571"/>
      <c r="W205" s="571"/>
      <c r="X205" s="571"/>
      <c r="Y205" s="571"/>
      <c r="Z205" s="571"/>
      <c r="AA205" s="571"/>
      <c r="AB205" s="571"/>
      <c r="AC205" s="571"/>
      <c r="AD205" s="571"/>
      <c r="AE205" s="571"/>
      <c r="AF205" s="571"/>
      <c r="AG205" s="571"/>
      <c r="AH205" s="571"/>
      <c r="AI205" s="571"/>
      <c r="AJ205" s="571"/>
      <c r="AK205" s="571"/>
      <c r="AL205" s="571"/>
      <c r="AM205" s="571"/>
      <c r="AN205" s="571"/>
      <c r="AO205" s="571"/>
    </row>
    <row r="206">
      <c r="B206" s="855" t="s">
        <v>1291</v>
      </c>
      <c r="G206" s="571"/>
      <c r="H206" s="571"/>
      <c r="I206" s="571"/>
      <c r="J206" s="571"/>
      <c r="K206" s="571"/>
      <c r="L206" s="571"/>
      <c r="M206" s="571"/>
      <c r="N206" s="571"/>
      <c r="O206" s="571"/>
      <c r="P206" s="571"/>
      <c r="Q206" s="571"/>
      <c r="R206" s="571"/>
      <c r="S206" s="571"/>
      <c r="T206" s="571"/>
      <c r="U206" s="571"/>
      <c r="V206" s="571"/>
      <c r="W206" s="571"/>
      <c r="X206" s="571"/>
      <c r="Y206" s="571"/>
      <c r="Z206" s="571"/>
      <c r="AA206" s="571"/>
      <c r="AB206" s="571"/>
      <c r="AC206" s="571"/>
      <c r="AD206" s="571"/>
      <c r="AE206" s="571"/>
      <c r="AF206" s="571"/>
      <c r="AG206" s="571"/>
      <c r="AH206" s="571"/>
      <c r="AI206" s="571"/>
      <c r="AJ206" s="571"/>
      <c r="AK206" s="571"/>
      <c r="AL206" s="571"/>
      <c r="AM206" s="571"/>
      <c r="AN206" s="571"/>
      <c r="AO206" s="571"/>
    </row>
    <row r="207">
      <c r="B207" s="855" t="s">
        <v>1292</v>
      </c>
      <c r="G207" s="571"/>
      <c r="H207" s="571"/>
      <c r="I207" s="571"/>
      <c r="J207" s="571"/>
      <c r="K207" s="571"/>
      <c r="L207" s="571"/>
      <c r="M207" s="571"/>
      <c r="N207" s="571"/>
      <c r="O207" s="571"/>
      <c r="P207" s="571"/>
      <c r="Q207" s="571"/>
      <c r="R207" s="571"/>
      <c r="S207" s="571"/>
      <c r="T207" s="571"/>
      <c r="U207" s="571"/>
      <c r="V207" s="571"/>
      <c r="W207" s="571"/>
      <c r="X207" s="571"/>
      <c r="Y207" s="571"/>
      <c r="Z207" s="571"/>
      <c r="AA207" s="571"/>
      <c r="AB207" s="571"/>
      <c r="AC207" s="571"/>
      <c r="AD207" s="571"/>
      <c r="AE207" s="571"/>
      <c r="AF207" s="571"/>
      <c r="AG207" s="571"/>
      <c r="AH207" s="571"/>
      <c r="AI207" s="571"/>
      <c r="AJ207" s="571"/>
      <c r="AK207" s="571"/>
      <c r="AL207" s="571"/>
      <c r="AM207" s="571"/>
      <c r="AN207" s="571"/>
      <c r="AO207" s="571"/>
    </row>
    <row r="208">
      <c r="B208" s="852" t="s">
        <v>1293</v>
      </c>
      <c r="G208" s="571"/>
      <c r="H208" s="571"/>
      <c r="I208" s="571"/>
      <c r="J208" s="571"/>
      <c r="K208" s="571"/>
      <c r="L208" s="571"/>
      <c r="M208" s="571"/>
      <c r="N208" s="571"/>
      <c r="O208" s="571"/>
      <c r="P208" s="571"/>
      <c r="Q208" s="571"/>
      <c r="R208" s="571"/>
      <c r="S208" s="571"/>
      <c r="T208" s="571"/>
      <c r="U208" s="571"/>
      <c r="V208" s="571"/>
      <c r="W208" s="571"/>
      <c r="X208" s="571"/>
      <c r="Y208" s="571"/>
      <c r="Z208" s="571"/>
      <c r="AA208" s="571"/>
      <c r="AB208" s="571"/>
      <c r="AC208" s="571"/>
      <c r="AD208" s="571"/>
      <c r="AE208" s="571"/>
      <c r="AF208" s="571"/>
      <c r="AG208" s="571"/>
      <c r="AH208" s="571"/>
      <c r="AI208" s="571"/>
      <c r="AJ208" s="571"/>
      <c r="AK208" s="571"/>
      <c r="AL208" s="571"/>
      <c r="AM208" s="571"/>
      <c r="AN208" s="571"/>
      <c r="AO208" s="571"/>
    </row>
    <row r="209">
      <c r="B209" s="852" t="s">
        <v>1294</v>
      </c>
      <c r="G209" s="571"/>
      <c r="H209" s="571"/>
      <c r="I209" s="571"/>
      <c r="J209" s="571"/>
      <c r="K209" s="571"/>
      <c r="L209" s="571"/>
      <c r="M209" s="571"/>
      <c r="N209" s="571"/>
      <c r="O209" s="571"/>
      <c r="P209" s="571"/>
      <c r="Q209" s="571"/>
      <c r="R209" s="571"/>
      <c r="S209" s="571"/>
      <c r="T209" s="571"/>
      <c r="U209" s="571"/>
      <c r="V209" s="571"/>
      <c r="W209" s="571"/>
      <c r="X209" s="571"/>
      <c r="Y209" s="571"/>
      <c r="Z209" s="571"/>
      <c r="AA209" s="571"/>
      <c r="AB209" s="571"/>
      <c r="AC209" s="571"/>
      <c r="AD209" s="571"/>
      <c r="AE209" s="571"/>
      <c r="AF209" s="571"/>
      <c r="AG209" s="571"/>
      <c r="AH209" s="571"/>
      <c r="AI209" s="571"/>
      <c r="AJ209" s="571"/>
      <c r="AK209" s="571"/>
      <c r="AL209" s="571"/>
      <c r="AM209" s="571"/>
      <c r="AN209" s="571"/>
      <c r="AO209" s="571"/>
    </row>
    <row r="210">
      <c r="B210" s="852" t="s">
        <v>1295</v>
      </c>
      <c r="G210" s="571"/>
      <c r="H210" s="571"/>
      <c r="I210" s="571"/>
      <c r="J210" s="571"/>
      <c r="K210" s="571"/>
      <c r="L210" s="571"/>
      <c r="M210" s="571"/>
      <c r="N210" s="571"/>
      <c r="O210" s="571"/>
      <c r="P210" s="571"/>
      <c r="Q210" s="571"/>
      <c r="R210" s="571"/>
      <c r="S210" s="571"/>
      <c r="T210" s="571"/>
      <c r="U210" s="571"/>
      <c r="V210" s="571"/>
      <c r="W210" s="571"/>
      <c r="X210" s="571"/>
      <c r="Y210" s="571"/>
      <c r="Z210" s="571"/>
      <c r="AA210" s="571"/>
      <c r="AB210" s="571"/>
      <c r="AC210" s="571"/>
      <c r="AD210" s="571"/>
      <c r="AE210" s="571"/>
      <c r="AF210" s="571"/>
      <c r="AG210" s="571"/>
      <c r="AH210" s="571"/>
      <c r="AI210" s="571"/>
      <c r="AJ210" s="571"/>
      <c r="AK210" s="571"/>
      <c r="AL210" s="571"/>
      <c r="AM210" s="571"/>
      <c r="AN210" s="571"/>
      <c r="AO210" s="571"/>
    </row>
    <row r="211">
      <c r="A211" s="850" t="s">
        <v>1308</v>
      </c>
      <c r="B211" s="851" t="s">
        <v>1287</v>
      </c>
      <c r="G211" s="571"/>
      <c r="H211" s="571"/>
      <c r="I211" s="571"/>
      <c r="J211" s="571"/>
      <c r="K211" s="571"/>
      <c r="L211" s="571"/>
      <c r="M211" s="571"/>
      <c r="N211" s="571"/>
      <c r="O211" s="571"/>
      <c r="P211" s="571"/>
      <c r="Q211" s="571"/>
      <c r="R211" s="571"/>
      <c r="S211" s="571"/>
      <c r="T211" s="571"/>
      <c r="U211" s="571"/>
      <c r="V211" s="571"/>
      <c r="W211" s="571"/>
      <c r="X211" s="571"/>
      <c r="Y211" s="571"/>
      <c r="Z211" s="571"/>
      <c r="AA211" s="571"/>
      <c r="AB211" s="571"/>
      <c r="AC211" s="571"/>
      <c r="AD211" s="571"/>
      <c r="AE211" s="571"/>
      <c r="AF211" s="571"/>
      <c r="AG211" s="571"/>
      <c r="AH211" s="571"/>
      <c r="AI211" s="571"/>
      <c r="AJ211" s="571"/>
      <c r="AK211" s="571"/>
      <c r="AL211" s="571"/>
      <c r="AM211" s="571"/>
      <c r="AN211" s="571"/>
      <c r="AO211" s="571"/>
    </row>
    <row r="212">
      <c r="B212" s="852" t="s">
        <v>1288</v>
      </c>
      <c r="G212" s="571"/>
      <c r="H212" s="571"/>
      <c r="I212" s="571"/>
      <c r="J212" s="571"/>
      <c r="K212" s="571"/>
      <c r="L212" s="571"/>
      <c r="M212" s="571"/>
      <c r="N212" s="571"/>
      <c r="O212" s="571"/>
      <c r="P212" s="571"/>
      <c r="Q212" s="571"/>
      <c r="R212" s="571"/>
      <c r="S212" s="571"/>
      <c r="T212" s="571"/>
      <c r="U212" s="571"/>
      <c r="V212" s="571"/>
      <c r="W212" s="571"/>
      <c r="X212" s="571"/>
      <c r="Y212" s="571"/>
      <c r="Z212" s="571"/>
      <c r="AA212" s="571"/>
      <c r="AB212" s="571"/>
      <c r="AC212" s="571"/>
      <c r="AD212" s="571"/>
      <c r="AE212" s="571"/>
      <c r="AF212" s="571"/>
      <c r="AG212" s="571"/>
      <c r="AH212" s="571"/>
      <c r="AI212" s="571"/>
      <c r="AJ212" s="571"/>
      <c r="AK212" s="571"/>
      <c r="AL212" s="571"/>
      <c r="AM212" s="571"/>
      <c r="AN212" s="571"/>
      <c r="AO212" s="571"/>
    </row>
    <row r="213">
      <c r="B213" s="852" t="s">
        <v>1289</v>
      </c>
      <c r="G213" s="571"/>
      <c r="H213" s="571"/>
      <c r="I213" s="571"/>
      <c r="J213" s="571"/>
      <c r="K213" s="571"/>
      <c r="L213" s="571"/>
      <c r="M213" s="571"/>
      <c r="N213" s="571"/>
      <c r="O213" s="571"/>
      <c r="P213" s="571"/>
      <c r="Q213" s="571"/>
      <c r="R213" s="571"/>
      <c r="S213" s="571"/>
      <c r="T213" s="571"/>
      <c r="U213" s="571"/>
      <c r="V213" s="571"/>
      <c r="W213" s="571"/>
      <c r="X213" s="571"/>
      <c r="Y213" s="571"/>
      <c r="Z213" s="571"/>
      <c r="AA213" s="571"/>
      <c r="AB213" s="571"/>
      <c r="AC213" s="571"/>
      <c r="AD213" s="571"/>
      <c r="AE213" s="571"/>
      <c r="AF213" s="571"/>
      <c r="AG213" s="571"/>
      <c r="AH213" s="571"/>
      <c r="AI213" s="571"/>
      <c r="AJ213" s="571"/>
      <c r="AK213" s="571"/>
      <c r="AL213" s="571"/>
      <c r="AM213" s="571"/>
      <c r="AN213" s="571"/>
      <c r="AO213" s="571"/>
    </row>
    <row r="214">
      <c r="B214" s="852" t="s">
        <v>1290</v>
      </c>
      <c r="G214" s="571"/>
      <c r="H214" s="571"/>
      <c r="I214" s="571"/>
      <c r="J214" s="571"/>
      <c r="K214" s="571"/>
      <c r="L214" s="571"/>
      <c r="M214" s="571"/>
      <c r="N214" s="571"/>
      <c r="O214" s="571"/>
      <c r="P214" s="571"/>
      <c r="Q214" s="571"/>
      <c r="R214" s="571"/>
      <c r="S214" s="571"/>
      <c r="T214" s="571"/>
      <c r="U214" s="571"/>
      <c r="V214" s="571"/>
      <c r="W214" s="571"/>
      <c r="X214" s="571"/>
      <c r="Y214" s="571"/>
      <c r="Z214" s="571"/>
      <c r="AA214" s="571"/>
      <c r="AB214" s="571"/>
      <c r="AC214" s="571"/>
      <c r="AD214" s="571"/>
      <c r="AE214" s="571"/>
      <c r="AF214" s="571"/>
      <c r="AG214" s="571"/>
      <c r="AH214" s="571"/>
      <c r="AI214" s="571"/>
      <c r="AJ214" s="571"/>
      <c r="AK214" s="571"/>
      <c r="AL214" s="571"/>
      <c r="AM214" s="571"/>
      <c r="AN214" s="571"/>
      <c r="AO214" s="571"/>
    </row>
    <row r="215">
      <c r="B215" s="855" t="s">
        <v>1291</v>
      </c>
      <c r="G215" s="571"/>
      <c r="H215" s="571"/>
      <c r="I215" s="571"/>
      <c r="J215" s="571"/>
      <c r="K215" s="571"/>
      <c r="L215" s="571"/>
      <c r="M215" s="571"/>
      <c r="N215" s="571"/>
      <c r="O215" s="571"/>
      <c r="P215" s="571"/>
      <c r="Q215" s="571"/>
      <c r="R215" s="571"/>
      <c r="S215" s="571"/>
      <c r="T215" s="571"/>
      <c r="U215" s="571"/>
      <c r="V215" s="571"/>
      <c r="W215" s="571"/>
      <c r="X215" s="571"/>
      <c r="Y215" s="571"/>
      <c r="Z215" s="571"/>
      <c r="AA215" s="571"/>
      <c r="AB215" s="571"/>
      <c r="AC215" s="571"/>
      <c r="AD215" s="571"/>
      <c r="AE215" s="571"/>
      <c r="AF215" s="571"/>
      <c r="AG215" s="571"/>
      <c r="AH215" s="571"/>
      <c r="AI215" s="571"/>
      <c r="AJ215" s="571"/>
      <c r="AK215" s="571"/>
      <c r="AL215" s="571"/>
      <c r="AM215" s="571"/>
      <c r="AN215" s="571"/>
      <c r="AO215" s="571"/>
    </row>
    <row r="216">
      <c r="B216" s="855" t="s">
        <v>1292</v>
      </c>
      <c r="G216" s="571"/>
      <c r="H216" s="571"/>
      <c r="I216" s="571"/>
      <c r="J216" s="571"/>
      <c r="K216" s="571"/>
      <c r="L216" s="571"/>
      <c r="M216" s="571"/>
      <c r="N216" s="571"/>
      <c r="O216" s="571"/>
      <c r="P216" s="571"/>
      <c r="Q216" s="571"/>
      <c r="R216" s="571"/>
      <c r="S216" s="571"/>
      <c r="T216" s="571"/>
      <c r="U216" s="571"/>
      <c r="V216" s="571"/>
      <c r="W216" s="571"/>
      <c r="X216" s="571"/>
      <c r="Y216" s="571"/>
      <c r="Z216" s="571"/>
      <c r="AA216" s="571"/>
      <c r="AB216" s="571"/>
      <c r="AC216" s="571"/>
      <c r="AD216" s="571"/>
      <c r="AE216" s="571"/>
      <c r="AF216" s="571"/>
      <c r="AG216" s="571"/>
      <c r="AH216" s="571"/>
      <c r="AI216" s="571"/>
      <c r="AJ216" s="571"/>
      <c r="AK216" s="571"/>
      <c r="AL216" s="571"/>
      <c r="AM216" s="571"/>
      <c r="AN216" s="571"/>
      <c r="AO216" s="571"/>
    </row>
    <row r="217">
      <c r="B217" s="852" t="s">
        <v>1293</v>
      </c>
      <c r="G217" s="571"/>
      <c r="H217" s="571"/>
      <c r="I217" s="571"/>
      <c r="J217" s="571"/>
      <c r="K217" s="571"/>
      <c r="L217" s="571"/>
      <c r="M217" s="571"/>
      <c r="N217" s="571"/>
      <c r="O217" s="571"/>
      <c r="P217" s="571"/>
      <c r="Q217" s="571"/>
      <c r="R217" s="571"/>
      <c r="S217" s="571"/>
      <c r="T217" s="571"/>
      <c r="U217" s="571"/>
      <c r="V217" s="571"/>
      <c r="W217" s="571"/>
      <c r="X217" s="571"/>
      <c r="Y217" s="571"/>
      <c r="Z217" s="571"/>
      <c r="AA217" s="571"/>
      <c r="AB217" s="571"/>
      <c r="AC217" s="571"/>
      <c r="AD217" s="571"/>
      <c r="AE217" s="571"/>
      <c r="AF217" s="571"/>
      <c r="AG217" s="571"/>
      <c r="AH217" s="571"/>
      <c r="AI217" s="571"/>
      <c r="AJ217" s="571"/>
      <c r="AK217" s="571"/>
      <c r="AL217" s="571"/>
      <c r="AM217" s="571"/>
      <c r="AN217" s="571"/>
      <c r="AO217" s="571"/>
    </row>
    <row r="218">
      <c r="B218" s="852" t="s">
        <v>1294</v>
      </c>
      <c r="G218" s="571"/>
      <c r="H218" s="571"/>
      <c r="I218" s="571"/>
      <c r="J218" s="571"/>
      <c r="K218" s="571"/>
      <c r="L218" s="571"/>
      <c r="M218" s="571"/>
      <c r="N218" s="571"/>
      <c r="O218" s="571"/>
      <c r="P218" s="571"/>
      <c r="Q218" s="571"/>
      <c r="R218" s="571"/>
      <c r="S218" s="571"/>
      <c r="T218" s="571"/>
      <c r="U218" s="571"/>
      <c r="V218" s="571"/>
      <c r="W218" s="571"/>
      <c r="X218" s="571"/>
      <c r="Y218" s="571"/>
      <c r="Z218" s="571"/>
      <c r="AA218" s="571"/>
      <c r="AB218" s="571"/>
      <c r="AC218" s="571"/>
      <c r="AD218" s="571"/>
      <c r="AE218" s="571"/>
      <c r="AF218" s="571"/>
      <c r="AG218" s="571"/>
      <c r="AH218" s="571"/>
      <c r="AI218" s="571"/>
      <c r="AJ218" s="571"/>
      <c r="AK218" s="571"/>
      <c r="AL218" s="571"/>
      <c r="AM218" s="571"/>
      <c r="AN218" s="571"/>
      <c r="AO218" s="571"/>
    </row>
    <row r="219">
      <c r="B219" s="852" t="s">
        <v>1295</v>
      </c>
      <c r="G219" s="571"/>
      <c r="H219" s="571"/>
      <c r="I219" s="571"/>
      <c r="J219" s="571"/>
      <c r="K219" s="571"/>
      <c r="L219" s="571"/>
      <c r="M219" s="571"/>
      <c r="N219" s="571"/>
      <c r="O219" s="571"/>
      <c r="P219" s="571"/>
      <c r="Q219" s="571"/>
      <c r="R219" s="571"/>
      <c r="S219" s="571"/>
      <c r="T219" s="571"/>
      <c r="U219" s="571"/>
      <c r="V219" s="571"/>
      <c r="W219" s="571"/>
      <c r="X219" s="571"/>
      <c r="Y219" s="571"/>
      <c r="Z219" s="571"/>
      <c r="AA219" s="571"/>
      <c r="AB219" s="571"/>
      <c r="AC219" s="571"/>
      <c r="AD219" s="571"/>
      <c r="AE219" s="571"/>
      <c r="AF219" s="571"/>
      <c r="AG219" s="571"/>
      <c r="AH219" s="571"/>
      <c r="AI219" s="571"/>
      <c r="AJ219" s="571"/>
      <c r="AK219" s="571"/>
      <c r="AL219" s="571"/>
      <c r="AM219" s="571"/>
      <c r="AN219" s="571"/>
      <c r="AO219" s="571"/>
    </row>
    <row r="220">
      <c r="A220" s="850" t="s">
        <v>1309</v>
      </c>
      <c r="B220" s="851" t="s">
        <v>1287</v>
      </c>
      <c r="G220" s="571"/>
      <c r="H220" s="571"/>
      <c r="I220" s="571"/>
      <c r="J220" s="571"/>
      <c r="K220" s="571"/>
      <c r="L220" s="571"/>
      <c r="M220" s="571"/>
      <c r="N220" s="571"/>
      <c r="O220" s="571"/>
      <c r="P220" s="571"/>
      <c r="Q220" s="571"/>
      <c r="R220" s="571"/>
      <c r="S220" s="571"/>
      <c r="T220" s="571"/>
      <c r="U220" s="571"/>
      <c r="V220" s="571"/>
      <c r="W220" s="571"/>
      <c r="X220" s="571"/>
      <c r="Y220" s="571"/>
      <c r="Z220" s="571"/>
      <c r="AA220" s="571"/>
      <c r="AB220" s="571"/>
      <c r="AC220" s="571"/>
      <c r="AD220" s="571"/>
      <c r="AE220" s="571"/>
      <c r="AF220" s="571"/>
      <c r="AG220" s="571"/>
      <c r="AH220" s="571"/>
      <c r="AI220" s="571"/>
      <c r="AJ220" s="571"/>
      <c r="AK220" s="571"/>
      <c r="AL220" s="571"/>
      <c r="AM220" s="571"/>
      <c r="AN220" s="571"/>
      <c r="AO220" s="571"/>
    </row>
    <row r="221">
      <c r="B221" s="852" t="s">
        <v>1288</v>
      </c>
      <c r="G221" s="571"/>
      <c r="H221" s="571"/>
      <c r="I221" s="571"/>
      <c r="J221" s="571"/>
      <c r="K221" s="571"/>
      <c r="L221" s="571"/>
      <c r="M221" s="571"/>
      <c r="N221" s="571"/>
      <c r="O221" s="571"/>
      <c r="P221" s="571"/>
      <c r="Q221" s="571"/>
      <c r="R221" s="571"/>
      <c r="S221" s="571"/>
      <c r="T221" s="571"/>
      <c r="U221" s="571"/>
      <c r="V221" s="571"/>
      <c r="W221" s="571"/>
      <c r="X221" s="571"/>
      <c r="Y221" s="571"/>
      <c r="Z221" s="571"/>
      <c r="AA221" s="571"/>
      <c r="AB221" s="571"/>
      <c r="AC221" s="571"/>
      <c r="AD221" s="571"/>
      <c r="AE221" s="571"/>
      <c r="AF221" s="571"/>
      <c r="AG221" s="571"/>
      <c r="AH221" s="571"/>
      <c r="AI221" s="571"/>
      <c r="AJ221" s="571"/>
      <c r="AK221" s="571"/>
      <c r="AL221" s="571"/>
      <c r="AM221" s="571"/>
      <c r="AN221" s="571"/>
      <c r="AO221" s="571"/>
    </row>
    <row r="222">
      <c r="B222" s="852" t="s">
        <v>1289</v>
      </c>
      <c r="G222" s="571"/>
      <c r="H222" s="571"/>
      <c r="I222" s="571"/>
      <c r="J222" s="571"/>
      <c r="K222" s="571"/>
      <c r="L222" s="571"/>
      <c r="M222" s="571"/>
      <c r="N222" s="571"/>
      <c r="O222" s="571"/>
      <c r="P222" s="571"/>
      <c r="Q222" s="571"/>
      <c r="R222" s="571"/>
      <c r="S222" s="571"/>
      <c r="T222" s="571"/>
      <c r="U222" s="571"/>
      <c r="V222" s="571"/>
      <c r="W222" s="571"/>
      <c r="X222" s="571"/>
      <c r="Y222" s="571"/>
      <c r="Z222" s="571"/>
      <c r="AA222" s="571"/>
      <c r="AB222" s="571"/>
      <c r="AC222" s="571"/>
      <c r="AD222" s="571"/>
      <c r="AE222" s="571"/>
      <c r="AF222" s="571"/>
      <c r="AG222" s="571"/>
      <c r="AH222" s="571"/>
      <c r="AI222" s="571"/>
      <c r="AJ222" s="571"/>
      <c r="AK222" s="571"/>
      <c r="AL222" s="571"/>
      <c r="AM222" s="571"/>
      <c r="AN222" s="571"/>
      <c r="AO222" s="571"/>
    </row>
    <row r="223">
      <c r="B223" s="852" t="s">
        <v>1290</v>
      </c>
      <c r="G223" s="571"/>
      <c r="H223" s="571"/>
      <c r="I223" s="571"/>
      <c r="J223" s="571"/>
      <c r="K223" s="571"/>
      <c r="L223" s="571"/>
      <c r="M223" s="571"/>
      <c r="N223" s="571"/>
      <c r="O223" s="571"/>
      <c r="P223" s="571"/>
      <c r="Q223" s="571"/>
      <c r="R223" s="571"/>
      <c r="S223" s="571"/>
      <c r="T223" s="571"/>
      <c r="U223" s="571"/>
      <c r="V223" s="571"/>
      <c r="W223" s="571"/>
      <c r="X223" s="571"/>
      <c r="Y223" s="571"/>
      <c r="Z223" s="571"/>
      <c r="AA223" s="571"/>
      <c r="AB223" s="571"/>
      <c r="AC223" s="571"/>
      <c r="AD223" s="571"/>
      <c r="AE223" s="571"/>
      <c r="AF223" s="571"/>
      <c r="AG223" s="571"/>
      <c r="AH223" s="571"/>
      <c r="AI223" s="571"/>
      <c r="AJ223" s="571"/>
      <c r="AK223" s="571"/>
      <c r="AL223" s="571"/>
      <c r="AM223" s="571"/>
      <c r="AN223" s="571"/>
      <c r="AO223" s="571"/>
    </row>
    <row r="224">
      <c r="B224" s="855" t="s">
        <v>1291</v>
      </c>
      <c r="G224" s="571"/>
      <c r="H224" s="571"/>
      <c r="I224" s="571"/>
      <c r="J224" s="571"/>
      <c r="K224" s="571"/>
      <c r="L224" s="571"/>
      <c r="M224" s="571"/>
      <c r="N224" s="571"/>
      <c r="O224" s="571"/>
      <c r="P224" s="571"/>
      <c r="Q224" s="571"/>
      <c r="R224" s="571"/>
      <c r="S224" s="571"/>
      <c r="T224" s="571"/>
      <c r="U224" s="571"/>
      <c r="V224" s="571"/>
      <c r="W224" s="571"/>
      <c r="X224" s="571"/>
      <c r="Y224" s="571"/>
      <c r="Z224" s="571"/>
      <c r="AA224" s="571"/>
      <c r="AB224" s="571"/>
      <c r="AC224" s="571"/>
      <c r="AD224" s="571"/>
      <c r="AE224" s="571"/>
      <c r="AF224" s="571"/>
      <c r="AG224" s="571"/>
      <c r="AH224" s="571"/>
      <c r="AI224" s="571"/>
      <c r="AJ224" s="571"/>
      <c r="AK224" s="571"/>
      <c r="AL224" s="571"/>
      <c r="AM224" s="571"/>
      <c r="AN224" s="571"/>
      <c r="AO224" s="571"/>
    </row>
    <row r="225">
      <c r="B225" s="855" t="s">
        <v>1292</v>
      </c>
      <c r="G225" s="571"/>
      <c r="H225" s="571"/>
      <c r="I225" s="571"/>
      <c r="J225" s="571"/>
      <c r="K225" s="571"/>
      <c r="L225" s="571"/>
      <c r="M225" s="571"/>
      <c r="N225" s="571"/>
      <c r="O225" s="571"/>
      <c r="P225" s="571"/>
      <c r="Q225" s="571"/>
      <c r="R225" s="571"/>
      <c r="S225" s="571"/>
      <c r="T225" s="571"/>
      <c r="U225" s="571"/>
      <c r="V225" s="571"/>
      <c r="W225" s="571"/>
      <c r="X225" s="571"/>
      <c r="Y225" s="571"/>
      <c r="Z225" s="571"/>
      <c r="AA225" s="571"/>
      <c r="AB225" s="571"/>
      <c r="AC225" s="571"/>
      <c r="AD225" s="571"/>
      <c r="AE225" s="571"/>
      <c r="AF225" s="571"/>
      <c r="AG225" s="571"/>
      <c r="AH225" s="571"/>
      <c r="AI225" s="571"/>
      <c r="AJ225" s="571"/>
      <c r="AK225" s="571"/>
      <c r="AL225" s="571"/>
      <c r="AM225" s="571"/>
      <c r="AN225" s="571"/>
      <c r="AO225" s="571"/>
    </row>
    <row r="226">
      <c r="B226" s="852" t="s">
        <v>1293</v>
      </c>
      <c r="G226" s="571"/>
      <c r="H226" s="571"/>
      <c r="I226" s="571"/>
      <c r="J226" s="571"/>
      <c r="K226" s="571"/>
      <c r="L226" s="571"/>
      <c r="M226" s="571"/>
      <c r="N226" s="571"/>
      <c r="O226" s="571"/>
      <c r="P226" s="571"/>
      <c r="Q226" s="571"/>
      <c r="R226" s="571"/>
      <c r="S226" s="571"/>
      <c r="T226" s="571"/>
      <c r="U226" s="571"/>
      <c r="V226" s="571"/>
      <c r="W226" s="571"/>
      <c r="X226" s="571"/>
      <c r="Y226" s="571"/>
      <c r="Z226" s="571"/>
      <c r="AA226" s="571"/>
      <c r="AB226" s="571"/>
      <c r="AC226" s="571"/>
      <c r="AD226" s="571"/>
      <c r="AE226" s="571"/>
      <c r="AF226" s="571"/>
      <c r="AG226" s="571"/>
      <c r="AH226" s="571"/>
      <c r="AI226" s="571"/>
      <c r="AJ226" s="571"/>
      <c r="AK226" s="571"/>
      <c r="AL226" s="571"/>
      <c r="AM226" s="571"/>
      <c r="AN226" s="571"/>
      <c r="AO226" s="571"/>
    </row>
    <row r="227">
      <c r="B227" s="852" t="s">
        <v>1294</v>
      </c>
      <c r="G227" s="571"/>
      <c r="H227" s="571"/>
      <c r="I227" s="571"/>
      <c r="J227" s="571"/>
      <c r="K227" s="571"/>
      <c r="L227" s="571"/>
      <c r="M227" s="571"/>
      <c r="N227" s="571"/>
      <c r="O227" s="571"/>
      <c r="P227" s="571"/>
      <c r="Q227" s="571"/>
      <c r="R227" s="571"/>
      <c r="S227" s="571"/>
      <c r="T227" s="571"/>
      <c r="U227" s="571"/>
      <c r="V227" s="571"/>
      <c r="W227" s="571"/>
      <c r="X227" s="571"/>
      <c r="Y227" s="571"/>
      <c r="Z227" s="571"/>
      <c r="AA227" s="571"/>
      <c r="AB227" s="571"/>
      <c r="AC227" s="571"/>
      <c r="AD227" s="571"/>
      <c r="AE227" s="571"/>
      <c r="AF227" s="571"/>
      <c r="AG227" s="571"/>
      <c r="AH227" s="571"/>
      <c r="AI227" s="571"/>
      <c r="AJ227" s="571"/>
      <c r="AK227" s="571"/>
      <c r="AL227" s="571"/>
      <c r="AM227" s="571"/>
      <c r="AN227" s="571"/>
      <c r="AO227" s="571"/>
    </row>
    <row r="228">
      <c r="B228" s="852" t="s">
        <v>1295</v>
      </c>
      <c r="G228" s="571"/>
      <c r="H228" s="571"/>
      <c r="I228" s="571"/>
      <c r="J228" s="571"/>
      <c r="K228" s="571"/>
      <c r="L228" s="571"/>
      <c r="M228" s="571"/>
      <c r="N228" s="571"/>
      <c r="O228" s="571"/>
      <c r="P228" s="571"/>
      <c r="Q228" s="571"/>
      <c r="R228" s="571"/>
      <c r="S228" s="571"/>
      <c r="T228" s="571"/>
      <c r="U228" s="571"/>
      <c r="V228" s="571"/>
      <c r="W228" s="571"/>
      <c r="X228" s="571"/>
      <c r="Y228" s="571"/>
      <c r="Z228" s="571"/>
      <c r="AA228" s="571"/>
      <c r="AB228" s="571"/>
      <c r="AC228" s="571"/>
      <c r="AD228" s="571"/>
      <c r="AE228" s="571"/>
      <c r="AF228" s="571"/>
      <c r="AG228" s="571"/>
      <c r="AH228" s="571"/>
      <c r="AI228" s="571"/>
      <c r="AJ228" s="571"/>
      <c r="AK228" s="571"/>
      <c r="AL228" s="571"/>
      <c r="AM228" s="571"/>
      <c r="AN228" s="571"/>
      <c r="AO228" s="571"/>
    </row>
    <row r="229">
      <c r="A229" s="850" t="s">
        <v>1310</v>
      </c>
      <c r="B229" s="851" t="s">
        <v>1287</v>
      </c>
      <c r="G229" s="571"/>
      <c r="H229" s="571"/>
      <c r="I229" s="571"/>
      <c r="J229" s="571"/>
      <c r="K229" s="571"/>
      <c r="L229" s="571"/>
      <c r="M229" s="571"/>
      <c r="N229" s="571"/>
      <c r="O229" s="571"/>
      <c r="P229" s="571"/>
      <c r="Q229" s="571"/>
      <c r="R229" s="571"/>
      <c r="S229" s="571"/>
      <c r="T229" s="571"/>
      <c r="U229" s="571"/>
      <c r="V229" s="571"/>
      <c r="W229" s="571"/>
      <c r="X229" s="571"/>
      <c r="Y229" s="571"/>
      <c r="Z229" s="571"/>
      <c r="AA229" s="571"/>
      <c r="AB229" s="571"/>
      <c r="AC229" s="571"/>
      <c r="AD229" s="571"/>
      <c r="AE229" s="571"/>
      <c r="AF229" s="571"/>
      <c r="AG229" s="571"/>
      <c r="AH229" s="571"/>
      <c r="AI229" s="571"/>
      <c r="AJ229" s="571"/>
      <c r="AK229" s="571"/>
      <c r="AL229" s="571"/>
      <c r="AM229" s="571"/>
      <c r="AN229" s="571"/>
      <c r="AO229" s="571"/>
    </row>
    <row r="230">
      <c r="B230" s="852" t="s">
        <v>1288</v>
      </c>
      <c r="G230" s="571"/>
      <c r="H230" s="571"/>
      <c r="I230" s="571"/>
      <c r="J230" s="571"/>
      <c r="K230" s="571"/>
      <c r="L230" s="571"/>
      <c r="M230" s="571"/>
      <c r="N230" s="571"/>
      <c r="O230" s="571"/>
      <c r="P230" s="571"/>
      <c r="Q230" s="571"/>
      <c r="R230" s="571"/>
      <c r="S230" s="571"/>
      <c r="T230" s="571"/>
      <c r="U230" s="571"/>
      <c r="V230" s="571"/>
      <c r="W230" s="571"/>
      <c r="X230" s="571"/>
      <c r="Y230" s="571"/>
      <c r="Z230" s="571"/>
      <c r="AA230" s="571"/>
      <c r="AB230" s="571"/>
      <c r="AC230" s="571"/>
      <c r="AD230" s="571"/>
      <c r="AE230" s="571"/>
      <c r="AF230" s="571"/>
      <c r="AG230" s="571"/>
      <c r="AH230" s="571"/>
      <c r="AI230" s="571"/>
      <c r="AJ230" s="571"/>
      <c r="AK230" s="571"/>
      <c r="AL230" s="571"/>
      <c r="AM230" s="571"/>
      <c r="AN230" s="571"/>
      <c r="AO230" s="571"/>
    </row>
    <row r="231">
      <c r="B231" s="852" t="s">
        <v>1289</v>
      </c>
      <c r="G231" s="571"/>
      <c r="H231" s="571"/>
      <c r="I231" s="571"/>
      <c r="J231" s="571"/>
      <c r="K231" s="571"/>
      <c r="L231" s="571"/>
      <c r="M231" s="571"/>
      <c r="N231" s="571"/>
      <c r="O231" s="571"/>
      <c r="P231" s="571"/>
      <c r="Q231" s="571"/>
      <c r="R231" s="571"/>
      <c r="S231" s="571"/>
      <c r="T231" s="571"/>
      <c r="U231" s="571"/>
      <c r="V231" s="571"/>
      <c r="W231" s="571"/>
      <c r="X231" s="571"/>
      <c r="Y231" s="571"/>
      <c r="Z231" s="571"/>
      <c r="AA231" s="571"/>
      <c r="AB231" s="571"/>
      <c r="AC231" s="571"/>
      <c r="AD231" s="571"/>
      <c r="AE231" s="571"/>
      <c r="AF231" s="571"/>
      <c r="AG231" s="571"/>
      <c r="AH231" s="571"/>
      <c r="AI231" s="571"/>
      <c r="AJ231" s="571"/>
      <c r="AK231" s="571"/>
      <c r="AL231" s="571"/>
      <c r="AM231" s="571"/>
      <c r="AN231" s="571"/>
      <c r="AO231" s="571"/>
    </row>
    <row r="232">
      <c r="B232" s="852" t="s">
        <v>1290</v>
      </c>
      <c r="G232" s="571"/>
      <c r="H232" s="571"/>
      <c r="I232" s="571"/>
      <c r="J232" s="571"/>
      <c r="K232" s="571"/>
      <c r="L232" s="571"/>
      <c r="M232" s="571"/>
      <c r="N232" s="571"/>
      <c r="O232" s="571"/>
      <c r="P232" s="571"/>
      <c r="Q232" s="571"/>
      <c r="R232" s="571"/>
      <c r="S232" s="571"/>
      <c r="T232" s="571"/>
      <c r="U232" s="571"/>
      <c r="V232" s="571"/>
      <c r="W232" s="571"/>
      <c r="X232" s="571"/>
      <c r="Y232" s="571"/>
      <c r="Z232" s="571"/>
      <c r="AA232" s="571"/>
      <c r="AB232" s="571"/>
      <c r="AC232" s="571"/>
      <c r="AD232" s="571"/>
      <c r="AE232" s="571"/>
      <c r="AF232" s="571"/>
      <c r="AG232" s="571"/>
      <c r="AH232" s="571"/>
      <c r="AI232" s="571"/>
      <c r="AJ232" s="571"/>
      <c r="AK232" s="571"/>
      <c r="AL232" s="571"/>
      <c r="AM232" s="571"/>
      <c r="AN232" s="571"/>
      <c r="AO232" s="571"/>
    </row>
    <row r="233">
      <c r="B233" s="855" t="s">
        <v>1291</v>
      </c>
      <c r="G233" s="571"/>
      <c r="H233" s="571"/>
      <c r="I233" s="571"/>
      <c r="J233" s="571"/>
      <c r="K233" s="571"/>
      <c r="L233" s="571"/>
      <c r="M233" s="571"/>
      <c r="N233" s="571"/>
      <c r="O233" s="571"/>
      <c r="P233" s="571"/>
      <c r="Q233" s="571"/>
      <c r="R233" s="571"/>
      <c r="S233" s="571"/>
      <c r="T233" s="571"/>
      <c r="U233" s="571"/>
      <c r="V233" s="571"/>
      <c r="W233" s="571"/>
      <c r="X233" s="571"/>
      <c r="Y233" s="571"/>
      <c r="Z233" s="571"/>
      <c r="AA233" s="571"/>
      <c r="AB233" s="571"/>
      <c r="AC233" s="571"/>
      <c r="AD233" s="571"/>
      <c r="AE233" s="571"/>
      <c r="AF233" s="571"/>
      <c r="AG233" s="571"/>
      <c r="AH233" s="571"/>
      <c r="AI233" s="571"/>
      <c r="AJ233" s="571"/>
      <c r="AK233" s="571"/>
      <c r="AL233" s="571"/>
      <c r="AM233" s="571"/>
      <c r="AN233" s="571"/>
      <c r="AO233" s="571"/>
    </row>
    <row r="234">
      <c r="B234" s="855" t="s">
        <v>1292</v>
      </c>
      <c r="G234" s="571"/>
      <c r="H234" s="571"/>
      <c r="I234" s="571"/>
      <c r="J234" s="571"/>
      <c r="K234" s="571"/>
      <c r="L234" s="571"/>
      <c r="M234" s="571"/>
      <c r="N234" s="571"/>
      <c r="O234" s="571"/>
      <c r="P234" s="571"/>
      <c r="Q234" s="571"/>
      <c r="R234" s="571"/>
      <c r="S234" s="571"/>
      <c r="T234" s="571"/>
      <c r="U234" s="571"/>
      <c r="V234" s="571"/>
      <c r="W234" s="571"/>
      <c r="X234" s="571"/>
      <c r="Y234" s="571"/>
      <c r="Z234" s="571"/>
      <c r="AA234" s="571"/>
      <c r="AB234" s="571"/>
      <c r="AC234" s="571"/>
      <c r="AD234" s="571"/>
      <c r="AE234" s="571"/>
      <c r="AF234" s="571"/>
      <c r="AG234" s="571"/>
      <c r="AH234" s="571"/>
      <c r="AI234" s="571"/>
      <c r="AJ234" s="571"/>
      <c r="AK234" s="571"/>
      <c r="AL234" s="571"/>
      <c r="AM234" s="571"/>
      <c r="AN234" s="571"/>
      <c r="AO234" s="571"/>
    </row>
    <row r="235">
      <c r="B235" s="852" t="s">
        <v>1293</v>
      </c>
      <c r="G235" s="571"/>
      <c r="H235" s="571"/>
      <c r="I235" s="571"/>
      <c r="J235" s="571"/>
      <c r="K235" s="571"/>
      <c r="L235" s="571"/>
      <c r="M235" s="571"/>
      <c r="N235" s="571"/>
      <c r="O235" s="571"/>
      <c r="P235" s="571"/>
      <c r="Q235" s="571"/>
      <c r="R235" s="571"/>
      <c r="S235" s="571"/>
      <c r="T235" s="571"/>
      <c r="U235" s="571"/>
      <c r="V235" s="571"/>
      <c r="W235" s="571"/>
      <c r="X235" s="571"/>
      <c r="Y235" s="571"/>
      <c r="Z235" s="571"/>
      <c r="AA235" s="571"/>
      <c r="AB235" s="571"/>
      <c r="AC235" s="571"/>
      <c r="AD235" s="571"/>
      <c r="AE235" s="571"/>
      <c r="AF235" s="571"/>
      <c r="AG235" s="571"/>
      <c r="AH235" s="571"/>
      <c r="AI235" s="571"/>
      <c r="AJ235" s="571"/>
      <c r="AK235" s="571"/>
      <c r="AL235" s="571"/>
      <c r="AM235" s="571"/>
      <c r="AN235" s="571"/>
      <c r="AO235" s="571"/>
    </row>
    <row r="236">
      <c r="B236" s="852" t="s">
        <v>1294</v>
      </c>
      <c r="G236" s="571"/>
      <c r="H236" s="571"/>
      <c r="I236" s="571"/>
      <c r="J236" s="571"/>
      <c r="K236" s="571"/>
      <c r="L236" s="571"/>
      <c r="M236" s="571"/>
      <c r="N236" s="571"/>
      <c r="O236" s="571"/>
      <c r="P236" s="571"/>
      <c r="Q236" s="571"/>
      <c r="R236" s="571"/>
      <c r="S236" s="571"/>
      <c r="T236" s="571"/>
      <c r="U236" s="571"/>
      <c r="V236" s="571"/>
      <c r="W236" s="571"/>
      <c r="X236" s="571"/>
      <c r="Y236" s="571"/>
      <c r="Z236" s="571"/>
      <c r="AA236" s="571"/>
      <c r="AB236" s="571"/>
      <c r="AC236" s="571"/>
      <c r="AD236" s="571"/>
      <c r="AE236" s="571"/>
      <c r="AF236" s="571"/>
      <c r="AG236" s="571"/>
      <c r="AH236" s="571"/>
      <c r="AI236" s="571"/>
      <c r="AJ236" s="571"/>
      <c r="AK236" s="571"/>
      <c r="AL236" s="571"/>
      <c r="AM236" s="571"/>
      <c r="AN236" s="571"/>
      <c r="AO236" s="571"/>
    </row>
    <row r="237">
      <c r="B237" s="852" t="s">
        <v>1295</v>
      </c>
      <c r="G237" s="571"/>
      <c r="H237" s="571"/>
      <c r="I237" s="571"/>
      <c r="J237" s="571"/>
      <c r="K237" s="571"/>
      <c r="L237" s="571"/>
      <c r="M237" s="571"/>
      <c r="N237" s="571"/>
      <c r="O237" s="571"/>
      <c r="P237" s="571"/>
      <c r="Q237" s="571"/>
      <c r="R237" s="571"/>
      <c r="S237" s="571"/>
      <c r="T237" s="571"/>
      <c r="U237" s="571"/>
      <c r="V237" s="571"/>
      <c r="W237" s="571"/>
      <c r="X237" s="571"/>
      <c r="Y237" s="571"/>
      <c r="Z237" s="571"/>
      <c r="AA237" s="571"/>
      <c r="AB237" s="571"/>
      <c r="AC237" s="571"/>
      <c r="AD237" s="571"/>
      <c r="AE237" s="571"/>
      <c r="AF237" s="571"/>
      <c r="AG237" s="571"/>
      <c r="AH237" s="571"/>
      <c r="AI237" s="571"/>
      <c r="AJ237" s="571"/>
      <c r="AK237" s="571"/>
      <c r="AL237" s="571"/>
      <c r="AM237" s="571"/>
      <c r="AN237" s="571"/>
      <c r="AO237" s="571"/>
    </row>
    <row r="238">
      <c r="A238" s="845" t="s">
        <v>1312</v>
      </c>
      <c r="G238" s="571"/>
      <c r="H238" s="571"/>
      <c r="I238" s="571"/>
      <c r="J238" s="571"/>
      <c r="K238" s="571"/>
      <c r="L238" s="571"/>
      <c r="M238" s="571"/>
      <c r="N238" s="571"/>
      <c r="O238" s="571"/>
      <c r="P238" s="571"/>
      <c r="Q238" s="571"/>
      <c r="R238" s="571"/>
      <c r="S238" s="571"/>
      <c r="T238" s="571"/>
      <c r="U238" s="571"/>
      <c r="V238" s="571"/>
      <c r="W238" s="571"/>
      <c r="X238" s="571"/>
      <c r="Y238" s="571"/>
      <c r="Z238" s="571"/>
      <c r="AA238" s="571"/>
      <c r="AB238" s="571"/>
      <c r="AC238" s="571"/>
      <c r="AD238" s="571"/>
      <c r="AE238" s="571"/>
      <c r="AF238" s="571"/>
      <c r="AG238" s="571"/>
      <c r="AH238" s="571"/>
      <c r="AI238" s="571"/>
      <c r="AJ238" s="571"/>
      <c r="AK238" s="571"/>
      <c r="AL238" s="571"/>
      <c r="AM238" s="571"/>
      <c r="AN238" s="571"/>
      <c r="AO238" s="571"/>
    </row>
    <row r="239">
      <c r="A239" s="861" t="s">
        <v>1300</v>
      </c>
      <c r="B239" s="851" t="s">
        <v>1287</v>
      </c>
      <c r="G239" s="571"/>
      <c r="H239" s="571"/>
      <c r="I239" s="571"/>
      <c r="J239" s="571"/>
      <c r="K239" s="571"/>
      <c r="L239" s="571"/>
      <c r="M239" s="571"/>
      <c r="N239" s="571"/>
      <c r="O239" s="571"/>
      <c r="P239" s="571"/>
      <c r="Q239" s="571"/>
      <c r="R239" s="571"/>
      <c r="S239" s="571"/>
      <c r="T239" s="571"/>
      <c r="U239" s="571"/>
      <c r="V239" s="571"/>
      <c r="W239" s="571"/>
      <c r="X239" s="571"/>
      <c r="Y239" s="571"/>
      <c r="Z239" s="571"/>
      <c r="AA239" s="571"/>
      <c r="AB239" s="571"/>
      <c r="AC239" s="571"/>
      <c r="AD239" s="571"/>
      <c r="AE239" s="571"/>
      <c r="AF239" s="571"/>
      <c r="AG239" s="571"/>
      <c r="AH239" s="571"/>
      <c r="AI239" s="571"/>
      <c r="AJ239" s="571"/>
      <c r="AK239" s="571"/>
      <c r="AL239" s="571"/>
      <c r="AM239" s="571"/>
      <c r="AN239" s="571"/>
      <c r="AO239" s="571"/>
    </row>
    <row r="240">
      <c r="B240" s="852" t="s">
        <v>1288</v>
      </c>
      <c r="G240" s="571"/>
      <c r="H240" s="571"/>
      <c r="I240" s="571"/>
      <c r="J240" s="571"/>
      <c r="K240" s="571"/>
      <c r="L240" s="571"/>
      <c r="M240" s="571"/>
      <c r="N240" s="571"/>
      <c r="O240" s="571"/>
      <c r="P240" s="571"/>
      <c r="Q240" s="571"/>
      <c r="R240" s="571"/>
      <c r="S240" s="571"/>
      <c r="T240" s="571"/>
      <c r="U240" s="571"/>
      <c r="V240" s="571"/>
      <c r="W240" s="571"/>
      <c r="X240" s="571"/>
      <c r="Y240" s="571"/>
      <c r="Z240" s="571"/>
      <c r="AA240" s="571"/>
      <c r="AB240" s="571"/>
      <c r="AC240" s="571"/>
      <c r="AD240" s="571"/>
      <c r="AE240" s="571"/>
      <c r="AF240" s="571"/>
      <c r="AG240" s="571"/>
      <c r="AH240" s="571"/>
      <c r="AI240" s="571"/>
      <c r="AJ240" s="571"/>
      <c r="AK240" s="571"/>
      <c r="AL240" s="571"/>
      <c r="AM240" s="571"/>
      <c r="AN240" s="571"/>
      <c r="AO240" s="571"/>
    </row>
    <row r="241">
      <c r="B241" s="852" t="s">
        <v>1289</v>
      </c>
      <c r="G241" s="571"/>
      <c r="H241" s="571"/>
      <c r="I241" s="571"/>
      <c r="J241" s="571"/>
      <c r="K241" s="571"/>
      <c r="L241" s="571"/>
      <c r="M241" s="571"/>
      <c r="N241" s="571"/>
      <c r="O241" s="571"/>
      <c r="P241" s="571"/>
      <c r="Q241" s="571"/>
      <c r="R241" s="571"/>
      <c r="S241" s="571"/>
      <c r="T241" s="571"/>
      <c r="U241" s="571"/>
      <c r="V241" s="571"/>
      <c r="W241" s="571"/>
      <c r="X241" s="571"/>
      <c r="Y241" s="571"/>
      <c r="Z241" s="571"/>
      <c r="AA241" s="571"/>
      <c r="AB241" s="571"/>
      <c r="AC241" s="571"/>
      <c r="AD241" s="571"/>
      <c r="AE241" s="571"/>
      <c r="AF241" s="571"/>
      <c r="AG241" s="571"/>
      <c r="AH241" s="571"/>
      <c r="AI241" s="571"/>
      <c r="AJ241" s="571"/>
      <c r="AK241" s="571"/>
      <c r="AL241" s="571"/>
      <c r="AM241" s="571"/>
      <c r="AN241" s="571"/>
      <c r="AO241" s="571"/>
    </row>
    <row r="242">
      <c r="B242" s="852" t="s">
        <v>1290</v>
      </c>
      <c r="G242" s="571"/>
      <c r="H242" s="571"/>
      <c r="I242" s="571"/>
      <c r="J242" s="571"/>
      <c r="K242" s="571"/>
      <c r="L242" s="571"/>
      <c r="M242" s="571"/>
      <c r="N242" s="571"/>
      <c r="O242" s="571"/>
      <c r="P242" s="571"/>
      <c r="Q242" s="571"/>
      <c r="R242" s="571"/>
      <c r="S242" s="571"/>
      <c r="T242" s="571"/>
      <c r="U242" s="571"/>
      <c r="V242" s="571"/>
      <c r="W242" s="571"/>
      <c r="X242" s="571"/>
      <c r="Y242" s="571"/>
      <c r="Z242" s="571"/>
      <c r="AA242" s="571"/>
      <c r="AB242" s="571"/>
      <c r="AC242" s="571"/>
      <c r="AD242" s="571"/>
      <c r="AE242" s="571"/>
      <c r="AF242" s="571"/>
      <c r="AG242" s="571"/>
      <c r="AH242" s="571"/>
      <c r="AI242" s="571"/>
      <c r="AJ242" s="571"/>
      <c r="AK242" s="571"/>
      <c r="AL242" s="571"/>
      <c r="AM242" s="571"/>
      <c r="AN242" s="571"/>
      <c r="AO242" s="571"/>
    </row>
    <row r="243">
      <c r="B243" s="855" t="s">
        <v>1291</v>
      </c>
      <c r="G243" s="571"/>
      <c r="H243" s="571"/>
      <c r="I243" s="571"/>
      <c r="J243" s="571"/>
      <c r="K243" s="571"/>
      <c r="L243" s="571"/>
      <c r="M243" s="571"/>
      <c r="N243" s="571"/>
      <c r="O243" s="571"/>
      <c r="P243" s="571"/>
      <c r="Q243" s="571"/>
      <c r="R243" s="571"/>
      <c r="S243" s="571"/>
      <c r="T243" s="571"/>
      <c r="U243" s="571"/>
      <c r="V243" s="571"/>
      <c r="W243" s="571"/>
      <c r="X243" s="571"/>
      <c r="Y243" s="571"/>
      <c r="Z243" s="571"/>
      <c r="AA243" s="571"/>
      <c r="AB243" s="571"/>
      <c r="AC243" s="571"/>
      <c r="AD243" s="571"/>
      <c r="AE243" s="571"/>
      <c r="AF243" s="571"/>
      <c r="AG243" s="571"/>
      <c r="AH243" s="571"/>
      <c r="AI243" s="571"/>
      <c r="AJ243" s="571"/>
      <c r="AK243" s="571"/>
      <c r="AL243" s="571"/>
      <c r="AM243" s="571"/>
      <c r="AN243" s="571"/>
      <c r="AO243" s="571"/>
    </row>
    <row r="244">
      <c r="B244" s="855" t="s">
        <v>1292</v>
      </c>
      <c r="G244" s="571"/>
      <c r="H244" s="571"/>
      <c r="I244" s="571"/>
      <c r="J244" s="571"/>
      <c r="K244" s="571"/>
      <c r="L244" s="571"/>
      <c r="M244" s="571"/>
      <c r="N244" s="571"/>
      <c r="O244" s="571"/>
      <c r="P244" s="571"/>
      <c r="Q244" s="571"/>
      <c r="R244" s="571"/>
      <c r="S244" s="571"/>
      <c r="T244" s="571"/>
      <c r="U244" s="571"/>
      <c r="V244" s="571"/>
      <c r="W244" s="571"/>
      <c r="X244" s="571"/>
      <c r="Y244" s="571"/>
      <c r="Z244" s="571"/>
      <c r="AA244" s="571"/>
      <c r="AB244" s="571"/>
      <c r="AC244" s="571"/>
      <c r="AD244" s="571"/>
      <c r="AE244" s="571"/>
      <c r="AF244" s="571"/>
      <c r="AG244" s="571"/>
      <c r="AH244" s="571"/>
      <c r="AI244" s="571"/>
      <c r="AJ244" s="571"/>
      <c r="AK244" s="571"/>
      <c r="AL244" s="571"/>
      <c r="AM244" s="571"/>
      <c r="AN244" s="571"/>
      <c r="AO244" s="571"/>
    </row>
    <row r="245">
      <c r="B245" s="852" t="s">
        <v>1293</v>
      </c>
      <c r="G245" s="571"/>
      <c r="H245" s="571"/>
      <c r="I245" s="571"/>
      <c r="J245" s="571"/>
      <c r="K245" s="571"/>
      <c r="L245" s="571"/>
      <c r="M245" s="571"/>
      <c r="N245" s="571"/>
      <c r="O245" s="571"/>
      <c r="P245" s="571"/>
      <c r="Q245" s="571"/>
      <c r="R245" s="571"/>
      <c r="S245" s="571"/>
      <c r="T245" s="571"/>
      <c r="U245" s="571"/>
      <c r="V245" s="571"/>
      <c r="W245" s="571"/>
      <c r="X245" s="571"/>
      <c r="Y245" s="571"/>
      <c r="Z245" s="571"/>
      <c r="AA245" s="571"/>
      <c r="AB245" s="571"/>
      <c r="AC245" s="571"/>
      <c r="AD245" s="571"/>
      <c r="AE245" s="571"/>
      <c r="AF245" s="571"/>
      <c r="AG245" s="571"/>
      <c r="AH245" s="571"/>
      <c r="AI245" s="571"/>
      <c r="AJ245" s="571"/>
      <c r="AK245" s="571"/>
      <c r="AL245" s="571"/>
      <c r="AM245" s="571"/>
      <c r="AN245" s="571"/>
      <c r="AO245" s="571"/>
    </row>
    <row r="246">
      <c r="B246" s="852" t="s">
        <v>1294</v>
      </c>
      <c r="G246" s="571"/>
      <c r="H246" s="571"/>
      <c r="I246" s="571"/>
      <c r="J246" s="571"/>
      <c r="K246" s="571"/>
      <c r="L246" s="571"/>
      <c r="M246" s="571"/>
      <c r="N246" s="571"/>
      <c r="O246" s="571"/>
      <c r="P246" s="571"/>
      <c r="Q246" s="571"/>
      <c r="R246" s="571"/>
      <c r="S246" s="571"/>
      <c r="T246" s="571"/>
      <c r="U246" s="571"/>
      <c r="V246" s="571"/>
      <c r="W246" s="571"/>
      <c r="X246" s="571"/>
      <c r="Y246" s="571"/>
      <c r="Z246" s="571"/>
      <c r="AA246" s="571"/>
      <c r="AB246" s="571"/>
      <c r="AC246" s="571"/>
      <c r="AD246" s="571"/>
      <c r="AE246" s="571"/>
      <c r="AF246" s="571"/>
      <c r="AG246" s="571"/>
      <c r="AH246" s="571"/>
      <c r="AI246" s="571"/>
      <c r="AJ246" s="571"/>
      <c r="AK246" s="571"/>
      <c r="AL246" s="571"/>
      <c r="AM246" s="571"/>
      <c r="AN246" s="571"/>
      <c r="AO246" s="571"/>
    </row>
    <row r="247">
      <c r="B247" s="852" t="s">
        <v>1295</v>
      </c>
      <c r="G247" s="571"/>
      <c r="H247" s="571"/>
      <c r="I247" s="571"/>
      <c r="J247" s="571"/>
      <c r="K247" s="571"/>
      <c r="L247" s="571"/>
      <c r="M247" s="571"/>
      <c r="N247" s="571"/>
      <c r="O247" s="571"/>
      <c r="P247" s="571"/>
      <c r="Q247" s="571"/>
      <c r="R247" s="571"/>
      <c r="S247" s="571"/>
      <c r="T247" s="571"/>
      <c r="U247" s="571"/>
      <c r="V247" s="571"/>
      <c r="W247" s="571"/>
      <c r="X247" s="571"/>
      <c r="Y247" s="571"/>
      <c r="Z247" s="571"/>
      <c r="AA247" s="571"/>
      <c r="AB247" s="571"/>
      <c r="AC247" s="571"/>
      <c r="AD247" s="571"/>
      <c r="AE247" s="571"/>
      <c r="AF247" s="571"/>
      <c r="AG247" s="571"/>
      <c r="AH247" s="571"/>
      <c r="AI247" s="571"/>
      <c r="AJ247" s="571"/>
      <c r="AK247" s="571"/>
      <c r="AL247" s="571"/>
      <c r="AM247" s="571"/>
      <c r="AN247" s="571"/>
      <c r="AO247" s="571"/>
    </row>
    <row r="248">
      <c r="A248" s="850" t="s">
        <v>1301</v>
      </c>
      <c r="B248" s="851" t="s">
        <v>1287</v>
      </c>
      <c r="G248" s="571"/>
      <c r="H248" s="571"/>
      <c r="I248" s="571"/>
      <c r="J248" s="571"/>
      <c r="K248" s="571"/>
      <c r="L248" s="571"/>
      <c r="M248" s="571"/>
      <c r="N248" s="571"/>
      <c r="O248" s="571"/>
      <c r="P248" s="571"/>
      <c r="Q248" s="571"/>
      <c r="R248" s="571"/>
      <c r="S248" s="571"/>
      <c r="T248" s="571"/>
      <c r="U248" s="571"/>
      <c r="V248" s="571"/>
      <c r="W248" s="571"/>
      <c r="X248" s="571"/>
      <c r="Y248" s="571"/>
      <c r="Z248" s="571"/>
      <c r="AA248" s="571"/>
      <c r="AB248" s="571"/>
      <c r="AC248" s="571"/>
      <c r="AD248" s="571"/>
      <c r="AE248" s="571"/>
      <c r="AF248" s="571"/>
      <c r="AG248" s="571"/>
      <c r="AH248" s="571"/>
      <c r="AI248" s="571"/>
      <c r="AJ248" s="571"/>
      <c r="AK248" s="571"/>
      <c r="AL248" s="571"/>
      <c r="AM248" s="571"/>
      <c r="AN248" s="571"/>
      <c r="AO248" s="571"/>
    </row>
    <row r="249">
      <c r="B249" s="852" t="s">
        <v>1288</v>
      </c>
      <c r="G249" s="571"/>
      <c r="H249" s="571"/>
      <c r="I249" s="571"/>
      <c r="J249" s="571"/>
      <c r="K249" s="571"/>
      <c r="L249" s="571"/>
      <c r="M249" s="571"/>
      <c r="N249" s="571"/>
      <c r="O249" s="571"/>
      <c r="P249" s="571"/>
      <c r="Q249" s="571"/>
      <c r="R249" s="571"/>
      <c r="S249" s="571"/>
      <c r="T249" s="571"/>
      <c r="U249" s="571"/>
      <c r="V249" s="571"/>
      <c r="W249" s="571"/>
      <c r="X249" s="571"/>
      <c r="Y249" s="571"/>
      <c r="Z249" s="571"/>
      <c r="AA249" s="571"/>
      <c r="AB249" s="571"/>
      <c r="AC249" s="571"/>
      <c r="AD249" s="571"/>
      <c r="AE249" s="571"/>
      <c r="AF249" s="571"/>
      <c r="AG249" s="571"/>
      <c r="AH249" s="571"/>
      <c r="AI249" s="571"/>
      <c r="AJ249" s="571"/>
      <c r="AK249" s="571"/>
      <c r="AL249" s="571"/>
      <c r="AM249" s="571"/>
      <c r="AN249" s="571"/>
      <c r="AO249" s="571"/>
    </row>
    <row r="250">
      <c r="B250" s="852" t="s">
        <v>1289</v>
      </c>
      <c r="G250" s="571"/>
      <c r="H250" s="571"/>
      <c r="I250" s="571"/>
      <c r="J250" s="571"/>
      <c r="K250" s="571"/>
      <c r="L250" s="571"/>
      <c r="M250" s="571"/>
      <c r="N250" s="571"/>
      <c r="O250" s="571"/>
      <c r="P250" s="571"/>
      <c r="Q250" s="571"/>
      <c r="R250" s="571"/>
      <c r="S250" s="571"/>
      <c r="T250" s="571"/>
      <c r="U250" s="571"/>
      <c r="V250" s="571"/>
      <c r="W250" s="571"/>
      <c r="X250" s="571"/>
      <c r="Y250" s="571"/>
      <c r="Z250" s="571"/>
      <c r="AA250" s="571"/>
      <c r="AB250" s="571"/>
      <c r="AC250" s="571"/>
      <c r="AD250" s="571"/>
      <c r="AE250" s="571"/>
      <c r="AF250" s="571"/>
      <c r="AG250" s="571"/>
      <c r="AH250" s="571"/>
      <c r="AI250" s="571"/>
      <c r="AJ250" s="571"/>
      <c r="AK250" s="571"/>
      <c r="AL250" s="571"/>
      <c r="AM250" s="571"/>
      <c r="AN250" s="571"/>
      <c r="AO250" s="571"/>
    </row>
    <row r="251">
      <c r="B251" s="852" t="s">
        <v>1290</v>
      </c>
      <c r="G251" s="571"/>
      <c r="H251" s="571"/>
      <c r="I251" s="571"/>
      <c r="J251" s="571"/>
      <c r="K251" s="571"/>
      <c r="L251" s="571"/>
      <c r="M251" s="571"/>
      <c r="N251" s="571"/>
      <c r="O251" s="571"/>
      <c r="P251" s="571"/>
      <c r="Q251" s="571"/>
      <c r="R251" s="571"/>
      <c r="S251" s="571"/>
      <c r="T251" s="571"/>
      <c r="U251" s="571"/>
      <c r="V251" s="571"/>
      <c r="W251" s="571"/>
      <c r="X251" s="571"/>
      <c r="Y251" s="571"/>
      <c r="Z251" s="571"/>
      <c r="AA251" s="571"/>
      <c r="AB251" s="571"/>
      <c r="AC251" s="571"/>
      <c r="AD251" s="571"/>
      <c r="AE251" s="571"/>
      <c r="AF251" s="571"/>
      <c r="AG251" s="571"/>
      <c r="AH251" s="571"/>
      <c r="AI251" s="571"/>
      <c r="AJ251" s="571"/>
      <c r="AK251" s="571"/>
      <c r="AL251" s="571"/>
      <c r="AM251" s="571"/>
      <c r="AN251" s="571"/>
      <c r="AO251" s="571"/>
    </row>
    <row r="252">
      <c r="B252" s="855" t="s">
        <v>1291</v>
      </c>
      <c r="G252" s="571"/>
      <c r="H252" s="571"/>
      <c r="I252" s="571"/>
      <c r="J252" s="571"/>
      <c r="K252" s="571"/>
      <c r="L252" s="571"/>
      <c r="M252" s="571"/>
      <c r="N252" s="571"/>
      <c r="O252" s="571"/>
      <c r="P252" s="571"/>
      <c r="Q252" s="571"/>
      <c r="R252" s="571"/>
      <c r="S252" s="571"/>
      <c r="T252" s="571"/>
      <c r="U252" s="571"/>
      <c r="V252" s="571"/>
      <c r="W252" s="571"/>
      <c r="X252" s="571"/>
      <c r="Y252" s="571"/>
      <c r="Z252" s="571"/>
      <c r="AA252" s="571"/>
      <c r="AB252" s="571"/>
      <c r="AC252" s="571"/>
      <c r="AD252" s="571"/>
      <c r="AE252" s="571"/>
      <c r="AF252" s="571"/>
      <c r="AG252" s="571"/>
      <c r="AH252" s="571"/>
      <c r="AI252" s="571"/>
      <c r="AJ252" s="571"/>
      <c r="AK252" s="571"/>
      <c r="AL252" s="571"/>
      <c r="AM252" s="571"/>
      <c r="AN252" s="571"/>
      <c r="AO252" s="571"/>
    </row>
    <row r="253">
      <c r="B253" s="855" t="s">
        <v>1292</v>
      </c>
      <c r="G253" s="571"/>
      <c r="H253" s="571"/>
      <c r="I253" s="571"/>
      <c r="J253" s="571"/>
      <c r="K253" s="571"/>
      <c r="L253" s="571"/>
      <c r="M253" s="571"/>
      <c r="N253" s="571"/>
      <c r="O253" s="571"/>
      <c r="P253" s="571"/>
      <c r="Q253" s="571"/>
      <c r="R253" s="571"/>
      <c r="S253" s="571"/>
      <c r="T253" s="571"/>
      <c r="U253" s="571"/>
      <c r="V253" s="571"/>
      <c r="W253" s="571"/>
      <c r="X253" s="571"/>
      <c r="Y253" s="571"/>
      <c r="Z253" s="571"/>
      <c r="AA253" s="571"/>
      <c r="AB253" s="571"/>
      <c r="AC253" s="571"/>
      <c r="AD253" s="571"/>
      <c r="AE253" s="571"/>
      <c r="AF253" s="571"/>
      <c r="AG253" s="571"/>
      <c r="AH253" s="571"/>
      <c r="AI253" s="571"/>
      <c r="AJ253" s="571"/>
      <c r="AK253" s="571"/>
      <c r="AL253" s="571"/>
      <c r="AM253" s="571"/>
      <c r="AN253" s="571"/>
      <c r="AO253" s="571"/>
    </row>
    <row r="254">
      <c r="B254" s="852" t="s">
        <v>1293</v>
      </c>
      <c r="G254" s="571"/>
      <c r="H254" s="571"/>
      <c r="I254" s="571"/>
      <c r="J254" s="571"/>
      <c r="K254" s="571"/>
      <c r="L254" s="571"/>
      <c r="M254" s="571"/>
      <c r="N254" s="571"/>
      <c r="O254" s="571"/>
      <c r="P254" s="571"/>
      <c r="Q254" s="571"/>
      <c r="R254" s="571"/>
      <c r="S254" s="571"/>
      <c r="T254" s="571"/>
      <c r="U254" s="571"/>
      <c r="V254" s="571"/>
      <c r="W254" s="571"/>
      <c r="X254" s="571"/>
      <c r="Y254" s="571"/>
      <c r="Z254" s="571"/>
      <c r="AA254" s="571"/>
      <c r="AB254" s="571"/>
      <c r="AC254" s="571"/>
      <c r="AD254" s="571"/>
      <c r="AE254" s="571"/>
      <c r="AF254" s="571"/>
      <c r="AG254" s="571"/>
      <c r="AH254" s="571"/>
      <c r="AI254" s="571"/>
      <c r="AJ254" s="571"/>
      <c r="AK254" s="571"/>
      <c r="AL254" s="571"/>
      <c r="AM254" s="571"/>
      <c r="AN254" s="571"/>
      <c r="AO254" s="571"/>
    </row>
    <row r="255">
      <c r="B255" s="852" t="s">
        <v>1294</v>
      </c>
      <c r="G255" s="571"/>
      <c r="H255" s="571"/>
      <c r="I255" s="571"/>
      <c r="J255" s="571"/>
      <c r="K255" s="571"/>
      <c r="L255" s="571"/>
      <c r="M255" s="571"/>
      <c r="N255" s="571"/>
      <c r="O255" s="571"/>
      <c r="P255" s="571"/>
      <c r="Q255" s="571"/>
      <c r="R255" s="571"/>
      <c r="S255" s="571"/>
      <c r="T255" s="571"/>
      <c r="U255" s="571"/>
      <c r="V255" s="571"/>
      <c r="W255" s="571"/>
      <c r="X255" s="571"/>
      <c r="Y255" s="571"/>
      <c r="Z255" s="571"/>
      <c r="AA255" s="571"/>
      <c r="AB255" s="571"/>
      <c r="AC255" s="571"/>
      <c r="AD255" s="571"/>
      <c r="AE255" s="571"/>
      <c r="AF255" s="571"/>
      <c r="AG255" s="571"/>
      <c r="AH255" s="571"/>
      <c r="AI255" s="571"/>
      <c r="AJ255" s="571"/>
      <c r="AK255" s="571"/>
      <c r="AL255" s="571"/>
      <c r="AM255" s="571"/>
      <c r="AN255" s="571"/>
      <c r="AO255" s="571"/>
    </row>
    <row r="256">
      <c r="B256" s="852" t="s">
        <v>1295</v>
      </c>
      <c r="G256" s="571"/>
      <c r="H256" s="571"/>
      <c r="I256" s="571"/>
      <c r="J256" s="571"/>
      <c r="K256" s="571"/>
      <c r="L256" s="571"/>
      <c r="M256" s="571"/>
      <c r="N256" s="571"/>
      <c r="O256" s="571"/>
      <c r="P256" s="571"/>
      <c r="Q256" s="571"/>
      <c r="R256" s="571"/>
      <c r="S256" s="571"/>
      <c r="T256" s="571"/>
      <c r="U256" s="571"/>
      <c r="V256" s="571"/>
      <c r="W256" s="571"/>
      <c r="X256" s="571"/>
      <c r="Y256" s="571"/>
      <c r="Z256" s="571"/>
      <c r="AA256" s="571"/>
      <c r="AB256" s="571"/>
      <c r="AC256" s="571"/>
      <c r="AD256" s="571"/>
      <c r="AE256" s="571"/>
      <c r="AF256" s="571"/>
      <c r="AG256" s="571"/>
      <c r="AH256" s="571"/>
      <c r="AI256" s="571"/>
      <c r="AJ256" s="571"/>
      <c r="AK256" s="571"/>
      <c r="AL256" s="571"/>
      <c r="AM256" s="571"/>
      <c r="AN256" s="571"/>
      <c r="AO256" s="571"/>
    </row>
    <row r="257">
      <c r="A257" s="850" t="s">
        <v>1302</v>
      </c>
      <c r="B257" s="851" t="s">
        <v>1287</v>
      </c>
      <c r="G257" s="571"/>
      <c r="H257" s="571"/>
      <c r="I257" s="571"/>
      <c r="J257" s="571"/>
      <c r="K257" s="571"/>
      <c r="L257" s="571"/>
      <c r="M257" s="571"/>
      <c r="N257" s="571"/>
      <c r="O257" s="571"/>
      <c r="P257" s="571"/>
      <c r="Q257" s="571"/>
      <c r="R257" s="571"/>
      <c r="S257" s="571"/>
      <c r="T257" s="571"/>
      <c r="U257" s="571"/>
      <c r="V257" s="571"/>
      <c r="W257" s="571"/>
      <c r="X257" s="571"/>
      <c r="Y257" s="571"/>
      <c r="Z257" s="571"/>
      <c r="AA257" s="571"/>
      <c r="AB257" s="571"/>
      <c r="AC257" s="571"/>
      <c r="AD257" s="571"/>
      <c r="AE257" s="571"/>
      <c r="AF257" s="571"/>
      <c r="AG257" s="571"/>
      <c r="AH257" s="571"/>
      <c r="AI257" s="571"/>
      <c r="AJ257" s="571"/>
      <c r="AK257" s="571"/>
      <c r="AL257" s="571"/>
      <c r="AM257" s="571"/>
      <c r="AN257" s="571"/>
      <c r="AO257" s="571"/>
    </row>
    <row r="258">
      <c r="B258" s="852" t="s">
        <v>1288</v>
      </c>
      <c r="G258" s="571"/>
      <c r="H258" s="571"/>
      <c r="I258" s="571"/>
      <c r="J258" s="571"/>
      <c r="K258" s="571"/>
      <c r="L258" s="571"/>
      <c r="M258" s="571"/>
      <c r="N258" s="571"/>
      <c r="O258" s="571"/>
      <c r="P258" s="571"/>
      <c r="Q258" s="571"/>
      <c r="R258" s="571"/>
      <c r="S258" s="571"/>
      <c r="T258" s="571"/>
      <c r="U258" s="571"/>
      <c r="V258" s="571"/>
      <c r="W258" s="571"/>
      <c r="X258" s="571"/>
      <c r="Y258" s="571"/>
      <c r="Z258" s="571"/>
      <c r="AA258" s="571"/>
      <c r="AB258" s="571"/>
      <c r="AC258" s="571"/>
      <c r="AD258" s="571"/>
      <c r="AE258" s="571"/>
      <c r="AF258" s="571"/>
      <c r="AG258" s="571"/>
      <c r="AH258" s="571"/>
      <c r="AI258" s="571"/>
      <c r="AJ258" s="571"/>
      <c r="AK258" s="571"/>
      <c r="AL258" s="571"/>
      <c r="AM258" s="571"/>
      <c r="AN258" s="571"/>
      <c r="AO258" s="571"/>
    </row>
    <row r="259">
      <c r="B259" s="852" t="s">
        <v>1289</v>
      </c>
      <c r="G259" s="571"/>
      <c r="H259" s="571"/>
      <c r="I259" s="571"/>
      <c r="J259" s="571"/>
      <c r="K259" s="571"/>
      <c r="L259" s="571"/>
      <c r="M259" s="571"/>
      <c r="N259" s="571"/>
      <c r="O259" s="571"/>
      <c r="P259" s="571"/>
      <c r="Q259" s="571"/>
      <c r="R259" s="571"/>
      <c r="S259" s="571"/>
      <c r="T259" s="571"/>
      <c r="U259" s="571"/>
      <c r="V259" s="571"/>
      <c r="W259" s="571"/>
      <c r="X259" s="571"/>
      <c r="Y259" s="571"/>
      <c r="Z259" s="571"/>
      <c r="AA259" s="571"/>
      <c r="AB259" s="571"/>
      <c r="AC259" s="571"/>
      <c r="AD259" s="571"/>
      <c r="AE259" s="571"/>
      <c r="AF259" s="571"/>
      <c r="AG259" s="571"/>
      <c r="AH259" s="571"/>
      <c r="AI259" s="571"/>
      <c r="AJ259" s="571"/>
      <c r="AK259" s="571"/>
      <c r="AL259" s="571"/>
      <c r="AM259" s="571"/>
      <c r="AN259" s="571"/>
      <c r="AO259" s="571"/>
    </row>
    <row r="260">
      <c r="B260" s="852" t="s">
        <v>1290</v>
      </c>
      <c r="G260" s="571"/>
      <c r="H260" s="571"/>
      <c r="I260" s="571"/>
      <c r="J260" s="571"/>
      <c r="K260" s="571"/>
      <c r="L260" s="571"/>
      <c r="M260" s="571"/>
      <c r="N260" s="571"/>
      <c r="O260" s="571"/>
      <c r="P260" s="571"/>
      <c r="Q260" s="571"/>
      <c r="R260" s="571"/>
      <c r="S260" s="571"/>
      <c r="T260" s="571"/>
      <c r="U260" s="571"/>
      <c r="V260" s="571"/>
      <c r="W260" s="571"/>
      <c r="X260" s="571"/>
      <c r="Y260" s="571"/>
      <c r="Z260" s="571"/>
      <c r="AA260" s="571"/>
      <c r="AB260" s="571"/>
      <c r="AC260" s="571"/>
      <c r="AD260" s="571"/>
      <c r="AE260" s="571"/>
      <c r="AF260" s="571"/>
      <c r="AG260" s="571"/>
      <c r="AH260" s="571"/>
      <c r="AI260" s="571"/>
      <c r="AJ260" s="571"/>
      <c r="AK260" s="571"/>
      <c r="AL260" s="571"/>
      <c r="AM260" s="571"/>
      <c r="AN260" s="571"/>
      <c r="AO260" s="571"/>
    </row>
    <row r="261">
      <c r="B261" s="855" t="s">
        <v>1291</v>
      </c>
      <c r="G261" s="571"/>
      <c r="H261" s="571"/>
      <c r="I261" s="571"/>
      <c r="J261" s="571"/>
      <c r="K261" s="571"/>
      <c r="L261" s="571"/>
      <c r="M261" s="571"/>
      <c r="N261" s="571"/>
      <c r="O261" s="571"/>
      <c r="P261" s="571"/>
      <c r="Q261" s="571"/>
      <c r="R261" s="571"/>
      <c r="S261" s="571"/>
      <c r="T261" s="571"/>
      <c r="U261" s="571"/>
      <c r="V261" s="571"/>
      <c r="W261" s="571"/>
      <c r="X261" s="571"/>
      <c r="Y261" s="571"/>
      <c r="Z261" s="571"/>
      <c r="AA261" s="571"/>
      <c r="AB261" s="571"/>
      <c r="AC261" s="571"/>
      <c r="AD261" s="571"/>
      <c r="AE261" s="571"/>
      <c r="AF261" s="571"/>
      <c r="AG261" s="571"/>
      <c r="AH261" s="571"/>
      <c r="AI261" s="571"/>
      <c r="AJ261" s="571"/>
      <c r="AK261" s="571"/>
      <c r="AL261" s="571"/>
      <c r="AM261" s="571"/>
      <c r="AN261" s="571"/>
      <c r="AO261" s="571"/>
    </row>
    <row r="262">
      <c r="B262" s="855" t="s">
        <v>1292</v>
      </c>
      <c r="G262" s="571"/>
      <c r="H262" s="571"/>
      <c r="I262" s="571"/>
      <c r="J262" s="571"/>
      <c r="K262" s="571"/>
      <c r="L262" s="571"/>
      <c r="M262" s="571"/>
      <c r="N262" s="571"/>
      <c r="O262" s="571"/>
      <c r="P262" s="571"/>
      <c r="Q262" s="571"/>
      <c r="R262" s="571"/>
      <c r="S262" s="571"/>
      <c r="T262" s="571"/>
      <c r="U262" s="571"/>
      <c r="V262" s="571"/>
      <c r="W262" s="571"/>
      <c r="X262" s="571"/>
      <c r="Y262" s="571"/>
      <c r="Z262" s="571"/>
      <c r="AA262" s="571"/>
      <c r="AB262" s="571"/>
      <c r="AC262" s="571"/>
      <c r="AD262" s="571"/>
      <c r="AE262" s="571"/>
      <c r="AF262" s="571"/>
      <c r="AG262" s="571"/>
      <c r="AH262" s="571"/>
      <c r="AI262" s="571"/>
      <c r="AJ262" s="571"/>
      <c r="AK262" s="571"/>
      <c r="AL262" s="571"/>
      <c r="AM262" s="571"/>
      <c r="AN262" s="571"/>
      <c r="AO262" s="571"/>
    </row>
    <row r="263">
      <c r="B263" s="852" t="s">
        <v>1293</v>
      </c>
      <c r="G263" s="571"/>
      <c r="H263" s="571"/>
      <c r="I263" s="571"/>
      <c r="J263" s="571"/>
      <c r="K263" s="571"/>
      <c r="L263" s="571"/>
      <c r="M263" s="571"/>
      <c r="N263" s="571"/>
      <c r="O263" s="571"/>
      <c r="P263" s="571"/>
      <c r="Q263" s="571"/>
      <c r="R263" s="571"/>
      <c r="S263" s="571"/>
      <c r="T263" s="571"/>
      <c r="U263" s="571"/>
      <c r="V263" s="571"/>
      <c r="W263" s="571"/>
      <c r="X263" s="571"/>
      <c r="Y263" s="571"/>
      <c r="Z263" s="571"/>
      <c r="AA263" s="571"/>
      <c r="AB263" s="571"/>
      <c r="AC263" s="571"/>
      <c r="AD263" s="571"/>
      <c r="AE263" s="571"/>
      <c r="AF263" s="571"/>
      <c r="AG263" s="571"/>
      <c r="AH263" s="571"/>
      <c r="AI263" s="571"/>
      <c r="AJ263" s="571"/>
      <c r="AK263" s="571"/>
      <c r="AL263" s="571"/>
      <c r="AM263" s="571"/>
      <c r="AN263" s="571"/>
      <c r="AO263" s="571"/>
    </row>
    <row r="264">
      <c r="B264" s="852" t="s">
        <v>1294</v>
      </c>
      <c r="G264" s="571"/>
      <c r="H264" s="571"/>
      <c r="I264" s="571"/>
      <c r="J264" s="571"/>
      <c r="K264" s="571"/>
      <c r="L264" s="571"/>
      <c r="M264" s="571"/>
      <c r="N264" s="571"/>
      <c r="O264" s="571"/>
      <c r="P264" s="571"/>
      <c r="Q264" s="571"/>
      <c r="R264" s="571"/>
      <c r="S264" s="571"/>
      <c r="T264" s="571"/>
      <c r="U264" s="571"/>
      <c r="V264" s="571"/>
      <c r="W264" s="571"/>
      <c r="X264" s="571"/>
      <c r="Y264" s="571"/>
      <c r="Z264" s="571"/>
      <c r="AA264" s="571"/>
      <c r="AB264" s="571"/>
      <c r="AC264" s="571"/>
      <c r="AD264" s="571"/>
      <c r="AE264" s="571"/>
      <c r="AF264" s="571"/>
      <c r="AG264" s="571"/>
      <c r="AH264" s="571"/>
      <c r="AI264" s="571"/>
      <c r="AJ264" s="571"/>
      <c r="AK264" s="571"/>
      <c r="AL264" s="571"/>
      <c r="AM264" s="571"/>
      <c r="AN264" s="571"/>
      <c r="AO264" s="571"/>
    </row>
    <row r="265">
      <c r="B265" s="852" t="s">
        <v>1295</v>
      </c>
      <c r="G265" s="571"/>
      <c r="H265" s="571"/>
      <c r="I265" s="571"/>
      <c r="J265" s="571"/>
      <c r="K265" s="571"/>
      <c r="L265" s="571"/>
      <c r="M265" s="571"/>
      <c r="N265" s="571"/>
      <c r="O265" s="571"/>
      <c r="P265" s="571"/>
      <c r="Q265" s="571"/>
      <c r="R265" s="571"/>
      <c r="S265" s="571"/>
      <c r="T265" s="571"/>
      <c r="U265" s="571"/>
      <c r="V265" s="571"/>
      <c r="W265" s="571"/>
      <c r="X265" s="571"/>
      <c r="Y265" s="571"/>
      <c r="Z265" s="571"/>
      <c r="AA265" s="571"/>
      <c r="AB265" s="571"/>
      <c r="AC265" s="571"/>
      <c r="AD265" s="571"/>
      <c r="AE265" s="571"/>
      <c r="AF265" s="571"/>
      <c r="AG265" s="571"/>
      <c r="AH265" s="571"/>
      <c r="AI265" s="571"/>
      <c r="AJ265" s="571"/>
      <c r="AK265" s="571"/>
      <c r="AL265" s="571"/>
      <c r="AM265" s="571"/>
      <c r="AN265" s="571"/>
      <c r="AO265" s="571"/>
    </row>
    <row r="266">
      <c r="A266" s="850" t="s">
        <v>1303</v>
      </c>
      <c r="B266" s="851" t="s">
        <v>1287</v>
      </c>
      <c r="G266" s="571"/>
      <c r="H266" s="571"/>
      <c r="I266" s="571"/>
      <c r="J266" s="571"/>
      <c r="K266" s="571"/>
      <c r="L266" s="571"/>
      <c r="M266" s="571"/>
      <c r="N266" s="571"/>
      <c r="O266" s="571"/>
      <c r="P266" s="571"/>
      <c r="Q266" s="571"/>
      <c r="R266" s="571"/>
      <c r="S266" s="571"/>
      <c r="T266" s="571"/>
      <c r="U266" s="571"/>
      <c r="V266" s="571"/>
      <c r="W266" s="571"/>
      <c r="X266" s="571"/>
      <c r="Y266" s="571"/>
      <c r="Z266" s="571"/>
      <c r="AA266" s="571"/>
      <c r="AB266" s="571"/>
      <c r="AC266" s="571"/>
      <c r="AD266" s="571"/>
      <c r="AE266" s="571"/>
      <c r="AF266" s="571"/>
      <c r="AG266" s="571"/>
      <c r="AH266" s="571"/>
      <c r="AI266" s="571"/>
      <c r="AJ266" s="571"/>
      <c r="AK266" s="571"/>
      <c r="AL266" s="571"/>
      <c r="AM266" s="571"/>
      <c r="AN266" s="571"/>
      <c r="AO266" s="571"/>
    </row>
    <row r="267">
      <c r="B267" s="852" t="s">
        <v>1288</v>
      </c>
      <c r="G267" s="571"/>
      <c r="H267" s="571"/>
      <c r="I267" s="571"/>
      <c r="J267" s="571"/>
      <c r="K267" s="571"/>
      <c r="L267" s="571"/>
      <c r="M267" s="571"/>
      <c r="N267" s="571"/>
      <c r="O267" s="571"/>
      <c r="P267" s="571"/>
      <c r="Q267" s="571"/>
      <c r="R267" s="571"/>
      <c r="S267" s="571"/>
      <c r="T267" s="571"/>
      <c r="U267" s="571"/>
      <c r="V267" s="571"/>
      <c r="W267" s="571"/>
      <c r="X267" s="571"/>
      <c r="Y267" s="571"/>
      <c r="Z267" s="571"/>
      <c r="AA267" s="571"/>
      <c r="AB267" s="571"/>
      <c r="AC267" s="571"/>
      <c r="AD267" s="571"/>
      <c r="AE267" s="571"/>
      <c r="AF267" s="571"/>
      <c r="AG267" s="571"/>
      <c r="AH267" s="571"/>
      <c r="AI267" s="571"/>
      <c r="AJ267" s="571"/>
      <c r="AK267" s="571"/>
      <c r="AL267" s="571"/>
      <c r="AM267" s="571"/>
      <c r="AN267" s="571"/>
      <c r="AO267" s="571"/>
    </row>
    <row r="268">
      <c r="B268" s="852" t="s">
        <v>1289</v>
      </c>
      <c r="G268" s="571"/>
      <c r="H268" s="571"/>
      <c r="I268" s="571"/>
      <c r="J268" s="571"/>
      <c r="K268" s="571"/>
      <c r="L268" s="571"/>
      <c r="M268" s="571"/>
      <c r="N268" s="571"/>
      <c r="O268" s="571"/>
      <c r="P268" s="571"/>
      <c r="Q268" s="571"/>
      <c r="R268" s="571"/>
      <c r="S268" s="571"/>
      <c r="T268" s="571"/>
      <c r="U268" s="571"/>
      <c r="V268" s="571"/>
      <c r="W268" s="571"/>
      <c r="X268" s="571"/>
      <c r="Y268" s="571"/>
      <c r="Z268" s="571"/>
      <c r="AA268" s="571"/>
      <c r="AB268" s="571"/>
      <c r="AC268" s="571"/>
      <c r="AD268" s="571"/>
      <c r="AE268" s="571"/>
      <c r="AF268" s="571"/>
      <c r="AG268" s="571"/>
      <c r="AH268" s="571"/>
      <c r="AI268" s="571"/>
      <c r="AJ268" s="571"/>
      <c r="AK268" s="571"/>
      <c r="AL268" s="571"/>
      <c r="AM268" s="571"/>
      <c r="AN268" s="571"/>
      <c r="AO268" s="571"/>
    </row>
    <row r="269">
      <c r="B269" s="852" t="s">
        <v>1290</v>
      </c>
      <c r="G269" s="571"/>
      <c r="H269" s="571"/>
      <c r="I269" s="571"/>
      <c r="J269" s="571"/>
      <c r="K269" s="571"/>
      <c r="L269" s="571"/>
      <c r="M269" s="571"/>
      <c r="N269" s="571"/>
      <c r="O269" s="571"/>
      <c r="P269" s="571"/>
      <c r="Q269" s="571"/>
      <c r="R269" s="571"/>
      <c r="S269" s="571"/>
      <c r="T269" s="571"/>
      <c r="U269" s="571"/>
      <c r="V269" s="571"/>
      <c r="W269" s="571"/>
      <c r="X269" s="571"/>
      <c r="Y269" s="571"/>
      <c r="Z269" s="571"/>
      <c r="AA269" s="571"/>
      <c r="AB269" s="571"/>
      <c r="AC269" s="571"/>
      <c r="AD269" s="571"/>
      <c r="AE269" s="571"/>
      <c r="AF269" s="571"/>
      <c r="AG269" s="571"/>
      <c r="AH269" s="571"/>
      <c r="AI269" s="571"/>
      <c r="AJ269" s="571"/>
      <c r="AK269" s="571"/>
      <c r="AL269" s="571"/>
      <c r="AM269" s="571"/>
      <c r="AN269" s="571"/>
      <c r="AO269" s="571"/>
    </row>
    <row r="270">
      <c r="B270" s="855" t="s">
        <v>1291</v>
      </c>
      <c r="G270" s="571"/>
      <c r="H270" s="571"/>
      <c r="I270" s="571"/>
      <c r="J270" s="571"/>
      <c r="K270" s="571"/>
      <c r="L270" s="571"/>
      <c r="M270" s="571"/>
      <c r="N270" s="571"/>
      <c r="O270" s="571"/>
      <c r="P270" s="571"/>
      <c r="Q270" s="571"/>
      <c r="R270" s="571"/>
      <c r="S270" s="571"/>
      <c r="T270" s="571"/>
      <c r="U270" s="571"/>
      <c r="V270" s="571"/>
      <c r="W270" s="571"/>
      <c r="X270" s="571"/>
      <c r="Y270" s="571"/>
      <c r="Z270" s="571"/>
      <c r="AA270" s="571"/>
      <c r="AB270" s="571"/>
      <c r="AC270" s="571"/>
      <c r="AD270" s="571"/>
      <c r="AE270" s="571"/>
      <c r="AF270" s="571"/>
      <c r="AG270" s="571"/>
      <c r="AH270" s="571"/>
      <c r="AI270" s="571"/>
      <c r="AJ270" s="571"/>
      <c r="AK270" s="571"/>
      <c r="AL270" s="571"/>
      <c r="AM270" s="571"/>
      <c r="AN270" s="571"/>
      <c r="AO270" s="571"/>
    </row>
    <row r="271">
      <c r="B271" s="855" t="s">
        <v>1292</v>
      </c>
      <c r="G271" s="571"/>
      <c r="H271" s="571"/>
      <c r="I271" s="571"/>
      <c r="J271" s="571"/>
      <c r="K271" s="571"/>
      <c r="L271" s="571"/>
      <c r="M271" s="571"/>
      <c r="N271" s="571"/>
      <c r="O271" s="571"/>
      <c r="P271" s="571"/>
      <c r="Q271" s="571"/>
      <c r="R271" s="571"/>
      <c r="S271" s="571"/>
      <c r="T271" s="571"/>
      <c r="U271" s="571"/>
      <c r="V271" s="571"/>
      <c r="W271" s="571"/>
      <c r="X271" s="571"/>
      <c r="Y271" s="571"/>
      <c r="Z271" s="571"/>
      <c r="AA271" s="571"/>
      <c r="AB271" s="571"/>
      <c r="AC271" s="571"/>
      <c r="AD271" s="571"/>
      <c r="AE271" s="571"/>
      <c r="AF271" s="571"/>
      <c r="AG271" s="571"/>
      <c r="AH271" s="571"/>
      <c r="AI271" s="571"/>
      <c r="AJ271" s="571"/>
      <c r="AK271" s="571"/>
      <c r="AL271" s="571"/>
      <c r="AM271" s="571"/>
      <c r="AN271" s="571"/>
      <c r="AO271" s="571"/>
    </row>
    <row r="272">
      <c r="B272" s="852" t="s">
        <v>1293</v>
      </c>
      <c r="G272" s="571"/>
      <c r="H272" s="571"/>
      <c r="I272" s="571"/>
      <c r="J272" s="571"/>
      <c r="K272" s="571"/>
      <c r="L272" s="571"/>
      <c r="M272" s="571"/>
      <c r="N272" s="571"/>
      <c r="O272" s="571"/>
      <c r="P272" s="571"/>
      <c r="Q272" s="571"/>
      <c r="R272" s="571"/>
      <c r="S272" s="571"/>
      <c r="T272" s="571"/>
      <c r="U272" s="571"/>
      <c r="V272" s="571"/>
      <c r="W272" s="571"/>
      <c r="X272" s="571"/>
      <c r="Y272" s="571"/>
      <c r="Z272" s="571"/>
      <c r="AA272" s="571"/>
      <c r="AB272" s="571"/>
      <c r="AC272" s="571"/>
      <c r="AD272" s="571"/>
      <c r="AE272" s="571"/>
      <c r="AF272" s="571"/>
      <c r="AG272" s="571"/>
      <c r="AH272" s="571"/>
      <c r="AI272" s="571"/>
      <c r="AJ272" s="571"/>
      <c r="AK272" s="571"/>
      <c r="AL272" s="571"/>
      <c r="AM272" s="571"/>
      <c r="AN272" s="571"/>
      <c r="AO272" s="571"/>
    </row>
    <row r="273">
      <c r="B273" s="852" t="s">
        <v>1294</v>
      </c>
      <c r="G273" s="571"/>
      <c r="H273" s="571"/>
      <c r="I273" s="571"/>
      <c r="J273" s="571"/>
      <c r="K273" s="571"/>
      <c r="L273" s="571"/>
      <c r="M273" s="571"/>
      <c r="N273" s="571"/>
      <c r="O273" s="571"/>
      <c r="P273" s="571"/>
      <c r="Q273" s="571"/>
      <c r="R273" s="571"/>
      <c r="S273" s="571"/>
      <c r="T273" s="571"/>
      <c r="U273" s="571"/>
      <c r="V273" s="571"/>
      <c r="W273" s="571"/>
      <c r="X273" s="571"/>
      <c r="Y273" s="571"/>
      <c r="Z273" s="571"/>
      <c r="AA273" s="571"/>
      <c r="AB273" s="571"/>
      <c r="AC273" s="571"/>
      <c r="AD273" s="571"/>
      <c r="AE273" s="571"/>
      <c r="AF273" s="571"/>
      <c r="AG273" s="571"/>
      <c r="AH273" s="571"/>
      <c r="AI273" s="571"/>
      <c r="AJ273" s="571"/>
      <c r="AK273" s="571"/>
      <c r="AL273" s="571"/>
      <c r="AM273" s="571"/>
      <c r="AN273" s="571"/>
      <c r="AO273" s="571"/>
    </row>
    <row r="274">
      <c r="B274" s="852" t="s">
        <v>1295</v>
      </c>
      <c r="G274" s="571"/>
      <c r="H274" s="571"/>
      <c r="I274" s="571"/>
      <c r="J274" s="571"/>
      <c r="K274" s="571"/>
      <c r="L274" s="571"/>
      <c r="M274" s="571"/>
      <c r="N274" s="571"/>
      <c r="O274" s="571"/>
      <c r="P274" s="571"/>
      <c r="Q274" s="571"/>
      <c r="R274" s="571"/>
      <c r="S274" s="571"/>
      <c r="T274" s="571"/>
      <c r="U274" s="571"/>
      <c r="V274" s="571"/>
      <c r="W274" s="571"/>
      <c r="X274" s="571"/>
      <c r="Y274" s="571"/>
      <c r="Z274" s="571"/>
      <c r="AA274" s="571"/>
      <c r="AB274" s="571"/>
      <c r="AC274" s="571"/>
      <c r="AD274" s="571"/>
      <c r="AE274" s="571"/>
      <c r="AF274" s="571"/>
      <c r="AG274" s="571"/>
      <c r="AH274" s="571"/>
      <c r="AI274" s="571"/>
      <c r="AJ274" s="571"/>
      <c r="AK274" s="571"/>
      <c r="AL274" s="571"/>
      <c r="AM274" s="571"/>
      <c r="AN274" s="571"/>
      <c r="AO274" s="571"/>
    </row>
    <row r="275">
      <c r="A275" s="850" t="s">
        <v>1304</v>
      </c>
      <c r="B275" s="851" t="s">
        <v>1287</v>
      </c>
      <c r="G275" s="571"/>
      <c r="H275" s="571"/>
      <c r="I275" s="571"/>
      <c r="J275" s="571"/>
      <c r="K275" s="571"/>
      <c r="L275" s="571"/>
      <c r="M275" s="571"/>
      <c r="N275" s="571"/>
      <c r="O275" s="571"/>
      <c r="P275" s="571"/>
      <c r="Q275" s="571"/>
      <c r="R275" s="571"/>
      <c r="S275" s="571"/>
      <c r="T275" s="571"/>
      <c r="U275" s="571"/>
      <c r="V275" s="571"/>
      <c r="W275" s="571"/>
      <c r="X275" s="571"/>
      <c r="Y275" s="571"/>
      <c r="Z275" s="571"/>
      <c r="AA275" s="571"/>
      <c r="AB275" s="571"/>
      <c r="AC275" s="571"/>
      <c r="AD275" s="571"/>
      <c r="AE275" s="571"/>
      <c r="AF275" s="571"/>
      <c r="AG275" s="571"/>
      <c r="AH275" s="571"/>
      <c r="AI275" s="571"/>
      <c r="AJ275" s="571"/>
      <c r="AK275" s="571"/>
      <c r="AL275" s="571"/>
      <c r="AM275" s="571"/>
      <c r="AN275" s="571"/>
      <c r="AO275" s="571"/>
    </row>
    <row r="276">
      <c r="B276" s="852" t="s">
        <v>1288</v>
      </c>
      <c r="G276" s="571"/>
      <c r="H276" s="571"/>
      <c r="I276" s="571"/>
      <c r="J276" s="571"/>
      <c r="K276" s="571"/>
      <c r="L276" s="571"/>
      <c r="M276" s="571"/>
      <c r="N276" s="571"/>
      <c r="O276" s="571"/>
      <c r="P276" s="571"/>
      <c r="Q276" s="571"/>
      <c r="R276" s="571"/>
      <c r="S276" s="571"/>
      <c r="T276" s="571"/>
      <c r="U276" s="571"/>
      <c r="V276" s="571"/>
      <c r="W276" s="571"/>
      <c r="X276" s="571"/>
      <c r="Y276" s="571"/>
      <c r="Z276" s="571"/>
      <c r="AA276" s="571"/>
      <c r="AB276" s="571"/>
      <c r="AC276" s="571"/>
      <c r="AD276" s="571"/>
      <c r="AE276" s="571"/>
      <c r="AF276" s="571"/>
      <c r="AG276" s="571"/>
      <c r="AH276" s="571"/>
      <c r="AI276" s="571"/>
      <c r="AJ276" s="571"/>
      <c r="AK276" s="571"/>
      <c r="AL276" s="571"/>
      <c r="AM276" s="571"/>
      <c r="AN276" s="571"/>
      <c r="AO276" s="571"/>
    </row>
    <row r="277">
      <c r="B277" s="852" t="s">
        <v>1289</v>
      </c>
      <c r="G277" s="571"/>
      <c r="H277" s="571"/>
      <c r="I277" s="571"/>
      <c r="J277" s="571"/>
      <c r="K277" s="571"/>
      <c r="L277" s="571"/>
      <c r="M277" s="571"/>
      <c r="N277" s="571"/>
      <c r="O277" s="571"/>
      <c r="P277" s="571"/>
      <c r="Q277" s="571"/>
      <c r="R277" s="571"/>
      <c r="S277" s="571"/>
      <c r="T277" s="571"/>
      <c r="U277" s="571"/>
      <c r="V277" s="571"/>
      <c r="W277" s="571"/>
      <c r="X277" s="571"/>
      <c r="Y277" s="571"/>
      <c r="Z277" s="571"/>
      <c r="AA277" s="571"/>
      <c r="AB277" s="571"/>
      <c r="AC277" s="571"/>
      <c r="AD277" s="571"/>
      <c r="AE277" s="571"/>
      <c r="AF277" s="571"/>
      <c r="AG277" s="571"/>
      <c r="AH277" s="571"/>
      <c r="AI277" s="571"/>
      <c r="AJ277" s="571"/>
      <c r="AK277" s="571"/>
      <c r="AL277" s="571"/>
      <c r="AM277" s="571"/>
      <c r="AN277" s="571"/>
      <c r="AO277" s="571"/>
    </row>
    <row r="278">
      <c r="B278" s="852" t="s">
        <v>1290</v>
      </c>
      <c r="G278" s="571"/>
      <c r="H278" s="571"/>
      <c r="I278" s="571"/>
      <c r="J278" s="571"/>
      <c r="K278" s="571"/>
      <c r="L278" s="571"/>
      <c r="M278" s="571"/>
      <c r="N278" s="571"/>
      <c r="O278" s="571"/>
      <c r="P278" s="571"/>
      <c r="Q278" s="571"/>
      <c r="R278" s="571"/>
      <c r="S278" s="571"/>
      <c r="T278" s="571"/>
      <c r="U278" s="571"/>
      <c r="V278" s="571"/>
      <c r="W278" s="571"/>
      <c r="X278" s="571"/>
      <c r="Y278" s="571"/>
      <c r="Z278" s="571"/>
      <c r="AA278" s="571"/>
      <c r="AB278" s="571"/>
      <c r="AC278" s="571"/>
      <c r="AD278" s="571"/>
      <c r="AE278" s="571"/>
      <c r="AF278" s="571"/>
      <c r="AG278" s="571"/>
      <c r="AH278" s="571"/>
      <c r="AI278" s="571"/>
      <c r="AJ278" s="571"/>
      <c r="AK278" s="571"/>
      <c r="AL278" s="571"/>
      <c r="AM278" s="571"/>
      <c r="AN278" s="571"/>
      <c r="AO278" s="571"/>
    </row>
    <row r="279">
      <c r="B279" s="855" t="s">
        <v>1291</v>
      </c>
      <c r="G279" s="571"/>
      <c r="H279" s="571"/>
      <c r="I279" s="571"/>
      <c r="J279" s="571"/>
      <c r="K279" s="571"/>
      <c r="L279" s="571"/>
      <c r="M279" s="571"/>
      <c r="N279" s="571"/>
      <c r="O279" s="571"/>
      <c r="P279" s="571"/>
      <c r="Q279" s="571"/>
      <c r="R279" s="571"/>
      <c r="S279" s="571"/>
      <c r="T279" s="571"/>
      <c r="U279" s="571"/>
      <c r="V279" s="571"/>
      <c r="W279" s="571"/>
      <c r="X279" s="571"/>
      <c r="Y279" s="571"/>
      <c r="Z279" s="571"/>
      <c r="AA279" s="571"/>
      <c r="AB279" s="571"/>
      <c r="AC279" s="571"/>
      <c r="AD279" s="571"/>
      <c r="AE279" s="571"/>
      <c r="AF279" s="571"/>
      <c r="AG279" s="571"/>
      <c r="AH279" s="571"/>
      <c r="AI279" s="571"/>
      <c r="AJ279" s="571"/>
      <c r="AK279" s="571"/>
      <c r="AL279" s="571"/>
      <c r="AM279" s="571"/>
      <c r="AN279" s="571"/>
      <c r="AO279" s="571"/>
    </row>
    <row r="280">
      <c r="B280" s="855" t="s">
        <v>1292</v>
      </c>
      <c r="G280" s="571"/>
      <c r="H280" s="571"/>
      <c r="I280" s="571"/>
      <c r="J280" s="571"/>
      <c r="K280" s="571"/>
      <c r="L280" s="571"/>
      <c r="M280" s="571"/>
      <c r="N280" s="571"/>
      <c r="O280" s="571"/>
      <c r="P280" s="571"/>
      <c r="Q280" s="571"/>
      <c r="R280" s="571"/>
      <c r="S280" s="571"/>
      <c r="T280" s="571"/>
      <c r="U280" s="571"/>
      <c r="V280" s="571"/>
      <c r="W280" s="571"/>
      <c r="X280" s="571"/>
      <c r="Y280" s="571"/>
      <c r="Z280" s="571"/>
      <c r="AA280" s="571"/>
      <c r="AB280" s="571"/>
      <c r="AC280" s="571"/>
      <c r="AD280" s="571"/>
      <c r="AE280" s="571"/>
      <c r="AF280" s="571"/>
      <c r="AG280" s="571"/>
      <c r="AH280" s="571"/>
      <c r="AI280" s="571"/>
      <c r="AJ280" s="571"/>
      <c r="AK280" s="571"/>
      <c r="AL280" s="571"/>
      <c r="AM280" s="571"/>
      <c r="AN280" s="571"/>
      <c r="AO280" s="571"/>
    </row>
    <row r="281">
      <c r="B281" s="852" t="s">
        <v>1293</v>
      </c>
      <c r="G281" s="571"/>
      <c r="H281" s="571"/>
      <c r="I281" s="571"/>
      <c r="J281" s="571"/>
      <c r="K281" s="571"/>
      <c r="L281" s="571"/>
      <c r="M281" s="571"/>
      <c r="N281" s="571"/>
      <c r="O281" s="571"/>
      <c r="P281" s="571"/>
      <c r="Q281" s="571"/>
      <c r="R281" s="571"/>
      <c r="S281" s="571"/>
      <c r="T281" s="571"/>
      <c r="U281" s="571"/>
      <c r="V281" s="571"/>
      <c r="W281" s="571"/>
      <c r="X281" s="571"/>
      <c r="Y281" s="571"/>
      <c r="Z281" s="571"/>
      <c r="AA281" s="571"/>
      <c r="AB281" s="571"/>
      <c r="AC281" s="571"/>
      <c r="AD281" s="571"/>
      <c r="AE281" s="571"/>
      <c r="AF281" s="571"/>
      <c r="AG281" s="571"/>
      <c r="AH281" s="571"/>
      <c r="AI281" s="571"/>
      <c r="AJ281" s="571"/>
      <c r="AK281" s="571"/>
      <c r="AL281" s="571"/>
      <c r="AM281" s="571"/>
      <c r="AN281" s="571"/>
      <c r="AO281" s="571"/>
    </row>
    <row r="282">
      <c r="B282" s="852" t="s">
        <v>1294</v>
      </c>
      <c r="G282" s="571"/>
      <c r="H282" s="571"/>
      <c r="I282" s="571"/>
      <c r="J282" s="571"/>
      <c r="K282" s="571"/>
      <c r="L282" s="571"/>
      <c r="M282" s="571"/>
      <c r="N282" s="571"/>
      <c r="O282" s="571"/>
      <c r="P282" s="571"/>
      <c r="Q282" s="571"/>
      <c r="R282" s="571"/>
      <c r="S282" s="571"/>
      <c r="T282" s="571"/>
      <c r="U282" s="571"/>
      <c r="V282" s="571"/>
      <c r="W282" s="571"/>
      <c r="X282" s="571"/>
      <c r="Y282" s="571"/>
      <c r="Z282" s="571"/>
      <c r="AA282" s="571"/>
      <c r="AB282" s="571"/>
      <c r="AC282" s="571"/>
      <c r="AD282" s="571"/>
      <c r="AE282" s="571"/>
      <c r="AF282" s="571"/>
      <c r="AG282" s="571"/>
      <c r="AH282" s="571"/>
      <c r="AI282" s="571"/>
      <c r="AJ282" s="571"/>
      <c r="AK282" s="571"/>
      <c r="AL282" s="571"/>
      <c r="AM282" s="571"/>
      <c r="AN282" s="571"/>
      <c r="AO282" s="571"/>
    </row>
    <row r="283">
      <c r="B283" s="852" t="s">
        <v>1295</v>
      </c>
      <c r="G283" s="571"/>
      <c r="H283" s="571"/>
      <c r="I283" s="571"/>
      <c r="J283" s="571"/>
      <c r="K283" s="571"/>
      <c r="L283" s="571"/>
      <c r="M283" s="571"/>
      <c r="N283" s="571"/>
      <c r="O283" s="571"/>
      <c r="P283" s="571"/>
      <c r="Q283" s="571"/>
      <c r="R283" s="571"/>
      <c r="S283" s="571"/>
      <c r="T283" s="571"/>
      <c r="U283" s="571"/>
      <c r="V283" s="571"/>
      <c r="W283" s="571"/>
      <c r="X283" s="571"/>
      <c r="Y283" s="571"/>
      <c r="Z283" s="571"/>
      <c r="AA283" s="571"/>
      <c r="AB283" s="571"/>
      <c r="AC283" s="571"/>
      <c r="AD283" s="571"/>
      <c r="AE283" s="571"/>
      <c r="AF283" s="571"/>
      <c r="AG283" s="571"/>
      <c r="AH283" s="571"/>
      <c r="AI283" s="571"/>
      <c r="AJ283" s="571"/>
      <c r="AK283" s="571"/>
      <c r="AL283" s="571"/>
      <c r="AM283" s="571"/>
      <c r="AN283" s="571"/>
      <c r="AO283" s="571"/>
    </row>
    <row r="284">
      <c r="A284" s="850" t="s">
        <v>1305</v>
      </c>
      <c r="B284" s="851" t="s">
        <v>1287</v>
      </c>
      <c r="G284" s="571"/>
      <c r="H284" s="571"/>
      <c r="I284" s="571"/>
      <c r="J284" s="571"/>
      <c r="K284" s="571"/>
      <c r="L284" s="571"/>
      <c r="M284" s="571"/>
      <c r="N284" s="571"/>
      <c r="O284" s="571"/>
      <c r="P284" s="571"/>
      <c r="Q284" s="571"/>
      <c r="R284" s="571"/>
      <c r="S284" s="571"/>
      <c r="T284" s="571"/>
      <c r="U284" s="571"/>
      <c r="V284" s="571"/>
      <c r="W284" s="571"/>
      <c r="X284" s="571"/>
      <c r="Y284" s="571"/>
      <c r="Z284" s="571"/>
      <c r="AA284" s="571"/>
      <c r="AB284" s="571"/>
      <c r="AC284" s="571"/>
      <c r="AD284" s="571"/>
      <c r="AE284" s="571"/>
      <c r="AF284" s="571"/>
      <c r="AG284" s="571"/>
      <c r="AH284" s="571"/>
      <c r="AI284" s="571"/>
      <c r="AJ284" s="571"/>
      <c r="AK284" s="571"/>
      <c r="AL284" s="571"/>
      <c r="AM284" s="571"/>
      <c r="AN284" s="571"/>
      <c r="AO284" s="571"/>
    </row>
    <row r="285">
      <c r="B285" s="852" t="s">
        <v>1288</v>
      </c>
      <c r="G285" s="571"/>
      <c r="H285" s="571"/>
      <c r="I285" s="571"/>
      <c r="J285" s="571"/>
      <c r="K285" s="571"/>
      <c r="L285" s="571"/>
      <c r="M285" s="571"/>
      <c r="N285" s="571"/>
      <c r="O285" s="571"/>
      <c r="P285" s="571"/>
      <c r="Q285" s="571"/>
      <c r="R285" s="571"/>
      <c r="S285" s="571"/>
      <c r="T285" s="571"/>
      <c r="U285" s="571"/>
      <c r="V285" s="571"/>
      <c r="W285" s="571"/>
      <c r="X285" s="571"/>
      <c r="Y285" s="571"/>
      <c r="Z285" s="571"/>
      <c r="AA285" s="571"/>
      <c r="AB285" s="571"/>
      <c r="AC285" s="571"/>
      <c r="AD285" s="571"/>
      <c r="AE285" s="571"/>
      <c r="AF285" s="571"/>
      <c r="AG285" s="571"/>
      <c r="AH285" s="571"/>
      <c r="AI285" s="571"/>
      <c r="AJ285" s="571"/>
      <c r="AK285" s="571"/>
      <c r="AL285" s="571"/>
      <c r="AM285" s="571"/>
      <c r="AN285" s="571"/>
      <c r="AO285" s="571"/>
    </row>
    <row r="286">
      <c r="B286" s="852" t="s">
        <v>1289</v>
      </c>
      <c r="G286" s="571"/>
      <c r="H286" s="571"/>
      <c r="I286" s="571"/>
      <c r="J286" s="571"/>
      <c r="K286" s="571"/>
      <c r="L286" s="571"/>
      <c r="M286" s="571"/>
      <c r="N286" s="571"/>
      <c r="O286" s="571"/>
      <c r="P286" s="571"/>
      <c r="Q286" s="571"/>
      <c r="R286" s="571"/>
      <c r="S286" s="571"/>
      <c r="T286" s="571"/>
      <c r="U286" s="571"/>
      <c r="V286" s="571"/>
      <c r="W286" s="571"/>
      <c r="X286" s="571"/>
      <c r="Y286" s="571"/>
      <c r="Z286" s="571"/>
      <c r="AA286" s="571"/>
      <c r="AB286" s="571"/>
      <c r="AC286" s="571"/>
      <c r="AD286" s="571"/>
      <c r="AE286" s="571"/>
      <c r="AF286" s="571"/>
      <c r="AG286" s="571"/>
      <c r="AH286" s="571"/>
      <c r="AI286" s="571"/>
      <c r="AJ286" s="571"/>
      <c r="AK286" s="571"/>
      <c r="AL286" s="571"/>
      <c r="AM286" s="571"/>
      <c r="AN286" s="571"/>
      <c r="AO286" s="571"/>
    </row>
    <row r="287">
      <c r="B287" s="852" t="s">
        <v>1290</v>
      </c>
      <c r="G287" s="571"/>
      <c r="H287" s="571"/>
      <c r="I287" s="571"/>
      <c r="J287" s="571"/>
      <c r="K287" s="571"/>
      <c r="L287" s="571"/>
      <c r="M287" s="571"/>
      <c r="N287" s="571"/>
      <c r="O287" s="571"/>
      <c r="P287" s="571"/>
      <c r="Q287" s="571"/>
      <c r="R287" s="571"/>
      <c r="S287" s="571"/>
      <c r="T287" s="571"/>
      <c r="U287" s="571"/>
      <c r="V287" s="571"/>
      <c r="W287" s="571"/>
      <c r="X287" s="571"/>
      <c r="Y287" s="571"/>
      <c r="Z287" s="571"/>
      <c r="AA287" s="571"/>
      <c r="AB287" s="571"/>
      <c r="AC287" s="571"/>
      <c r="AD287" s="571"/>
      <c r="AE287" s="571"/>
      <c r="AF287" s="571"/>
      <c r="AG287" s="571"/>
      <c r="AH287" s="571"/>
      <c r="AI287" s="571"/>
      <c r="AJ287" s="571"/>
      <c r="AK287" s="571"/>
      <c r="AL287" s="571"/>
      <c r="AM287" s="571"/>
      <c r="AN287" s="571"/>
      <c r="AO287" s="571"/>
    </row>
    <row r="288">
      <c r="B288" s="855" t="s">
        <v>1291</v>
      </c>
      <c r="G288" s="571"/>
      <c r="H288" s="571"/>
      <c r="I288" s="571"/>
      <c r="J288" s="571"/>
      <c r="K288" s="571"/>
      <c r="L288" s="571"/>
      <c r="M288" s="571"/>
      <c r="N288" s="571"/>
      <c r="O288" s="571"/>
      <c r="P288" s="571"/>
      <c r="Q288" s="571"/>
      <c r="R288" s="571"/>
      <c r="S288" s="571"/>
      <c r="T288" s="571"/>
      <c r="U288" s="571"/>
      <c r="V288" s="571"/>
      <c r="W288" s="571"/>
      <c r="X288" s="571"/>
      <c r="Y288" s="571"/>
      <c r="Z288" s="571"/>
      <c r="AA288" s="571"/>
      <c r="AB288" s="571"/>
      <c r="AC288" s="571"/>
      <c r="AD288" s="571"/>
      <c r="AE288" s="571"/>
      <c r="AF288" s="571"/>
      <c r="AG288" s="571"/>
      <c r="AH288" s="571"/>
      <c r="AI288" s="571"/>
      <c r="AJ288" s="571"/>
      <c r="AK288" s="571"/>
      <c r="AL288" s="571"/>
      <c r="AM288" s="571"/>
      <c r="AN288" s="571"/>
      <c r="AO288" s="571"/>
    </row>
    <row r="289">
      <c r="B289" s="855" t="s">
        <v>1292</v>
      </c>
      <c r="G289" s="571"/>
      <c r="H289" s="571"/>
      <c r="I289" s="571"/>
      <c r="J289" s="571"/>
      <c r="K289" s="571"/>
      <c r="L289" s="571"/>
      <c r="M289" s="571"/>
      <c r="N289" s="571"/>
      <c r="O289" s="571"/>
      <c r="P289" s="571"/>
      <c r="Q289" s="571"/>
      <c r="R289" s="571"/>
      <c r="S289" s="571"/>
      <c r="T289" s="571"/>
      <c r="U289" s="571"/>
      <c r="V289" s="571"/>
      <c r="W289" s="571"/>
      <c r="X289" s="571"/>
      <c r="Y289" s="571"/>
      <c r="Z289" s="571"/>
      <c r="AA289" s="571"/>
      <c r="AB289" s="571"/>
      <c r="AC289" s="571"/>
      <c r="AD289" s="571"/>
      <c r="AE289" s="571"/>
      <c r="AF289" s="571"/>
      <c r="AG289" s="571"/>
      <c r="AH289" s="571"/>
      <c r="AI289" s="571"/>
      <c r="AJ289" s="571"/>
      <c r="AK289" s="571"/>
      <c r="AL289" s="571"/>
      <c r="AM289" s="571"/>
      <c r="AN289" s="571"/>
      <c r="AO289" s="571"/>
    </row>
    <row r="290">
      <c r="B290" s="852" t="s">
        <v>1293</v>
      </c>
      <c r="G290" s="571"/>
      <c r="H290" s="571"/>
      <c r="I290" s="571"/>
      <c r="J290" s="571"/>
      <c r="K290" s="571"/>
      <c r="L290" s="571"/>
      <c r="M290" s="571"/>
      <c r="N290" s="571"/>
      <c r="O290" s="571"/>
      <c r="P290" s="571"/>
      <c r="Q290" s="571"/>
      <c r="R290" s="571"/>
      <c r="S290" s="571"/>
      <c r="T290" s="571"/>
      <c r="U290" s="571"/>
      <c r="V290" s="571"/>
      <c r="W290" s="571"/>
      <c r="X290" s="571"/>
      <c r="Y290" s="571"/>
      <c r="Z290" s="571"/>
      <c r="AA290" s="571"/>
      <c r="AB290" s="571"/>
      <c r="AC290" s="571"/>
      <c r="AD290" s="571"/>
      <c r="AE290" s="571"/>
      <c r="AF290" s="571"/>
      <c r="AG290" s="571"/>
      <c r="AH290" s="571"/>
      <c r="AI290" s="571"/>
      <c r="AJ290" s="571"/>
      <c r="AK290" s="571"/>
      <c r="AL290" s="571"/>
      <c r="AM290" s="571"/>
      <c r="AN290" s="571"/>
      <c r="AO290" s="571"/>
    </row>
    <row r="291">
      <c r="B291" s="852" t="s">
        <v>1294</v>
      </c>
      <c r="G291" s="571"/>
      <c r="H291" s="571"/>
      <c r="I291" s="571"/>
      <c r="J291" s="571"/>
      <c r="K291" s="571"/>
      <c r="L291" s="571"/>
      <c r="M291" s="571"/>
      <c r="N291" s="571"/>
      <c r="O291" s="571"/>
      <c r="P291" s="571"/>
      <c r="Q291" s="571"/>
      <c r="R291" s="571"/>
      <c r="S291" s="571"/>
      <c r="T291" s="571"/>
      <c r="U291" s="571"/>
      <c r="V291" s="571"/>
      <c r="W291" s="571"/>
      <c r="X291" s="571"/>
      <c r="Y291" s="571"/>
      <c r="Z291" s="571"/>
      <c r="AA291" s="571"/>
      <c r="AB291" s="571"/>
      <c r="AC291" s="571"/>
      <c r="AD291" s="571"/>
      <c r="AE291" s="571"/>
      <c r="AF291" s="571"/>
      <c r="AG291" s="571"/>
      <c r="AH291" s="571"/>
      <c r="AI291" s="571"/>
      <c r="AJ291" s="571"/>
      <c r="AK291" s="571"/>
      <c r="AL291" s="571"/>
      <c r="AM291" s="571"/>
      <c r="AN291" s="571"/>
      <c r="AO291" s="571"/>
    </row>
    <row r="292">
      <c r="B292" s="852" t="s">
        <v>1295</v>
      </c>
      <c r="G292" s="571"/>
      <c r="H292" s="571"/>
      <c r="I292" s="571"/>
      <c r="J292" s="571"/>
      <c r="K292" s="571"/>
      <c r="L292" s="571"/>
      <c r="M292" s="571"/>
      <c r="N292" s="571"/>
      <c r="O292" s="571"/>
      <c r="P292" s="571"/>
      <c r="Q292" s="571"/>
      <c r="R292" s="571"/>
      <c r="S292" s="571"/>
      <c r="T292" s="571"/>
      <c r="U292" s="571"/>
      <c r="V292" s="571"/>
      <c r="W292" s="571"/>
      <c r="X292" s="571"/>
      <c r="Y292" s="571"/>
      <c r="Z292" s="571"/>
      <c r="AA292" s="571"/>
      <c r="AB292" s="571"/>
      <c r="AC292" s="571"/>
      <c r="AD292" s="571"/>
      <c r="AE292" s="571"/>
      <c r="AF292" s="571"/>
      <c r="AG292" s="571"/>
      <c r="AH292" s="571"/>
      <c r="AI292" s="571"/>
      <c r="AJ292" s="571"/>
      <c r="AK292" s="571"/>
      <c r="AL292" s="571"/>
      <c r="AM292" s="571"/>
      <c r="AN292" s="571"/>
      <c r="AO292" s="571"/>
    </row>
    <row r="293">
      <c r="A293" s="850" t="s">
        <v>1306</v>
      </c>
      <c r="B293" s="851" t="s">
        <v>1287</v>
      </c>
      <c r="G293" s="571"/>
      <c r="H293" s="571"/>
      <c r="I293" s="571"/>
      <c r="J293" s="571"/>
      <c r="K293" s="571"/>
      <c r="L293" s="571"/>
      <c r="M293" s="571"/>
      <c r="N293" s="571"/>
      <c r="O293" s="571"/>
      <c r="P293" s="571"/>
      <c r="Q293" s="571"/>
      <c r="R293" s="571"/>
      <c r="S293" s="571"/>
      <c r="T293" s="571"/>
      <c r="U293" s="571"/>
      <c r="V293" s="571"/>
      <c r="W293" s="571"/>
      <c r="X293" s="571"/>
      <c r="Y293" s="571"/>
      <c r="Z293" s="571"/>
      <c r="AA293" s="571"/>
      <c r="AB293" s="571"/>
      <c r="AC293" s="571"/>
      <c r="AD293" s="571"/>
      <c r="AE293" s="571"/>
      <c r="AF293" s="571"/>
      <c r="AG293" s="571"/>
      <c r="AH293" s="571"/>
      <c r="AI293" s="571"/>
      <c r="AJ293" s="571"/>
      <c r="AK293" s="571"/>
      <c r="AL293" s="571"/>
      <c r="AM293" s="571"/>
      <c r="AN293" s="571"/>
      <c r="AO293" s="571"/>
    </row>
    <row r="294">
      <c r="B294" s="852" t="s">
        <v>1288</v>
      </c>
      <c r="G294" s="571"/>
      <c r="H294" s="571"/>
      <c r="I294" s="571"/>
      <c r="J294" s="571"/>
      <c r="K294" s="571"/>
      <c r="L294" s="571"/>
      <c r="M294" s="571"/>
      <c r="N294" s="571"/>
      <c r="O294" s="571"/>
      <c r="P294" s="571"/>
      <c r="Q294" s="571"/>
      <c r="R294" s="571"/>
      <c r="S294" s="571"/>
      <c r="T294" s="571"/>
      <c r="U294" s="571"/>
      <c r="V294" s="571"/>
      <c r="W294" s="571"/>
      <c r="X294" s="571"/>
      <c r="Y294" s="571"/>
      <c r="Z294" s="571"/>
      <c r="AA294" s="571"/>
      <c r="AB294" s="571"/>
      <c r="AC294" s="571"/>
      <c r="AD294" s="571"/>
      <c r="AE294" s="571"/>
      <c r="AF294" s="571"/>
      <c r="AG294" s="571"/>
      <c r="AH294" s="571"/>
      <c r="AI294" s="571"/>
      <c r="AJ294" s="571"/>
      <c r="AK294" s="571"/>
      <c r="AL294" s="571"/>
      <c r="AM294" s="571"/>
      <c r="AN294" s="571"/>
      <c r="AO294" s="571"/>
    </row>
    <row r="295">
      <c r="B295" s="852" t="s">
        <v>1289</v>
      </c>
      <c r="G295" s="571"/>
      <c r="H295" s="571"/>
      <c r="I295" s="571"/>
      <c r="J295" s="571"/>
      <c r="K295" s="571"/>
      <c r="L295" s="571"/>
      <c r="M295" s="571"/>
      <c r="N295" s="571"/>
      <c r="O295" s="571"/>
      <c r="P295" s="571"/>
      <c r="Q295" s="571"/>
      <c r="R295" s="571"/>
      <c r="S295" s="571"/>
      <c r="T295" s="571"/>
      <c r="U295" s="571"/>
      <c r="V295" s="571"/>
      <c r="W295" s="571"/>
      <c r="X295" s="571"/>
      <c r="Y295" s="571"/>
      <c r="Z295" s="571"/>
      <c r="AA295" s="571"/>
      <c r="AB295" s="571"/>
      <c r="AC295" s="571"/>
      <c r="AD295" s="571"/>
      <c r="AE295" s="571"/>
      <c r="AF295" s="571"/>
      <c r="AG295" s="571"/>
      <c r="AH295" s="571"/>
      <c r="AI295" s="571"/>
      <c r="AJ295" s="571"/>
      <c r="AK295" s="571"/>
      <c r="AL295" s="571"/>
      <c r="AM295" s="571"/>
      <c r="AN295" s="571"/>
      <c r="AO295" s="571"/>
    </row>
    <row r="296">
      <c r="B296" s="852" t="s">
        <v>1290</v>
      </c>
      <c r="G296" s="571"/>
      <c r="H296" s="571"/>
      <c r="I296" s="571"/>
      <c r="J296" s="571"/>
      <c r="K296" s="571"/>
      <c r="L296" s="571"/>
      <c r="M296" s="571"/>
      <c r="N296" s="571"/>
      <c r="O296" s="571"/>
      <c r="P296" s="571"/>
      <c r="Q296" s="571"/>
      <c r="R296" s="571"/>
      <c r="S296" s="571"/>
      <c r="T296" s="571"/>
      <c r="U296" s="571"/>
      <c r="V296" s="571"/>
      <c r="W296" s="571"/>
      <c r="X296" s="571"/>
      <c r="Y296" s="571"/>
      <c r="Z296" s="571"/>
      <c r="AA296" s="571"/>
      <c r="AB296" s="571"/>
      <c r="AC296" s="571"/>
      <c r="AD296" s="571"/>
      <c r="AE296" s="571"/>
      <c r="AF296" s="571"/>
      <c r="AG296" s="571"/>
      <c r="AH296" s="571"/>
      <c r="AI296" s="571"/>
      <c r="AJ296" s="571"/>
      <c r="AK296" s="571"/>
      <c r="AL296" s="571"/>
      <c r="AM296" s="571"/>
      <c r="AN296" s="571"/>
      <c r="AO296" s="571"/>
    </row>
    <row r="297">
      <c r="B297" s="855" t="s">
        <v>1291</v>
      </c>
      <c r="G297" s="571"/>
      <c r="H297" s="571"/>
      <c r="I297" s="571"/>
      <c r="J297" s="571"/>
      <c r="K297" s="571"/>
      <c r="L297" s="571"/>
      <c r="M297" s="571"/>
      <c r="N297" s="571"/>
      <c r="O297" s="571"/>
      <c r="P297" s="571"/>
      <c r="Q297" s="571"/>
      <c r="R297" s="571"/>
      <c r="S297" s="571"/>
      <c r="T297" s="571"/>
      <c r="U297" s="571"/>
      <c r="V297" s="571"/>
      <c r="W297" s="571"/>
      <c r="X297" s="571"/>
      <c r="Y297" s="571"/>
      <c r="Z297" s="571"/>
      <c r="AA297" s="571"/>
      <c r="AB297" s="571"/>
      <c r="AC297" s="571"/>
      <c r="AD297" s="571"/>
      <c r="AE297" s="571"/>
      <c r="AF297" s="571"/>
      <c r="AG297" s="571"/>
      <c r="AH297" s="571"/>
      <c r="AI297" s="571"/>
      <c r="AJ297" s="571"/>
      <c r="AK297" s="571"/>
      <c r="AL297" s="571"/>
      <c r="AM297" s="571"/>
      <c r="AN297" s="571"/>
      <c r="AO297" s="571"/>
    </row>
    <row r="298">
      <c r="B298" s="855" t="s">
        <v>1292</v>
      </c>
      <c r="G298" s="571"/>
      <c r="H298" s="571"/>
      <c r="I298" s="571"/>
      <c r="J298" s="571"/>
      <c r="K298" s="571"/>
      <c r="L298" s="571"/>
      <c r="M298" s="571"/>
      <c r="N298" s="571"/>
      <c r="O298" s="571"/>
      <c r="P298" s="571"/>
      <c r="Q298" s="571"/>
      <c r="R298" s="571"/>
      <c r="S298" s="571"/>
      <c r="T298" s="571"/>
      <c r="U298" s="571"/>
      <c r="V298" s="571"/>
      <c r="W298" s="571"/>
      <c r="X298" s="571"/>
      <c r="Y298" s="571"/>
      <c r="Z298" s="571"/>
      <c r="AA298" s="571"/>
      <c r="AB298" s="571"/>
      <c r="AC298" s="571"/>
      <c r="AD298" s="571"/>
      <c r="AE298" s="571"/>
      <c r="AF298" s="571"/>
      <c r="AG298" s="571"/>
      <c r="AH298" s="571"/>
      <c r="AI298" s="571"/>
      <c r="AJ298" s="571"/>
      <c r="AK298" s="571"/>
      <c r="AL298" s="571"/>
      <c r="AM298" s="571"/>
      <c r="AN298" s="571"/>
      <c r="AO298" s="571"/>
    </row>
    <row r="299">
      <c r="B299" s="852" t="s">
        <v>1293</v>
      </c>
      <c r="G299" s="571"/>
      <c r="H299" s="571"/>
      <c r="I299" s="571"/>
      <c r="J299" s="571"/>
      <c r="K299" s="571"/>
      <c r="L299" s="571"/>
      <c r="M299" s="571"/>
      <c r="N299" s="571"/>
      <c r="O299" s="571"/>
      <c r="P299" s="571"/>
      <c r="Q299" s="571"/>
      <c r="R299" s="571"/>
      <c r="S299" s="571"/>
      <c r="T299" s="571"/>
      <c r="U299" s="571"/>
      <c r="V299" s="571"/>
      <c r="W299" s="571"/>
      <c r="X299" s="571"/>
      <c r="Y299" s="571"/>
      <c r="Z299" s="571"/>
      <c r="AA299" s="571"/>
      <c r="AB299" s="571"/>
      <c r="AC299" s="571"/>
      <c r="AD299" s="571"/>
      <c r="AE299" s="571"/>
      <c r="AF299" s="571"/>
      <c r="AG299" s="571"/>
      <c r="AH299" s="571"/>
      <c r="AI299" s="571"/>
      <c r="AJ299" s="571"/>
      <c r="AK299" s="571"/>
      <c r="AL299" s="571"/>
      <c r="AM299" s="571"/>
      <c r="AN299" s="571"/>
      <c r="AO299" s="571"/>
    </row>
    <row r="300">
      <c r="B300" s="852" t="s">
        <v>1294</v>
      </c>
      <c r="G300" s="571"/>
      <c r="H300" s="571"/>
      <c r="I300" s="571"/>
      <c r="J300" s="571"/>
      <c r="K300" s="571"/>
      <c r="L300" s="571"/>
      <c r="M300" s="571"/>
      <c r="N300" s="571"/>
      <c r="O300" s="571"/>
      <c r="P300" s="571"/>
      <c r="Q300" s="571"/>
      <c r="R300" s="571"/>
      <c r="S300" s="571"/>
      <c r="T300" s="571"/>
      <c r="U300" s="571"/>
      <c r="V300" s="571"/>
      <c r="W300" s="571"/>
      <c r="X300" s="571"/>
      <c r="Y300" s="571"/>
      <c r="Z300" s="571"/>
      <c r="AA300" s="571"/>
      <c r="AB300" s="571"/>
      <c r="AC300" s="571"/>
      <c r="AD300" s="571"/>
      <c r="AE300" s="571"/>
      <c r="AF300" s="571"/>
      <c r="AG300" s="571"/>
      <c r="AH300" s="571"/>
      <c r="AI300" s="571"/>
      <c r="AJ300" s="571"/>
      <c r="AK300" s="571"/>
      <c r="AL300" s="571"/>
      <c r="AM300" s="571"/>
      <c r="AN300" s="571"/>
      <c r="AO300" s="571"/>
    </row>
    <row r="301">
      <c r="B301" s="852" t="s">
        <v>1295</v>
      </c>
      <c r="G301" s="571"/>
      <c r="H301" s="571"/>
      <c r="I301" s="571"/>
      <c r="J301" s="571"/>
      <c r="K301" s="571"/>
      <c r="L301" s="571"/>
      <c r="M301" s="571"/>
      <c r="N301" s="571"/>
      <c r="O301" s="571"/>
      <c r="P301" s="571"/>
      <c r="Q301" s="571"/>
      <c r="R301" s="571"/>
      <c r="S301" s="571"/>
      <c r="T301" s="571"/>
      <c r="U301" s="571"/>
      <c r="V301" s="571"/>
      <c r="W301" s="571"/>
      <c r="X301" s="571"/>
      <c r="Y301" s="571"/>
      <c r="Z301" s="571"/>
      <c r="AA301" s="571"/>
      <c r="AB301" s="571"/>
      <c r="AC301" s="571"/>
      <c r="AD301" s="571"/>
      <c r="AE301" s="571"/>
      <c r="AF301" s="571"/>
      <c r="AG301" s="571"/>
      <c r="AH301" s="571"/>
      <c r="AI301" s="571"/>
      <c r="AJ301" s="571"/>
      <c r="AK301" s="571"/>
      <c r="AL301" s="571"/>
      <c r="AM301" s="571"/>
      <c r="AN301" s="571"/>
      <c r="AO301" s="571"/>
    </row>
    <row r="302">
      <c r="A302" s="850" t="s">
        <v>1307</v>
      </c>
      <c r="B302" s="851" t="s">
        <v>1287</v>
      </c>
      <c r="G302" s="571"/>
      <c r="H302" s="571"/>
      <c r="I302" s="571"/>
      <c r="J302" s="571"/>
      <c r="K302" s="571"/>
      <c r="L302" s="571"/>
      <c r="M302" s="571"/>
      <c r="N302" s="571"/>
      <c r="O302" s="571"/>
      <c r="P302" s="571"/>
      <c r="Q302" s="571"/>
      <c r="R302" s="571"/>
      <c r="S302" s="571"/>
      <c r="T302" s="571"/>
      <c r="U302" s="571"/>
      <c r="V302" s="571"/>
      <c r="W302" s="571"/>
      <c r="X302" s="571"/>
      <c r="Y302" s="571"/>
      <c r="Z302" s="571"/>
      <c r="AA302" s="571"/>
      <c r="AB302" s="571"/>
      <c r="AC302" s="571"/>
      <c r="AD302" s="571"/>
      <c r="AE302" s="571"/>
      <c r="AF302" s="571"/>
      <c r="AG302" s="571"/>
      <c r="AH302" s="571"/>
      <c r="AI302" s="571"/>
      <c r="AJ302" s="571"/>
      <c r="AK302" s="571"/>
      <c r="AL302" s="571"/>
      <c r="AM302" s="571"/>
      <c r="AN302" s="571"/>
      <c r="AO302" s="571"/>
    </row>
    <row r="303">
      <c r="B303" s="852" t="s">
        <v>1288</v>
      </c>
      <c r="G303" s="571"/>
      <c r="H303" s="571"/>
      <c r="I303" s="571"/>
      <c r="J303" s="571"/>
      <c r="K303" s="571"/>
      <c r="L303" s="571"/>
      <c r="M303" s="571"/>
      <c r="N303" s="571"/>
      <c r="O303" s="571"/>
      <c r="P303" s="571"/>
      <c r="Q303" s="571"/>
      <c r="R303" s="571"/>
      <c r="S303" s="571"/>
      <c r="T303" s="571"/>
      <c r="U303" s="571"/>
      <c r="V303" s="571"/>
      <c r="W303" s="571"/>
      <c r="X303" s="571"/>
      <c r="Y303" s="571"/>
      <c r="Z303" s="571"/>
      <c r="AA303" s="571"/>
      <c r="AB303" s="571"/>
      <c r="AC303" s="571"/>
      <c r="AD303" s="571"/>
      <c r="AE303" s="571"/>
      <c r="AF303" s="571"/>
      <c r="AG303" s="571"/>
      <c r="AH303" s="571"/>
      <c r="AI303" s="571"/>
      <c r="AJ303" s="571"/>
      <c r="AK303" s="571"/>
      <c r="AL303" s="571"/>
      <c r="AM303" s="571"/>
      <c r="AN303" s="571"/>
      <c r="AO303" s="571"/>
    </row>
    <row r="304">
      <c r="B304" s="852" t="s">
        <v>1289</v>
      </c>
      <c r="G304" s="571"/>
      <c r="H304" s="571"/>
      <c r="I304" s="571"/>
      <c r="J304" s="571"/>
      <c r="K304" s="571"/>
      <c r="L304" s="571"/>
      <c r="M304" s="571"/>
      <c r="N304" s="571"/>
      <c r="O304" s="571"/>
      <c r="P304" s="571"/>
      <c r="Q304" s="571"/>
      <c r="R304" s="571"/>
      <c r="S304" s="571"/>
      <c r="T304" s="571"/>
      <c r="U304" s="571"/>
      <c r="V304" s="571"/>
      <c r="W304" s="571"/>
      <c r="X304" s="571"/>
      <c r="Y304" s="571"/>
      <c r="Z304" s="571"/>
      <c r="AA304" s="571"/>
      <c r="AB304" s="571"/>
      <c r="AC304" s="571"/>
      <c r="AD304" s="571"/>
      <c r="AE304" s="571"/>
      <c r="AF304" s="571"/>
      <c r="AG304" s="571"/>
      <c r="AH304" s="571"/>
      <c r="AI304" s="571"/>
      <c r="AJ304" s="571"/>
      <c r="AK304" s="571"/>
      <c r="AL304" s="571"/>
      <c r="AM304" s="571"/>
      <c r="AN304" s="571"/>
      <c r="AO304" s="571"/>
    </row>
    <row r="305">
      <c r="B305" s="852" t="s">
        <v>1290</v>
      </c>
      <c r="G305" s="571"/>
      <c r="H305" s="571"/>
      <c r="I305" s="571"/>
      <c r="J305" s="571"/>
      <c r="K305" s="571"/>
      <c r="L305" s="571"/>
      <c r="M305" s="571"/>
      <c r="N305" s="571"/>
      <c r="O305" s="571"/>
      <c r="P305" s="571"/>
      <c r="Q305" s="571"/>
      <c r="R305" s="571"/>
      <c r="S305" s="571"/>
      <c r="T305" s="571"/>
      <c r="U305" s="571"/>
      <c r="V305" s="571"/>
      <c r="W305" s="571"/>
      <c r="X305" s="571"/>
      <c r="Y305" s="571"/>
      <c r="Z305" s="571"/>
      <c r="AA305" s="571"/>
      <c r="AB305" s="571"/>
      <c r="AC305" s="571"/>
      <c r="AD305" s="571"/>
      <c r="AE305" s="571"/>
      <c r="AF305" s="571"/>
      <c r="AG305" s="571"/>
      <c r="AH305" s="571"/>
      <c r="AI305" s="571"/>
      <c r="AJ305" s="571"/>
      <c r="AK305" s="571"/>
      <c r="AL305" s="571"/>
      <c r="AM305" s="571"/>
      <c r="AN305" s="571"/>
      <c r="AO305" s="571"/>
    </row>
    <row r="306">
      <c r="B306" s="855" t="s">
        <v>1291</v>
      </c>
      <c r="G306" s="571"/>
      <c r="H306" s="571"/>
      <c r="I306" s="571"/>
      <c r="J306" s="571"/>
      <c r="K306" s="571"/>
      <c r="L306" s="571"/>
      <c r="M306" s="571"/>
      <c r="N306" s="571"/>
      <c r="O306" s="571"/>
      <c r="P306" s="571"/>
      <c r="Q306" s="571"/>
      <c r="R306" s="571"/>
      <c r="S306" s="571"/>
      <c r="T306" s="571"/>
      <c r="U306" s="571"/>
      <c r="V306" s="571"/>
      <c r="W306" s="571"/>
      <c r="X306" s="571"/>
      <c r="Y306" s="571"/>
      <c r="Z306" s="571"/>
      <c r="AA306" s="571"/>
      <c r="AB306" s="571"/>
      <c r="AC306" s="571"/>
      <c r="AD306" s="571"/>
      <c r="AE306" s="571"/>
      <c r="AF306" s="571"/>
      <c r="AG306" s="571"/>
      <c r="AH306" s="571"/>
      <c r="AI306" s="571"/>
      <c r="AJ306" s="571"/>
      <c r="AK306" s="571"/>
      <c r="AL306" s="571"/>
      <c r="AM306" s="571"/>
      <c r="AN306" s="571"/>
      <c r="AO306" s="571"/>
    </row>
    <row r="307">
      <c r="B307" s="855" t="s">
        <v>1292</v>
      </c>
      <c r="G307" s="571"/>
      <c r="H307" s="571"/>
      <c r="I307" s="571"/>
      <c r="J307" s="571"/>
      <c r="K307" s="571"/>
      <c r="L307" s="571"/>
      <c r="M307" s="571"/>
      <c r="N307" s="571"/>
      <c r="O307" s="571"/>
      <c r="P307" s="571"/>
      <c r="Q307" s="571"/>
      <c r="R307" s="571"/>
      <c r="S307" s="571"/>
      <c r="T307" s="571"/>
      <c r="U307" s="571"/>
      <c r="V307" s="571"/>
      <c r="W307" s="571"/>
      <c r="X307" s="571"/>
      <c r="Y307" s="571"/>
      <c r="Z307" s="571"/>
      <c r="AA307" s="571"/>
      <c r="AB307" s="571"/>
      <c r="AC307" s="571"/>
      <c r="AD307" s="571"/>
      <c r="AE307" s="571"/>
      <c r="AF307" s="571"/>
      <c r="AG307" s="571"/>
      <c r="AH307" s="571"/>
      <c r="AI307" s="571"/>
      <c r="AJ307" s="571"/>
      <c r="AK307" s="571"/>
      <c r="AL307" s="571"/>
      <c r="AM307" s="571"/>
      <c r="AN307" s="571"/>
      <c r="AO307" s="571"/>
    </row>
    <row r="308">
      <c r="B308" s="852" t="s">
        <v>1293</v>
      </c>
      <c r="G308" s="571"/>
      <c r="H308" s="571"/>
      <c r="I308" s="571"/>
      <c r="J308" s="571"/>
      <c r="K308" s="571"/>
      <c r="L308" s="571"/>
      <c r="M308" s="571"/>
      <c r="N308" s="571"/>
      <c r="O308" s="571"/>
      <c r="P308" s="571"/>
      <c r="Q308" s="571"/>
      <c r="R308" s="571"/>
      <c r="S308" s="571"/>
      <c r="T308" s="571"/>
      <c r="U308" s="571"/>
      <c r="V308" s="571"/>
      <c r="W308" s="571"/>
      <c r="X308" s="571"/>
      <c r="Y308" s="571"/>
      <c r="Z308" s="571"/>
      <c r="AA308" s="571"/>
      <c r="AB308" s="571"/>
      <c r="AC308" s="571"/>
      <c r="AD308" s="571"/>
      <c r="AE308" s="571"/>
      <c r="AF308" s="571"/>
      <c r="AG308" s="571"/>
      <c r="AH308" s="571"/>
      <c r="AI308" s="571"/>
      <c r="AJ308" s="571"/>
      <c r="AK308" s="571"/>
      <c r="AL308" s="571"/>
      <c r="AM308" s="571"/>
      <c r="AN308" s="571"/>
      <c r="AO308" s="571"/>
    </row>
    <row r="309">
      <c r="B309" s="852" t="s">
        <v>1294</v>
      </c>
      <c r="G309" s="571"/>
      <c r="H309" s="571"/>
      <c r="I309" s="571"/>
      <c r="J309" s="571"/>
      <c r="K309" s="571"/>
      <c r="L309" s="571"/>
      <c r="M309" s="571"/>
      <c r="N309" s="571"/>
      <c r="O309" s="571"/>
      <c r="P309" s="571"/>
      <c r="Q309" s="571"/>
      <c r="R309" s="571"/>
      <c r="S309" s="571"/>
      <c r="T309" s="571"/>
      <c r="U309" s="571"/>
      <c r="V309" s="571"/>
      <c r="W309" s="571"/>
      <c r="X309" s="571"/>
      <c r="Y309" s="571"/>
      <c r="Z309" s="571"/>
      <c r="AA309" s="571"/>
      <c r="AB309" s="571"/>
      <c r="AC309" s="571"/>
      <c r="AD309" s="571"/>
      <c r="AE309" s="571"/>
      <c r="AF309" s="571"/>
      <c r="AG309" s="571"/>
      <c r="AH309" s="571"/>
      <c r="AI309" s="571"/>
      <c r="AJ309" s="571"/>
      <c r="AK309" s="571"/>
      <c r="AL309" s="571"/>
      <c r="AM309" s="571"/>
      <c r="AN309" s="571"/>
      <c r="AO309" s="571"/>
    </row>
    <row r="310">
      <c r="B310" s="852" t="s">
        <v>1295</v>
      </c>
      <c r="G310" s="571"/>
      <c r="H310" s="571"/>
      <c r="I310" s="571"/>
      <c r="J310" s="571"/>
      <c r="K310" s="571"/>
      <c r="L310" s="571"/>
      <c r="M310" s="571"/>
      <c r="N310" s="571"/>
      <c r="O310" s="571"/>
      <c r="P310" s="571"/>
      <c r="Q310" s="571"/>
      <c r="R310" s="571"/>
      <c r="S310" s="571"/>
      <c r="T310" s="571"/>
      <c r="U310" s="571"/>
      <c r="V310" s="571"/>
      <c r="W310" s="571"/>
      <c r="X310" s="571"/>
      <c r="Y310" s="571"/>
      <c r="Z310" s="571"/>
      <c r="AA310" s="571"/>
      <c r="AB310" s="571"/>
      <c r="AC310" s="571"/>
      <c r="AD310" s="571"/>
      <c r="AE310" s="571"/>
      <c r="AF310" s="571"/>
      <c r="AG310" s="571"/>
      <c r="AH310" s="571"/>
      <c r="AI310" s="571"/>
      <c r="AJ310" s="571"/>
      <c r="AK310" s="571"/>
      <c r="AL310" s="571"/>
      <c r="AM310" s="571"/>
      <c r="AN310" s="571"/>
      <c r="AO310" s="571"/>
    </row>
    <row r="311">
      <c r="A311" s="850" t="s">
        <v>1308</v>
      </c>
      <c r="B311" s="851" t="s">
        <v>1287</v>
      </c>
      <c r="G311" s="571"/>
      <c r="H311" s="571"/>
      <c r="I311" s="571"/>
      <c r="J311" s="571"/>
      <c r="K311" s="571"/>
      <c r="L311" s="571"/>
      <c r="M311" s="571"/>
      <c r="N311" s="571"/>
      <c r="O311" s="571"/>
      <c r="P311" s="571"/>
      <c r="Q311" s="571"/>
      <c r="R311" s="571"/>
      <c r="S311" s="571"/>
      <c r="T311" s="571"/>
      <c r="U311" s="571"/>
      <c r="V311" s="571"/>
      <c r="W311" s="571"/>
      <c r="X311" s="571"/>
      <c r="Y311" s="571"/>
      <c r="Z311" s="571"/>
      <c r="AA311" s="571"/>
      <c r="AB311" s="571"/>
      <c r="AC311" s="571"/>
      <c r="AD311" s="571"/>
      <c r="AE311" s="571"/>
      <c r="AF311" s="571"/>
      <c r="AG311" s="571"/>
      <c r="AH311" s="571"/>
      <c r="AI311" s="571"/>
      <c r="AJ311" s="571"/>
      <c r="AK311" s="571"/>
      <c r="AL311" s="571"/>
      <c r="AM311" s="571"/>
      <c r="AN311" s="571"/>
      <c r="AO311" s="571"/>
    </row>
    <row r="312">
      <c r="B312" s="852" t="s">
        <v>1288</v>
      </c>
      <c r="G312" s="571"/>
      <c r="H312" s="571"/>
      <c r="I312" s="571"/>
      <c r="J312" s="571"/>
      <c r="K312" s="571"/>
      <c r="L312" s="571"/>
      <c r="M312" s="571"/>
      <c r="N312" s="571"/>
      <c r="O312" s="571"/>
      <c r="P312" s="571"/>
      <c r="Q312" s="571"/>
      <c r="R312" s="571"/>
      <c r="S312" s="571"/>
      <c r="T312" s="571"/>
      <c r="U312" s="571"/>
      <c r="V312" s="571"/>
      <c r="W312" s="571"/>
      <c r="X312" s="571"/>
      <c r="Y312" s="571"/>
      <c r="Z312" s="571"/>
      <c r="AA312" s="571"/>
      <c r="AB312" s="571"/>
      <c r="AC312" s="571"/>
      <c r="AD312" s="571"/>
      <c r="AE312" s="571"/>
      <c r="AF312" s="571"/>
      <c r="AG312" s="571"/>
      <c r="AH312" s="571"/>
      <c r="AI312" s="571"/>
      <c r="AJ312" s="571"/>
      <c r="AK312" s="571"/>
      <c r="AL312" s="571"/>
      <c r="AM312" s="571"/>
      <c r="AN312" s="571"/>
      <c r="AO312" s="571"/>
    </row>
    <row r="313">
      <c r="B313" s="852" t="s">
        <v>1289</v>
      </c>
      <c r="G313" s="571"/>
      <c r="H313" s="571"/>
      <c r="I313" s="571"/>
      <c r="J313" s="571"/>
      <c r="K313" s="571"/>
      <c r="L313" s="571"/>
      <c r="M313" s="571"/>
      <c r="N313" s="571"/>
      <c r="O313" s="571"/>
      <c r="P313" s="571"/>
      <c r="Q313" s="571"/>
      <c r="R313" s="571"/>
      <c r="S313" s="571"/>
      <c r="T313" s="571"/>
      <c r="U313" s="571"/>
      <c r="V313" s="571"/>
      <c r="W313" s="571"/>
      <c r="X313" s="571"/>
      <c r="Y313" s="571"/>
      <c r="Z313" s="571"/>
      <c r="AA313" s="571"/>
      <c r="AB313" s="571"/>
      <c r="AC313" s="571"/>
      <c r="AD313" s="571"/>
      <c r="AE313" s="571"/>
      <c r="AF313" s="571"/>
      <c r="AG313" s="571"/>
      <c r="AH313" s="571"/>
      <c r="AI313" s="571"/>
      <c r="AJ313" s="571"/>
      <c r="AK313" s="571"/>
      <c r="AL313" s="571"/>
      <c r="AM313" s="571"/>
      <c r="AN313" s="571"/>
      <c r="AO313" s="571"/>
    </row>
    <row r="314">
      <c r="B314" s="852" t="s">
        <v>1290</v>
      </c>
      <c r="G314" s="571"/>
      <c r="H314" s="571"/>
      <c r="I314" s="571"/>
      <c r="J314" s="571"/>
      <c r="K314" s="571"/>
      <c r="L314" s="571"/>
      <c r="M314" s="571"/>
      <c r="N314" s="571"/>
      <c r="O314" s="571"/>
      <c r="P314" s="571"/>
      <c r="Q314" s="571"/>
      <c r="R314" s="571"/>
      <c r="S314" s="571"/>
      <c r="T314" s="571"/>
      <c r="U314" s="571"/>
      <c r="V314" s="571"/>
      <c r="W314" s="571"/>
      <c r="X314" s="571"/>
      <c r="Y314" s="571"/>
      <c r="Z314" s="571"/>
      <c r="AA314" s="571"/>
      <c r="AB314" s="571"/>
      <c r="AC314" s="571"/>
      <c r="AD314" s="571"/>
      <c r="AE314" s="571"/>
      <c r="AF314" s="571"/>
      <c r="AG314" s="571"/>
      <c r="AH314" s="571"/>
      <c r="AI314" s="571"/>
      <c r="AJ314" s="571"/>
      <c r="AK314" s="571"/>
      <c r="AL314" s="571"/>
      <c r="AM314" s="571"/>
      <c r="AN314" s="571"/>
      <c r="AO314" s="571"/>
    </row>
    <row r="315">
      <c r="B315" s="855" t="s">
        <v>1291</v>
      </c>
      <c r="G315" s="571"/>
      <c r="H315" s="571"/>
      <c r="I315" s="571"/>
      <c r="J315" s="571"/>
      <c r="K315" s="571"/>
      <c r="L315" s="571"/>
      <c r="M315" s="571"/>
      <c r="N315" s="571"/>
      <c r="O315" s="571"/>
      <c r="P315" s="571"/>
      <c r="Q315" s="571"/>
      <c r="R315" s="571"/>
      <c r="S315" s="571"/>
      <c r="T315" s="571"/>
      <c r="U315" s="571"/>
      <c r="V315" s="571"/>
      <c r="W315" s="571"/>
      <c r="X315" s="571"/>
      <c r="Y315" s="571"/>
      <c r="Z315" s="571"/>
      <c r="AA315" s="571"/>
      <c r="AB315" s="571"/>
      <c r="AC315" s="571"/>
      <c r="AD315" s="571"/>
      <c r="AE315" s="571"/>
      <c r="AF315" s="571"/>
      <c r="AG315" s="571"/>
      <c r="AH315" s="571"/>
      <c r="AI315" s="571"/>
      <c r="AJ315" s="571"/>
      <c r="AK315" s="571"/>
      <c r="AL315" s="571"/>
      <c r="AM315" s="571"/>
      <c r="AN315" s="571"/>
      <c r="AO315" s="571"/>
    </row>
    <row r="316">
      <c r="B316" s="855" t="s">
        <v>1292</v>
      </c>
      <c r="G316" s="571"/>
      <c r="H316" s="571"/>
      <c r="I316" s="571"/>
      <c r="J316" s="571"/>
      <c r="K316" s="571"/>
      <c r="L316" s="571"/>
      <c r="M316" s="571"/>
      <c r="N316" s="571"/>
      <c r="O316" s="571"/>
      <c r="P316" s="571"/>
      <c r="Q316" s="571"/>
      <c r="R316" s="571"/>
      <c r="S316" s="571"/>
      <c r="T316" s="571"/>
      <c r="U316" s="571"/>
      <c r="V316" s="571"/>
      <c r="W316" s="571"/>
      <c r="X316" s="571"/>
      <c r="Y316" s="571"/>
      <c r="Z316" s="571"/>
      <c r="AA316" s="571"/>
      <c r="AB316" s="571"/>
      <c r="AC316" s="571"/>
      <c r="AD316" s="571"/>
      <c r="AE316" s="571"/>
      <c r="AF316" s="571"/>
      <c r="AG316" s="571"/>
      <c r="AH316" s="571"/>
      <c r="AI316" s="571"/>
      <c r="AJ316" s="571"/>
      <c r="AK316" s="571"/>
      <c r="AL316" s="571"/>
      <c r="AM316" s="571"/>
      <c r="AN316" s="571"/>
      <c r="AO316" s="571"/>
    </row>
    <row r="317">
      <c r="B317" s="852" t="s">
        <v>1293</v>
      </c>
      <c r="G317" s="571"/>
      <c r="H317" s="571"/>
      <c r="I317" s="571"/>
      <c r="J317" s="571"/>
      <c r="K317" s="571"/>
      <c r="L317" s="571"/>
      <c r="M317" s="571"/>
      <c r="N317" s="571"/>
      <c r="O317" s="571"/>
      <c r="P317" s="571"/>
      <c r="Q317" s="571"/>
      <c r="R317" s="571"/>
      <c r="S317" s="571"/>
      <c r="T317" s="571"/>
      <c r="U317" s="571"/>
      <c r="V317" s="571"/>
      <c r="W317" s="571"/>
      <c r="X317" s="571"/>
      <c r="Y317" s="571"/>
      <c r="Z317" s="571"/>
      <c r="AA317" s="571"/>
      <c r="AB317" s="571"/>
      <c r="AC317" s="571"/>
      <c r="AD317" s="571"/>
      <c r="AE317" s="571"/>
      <c r="AF317" s="571"/>
      <c r="AG317" s="571"/>
      <c r="AH317" s="571"/>
      <c r="AI317" s="571"/>
      <c r="AJ317" s="571"/>
      <c r="AK317" s="571"/>
      <c r="AL317" s="571"/>
      <c r="AM317" s="571"/>
      <c r="AN317" s="571"/>
      <c r="AO317" s="571"/>
    </row>
    <row r="318">
      <c r="B318" s="852" t="s">
        <v>1294</v>
      </c>
      <c r="G318" s="571"/>
      <c r="H318" s="571"/>
      <c r="I318" s="571"/>
      <c r="J318" s="571"/>
      <c r="K318" s="571"/>
      <c r="L318" s="571"/>
      <c r="M318" s="571"/>
      <c r="N318" s="571"/>
      <c r="O318" s="571"/>
      <c r="P318" s="571"/>
      <c r="Q318" s="571"/>
      <c r="R318" s="571"/>
      <c r="S318" s="571"/>
      <c r="T318" s="571"/>
      <c r="U318" s="571"/>
      <c r="V318" s="571"/>
      <c r="W318" s="571"/>
      <c r="X318" s="571"/>
      <c r="Y318" s="571"/>
      <c r="Z318" s="571"/>
      <c r="AA318" s="571"/>
      <c r="AB318" s="571"/>
      <c r="AC318" s="571"/>
      <c r="AD318" s="571"/>
      <c r="AE318" s="571"/>
      <c r="AF318" s="571"/>
      <c r="AG318" s="571"/>
      <c r="AH318" s="571"/>
      <c r="AI318" s="571"/>
      <c r="AJ318" s="571"/>
      <c r="AK318" s="571"/>
      <c r="AL318" s="571"/>
      <c r="AM318" s="571"/>
      <c r="AN318" s="571"/>
      <c r="AO318" s="571"/>
    </row>
    <row r="319">
      <c r="B319" s="852" t="s">
        <v>1295</v>
      </c>
      <c r="G319" s="571"/>
      <c r="H319" s="571"/>
      <c r="I319" s="571"/>
      <c r="J319" s="571"/>
      <c r="K319" s="571"/>
      <c r="L319" s="571"/>
      <c r="M319" s="571"/>
      <c r="N319" s="571"/>
      <c r="O319" s="571"/>
      <c r="P319" s="571"/>
      <c r="Q319" s="571"/>
      <c r="R319" s="571"/>
      <c r="S319" s="571"/>
      <c r="T319" s="571"/>
      <c r="U319" s="571"/>
      <c r="V319" s="571"/>
      <c r="W319" s="571"/>
      <c r="X319" s="571"/>
      <c r="Y319" s="571"/>
      <c r="Z319" s="571"/>
      <c r="AA319" s="571"/>
      <c r="AB319" s="571"/>
      <c r="AC319" s="571"/>
      <c r="AD319" s="571"/>
      <c r="AE319" s="571"/>
      <c r="AF319" s="571"/>
      <c r="AG319" s="571"/>
      <c r="AH319" s="571"/>
      <c r="AI319" s="571"/>
      <c r="AJ319" s="571"/>
      <c r="AK319" s="571"/>
      <c r="AL319" s="571"/>
      <c r="AM319" s="571"/>
      <c r="AN319" s="571"/>
      <c r="AO319" s="571"/>
    </row>
    <row r="320">
      <c r="A320" s="850" t="s">
        <v>1309</v>
      </c>
      <c r="B320" s="851" t="s">
        <v>1287</v>
      </c>
      <c r="G320" s="571"/>
      <c r="H320" s="571"/>
      <c r="I320" s="571"/>
      <c r="J320" s="571"/>
      <c r="K320" s="571"/>
      <c r="L320" s="571"/>
      <c r="M320" s="571"/>
      <c r="N320" s="571"/>
      <c r="O320" s="571"/>
      <c r="P320" s="571"/>
      <c r="Q320" s="571"/>
      <c r="R320" s="571"/>
      <c r="S320" s="571"/>
      <c r="T320" s="571"/>
      <c r="U320" s="571"/>
      <c r="V320" s="571"/>
      <c r="W320" s="571"/>
      <c r="X320" s="571"/>
      <c r="Y320" s="571"/>
      <c r="Z320" s="571"/>
      <c r="AA320" s="571"/>
      <c r="AB320" s="571"/>
      <c r="AC320" s="571"/>
      <c r="AD320" s="571"/>
      <c r="AE320" s="571"/>
      <c r="AF320" s="571"/>
      <c r="AG320" s="571"/>
      <c r="AH320" s="571"/>
      <c r="AI320" s="571"/>
      <c r="AJ320" s="571"/>
      <c r="AK320" s="571"/>
      <c r="AL320" s="571"/>
      <c r="AM320" s="571"/>
      <c r="AN320" s="571"/>
      <c r="AO320" s="571"/>
    </row>
    <row r="321">
      <c r="B321" s="852" t="s">
        <v>1288</v>
      </c>
      <c r="G321" s="571"/>
      <c r="H321" s="571"/>
      <c r="I321" s="571"/>
      <c r="J321" s="571"/>
      <c r="K321" s="571"/>
      <c r="L321" s="571"/>
      <c r="M321" s="571"/>
      <c r="N321" s="571"/>
      <c r="O321" s="571"/>
      <c r="P321" s="571"/>
      <c r="Q321" s="571"/>
      <c r="R321" s="571"/>
      <c r="S321" s="571"/>
      <c r="T321" s="571"/>
      <c r="U321" s="571"/>
      <c r="V321" s="571"/>
      <c r="W321" s="571"/>
      <c r="X321" s="571"/>
      <c r="Y321" s="571"/>
      <c r="Z321" s="571"/>
      <c r="AA321" s="571"/>
      <c r="AB321" s="571"/>
      <c r="AC321" s="571"/>
      <c r="AD321" s="571"/>
      <c r="AE321" s="571"/>
      <c r="AF321" s="571"/>
      <c r="AG321" s="571"/>
      <c r="AH321" s="571"/>
      <c r="AI321" s="571"/>
      <c r="AJ321" s="571"/>
      <c r="AK321" s="571"/>
      <c r="AL321" s="571"/>
      <c r="AM321" s="571"/>
      <c r="AN321" s="571"/>
      <c r="AO321" s="571"/>
    </row>
    <row r="322">
      <c r="B322" s="852" t="s">
        <v>1289</v>
      </c>
      <c r="G322" s="571"/>
      <c r="H322" s="571"/>
      <c r="I322" s="571"/>
      <c r="J322" s="571"/>
      <c r="K322" s="571"/>
      <c r="L322" s="571"/>
      <c r="M322" s="571"/>
      <c r="N322" s="571"/>
      <c r="O322" s="571"/>
      <c r="P322" s="571"/>
      <c r="Q322" s="571"/>
      <c r="R322" s="571"/>
      <c r="S322" s="571"/>
      <c r="T322" s="571"/>
      <c r="U322" s="571"/>
      <c r="V322" s="571"/>
      <c r="W322" s="571"/>
      <c r="X322" s="571"/>
      <c r="Y322" s="571"/>
      <c r="Z322" s="571"/>
      <c r="AA322" s="571"/>
      <c r="AB322" s="571"/>
      <c r="AC322" s="571"/>
      <c r="AD322" s="571"/>
      <c r="AE322" s="571"/>
      <c r="AF322" s="571"/>
      <c r="AG322" s="571"/>
      <c r="AH322" s="571"/>
      <c r="AI322" s="571"/>
      <c r="AJ322" s="571"/>
      <c r="AK322" s="571"/>
      <c r="AL322" s="571"/>
      <c r="AM322" s="571"/>
      <c r="AN322" s="571"/>
      <c r="AO322" s="571"/>
    </row>
    <row r="323">
      <c r="B323" s="852" t="s">
        <v>1290</v>
      </c>
      <c r="G323" s="571"/>
      <c r="H323" s="571"/>
      <c r="I323" s="571"/>
      <c r="J323" s="571"/>
      <c r="K323" s="571"/>
      <c r="L323" s="571"/>
      <c r="M323" s="571"/>
      <c r="N323" s="571"/>
      <c r="O323" s="571"/>
      <c r="P323" s="571"/>
      <c r="Q323" s="571"/>
      <c r="R323" s="571"/>
      <c r="S323" s="571"/>
      <c r="T323" s="571"/>
      <c r="U323" s="571"/>
      <c r="V323" s="571"/>
      <c r="W323" s="571"/>
      <c r="X323" s="571"/>
      <c r="Y323" s="571"/>
      <c r="Z323" s="571"/>
      <c r="AA323" s="571"/>
      <c r="AB323" s="571"/>
      <c r="AC323" s="571"/>
      <c r="AD323" s="571"/>
      <c r="AE323" s="571"/>
      <c r="AF323" s="571"/>
      <c r="AG323" s="571"/>
      <c r="AH323" s="571"/>
      <c r="AI323" s="571"/>
      <c r="AJ323" s="571"/>
      <c r="AK323" s="571"/>
      <c r="AL323" s="571"/>
      <c r="AM323" s="571"/>
      <c r="AN323" s="571"/>
      <c r="AO323" s="571"/>
    </row>
    <row r="324">
      <c r="B324" s="855" t="s">
        <v>1291</v>
      </c>
      <c r="G324" s="571"/>
      <c r="H324" s="571"/>
      <c r="I324" s="571"/>
      <c r="J324" s="571"/>
      <c r="K324" s="571"/>
      <c r="L324" s="571"/>
      <c r="M324" s="571"/>
      <c r="N324" s="571"/>
      <c r="O324" s="571"/>
      <c r="P324" s="571"/>
      <c r="Q324" s="571"/>
      <c r="R324" s="571"/>
      <c r="S324" s="571"/>
      <c r="T324" s="571"/>
      <c r="U324" s="571"/>
      <c r="V324" s="571"/>
      <c r="W324" s="571"/>
      <c r="X324" s="571"/>
      <c r="Y324" s="571"/>
      <c r="Z324" s="571"/>
      <c r="AA324" s="571"/>
      <c r="AB324" s="571"/>
      <c r="AC324" s="571"/>
      <c r="AD324" s="571"/>
      <c r="AE324" s="571"/>
      <c r="AF324" s="571"/>
      <c r="AG324" s="571"/>
      <c r="AH324" s="571"/>
      <c r="AI324" s="571"/>
      <c r="AJ324" s="571"/>
      <c r="AK324" s="571"/>
      <c r="AL324" s="571"/>
      <c r="AM324" s="571"/>
      <c r="AN324" s="571"/>
      <c r="AO324" s="571"/>
    </row>
    <row r="325">
      <c r="B325" s="855" t="s">
        <v>1292</v>
      </c>
      <c r="G325" s="571"/>
      <c r="H325" s="571"/>
      <c r="I325" s="571"/>
      <c r="J325" s="571"/>
      <c r="K325" s="571"/>
      <c r="L325" s="571"/>
      <c r="M325" s="571"/>
      <c r="N325" s="571"/>
      <c r="O325" s="571"/>
      <c r="P325" s="571"/>
      <c r="Q325" s="571"/>
      <c r="R325" s="571"/>
      <c r="S325" s="571"/>
      <c r="T325" s="571"/>
      <c r="U325" s="571"/>
      <c r="V325" s="571"/>
      <c r="W325" s="571"/>
      <c r="X325" s="571"/>
      <c r="Y325" s="571"/>
      <c r="Z325" s="571"/>
      <c r="AA325" s="571"/>
      <c r="AB325" s="571"/>
      <c r="AC325" s="571"/>
      <c r="AD325" s="571"/>
      <c r="AE325" s="571"/>
      <c r="AF325" s="571"/>
      <c r="AG325" s="571"/>
      <c r="AH325" s="571"/>
      <c r="AI325" s="571"/>
      <c r="AJ325" s="571"/>
      <c r="AK325" s="571"/>
      <c r="AL325" s="571"/>
      <c r="AM325" s="571"/>
      <c r="AN325" s="571"/>
      <c r="AO325" s="571"/>
    </row>
    <row r="326">
      <c r="B326" s="852" t="s">
        <v>1293</v>
      </c>
      <c r="G326" s="571"/>
      <c r="H326" s="571"/>
      <c r="I326" s="571"/>
      <c r="J326" s="571"/>
      <c r="K326" s="571"/>
      <c r="L326" s="571"/>
      <c r="M326" s="571"/>
      <c r="N326" s="571"/>
      <c r="O326" s="571"/>
      <c r="P326" s="571"/>
      <c r="Q326" s="571"/>
      <c r="R326" s="571"/>
      <c r="S326" s="571"/>
      <c r="T326" s="571"/>
      <c r="U326" s="571"/>
      <c r="V326" s="571"/>
      <c r="W326" s="571"/>
      <c r="X326" s="571"/>
      <c r="Y326" s="571"/>
      <c r="Z326" s="571"/>
      <c r="AA326" s="571"/>
      <c r="AB326" s="571"/>
      <c r="AC326" s="571"/>
      <c r="AD326" s="571"/>
      <c r="AE326" s="571"/>
      <c r="AF326" s="571"/>
      <c r="AG326" s="571"/>
      <c r="AH326" s="571"/>
      <c r="AI326" s="571"/>
      <c r="AJ326" s="571"/>
      <c r="AK326" s="571"/>
      <c r="AL326" s="571"/>
      <c r="AM326" s="571"/>
      <c r="AN326" s="571"/>
      <c r="AO326" s="571"/>
    </row>
    <row r="327">
      <c r="B327" s="852" t="s">
        <v>1294</v>
      </c>
      <c r="G327" s="571"/>
      <c r="H327" s="571"/>
      <c r="I327" s="571"/>
      <c r="J327" s="571"/>
      <c r="K327" s="571"/>
      <c r="L327" s="571"/>
      <c r="M327" s="571"/>
      <c r="N327" s="571"/>
      <c r="O327" s="571"/>
      <c r="P327" s="571"/>
      <c r="Q327" s="571"/>
      <c r="R327" s="571"/>
      <c r="S327" s="571"/>
      <c r="T327" s="571"/>
      <c r="U327" s="571"/>
      <c r="V327" s="571"/>
      <c r="W327" s="571"/>
      <c r="X327" s="571"/>
      <c r="Y327" s="571"/>
      <c r="Z327" s="571"/>
      <c r="AA327" s="571"/>
      <c r="AB327" s="571"/>
      <c r="AC327" s="571"/>
      <c r="AD327" s="571"/>
      <c r="AE327" s="571"/>
      <c r="AF327" s="571"/>
      <c r="AG327" s="571"/>
      <c r="AH327" s="571"/>
      <c r="AI327" s="571"/>
      <c r="AJ327" s="571"/>
      <c r="AK327" s="571"/>
      <c r="AL327" s="571"/>
      <c r="AM327" s="571"/>
      <c r="AN327" s="571"/>
      <c r="AO327" s="571"/>
    </row>
    <row r="328">
      <c r="B328" s="852" t="s">
        <v>1295</v>
      </c>
      <c r="G328" s="571"/>
      <c r="H328" s="571"/>
      <c r="I328" s="571"/>
      <c r="J328" s="571"/>
      <c r="K328" s="571"/>
      <c r="L328" s="571"/>
      <c r="M328" s="571"/>
      <c r="N328" s="571"/>
      <c r="O328" s="571"/>
      <c r="P328" s="571"/>
      <c r="Q328" s="571"/>
      <c r="R328" s="571"/>
      <c r="S328" s="571"/>
      <c r="T328" s="571"/>
      <c r="U328" s="571"/>
      <c r="V328" s="571"/>
      <c r="W328" s="571"/>
      <c r="X328" s="571"/>
      <c r="Y328" s="571"/>
      <c r="Z328" s="571"/>
      <c r="AA328" s="571"/>
      <c r="AB328" s="571"/>
      <c r="AC328" s="571"/>
      <c r="AD328" s="571"/>
      <c r="AE328" s="571"/>
      <c r="AF328" s="571"/>
      <c r="AG328" s="571"/>
      <c r="AH328" s="571"/>
      <c r="AI328" s="571"/>
      <c r="AJ328" s="571"/>
      <c r="AK328" s="571"/>
      <c r="AL328" s="571"/>
      <c r="AM328" s="571"/>
      <c r="AN328" s="571"/>
      <c r="AO328" s="571"/>
    </row>
    <row r="329">
      <c r="A329" s="850" t="s">
        <v>1310</v>
      </c>
      <c r="B329" s="851" t="s">
        <v>1287</v>
      </c>
      <c r="G329" s="571"/>
      <c r="H329" s="571"/>
      <c r="I329" s="571"/>
      <c r="J329" s="571"/>
      <c r="K329" s="571"/>
      <c r="L329" s="571"/>
      <c r="M329" s="571"/>
      <c r="N329" s="571"/>
      <c r="O329" s="571"/>
      <c r="P329" s="571"/>
      <c r="Q329" s="571"/>
      <c r="R329" s="571"/>
      <c r="S329" s="571"/>
      <c r="T329" s="571"/>
      <c r="U329" s="571"/>
      <c r="V329" s="571"/>
      <c r="W329" s="571"/>
      <c r="X329" s="571"/>
      <c r="Y329" s="571"/>
      <c r="Z329" s="571"/>
      <c r="AA329" s="571"/>
      <c r="AB329" s="571"/>
      <c r="AC329" s="571"/>
      <c r="AD329" s="571"/>
      <c r="AE329" s="571"/>
      <c r="AF329" s="571"/>
      <c r="AG329" s="571"/>
      <c r="AH329" s="571"/>
      <c r="AI329" s="571"/>
      <c r="AJ329" s="571"/>
      <c r="AK329" s="571"/>
      <c r="AL329" s="571"/>
      <c r="AM329" s="571"/>
      <c r="AN329" s="571"/>
      <c r="AO329" s="571"/>
    </row>
    <row r="330">
      <c r="B330" s="852" t="s">
        <v>1288</v>
      </c>
      <c r="G330" s="571"/>
      <c r="H330" s="571"/>
      <c r="I330" s="571"/>
      <c r="J330" s="571"/>
      <c r="K330" s="571"/>
      <c r="L330" s="571"/>
      <c r="M330" s="571"/>
      <c r="N330" s="571"/>
      <c r="O330" s="571"/>
      <c r="P330" s="571"/>
      <c r="Q330" s="571"/>
      <c r="R330" s="571"/>
      <c r="S330" s="571"/>
      <c r="T330" s="571"/>
      <c r="U330" s="571"/>
      <c r="V330" s="571"/>
      <c r="W330" s="571"/>
      <c r="X330" s="571"/>
      <c r="Y330" s="571"/>
      <c r="Z330" s="571"/>
      <c r="AA330" s="571"/>
      <c r="AB330" s="571"/>
      <c r="AC330" s="571"/>
      <c r="AD330" s="571"/>
      <c r="AE330" s="571"/>
      <c r="AF330" s="571"/>
      <c r="AG330" s="571"/>
      <c r="AH330" s="571"/>
      <c r="AI330" s="571"/>
      <c r="AJ330" s="571"/>
      <c r="AK330" s="571"/>
      <c r="AL330" s="571"/>
      <c r="AM330" s="571"/>
      <c r="AN330" s="571"/>
      <c r="AO330" s="571"/>
    </row>
    <row r="331">
      <c r="B331" s="852" t="s">
        <v>1289</v>
      </c>
      <c r="G331" s="571"/>
      <c r="H331" s="571"/>
      <c r="I331" s="571"/>
      <c r="J331" s="571"/>
      <c r="K331" s="571"/>
      <c r="L331" s="571"/>
      <c r="M331" s="571"/>
      <c r="N331" s="571"/>
      <c r="O331" s="571"/>
      <c r="P331" s="571"/>
      <c r="Q331" s="571"/>
      <c r="R331" s="571"/>
      <c r="S331" s="571"/>
      <c r="T331" s="571"/>
      <c r="U331" s="571"/>
      <c r="V331" s="571"/>
      <c r="W331" s="571"/>
      <c r="X331" s="571"/>
      <c r="Y331" s="571"/>
      <c r="Z331" s="571"/>
      <c r="AA331" s="571"/>
      <c r="AB331" s="571"/>
      <c r="AC331" s="571"/>
      <c r="AD331" s="571"/>
      <c r="AE331" s="571"/>
      <c r="AF331" s="571"/>
      <c r="AG331" s="571"/>
      <c r="AH331" s="571"/>
      <c r="AI331" s="571"/>
      <c r="AJ331" s="571"/>
      <c r="AK331" s="571"/>
      <c r="AL331" s="571"/>
      <c r="AM331" s="571"/>
      <c r="AN331" s="571"/>
      <c r="AO331" s="571"/>
    </row>
    <row r="332">
      <c r="B332" s="852" t="s">
        <v>1290</v>
      </c>
      <c r="G332" s="571"/>
      <c r="H332" s="571"/>
      <c r="I332" s="571"/>
      <c r="J332" s="571"/>
      <c r="K332" s="571"/>
      <c r="L332" s="571"/>
      <c r="M332" s="571"/>
      <c r="N332" s="571"/>
      <c r="O332" s="571"/>
      <c r="P332" s="571"/>
      <c r="Q332" s="571"/>
      <c r="R332" s="571"/>
      <c r="S332" s="571"/>
      <c r="T332" s="571"/>
      <c r="U332" s="571"/>
      <c r="V332" s="571"/>
      <c r="W332" s="571"/>
      <c r="X332" s="571"/>
      <c r="Y332" s="571"/>
      <c r="Z332" s="571"/>
      <c r="AA332" s="571"/>
      <c r="AB332" s="571"/>
      <c r="AC332" s="571"/>
      <c r="AD332" s="571"/>
      <c r="AE332" s="571"/>
      <c r="AF332" s="571"/>
      <c r="AG332" s="571"/>
      <c r="AH332" s="571"/>
      <c r="AI332" s="571"/>
      <c r="AJ332" s="571"/>
      <c r="AK332" s="571"/>
      <c r="AL332" s="571"/>
      <c r="AM332" s="571"/>
      <c r="AN332" s="571"/>
      <c r="AO332" s="571"/>
    </row>
    <row r="333">
      <c r="B333" s="855" t="s">
        <v>1291</v>
      </c>
      <c r="G333" s="571"/>
      <c r="H333" s="571"/>
      <c r="I333" s="571"/>
      <c r="J333" s="571"/>
      <c r="K333" s="571"/>
      <c r="L333" s="571"/>
      <c r="M333" s="571"/>
      <c r="N333" s="571"/>
      <c r="O333" s="571"/>
      <c r="P333" s="571"/>
      <c r="Q333" s="571"/>
      <c r="R333" s="571"/>
      <c r="S333" s="571"/>
      <c r="T333" s="571"/>
      <c r="U333" s="571"/>
      <c r="V333" s="571"/>
      <c r="W333" s="571"/>
      <c r="X333" s="571"/>
      <c r="Y333" s="571"/>
      <c r="Z333" s="571"/>
      <c r="AA333" s="571"/>
      <c r="AB333" s="571"/>
      <c r="AC333" s="571"/>
      <c r="AD333" s="571"/>
      <c r="AE333" s="571"/>
      <c r="AF333" s="571"/>
      <c r="AG333" s="571"/>
      <c r="AH333" s="571"/>
      <c r="AI333" s="571"/>
      <c r="AJ333" s="571"/>
      <c r="AK333" s="571"/>
      <c r="AL333" s="571"/>
      <c r="AM333" s="571"/>
      <c r="AN333" s="571"/>
      <c r="AO333" s="571"/>
    </row>
    <row r="334">
      <c r="B334" s="855" t="s">
        <v>1292</v>
      </c>
      <c r="G334" s="571"/>
      <c r="H334" s="571"/>
      <c r="I334" s="571"/>
      <c r="J334" s="571"/>
      <c r="K334" s="571"/>
      <c r="L334" s="571"/>
      <c r="M334" s="571"/>
      <c r="N334" s="571"/>
      <c r="O334" s="571"/>
      <c r="P334" s="571"/>
      <c r="Q334" s="571"/>
      <c r="R334" s="571"/>
      <c r="S334" s="571"/>
      <c r="T334" s="571"/>
      <c r="U334" s="571"/>
      <c r="V334" s="571"/>
      <c r="W334" s="571"/>
      <c r="X334" s="571"/>
      <c r="Y334" s="571"/>
      <c r="Z334" s="571"/>
      <c r="AA334" s="571"/>
      <c r="AB334" s="571"/>
      <c r="AC334" s="571"/>
      <c r="AD334" s="571"/>
      <c r="AE334" s="571"/>
      <c r="AF334" s="571"/>
      <c r="AG334" s="571"/>
      <c r="AH334" s="571"/>
      <c r="AI334" s="571"/>
      <c r="AJ334" s="571"/>
      <c r="AK334" s="571"/>
      <c r="AL334" s="571"/>
      <c r="AM334" s="571"/>
      <c r="AN334" s="571"/>
      <c r="AO334" s="571"/>
    </row>
    <row r="335">
      <c r="B335" s="852" t="s">
        <v>1293</v>
      </c>
      <c r="G335" s="571"/>
      <c r="H335" s="571"/>
      <c r="I335" s="571"/>
      <c r="J335" s="571"/>
      <c r="K335" s="571"/>
      <c r="L335" s="571"/>
      <c r="M335" s="571"/>
      <c r="N335" s="571"/>
      <c r="O335" s="571"/>
      <c r="P335" s="571"/>
      <c r="Q335" s="571"/>
      <c r="R335" s="571"/>
      <c r="S335" s="571"/>
      <c r="T335" s="571"/>
      <c r="U335" s="571"/>
      <c r="V335" s="571"/>
      <c r="W335" s="571"/>
      <c r="X335" s="571"/>
      <c r="Y335" s="571"/>
      <c r="Z335" s="571"/>
      <c r="AA335" s="571"/>
      <c r="AB335" s="571"/>
      <c r="AC335" s="571"/>
      <c r="AD335" s="571"/>
      <c r="AE335" s="571"/>
      <c r="AF335" s="571"/>
      <c r="AG335" s="571"/>
      <c r="AH335" s="571"/>
      <c r="AI335" s="571"/>
      <c r="AJ335" s="571"/>
      <c r="AK335" s="571"/>
      <c r="AL335" s="571"/>
      <c r="AM335" s="571"/>
      <c r="AN335" s="571"/>
      <c r="AO335" s="571"/>
    </row>
    <row r="336">
      <c r="B336" s="852" t="s">
        <v>1294</v>
      </c>
      <c r="G336" s="571"/>
      <c r="H336" s="571"/>
      <c r="I336" s="571"/>
      <c r="J336" s="571"/>
      <c r="K336" s="571"/>
      <c r="L336" s="571"/>
      <c r="M336" s="571"/>
      <c r="N336" s="571"/>
      <c r="O336" s="571"/>
      <c r="P336" s="571"/>
      <c r="Q336" s="571"/>
      <c r="R336" s="571"/>
      <c r="S336" s="571"/>
      <c r="T336" s="571"/>
      <c r="U336" s="571"/>
      <c r="V336" s="571"/>
      <c r="W336" s="571"/>
      <c r="X336" s="571"/>
      <c r="Y336" s="571"/>
      <c r="Z336" s="571"/>
      <c r="AA336" s="571"/>
      <c r="AB336" s="571"/>
      <c r="AC336" s="571"/>
      <c r="AD336" s="571"/>
      <c r="AE336" s="571"/>
      <c r="AF336" s="571"/>
      <c r="AG336" s="571"/>
      <c r="AH336" s="571"/>
      <c r="AI336" s="571"/>
      <c r="AJ336" s="571"/>
      <c r="AK336" s="571"/>
      <c r="AL336" s="571"/>
      <c r="AM336" s="571"/>
      <c r="AN336" s="571"/>
      <c r="AO336" s="571"/>
    </row>
    <row r="337">
      <c r="B337" s="852" t="s">
        <v>1295</v>
      </c>
      <c r="G337" s="571"/>
      <c r="H337" s="571"/>
      <c r="I337" s="571"/>
      <c r="J337" s="571"/>
      <c r="K337" s="571"/>
      <c r="L337" s="571"/>
      <c r="M337" s="571"/>
      <c r="N337" s="571"/>
      <c r="O337" s="571"/>
      <c r="P337" s="571"/>
      <c r="Q337" s="571"/>
      <c r="R337" s="571"/>
      <c r="S337" s="571"/>
      <c r="T337" s="571"/>
      <c r="U337" s="571"/>
      <c r="V337" s="571"/>
      <c r="W337" s="571"/>
      <c r="X337" s="571"/>
      <c r="Y337" s="571"/>
      <c r="Z337" s="571"/>
      <c r="AA337" s="571"/>
      <c r="AB337" s="571"/>
      <c r="AC337" s="571"/>
      <c r="AD337" s="571"/>
      <c r="AE337" s="571"/>
      <c r="AF337" s="571"/>
      <c r="AG337" s="571"/>
      <c r="AH337" s="571"/>
      <c r="AI337" s="571"/>
      <c r="AJ337" s="571"/>
      <c r="AK337" s="571"/>
      <c r="AL337" s="571"/>
      <c r="AM337" s="571"/>
      <c r="AN337" s="571"/>
      <c r="AO337" s="571"/>
    </row>
    <row r="338">
      <c r="G338" s="571"/>
      <c r="H338" s="571"/>
      <c r="I338" s="571"/>
      <c r="J338" s="571"/>
      <c r="K338" s="571"/>
      <c r="L338" s="571"/>
      <c r="M338" s="571"/>
      <c r="N338" s="571"/>
      <c r="O338" s="571"/>
      <c r="P338" s="571"/>
      <c r="Q338" s="571"/>
      <c r="R338" s="571"/>
      <c r="S338" s="571"/>
      <c r="T338" s="571"/>
      <c r="U338" s="571"/>
      <c r="V338" s="571"/>
      <c r="W338" s="571"/>
      <c r="X338" s="571"/>
      <c r="Y338" s="571"/>
      <c r="Z338" s="571"/>
      <c r="AA338" s="571"/>
      <c r="AB338" s="571"/>
      <c r="AC338" s="571"/>
      <c r="AD338" s="571"/>
      <c r="AE338" s="571"/>
      <c r="AF338" s="571"/>
      <c r="AG338" s="571"/>
      <c r="AH338" s="571"/>
      <c r="AI338" s="571"/>
      <c r="AJ338" s="571"/>
      <c r="AK338" s="571"/>
      <c r="AL338" s="571"/>
      <c r="AM338" s="571"/>
      <c r="AN338" s="571"/>
      <c r="AO338" s="571"/>
    </row>
    <row r="339">
      <c r="G339" s="571"/>
      <c r="H339" s="571"/>
      <c r="I339" s="571"/>
      <c r="J339" s="571"/>
      <c r="K339" s="571"/>
      <c r="L339" s="571"/>
      <c r="M339" s="571"/>
      <c r="N339" s="571"/>
      <c r="O339" s="571"/>
      <c r="P339" s="571"/>
      <c r="Q339" s="571"/>
      <c r="R339" s="571"/>
      <c r="S339" s="571"/>
      <c r="T339" s="571"/>
      <c r="U339" s="571"/>
      <c r="V339" s="571"/>
      <c r="W339" s="571"/>
      <c r="X339" s="571"/>
      <c r="Y339" s="571"/>
      <c r="Z339" s="571"/>
      <c r="AA339" s="571"/>
      <c r="AB339" s="571"/>
      <c r="AC339" s="571"/>
      <c r="AD339" s="571"/>
      <c r="AE339" s="571"/>
      <c r="AF339" s="571"/>
      <c r="AG339" s="571"/>
      <c r="AH339" s="571"/>
      <c r="AI339" s="571"/>
      <c r="AJ339" s="571"/>
      <c r="AK339" s="571"/>
      <c r="AL339" s="571"/>
      <c r="AM339" s="571"/>
      <c r="AN339" s="571"/>
      <c r="AO339" s="571"/>
    </row>
    <row r="340">
      <c r="G340" s="571"/>
      <c r="H340" s="571"/>
      <c r="I340" s="571"/>
      <c r="J340" s="571"/>
      <c r="K340" s="571"/>
      <c r="L340" s="571"/>
      <c r="M340" s="571"/>
      <c r="N340" s="571"/>
      <c r="O340" s="571"/>
      <c r="P340" s="571"/>
      <c r="Q340" s="571"/>
      <c r="R340" s="571"/>
      <c r="S340" s="571"/>
      <c r="T340" s="571"/>
      <c r="U340" s="571"/>
      <c r="V340" s="571"/>
      <c r="W340" s="571"/>
      <c r="X340" s="571"/>
      <c r="Y340" s="571"/>
      <c r="Z340" s="571"/>
      <c r="AA340" s="571"/>
      <c r="AB340" s="571"/>
      <c r="AC340" s="571"/>
      <c r="AD340" s="571"/>
      <c r="AE340" s="571"/>
      <c r="AF340" s="571"/>
      <c r="AG340" s="571"/>
      <c r="AH340" s="571"/>
      <c r="AI340" s="571"/>
      <c r="AJ340" s="571"/>
      <c r="AK340" s="571"/>
      <c r="AL340" s="571"/>
      <c r="AM340" s="571"/>
      <c r="AN340" s="571"/>
      <c r="AO340" s="571"/>
    </row>
    <row r="341">
      <c r="G341" s="571"/>
      <c r="H341" s="571"/>
      <c r="I341" s="571"/>
      <c r="J341" s="571"/>
      <c r="K341" s="571"/>
      <c r="L341" s="571"/>
      <c r="M341" s="571"/>
      <c r="N341" s="571"/>
      <c r="O341" s="571"/>
      <c r="P341" s="571"/>
      <c r="Q341" s="571"/>
      <c r="R341" s="571"/>
      <c r="S341" s="571"/>
      <c r="T341" s="571"/>
      <c r="U341" s="571"/>
      <c r="V341" s="571"/>
      <c r="W341" s="571"/>
      <c r="X341" s="571"/>
      <c r="Y341" s="571"/>
      <c r="Z341" s="571"/>
      <c r="AA341" s="571"/>
      <c r="AB341" s="571"/>
      <c r="AC341" s="571"/>
      <c r="AD341" s="571"/>
      <c r="AE341" s="571"/>
      <c r="AF341" s="571"/>
      <c r="AG341" s="571"/>
      <c r="AH341" s="571"/>
      <c r="AI341" s="571"/>
      <c r="AJ341" s="571"/>
      <c r="AK341" s="571"/>
      <c r="AL341" s="571"/>
      <c r="AM341" s="571"/>
      <c r="AN341" s="571"/>
      <c r="AO341" s="571"/>
    </row>
    <row r="342">
      <c r="G342" s="571"/>
      <c r="H342" s="571"/>
      <c r="I342" s="571"/>
      <c r="J342" s="571"/>
      <c r="K342" s="571"/>
      <c r="L342" s="571"/>
      <c r="M342" s="571"/>
      <c r="N342" s="571"/>
      <c r="O342" s="571"/>
      <c r="P342" s="571"/>
      <c r="Q342" s="571"/>
      <c r="R342" s="571"/>
      <c r="S342" s="571"/>
      <c r="T342" s="571"/>
      <c r="U342" s="571"/>
      <c r="V342" s="571"/>
      <c r="W342" s="571"/>
      <c r="X342" s="571"/>
      <c r="Y342" s="571"/>
      <c r="Z342" s="571"/>
      <c r="AA342" s="571"/>
      <c r="AB342" s="571"/>
      <c r="AC342" s="571"/>
      <c r="AD342" s="571"/>
      <c r="AE342" s="571"/>
      <c r="AF342" s="571"/>
      <c r="AG342" s="571"/>
      <c r="AH342" s="571"/>
      <c r="AI342" s="571"/>
      <c r="AJ342" s="571"/>
      <c r="AK342" s="571"/>
      <c r="AL342" s="571"/>
      <c r="AM342" s="571"/>
      <c r="AN342" s="571"/>
      <c r="AO342" s="571"/>
    </row>
    <row r="343">
      <c r="G343" s="571"/>
      <c r="H343" s="571"/>
      <c r="I343" s="571"/>
      <c r="J343" s="571"/>
      <c r="K343" s="571"/>
      <c r="L343" s="571"/>
      <c r="M343" s="571"/>
      <c r="N343" s="571"/>
      <c r="O343" s="571"/>
      <c r="P343" s="571"/>
      <c r="Q343" s="571"/>
      <c r="R343" s="571"/>
      <c r="S343" s="571"/>
      <c r="T343" s="571"/>
      <c r="U343" s="571"/>
      <c r="V343" s="571"/>
      <c r="W343" s="571"/>
      <c r="X343" s="571"/>
      <c r="Y343" s="571"/>
      <c r="Z343" s="571"/>
      <c r="AA343" s="571"/>
      <c r="AB343" s="571"/>
      <c r="AC343" s="571"/>
      <c r="AD343" s="571"/>
      <c r="AE343" s="571"/>
      <c r="AF343" s="571"/>
      <c r="AG343" s="571"/>
      <c r="AH343" s="571"/>
      <c r="AI343" s="571"/>
      <c r="AJ343" s="571"/>
      <c r="AK343" s="571"/>
      <c r="AL343" s="571"/>
      <c r="AM343" s="571"/>
      <c r="AN343" s="571"/>
      <c r="AO343" s="571"/>
    </row>
    <row r="344">
      <c r="G344" s="571"/>
      <c r="H344" s="571"/>
      <c r="I344" s="571"/>
      <c r="J344" s="571"/>
      <c r="K344" s="571"/>
      <c r="L344" s="571"/>
      <c r="M344" s="571"/>
      <c r="N344" s="571"/>
      <c r="O344" s="571"/>
      <c r="P344" s="571"/>
      <c r="Q344" s="571"/>
      <c r="R344" s="571"/>
      <c r="S344" s="571"/>
      <c r="T344" s="571"/>
      <c r="U344" s="571"/>
      <c r="V344" s="571"/>
      <c r="W344" s="571"/>
      <c r="X344" s="571"/>
      <c r="Y344" s="571"/>
      <c r="Z344" s="571"/>
      <c r="AA344" s="571"/>
      <c r="AB344" s="571"/>
      <c r="AC344" s="571"/>
      <c r="AD344" s="571"/>
      <c r="AE344" s="571"/>
      <c r="AF344" s="571"/>
      <c r="AG344" s="571"/>
      <c r="AH344" s="571"/>
      <c r="AI344" s="571"/>
      <c r="AJ344" s="571"/>
      <c r="AK344" s="571"/>
      <c r="AL344" s="571"/>
      <c r="AM344" s="571"/>
      <c r="AN344" s="571"/>
      <c r="AO344" s="571"/>
    </row>
    <row r="345">
      <c r="G345" s="571"/>
      <c r="H345" s="571"/>
      <c r="I345" s="571"/>
      <c r="J345" s="571"/>
      <c r="K345" s="571"/>
      <c r="L345" s="571"/>
      <c r="M345" s="571"/>
      <c r="N345" s="571"/>
      <c r="O345" s="571"/>
      <c r="P345" s="571"/>
      <c r="Q345" s="571"/>
      <c r="R345" s="571"/>
      <c r="S345" s="571"/>
      <c r="T345" s="571"/>
      <c r="U345" s="571"/>
      <c r="V345" s="571"/>
      <c r="W345" s="571"/>
      <c r="X345" s="571"/>
      <c r="Y345" s="571"/>
      <c r="Z345" s="571"/>
      <c r="AA345" s="571"/>
      <c r="AB345" s="571"/>
      <c r="AC345" s="571"/>
      <c r="AD345" s="571"/>
      <c r="AE345" s="571"/>
      <c r="AF345" s="571"/>
      <c r="AG345" s="571"/>
      <c r="AH345" s="571"/>
      <c r="AI345" s="571"/>
      <c r="AJ345" s="571"/>
      <c r="AK345" s="571"/>
      <c r="AL345" s="571"/>
      <c r="AM345" s="571"/>
      <c r="AN345" s="571"/>
      <c r="AO345" s="571"/>
    </row>
    <row r="346">
      <c r="G346" s="571"/>
      <c r="H346" s="571"/>
      <c r="I346" s="571"/>
      <c r="J346" s="571"/>
      <c r="K346" s="571"/>
      <c r="L346" s="571"/>
      <c r="M346" s="571"/>
      <c r="N346" s="571"/>
      <c r="O346" s="571"/>
      <c r="P346" s="571"/>
      <c r="Q346" s="571"/>
      <c r="R346" s="571"/>
      <c r="S346" s="571"/>
      <c r="T346" s="571"/>
      <c r="U346" s="571"/>
      <c r="V346" s="571"/>
      <c r="W346" s="571"/>
      <c r="X346" s="571"/>
      <c r="Y346" s="571"/>
      <c r="Z346" s="571"/>
      <c r="AA346" s="571"/>
      <c r="AB346" s="571"/>
      <c r="AC346" s="571"/>
      <c r="AD346" s="571"/>
      <c r="AE346" s="571"/>
      <c r="AF346" s="571"/>
      <c r="AG346" s="571"/>
      <c r="AH346" s="571"/>
      <c r="AI346" s="571"/>
      <c r="AJ346" s="571"/>
      <c r="AK346" s="571"/>
      <c r="AL346" s="571"/>
      <c r="AM346" s="571"/>
      <c r="AN346" s="571"/>
      <c r="AO346" s="571"/>
    </row>
    <row r="347">
      <c r="G347" s="571"/>
      <c r="H347" s="571"/>
      <c r="I347" s="571"/>
      <c r="J347" s="571"/>
      <c r="K347" s="571"/>
      <c r="L347" s="571"/>
      <c r="M347" s="571"/>
      <c r="N347" s="571"/>
      <c r="O347" s="571"/>
      <c r="P347" s="571"/>
      <c r="Q347" s="571"/>
      <c r="R347" s="571"/>
      <c r="S347" s="571"/>
      <c r="T347" s="571"/>
      <c r="U347" s="571"/>
      <c r="V347" s="571"/>
      <c r="W347" s="571"/>
      <c r="X347" s="571"/>
      <c r="Y347" s="571"/>
      <c r="Z347" s="571"/>
      <c r="AA347" s="571"/>
      <c r="AB347" s="571"/>
      <c r="AC347" s="571"/>
      <c r="AD347" s="571"/>
      <c r="AE347" s="571"/>
      <c r="AF347" s="571"/>
      <c r="AG347" s="571"/>
      <c r="AH347" s="571"/>
      <c r="AI347" s="571"/>
      <c r="AJ347" s="571"/>
      <c r="AK347" s="571"/>
      <c r="AL347" s="571"/>
      <c r="AM347" s="571"/>
      <c r="AN347" s="571"/>
      <c r="AO347" s="571"/>
    </row>
    <row r="348">
      <c r="G348" s="571"/>
      <c r="H348" s="571"/>
      <c r="I348" s="571"/>
      <c r="J348" s="571"/>
      <c r="K348" s="571"/>
      <c r="L348" s="571"/>
      <c r="M348" s="571"/>
      <c r="N348" s="571"/>
      <c r="O348" s="571"/>
      <c r="P348" s="571"/>
      <c r="Q348" s="571"/>
      <c r="R348" s="571"/>
      <c r="S348" s="571"/>
      <c r="T348" s="571"/>
      <c r="U348" s="571"/>
      <c r="V348" s="571"/>
      <c r="W348" s="571"/>
      <c r="X348" s="571"/>
      <c r="Y348" s="571"/>
      <c r="Z348" s="571"/>
      <c r="AA348" s="571"/>
      <c r="AB348" s="571"/>
      <c r="AC348" s="571"/>
      <c r="AD348" s="571"/>
      <c r="AE348" s="571"/>
      <c r="AF348" s="571"/>
      <c r="AG348" s="571"/>
      <c r="AH348" s="571"/>
      <c r="AI348" s="571"/>
      <c r="AJ348" s="571"/>
      <c r="AK348" s="571"/>
      <c r="AL348" s="571"/>
      <c r="AM348" s="571"/>
      <c r="AN348" s="571"/>
      <c r="AO348" s="571"/>
    </row>
    <row r="349">
      <c r="G349" s="571"/>
      <c r="H349" s="571"/>
      <c r="I349" s="571"/>
      <c r="J349" s="571"/>
      <c r="K349" s="571"/>
      <c r="L349" s="571"/>
      <c r="M349" s="571"/>
      <c r="N349" s="571"/>
      <c r="O349" s="571"/>
      <c r="P349" s="571"/>
      <c r="Q349" s="571"/>
      <c r="R349" s="571"/>
      <c r="S349" s="571"/>
      <c r="T349" s="571"/>
      <c r="U349" s="571"/>
      <c r="V349" s="571"/>
      <c r="W349" s="571"/>
      <c r="X349" s="571"/>
      <c r="Y349" s="571"/>
      <c r="Z349" s="571"/>
      <c r="AA349" s="571"/>
      <c r="AB349" s="571"/>
      <c r="AC349" s="571"/>
      <c r="AD349" s="571"/>
      <c r="AE349" s="571"/>
      <c r="AF349" s="571"/>
      <c r="AG349" s="571"/>
      <c r="AH349" s="571"/>
      <c r="AI349" s="571"/>
      <c r="AJ349" s="571"/>
      <c r="AK349" s="571"/>
      <c r="AL349" s="571"/>
      <c r="AM349" s="571"/>
      <c r="AN349" s="571"/>
      <c r="AO349" s="571"/>
    </row>
    <row r="350">
      <c r="G350" s="571"/>
      <c r="H350" s="571"/>
      <c r="I350" s="571"/>
      <c r="J350" s="571"/>
      <c r="K350" s="571"/>
      <c r="L350" s="571"/>
      <c r="M350" s="571"/>
      <c r="N350" s="571"/>
      <c r="O350" s="571"/>
      <c r="P350" s="571"/>
      <c r="Q350" s="571"/>
      <c r="R350" s="571"/>
      <c r="S350" s="571"/>
      <c r="T350" s="571"/>
      <c r="U350" s="571"/>
      <c r="V350" s="571"/>
      <c r="W350" s="571"/>
      <c r="X350" s="571"/>
      <c r="Y350" s="571"/>
      <c r="Z350" s="571"/>
      <c r="AA350" s="571"/>
      <c r="AB350" s="571"/>
      <c r="AC350" s="571"/>
      <c r="AD350" s="571"/>
      <c r="AE350" s="571"/>
      <c r="AF350" s="571"/>
      <c r="AG350" s="571"/>
      <c r="AH350" s="571"/>
      <c r="AI350" s="571"/>
      <c r="AJ350" s="571"/>
      <c r="AK350" s="571"/>
      <c r="AL350" s="571"/>
      <c r="AM350" s="571"/>
      <c r="AN350" s="571"/>
      <c r="AO350" s="571"/>
    </row>
    <row r="351">
      <c r="G351" s="571"/>
      <c r="H351" s="571"/>
      <c r="I351" s="571"/>
      <c r="J351" s="571"/>
      <c r="K351" s="571"/>
      <c r="L351" s="571"/>
      <c r="M351" s="571"/>
      <c r="N351" s="571"/>
      <c r="O351" s="571"/>
      <c r="P351" s="571"/>
      <c r="Q351" s="571"/>
      <c r="R351" s="571"/>
      <c r="S351" s="571"/>
      <c r="T351" s="571"/>
      <c r="U351" s="571"/>
      <c r="V351" s="571"/>
      <c r="W351" s="571"/>
      <c r="X351" s="571"/>
      <c r="Y351" s="571"/>
      <c r="Z351" s="571"/>
      <c r="AA351" s="571"/>
      <c r="AB351" s="571"/>
      <c r="AC351" s="571"/>
      <c r="AD351" s="571"/>
      <c r="AE351" s="571"/>
      <c r="AF351" s="571"/>
      <c r="AG351" s="571"/>
      <c r="AH351" s="571"/>
      <c r="AI351" s="571"/>
      <c r="AJ351" s="571"/>
      <c r="AK351" s="571"/>
      <c r="AL351" s="571"/>
      <c r="AM351" s="571"/>
      <c r="AN351" s="571"/>
      <c r="AO351" s="571"/>
    </row>
    <row r="352">
      <c r="G352" s="571"/>
      <c r="H352" s="571"/>
      <c r="I352" s="571"/>
      <c r="J352" s="571"/>
      <c r="K352" s="571"/>
      <c r="L352" s="571"/>
      <c r="M352" s="571"/>
      <c r="N352" s="571"/>
      <c r="O352" s="571"/>
      <c r="P352" s="571"/>
      <c r="Q352" s="571"/>
      <c r="R352" s="571"/>
      <c r="S352" s="571"/>
      <c r="T352" s="571"/>
      <c r="U352" s="571"/>
      <c r="V352" s="571"/>
      <c r="W352" s="571"/>
      <c r="X352" s="571"/>
      <c r="Y352" s="571"/>
      <c r="Z352" s="571"/>
      <c r="AA352" s="571"/>
      <c r="AB352" s="571"/>
      <c r="AC352" s="571"/>
      <c r="AD352" s="571"/>
      <c r="AE352" s="571"/>
      <c r="AF352" s="571"/>
      <c r="AG352" s="571"/>
      <c r="AH352" s="571"/>
      <c r="AI352" s="571"/>
      <c r="AJ352" s="571"/>
      <c r="AK352" s="571"/>
      <c r="AL352" s="571"/>
      <c r="AM352" s="571"/>
      <c r="AN352" s="571"/>
      <c r="AO352" s="571"/>
    </row>
    <row r="353">
      <c r="G353" s="571"/>
      <c r="H353" s="571"/>
      <c r="I353" s="571"/>
      <c r="J353" s="571"/>
      <c r="K353" s="571"/>
      <c r="L353" s="571"/>
      <c r="M353" s="571"/>
      <c r="N353" s="571"/>
      <c r="O353" s="571"/>
      <c r="P353" s="571"/>
      <c r="Q353" s="571"/>
      <c r="R353" s="571"/>
      <c r="S353" s="571"/>
      <c r="T353" s="571"/>
      <c r="U353" s="571"/>
      <c r="V353" s="571"/>
      <c r="W353" s="571"/>
      <c r="X353" s="571"/>
      <c r="Y353" s="571"/>
      <c r="Z353" s="571"/>
      <c r="AA353" s="571"/>
      <c r="AB353" s="571"/>
      <c r="AC353" s="571"/>
      <c r="AD353" s="571"/>
      <c r="AE353" s="571"/>
      <c r="AF353" s="571"/>
      <c r="AG353" s="571"/>
      <c r="AH353" s="571"/>
      <c r="AI353" s="571"/>
      <c r="AJ353" s="571"/>
      <c r="AK353" s="571"/>
      <c r="AL353" s="571"/>
      <c r="AM353" s="571"/>
      <c r="AN353" s="571"/>
      <c r="AO353" s="571"/>
    </row>
    <row r="354">
      <c r="G354" s="571"/>
      <c r="H354" s="571"/>
      <c r="I354" s="571"/>
      <c r="J354" s="571"/>
      <c r="K354" s="571"/>
      <c r="L354" s="571"/>
      <c r="M354" s="571"/>
      <c r="N354" s="571"/>
      <c r="O354" s="571"/>
      <c r="P354" s="571"/>
      <c r="Q354" s="571"/>
      <c r="R354" s="571"/>
      <c r="S354" s="571"/>
      <c r="T354" s="571"/>
      <c r="U354" s="571"/>
      <c r="V354" s="571"/>
      <c r="W354" s="571"/>
      <c r="X354" s="571"/>
      <c r="Y354" s="571"/>
      <c r="Z354" s="571"/>
      <c r="AA354" s="571"/>
      <c r="AB354" s="571"/>
      <c r="AC354" s="571"/>
      <c r="AD354" s="571"/>
      <c r="AE354" s="571"/>
      <c r="AF354" s="571"/>
      <c r="AG354" s="571"/>
      <c r="AH354" s="571"/>
      <c r="AI354" s="571"/>
      <c r="AJ354" s="571"/>
      <c r="AK354" s="571"/>
      <c r="AL354" s="571"/>
      <c r="AM354" s="571"/>
      <c r="AN354" s="571"/>
      <c r="AO354" s="571"/>
    </row>
    <row r="355">
      <c r="G355" s="571"/>
      <c r="H355" s="571"/>
      <c r="I355" s="571"/>
      <c r="J355" s="571"/>
      <c r="K355" s="571"/>
      <c r="L355" s="571"/>
      <c r="M355" s="571"/>
      <c r="N355" s="571"/>
      <c r="O355" s="571"/>
      <c r="P355" s="571"/>
      <c r="Q355" s="571"/>
      <c r="R355" s="571"/>
      <c r="S355" s="571"/>
      <c r="T355" s="571"/>
      <c r="U355" s="571"/>
      <c r="V355" s="571"/>
      <c r="W355" s="571"/>
      <c r="X355" s="571"/>
      <c r="Y355" s="571"/>
      <c r="Z355" s="571"/>
      <c r="AA355" s="571"/>
      <c r="AB355" s="571"/>
      <c r="AC355" s="571"/>
      <c r="AD355" s="571"/>
      <c r="AE355" s="571"/>
      <c r="AF355" s="571"/>
      <c r="AG355" s="571"/>
      <c r="AH355" s="571"/>
      <c r="AI355" s="571"/>
      <c r="AJ355" s="571"/>
      <c r="AK355" s="571"/>
      <c r="AL355" s="571"/>
      <c r="AM355" s="571"/>
      <c r="AN355" s="571"/>
      <c r="AO355" s="571"/>
    </row>
    <row r="356">
      <c r="G356" s="571"/>
      <c r="H356" s="571"/>
      <c r="I356" s="571"/>
      <c r="J356" s="571"/>
      <c r="K356" s="571"/>
      <c r="L356" s="571"/>
      <c r="M356" s="571"/>
      <c r="N356" s="571"/>
      <c r="O356" s="571"/>
      <c r="P356" s="571"/>
      <c r="Q356" s="571"/>
      <c r="R356" s="571"/>
      <c r="S356" s="571"/>
      <c r="T356" s="571"/>
      <c r="U356" s="571"/>
      <c r="V356" s="571"/>
      <c r="W356" s="571"/>
      <c r="X356" s="571"/>
      <c r="Y356" s="571"/>
      <c r="Z356" s="571"/>
      <c r="AA356" s="571"/>
      <c r="AB356" s="571"/>
      <c r="AC356" s="571"/>
      <c r="AD356" s="571"/>
      <c r="AE356" s="571"/>
      <c r="AF356" s="571"/>
      <c r="AG356" s="571"/>
      <c r="AH356" s="571"/>
      <c r="AI356" s="571"/>
      <c r="AJ356" s="571"/>
      <c r="AK356" s="571"/>
      <c r="AL356" s="571"/>
      <c r="AM356" s="571"/>
      <c r="AN356" s="571"/>
      <c r="AO356" s="571"/>
    </row>
    <row r="357">
      <c r="G357" s="571"/>
      <c r="H357" s="571"/>
      <c r="I357" s="571"/>
      <c r="J357" s="571"/>
      <c r="K357" s="571"/>
      <c r="L357" s="571"/>
      <c r="M357" s="571"/>
      <c r="N357" s="571"/>
      <c r="O357" s="571"/>
      <c r="P357" s="571"/>
      <c r="Q357" s="571"/>
      <c r="R357" s="571"/>
      <c r="S357" s="571"/>
      <c r="T357" s="571"/>
      <c r="U357" s="571"/>
      <c r="V357" s="571"/>
      <c r="W357" s="571"/>
      <c r="X357" s="571"/>
      <c r="Y357" s="571"/>
      <c r="Z357" s="571"/>
      <c r="AA357" s="571"/>
      <c r="AB357" s="571"/>
      <c r="AC357" s="571"/>
      <c r="AD357" s="571"/>
      <c r="AE357" s="571"/>
      <c r="AF357" s="571"/>
      <c r="AG357" s="571"/>
      <c r="AH357" s="571"/>
      <c r="AI357" s="571"/>
      <c r="AJ357" s="571"/>
      <c r="AK357" s="571"/>
      <c r="AL357" s="571"/>
      <c r="AM357" s="571"/>
      <c r="AN357" s="571"/>
      <c r="AO357" s="571"/>
    </row>
    <row r="358">
      <c r="G358" s="571"/>
      <c r="H358" s="571"/>
      <c r="I358" s="571"/>
      <c r="J358" s="571"/>
      <c r="K358" s="571"/>
      <c r="L358" s="571"/>
      <c r="M358" s="571"/>
      <c r="N358" s="571"/>
      <c r="O358" s="571"/>
      <c r="P358" s="571"/>
      <c r="Q358" s="571"/>
      <c r="R358" s="571"/>
      <c r="S358" s="571"/>
      <c r="T358" s="571"/>
      <c r="U358" s="571"/>
      <c r="V358" s="571"/>
      <c r="W358" s="571"/>
      <c r="X358" s="571"/>
      <c r="Y358" s="571"/>
      <c r="Z358" s="571"/>
      <c r="AA358" s="571"/>
      <c r="AB358" s="571"/>
      <c r="AC358" s="571"/>
      <c r="AD358" s="571"/>
      <c r="AE358" s="571"/>
      <c r="AF358" s="571"/>
      <c r="AG358" s="571"/>
      <c r="AH358" s="571"/>
      <c r="AI358" s="571"/>
      <c r="AJ358" s="571"/>
      <c r="AK358" s="571"/>
      <c r="AL358" s="571"/>
      <c r="AM358" s="571"/>
      <c r="AN358" s="571"/>
      <c r="AO358" s="571"/>
    </row>
    <row r="359">
      <c r="G359" s="571"/>
      <c r="H359" s="571"/>
      <c r="I359" s="571"/>
      <c r="J359" s="571"/>
      <c r="K359" s="571"/>
      <c r="L359" s="571"/>
      <c r="M359" s="571"/>
      <c r="N359" s="571"/>
      <c r="O359" s="571"/>
      <c r="P359" s="571"/>
      <c r="Q359" s="571"/>
      <c r="R359" s="571"/>
      <c r="S359" s="571"/>
      <c r="T359" s="571"/>
      <c r="U359" s="571"/>
      <c r="V359" s="571"/>
      <c r="W359" s="571"/>
      <c r="X359" s="571"/>
      <c r="Y359" s="571"/>
      <c r="Z359" s="571"/>
      <c r="AA359" s="571"/>
      <c r="AB359" s="571"/>
      <c r="AC359" s="571"/>
      <c r="AD359" s="571"/>
      <c r="AE359" s="571"/>
      <c r="AF359" s="571"/>
      <c r="AG359" s="571"/>
      <c r="AH359" s="571"/>
      <c r="AI359" s="571"/>
      <c r="AJ359" s="571"/>
      <c r="AK359" s="571"/>
      <c r="AL359" s="571"/>
      <c r="AM359" s="571"/>
      <c r="AN359" s="571"/>
      <c r="AO359" s="571"/>
    </row>
    <row r="360">
      <c r="G360" s="571"/>
      <c r="H360" s="571"/>
      <c r="I360" s="571"/>
      <c r="J360" s="571"/>
      <c r="K360" s="571"/>
      <c r="L360" s="571"/>
      <c r="M360" s="571"/>
      <c r="N360" s="571"/>
      <c r="O360" s="571"/>
      <c r="P360" s="571"/>
      <c r="Q360" s="571"/>
      <c r="R360" s="571"/>
      <c r="S360" s="571"/>
      <c r="T360" s="571"/>
      <c r="U360" s="571"/>
      <c r="V360" s="571"/>
      <c r="W360" s="571"/>
      <c r="X360" s="571"/>
      <c r="Y360" s="571"/>
      <c r="Z360" s="571"/>
      <c r="AA360" s="571"/>
      <c r="AB360" s="571"/>
      <c r="AC360" s="571"/>
      <c r="AD360" s="571"/>
      <c r="AE360" s="571"/>
      <c r="AF360" s="571"/>
      <c r="AG360" s="571"/>
      <c r="AH360" s="571"/>
      <c r="AI360" s="571"/>
      <c r="AJ360" s="571"/>
      <c r="AK360" s="571"/>
      <c r="AL360" s="571"/>
      <c r="AM360" s="571"/>
      <c r="AN360" s="571"/>
      <c r="AO360" s="571"/>
    </row>
    <row r="361">
      <c r="G361" s="571"/>
      <c r="H361" s="571"/>
      <c r="I361" s="571"/>
      <c r="J361" s="571"/>
      <c r="K361" s="571"/>
      <c r="L361" s="571"/>
      <c r="M361" s="571"/>
      <c r="N361" s="571"/>
      <c r="O361" s="571"/>
      <c r="P361" s="571"/>
      <c r="Q361" s="571"/>
      <c r="R361" s="571"/>
      <c r="S361" s="571"/>
      <c r="T361" s="571"/>
      <c r="U361" s="571"/>
      <c r="V361" s="571"/>
      <c r="W361" s="571"/>
      <c r="X361" s="571"/>
      <c r="Y361" s="571"/>
      <c r="Z361" s="571"/>
      <c r="AA361" s="571"/>
      <c r="AB361" s="571"/>
      <c r="AC361" s="571"/>
      <c r="AD361" s="571"/>
      <c r="AE361" s="571"/>
      <c r="AF361" s="571"/>
      <c r="AG361" s="571"/>
      <c r="AH361" s="571"/>
      <c r="AI361" s="571"/>
      <c r="AJ361" s="571"/>
      <c r="AK361" s="571"/>
      <c r="AL361" s="571"/>
      <c r="AM361" s="571"/>
      <c r="AN361" s="571"/>
      <c r="AO361" s="571"/>
    </row>
    <row r="362">
      <c r="G362" s="571"/>
      <c r="H362" s="571"/>
      <c r="I362" s="571"/>
      <c r="J362" s="571"/>
      <c r="K362" s="571"/>
      <c r="L362" s="571"/>
      <c r="M362" s="571"/>
      <c r="N362" s="571"/>
      <c r="O362" s="571"/>
      <c r="P362" s="571"/>
      <c r="Q362" s="571"/>
      <c r="R362" s="571"/>
      <c r="S362" s="571"/>
      <c r="T362" s="571"/>
      <c r="U362" s="571"/>
      <c r="V362" s="571"/>
      <c r="W362" s="571"/>
      <c r="X362" s="571"/>
      <c r="Y362" s="571"/>
      <c r="Z362" s="571"/>
      <c r="AA362" s="571"/>
      <c r="AB362" s="571"/>
      <c r="AC362" s="571"/>
      <c r="AD362" s="571"/>
      <c r="AE362" s="571"/>
      <c r="AF362" s="571"/>
      <c r="AG362" s="571"/>
      <c r="AH362" s="571"/>
      <c r="AI362" s="571"/>
      <c r="AJ362" s="571"/>
      <c r="AK362" s="571"/>
      <c r="AL362" s="571"/>
      <c r="AM362" s="571"/>
      <c r="AN362" s="571"/>
      <c r="AO362" s="571"/>
    </row>
    <row r="363">
      <c r="G363" s="571"/>
      <c r="H363" s="571"/>
      <c r="I363" s="571"/>
      <c r="J363" s="571"/>
      <c r="K363" s="571"/>
      <c r="L363" s="571"/>
      <c r="M363" s="571"/>
      <c r="N363" s="571"/>
      <c r="O363" s="571"/>
      <c r="P363" s="571"/>
      <c r="Q363" s="571"/>
      <c r="R363" s="571"/>
      <c r="S363" s="571"/>
      <c r="T363" s="571"/>
      <c r="U363" s="571"/>
      <c r="V363" s="571"/>
      <c r="W363" s="571"/>
      <c r="X363" s="571"/>
      <c r="Y363" s="571"/>
      <c r="Z363" s="571"/>
      <c r="AA363" s="571"/>
      <c r="AB363" s="571"/>
      <c r="AC363" s="571"/>
      <c r="AD363" s="571"/>
      <c r="AE363" s="571"/>
      <c r="AF363" s="571"/>
      <c r="AG363" s="571"/>
      <c r="AH363" s="571"/>
      <c r="AI363" s="571"/>
      <c r="AJ363" s="571"/>
      <c r="AK363" s="571"/>
      <c r="AL363" s="571"/>
      <c r="AM363" s="571"/>
      <c r="AN363" s="571"/>
      <c r="AO363" s="571"/>
    </row>
    <row r="364">
      <c r="G364" s="571"/>
      <c r="H364" s="571"/>
      <c r="I364" s="571"/>
      <c r="J364" s="571"/>
      <c r="K364" s="571"/>
      <c r="L364" s="571"/>
      <c r="M364" s="571"/>
      <c r="N364" s="571"/>
      <c r="O364" s="571"/>
      <c r="P364" s="571"/>
      <c r="Q364" s="571"/>
      <c r="R364" s="571"/>
      <c r="S364" s="571"/>
      <c r="T364" s="571"/>
      <c r="U364" s="571"/>
      <c r="V364" s="571"/>
      <c r="W364" s="571"/>
      <c r="X364" s="571"/>
      <c r="Y364" s="571"/>
      <c r="Z364" s="571"/>
      <c r="AA364" s="571"/>
      <c r="AB364" s="571"/>
      <c r="AC364" s="571"/>
      <c r="AD364" s="571"/>
      <c r="AE364" s="571"/>
      <c r="AF364" s="571"/>
      <c r="AG364" s="571"/>
      <c r="AH364" s="571"/>
      <c r="AI364" s="571"/>
      <c r="AJ364" s="571"/>
      <c r="AK364" s="571"/>
      <c r="AL364" s="571"/>
      <c r="AM364" s="571"/>
      <c r="AN364" s="571"/>
      <c r="AO364" s="571"/>
    </row>
    <row r="365">
      <c r="G365" s="571"/>
      <c r="H365" s="571"/>
      <c r="I365" s="571"/>
      <c r="J365" s="571"/>
      <c r="K365" s="571"/>
      <c r="L365" s="571"/>
      <c r="M365" s="571"/>
      <c r="N365" s="571"/>
      <c r="O365" s="571"/>
      <c r="P365" s="571"/>
      <c r="Q365" s="571"/>
      <c r="R365" s="571"/>
      <c r="S365" s="571"/>
      <c r="T365" s="571"/>
      <c r="U365" s="571"/>
      <c r="V365" s="571"/>
      <c r="W365" s="571"/>
      <c r="X365" s="571"/>
      <c r="Y365" s="571"/>
      <c r="Z365" s="571"/>
      <c r="AA365" s="571"/>
      <c r="AB365" s="571"/>
      <c r="AC365" s="571"/>
      <c r="AD365" s="571"/>
      <c r="AE365" s="571"/>
      <c r="AF365" s="571"/>
      <c r="AG365" s="571"/>
      <c r="AH365" s="571"/>
      <c r="AI365" s="571"/>
      <c r="AJ365" s="571"/>
      <c r="AK365" s="571"/>
      <c r="AL365" s="571"/>
      <c r="AM365" s="571"/>
      <c r="AN365" s="571"/>
      <c r="AO365" s="571"/>
    </row>
    <row r="366">
      <c r="G366" s="571"/>
      <c r="H366" s="571"/>
      <c r="I366" s="571"/>
      <c r="J366" s="571"/>
      <c r="K366" s="571"/>
      <c r="L366" s="571"/>
      <c r="M366" s="571"/>
      <c r="N366" s="571"/>
      <c r="O366" s="571"/>
      <c r="P366" s="571"/>
      <c r="Q366" s="571"/>
      <c r="R366" s="571"/>
      <c r="S366" s="571"/>
      <c r="T366" s="571"/>
      <c r="U366" s="571"/>
      <c r="V366" s="571"/>
      <c r="W366" s="571"/>
      <c r="X366" s="571"/>
      <c r="Y366" s="571"/>
      <c r="Z366" s="571"/>
      <c r="AA366" s="571"/>
      <c r="AB366" s="571"/>
      <c r="AC366" s="571"/>
      <c r="AD366" s="571"/>
      <c r="AE366" s="571"/>
      <c r="AF366" s="571"/>
      <c r="AG366" s="571"/>
      <c r="AH366" s="571"/>
      <c r="AI366" s="571"/>
      <c r="AJ366" s="571"/>
      <c r="AK366" s="571"/>
      <c r="AL366" s="571"/>
      <c r="AM366" s="571"/>
      <c r="AN366" s="571"/>
      <c r="AO366" s="571"/>
    </row>
    <row r="367">
      <c r="G367" s="571"/>
      <c r="H367" s="571"/>
      <c r="I367" s="571"/>
      <c r="J367" s="571"/>
      <c r="K367" s="571"/>
      <c r="L367" s="571"/>
      <c r="M367" s="571"/>
      <c r="N367" s="571"/>
      <c r="O367" s="571"/>
      <c r="P367" s="571"/>
      <c r="Q367" s="571"/>
      <c r="R367" s="571"/>
      <c r="S367" s="571"/>
      <c r="T367" s="571"/>
      <c r="U367" s="571"/>
      <c r="V367" s="571"/>
      <c r="W367" s="571"/>
      <c r="X367" s="571"/>
      <c r="Y367" s="571"/>
      <c r="Z367" s="571"/>
      <c r="AA367" s="571"/>
      <c r="AB367" s="571"/>
      <c r="AC367" s="571"/>
      <c r="AD367" s="571"/>
      <c r="AE367" s="571"/>
      <c r="AF367" s="571"/>
      <c r="AG367" s="571"/>
      <c r="AH367" s="571"/>
      <c r="AI367" s="571"/>
      <c r="AJ367" s="571"/>
      <c r="AK367" s="571"/>
      <c r="AL367" s="571"/>
      <c r="AM367" s="571"/>
      <c r="AN367" s="571"/>
      <c r="AO367" s="571"/>
    </row>
    <row r="368">
      <c r="G368" s="571"/>
      <c r="H368" s="571"/>
      <c r="I368" s="571"/>
      <c r="J368" s="571"/>
      <c r="K368" s="571"/>
      <c r="L368" s="571"/>
      <c r="M368" s="571"/>
      <c r="N368" s="571"/>
      <c r="O368" s="571"/>
      <c r="P368" s="571"/>
      <c r="Q368" s="571"/>
      <c r="R368" s="571"/>
      <c r="S368" s="571"/>
      <c r="T368" s="571"/>
      <c r="U368" s="571"/>
      <c r="V368" s="571"/>
      <c r="W368" s="571"/>
      <c r="X368" s="571"/>
      <c r="Y368" s="571"/>
      <c r="Z368" s="571"/>
      <c r="AA368" s="571"/>
      <c r="AB368" s="571"/>
      <c r="AC368" s="571"/>
      <c r="AD368" s="571"/>
      <c r="AE368" s="571"/>
      <c r="AF368" s="571"/>
      <c r="AG368" s="571"/>
      <c r="AH368" s="571"/>
      <c r="AI368" s="571"/>
      <c r="AJ368" s="571"/>
      <c r="AK368" s="571"/>
      <c r="AL368" s="571"/>
      <c r="AM368" s="571"/>
      <c r="AN368" s="571"/>
      <c r="AO368" s="571"/>
    </row>
    <row r="369">
      <c r="G369" s="571"/>
      <c r="H369" s="571"/>
      <c r="I369" s="571"/>
      <c r="J369" s="571"/>
      <c r="K369" s="571"/>
      <c r="L369" s="571"/>
      <c r="M369" s="571"/>
      <c r="N369" s="571"/>
      <c r="O369" s="571"/>
      <c r="P369" s="571"/>
      <c r="Q369" s="571"/>
      <c r="R369" s="571"/>
      <c r="S369" s="571"/>
      <c r="T369" s="571"/>
      <c r="U369" s="571"/>
      <c r="V369" s="571"/>
      <c r="W369" s="571"/>
      <c r="X369" s="571"/>
      <c r="Y369" s="571"/>
      <c r="Z369" s="571"/>
      <c r="AA369" s="571"/>
      <c r="AB369" s="571"/>
      <c r="AC369" s="571"/>
      <c r="AD369" s="571"/>
      <c r="AE369" s="571"/>
      <c r="AF369" s="571"/>
      <c r="AG369" s="571"/>
      <c r="AH369" s="571"/>
      <c r="AI369" s="571"/>
      <c r="AJ369" s="571"/>
      <c r="AK369" s="571"/>
      <c r="AL369" s="571"/>
      <c r="AM369" s="571"/>
      <c r="AN369" s="571"/>
      <c r="AO369" s="571"/>
    </row>
    <row r="370">
      <c r="G370" s="571"/>
      <c r="H370" s="571"/>
      <c r="I370" s="571"/>
      <c r="J370" s="571"/>
      <c r="K370" s="571"/>
      <c r="L370" s="571"/>
      <c r="M370" s="571"/>
      <c r="N370" s="571"/>
      <c r="O370" s="571"/>
      <c r="P370" s="571"/>
      <c r="Q370" s="571"/>
      <c r="R370" s="571"/>
      <c r="S370" s="571"/>
      <c r="T370" s="571"/>
      <c r="U370" s="571"/>
      <c r="V370" s="571"/>
      <c r="W370" s="571"/>
      <c r="X370" s="571"/>
      <c r="Y370" s="571"/>
      <c r="Z370" s="571"/>
      <c r="AA370" s="571"/>
      <c r="AB370" s="571"/>
      <c r="AC370" s="571"/>
      <c r="AD370" s="571"/>
      <c r="AE370" s="571"/>
      <c r="AF370" s="571"/>
      <c r="AG370" s="571"/>
      <c r="AH370" s="571"/>
      <c r="AI370" s="571"/>
      <c r="AJ370" s="571"/>
      <c r="AK370" s="571"/>
      <c r="AL370" s="571"/>
      <c r="AM370" s="571"/>
      <c r="AN370" s="571"/>
      <c r="AO370" s="571"/>
    </row>
    <row r="371">
      <c r="G371" s="571"/>
      <c r="H371" s="571"/>
      <c r="I371" s="571"/>
      <c r="J371" s="571"/>
      <c r="K371" s="571"/>
      <c r="L371" s="571"/>
      <c r="M371" s="571"/>
      <c r="N371" s="571"/>
      <c r="O371" s="571"/>
      <c r="P371" s="571"/>
      <c r="Q371" s="571"/>
      <c r="R371" s="571"/>
      <c r="S371" s="571"/>
      <c r="T371" s="571"/>
      <c r="U371" s="571"/>
      <c r="V371" s="571"/>
      <c r="W371" s="571"/>
      <c r="X371" s="571"/>
      <c r="Y371" s="571"/>
      <c r="Z371" s="571"/>
      <c r="AA371" s="571"/>
      <c r="AB371" s="571"/>
      <c r="AC371" s="571"/>
      <c r="AD371" s="571"/>
      <c r="AE371" s="571"/>
      <c r="AF371" s="571"/>
      <c r="AG371" s="571"/>
      <c r="AH371" s="571"/>
      <c r="AI371" s="571"/>
      <c r="AJ371" s="571"/>
      <c r="AK371" s="571"/>
      <c r="AL371" s="571"/>
      <c r="AM371" s="571"/>
      <c r="AN371" s="571"/>
      <c r="AO371" s="571"/>
    </row>
    <row r="372">
      <c r="G372" s="571"/>
      <c r="H372" s="571"/>
      <c r="I372" s="571"/>
      <c r="J372" s="571"/>
      <c r="K372" s="571"/>
      <c r="L372" s="571"/>
      <c r="M372" s="571"/>
      <c r="N372" s="571"/>
      <c r="O372" s="571"/>
      <c r="P372" s="571"/>
      <c r="Q372" s="571"/>
      <c r="R372" s="571"/>
      <c r="S372" s="571"/>
      <c r="T372" s="571"/>
      <c r="U372" s="571"/>
      <c r="V372" s="571"/>
      <c r="W372" s="571"/>
      <c r="X372" s="571"/>
      <c r="Y372" s="571"/>
      <c r="Z372" s="571"/>
      <c r="AA372" s="571"/>
      <c r="AB372" s="571"/>
      <c r="AC372" s="571"/>
      <c r="AD372" s="571"/>
      <c r="AE372" s="571"/>
      <c r="AF372" s="571"/>
      <c r="AG372" s="571"/>
      <c r="AH372" s="571"/>
      <c r="AI372" s="571"/>
      <c r="AJ372" s="571"/>
      <c r="AK372" s="571"/>
      <c r="AL372" s="571"/>
      <c r="AM372" s="571"/>
      <c r="AN372" s="571"/>
      <c r="AO372" s="571"/>
    </row>
    <row r="373">
      <c r="G373" s="571"/>
      <c r="H373" s="571"/>
      <c r="I373" s="571"/>
      <c r="J373" s="571"/>
      <c r="K373" s="571"/>
      <c r="L373" s="571"/>
      <c r="M373" s="571"/>
      <c r="N373" s="571"/>
      <c r="O373" s="571"/>
      <c r="P373" s="571"/>
      <c r="Q373" s="571"/>
      <c r="R373" s="571"/>
      <c r="S373" s="571"/>
      <c r="T373" s="571"/>
      <c r="U373" s="571"/>
      <c r="V373" s="571"/>
      <c r="W373" s="571"/>
      <c r="X373" s="571"/>
      <c r="Y373" s="571"/>
      <c r="Z373" s="571"/>
      <c r="AA373" s="571"/>
      <c r="AB373" s="571"/>
      <c r="AC373" s="571"/>
      <c r="AD373" s="571"/>
      <c r="AE373" s="571"/>
      <c r="AF373" s="571"/>
      <c r="AG373" s="571"/>
      <c r="AH373" s="571"/>
      <c r="AI373" s="571"/>
      <c r="AJ373" s="571"/>
      <c r="AK373" s="571"/>
      <c r="AL373" s="571"/>
      <c r="AM373" s="571"/>
      <c r="AN373" s="571"/>
      <c r="AO373" s="571"/>
    </row>
    <row r="374">
      <c r="G374" s="571"/>
      <c r="H374" s="571"/>
      <c r="I374" s="571"/>
      <c r="J374" s="571"/>
      <c r="K374" s="571"/>
      <c r="L374" s="571"/>
      <c r="M374" s="571"/>
      <c r="N374" s="571"/>
      <c r="O374" s="571"/>
      <c r="P374" s="571"/>
      <c r="Q374" s="571"/>
      <c r="R374" s="571"/>
      <c r="S374" s="571"/>
      <c r="T374" s="571"/>
      <c r="U374" s="571"/>
      <c r="V374" s="571"/>
      <c r="W374" s="571"/>
      <c r="X374" s="571"/>
      <c r="Y374" s="571"/>
      <c r="Z374" s="571"/>
      <c r="AA374" s="571"/>
      <c r="AB374" s="571"/>
      <c r="AC374" s="571"/>
      <c r="AD374" s="571"/>
      <c r="AE374" s="571"/>
      <c r="AF374" s="571"/>
      <c r="AG374" s="571"/>
      <c r="AH374" s="571"/>
      <c r="AI374" s="571"/>
      <c r="AJ374" s="571"/>
      <c r="AK374" s="571"/>
      <c r="AL374" s="571"/>
      <c r="AM374" s="571"/>
      <c r="AN374" s="571"/>
      <c r="AO374" s="571"/>
    </row>
    <row r="375">
      <c r="G375" s="571"/>
      <c r="H375" s="571"/>
      <c r="I375" s="571"/>
      <c r="J375" s="571"/>
      <c r="K375" s="571"/>
      <c r="L375" s="571"/>
      <c r="M375" s="571"/>
      <c r="N375" s="571"/>
      <c r="O375" s="571"/>
      <c r="P375" s="571"/>
      <c r="Q375" s="571"/>
      <c r="R375" s="571"/>
      <c r="S375" s="571"/>
      <c r="T375" s="571"/>
      <c r="U375" s="571"/>
      <c r="V375" s="571"/>
      <c r="W375" s="571"/>
      <c r="X375" s="571"/>
      <c r="Y375" s="571"/>
      <c r="Z375" s="571"/>
      <c r="AA375" s="571"/>
      <c r="AB375" s="571"/>
      <c r="AC375" s="571"/>
      <c r="AD375" s="571"/>
      <c r="AE375" s="571"/>
      <c r="AF375" s="571"/>
      <c r="AG375" s="571"/>
      <c r="AH375" s="571"/>
      <c r="AI375" s="571"/>
      <c r="AJ375" s="571"/>
      <c r="AK375" s="571"/>
      <c r="AL375" s="571"/>
      <c r="AM375" s="571"/>
      <c r="AN375" s="571"/>
      <c r="AO375" s="571"/>
    </row>
    <row r="376">
      <c r="G376" s="571"/>
      <c r="H376" s="571"/>
      <c r="I376" s="571"/>
      <c r="J376" s="571"/>
      <c r="K376" s="571"/>
      <c r="L376" s="571"/>
      <c r="M376" s="571"/>
      <c r="N376" s="571"/>
      <c r="O376" s="571"/>
      <c r="P376" s="571"/>
      <c r="Q376" s="571"/>
      <c r="R376" s="571"/>
      <c r="S376" s="571"/>
      <c r="T376" s="571"/>
      <c r="U376" s="571"/>
      <c r="V376" s="571"/>
      <c r="W376" s="571"/>
      <c r="X376" s="571"/>
      <c r="Y376" s="571"/>
      <c r="Z376" s="571"/>
      <c r="AA376" s="571"/>
      <c r="AB376" s="571"/>
      <c r="AC376" s="571"/>
      <c r="AD376" s="571"/>
      <c r="AE376" s="571"/>
      <c r="AF376" s="571"/>
      <c r="AG376" s="571"/>
      <c r="AH376" s="571"/>
      <c r="AI376" s="571"/>
      <c r="AJ376" s="571"/>
      <c r="AK376" s="571"/>
      <c r="AL376" s="571"/>
      <c r="AM376" s="571"/>
      <c r="AN376" s="571"/>
      <c r="AO376" s="571"/>
    </row>
    <row r="377">
      <c r="G377" s="571"/>
      <c r="H377" s="571"/>
      <c r="I377" s="571"/>
      <c r="J377" s="571"/>
      <c r="K377" s="571"/>
      <c r="L377" s="571"/>
      <c r="M377" s="571"/>
      <c r="N377" s="571"/>
      <c r="O377" s="571"/>
      <c r="P377" s="571"/>
      <c r="Q377" s="571"/>
      <c r="R377" s="571"/>
      <c r="S377" s="571"/>
      <c r="T377" s="571"/>
      <c r="U377" s="571"/>
      <c r="V377" s="571"/>
      <c r="W377" s="571"/>
      <c r="X377" s="571"/>
      <c r="Y377" s="571"/>
      <c r="Z377" s="571"/>
      <c r="AA377" s="571"/>
      <c r="AB377" s="571"/>
      <c r="AC377" s="571"/>
      <c r="AD377" s="571"/>
      <c r="AE377" s="571"/>
      <c r="AF377" s="571"/>
      <c r="AG377" s="571"/>
      <c r="AH377" s="571"/>
      <c r="AI377" s="571"/>
      <c r="AJ377" s="571"/>
      <c r="AK377" s="571"/>
      <c r="AL377" s="571"/>
      <c r="AM377" s="571"/>
      <c r="AN377" s="571"/>
      <c r="AO377" s="571"/>
    </row>
    <row r="378">
      <c r="G378" s="571"/>
      <c r="H378" s="571"/>
      <c r="I378" s="571"/>
      <c r="J378" s="571"/>
      <c r="K378" s="571"/>
      <c r="L378" s="571"/>
      <c r="M378" s="571"/>
      <c r="N378" s="571"/>
      <c r="O378" s="571"/>
      <c r="P378" s="571"/>
      <c r="Q378" s="571"/>
      <c r="R378" s="571"/>
      <c r="S378" s="571"/>
      <c r="T378" s="571"/>
      <c r="U378" s="571"/>
      <c r="V378" s="571"/>
      <c r="W378" s="571"/>
      <c r="X378" s="571"/>
      <c r="Y378" s="571"/>
      <c r="Z378" s="571"/>
      <c r="AA378" s="571"/>
      <c r="AB378" s="571"/>
      <c r="AC378" s="571"/>
      <c r="AD378" s="571"/>
      <c r="AE378" s="571"/>
      <c r="AF378" s="571"/>
      <c r="AG378" s="571"/>
      <c r="AH378" s="571"/>
      <c r="AI378" s="571"/>
      <c r="AJ378" s="571"/>
      <c r="AK378" s="571"/>
      <c r="AL378" s="571"/>
      <c r="AM378" s="571"/>
      <c r="AN378" s="571"/>
      <c r="AO378" s="571"/>
    </row>
    <row r="379">
      <c r="G379" s="571"/>
      <c r="H379" s="571"/>
      <c r="I379" s="571"/>
      <c r="J379" s="571"/>
      <c r="K379" s="571"/>
      <c r="L379" s="571"/>
      <c r="M379" s="571"/>
      <c r="N379" s="571"/>
      <c r="O379" s="571"/>
      <c r="P379" s="571"/>
      <c r="Q379" s="571"/>
      <c r="R379" s="571"/>
      <c r="S379" s="571"/>
      <c r="T379" s="571"/>
      <c r="U379" s="571"/>
      <c r="V379" s="571"/>
      <c r="W379" s="571"/>
      <c r="X379" s="571"/>
      <c r="Y379" s="571"/>
      <c r="Z379" s="571"/>
      <c r="AA379" s="571"/>
      <c r="AB379" s="571"/>
      <c r="AC379" s="571"/>
      <c r="AD379" s="571"/>
      <c r="AE379" s="571"/>
      <c r="AF379" s="571"/>
      <c r="AG379" s="571"/>
      <c r="AH379" s="571"/>
      <c r="AI379" s="571"/>
      <c r="AJ379" s="571"/>
      <c r="AK379" s="571"/>
      <c r="AL379" s="571"/>
      <c r="AM379" s="571"/>
      <c r="AN379" s="571"/>
      <c r="AO379" s="571"/>
    </row>
    <row r="380">
      <c r="G380" s="571"/>
      <c r="H380" s="571"/>
      <c r="I380" s="571"/>
      <c r="J380" s="571"/>
      <c r="K380" s="571"/>
      <c r="L380" s="571"/>
      <c r="M380" s="571"/>
      <c r="N380" s="571"/>
      <c r="O380" s="571"/>
      <c r="P380" s="571"/>
      <c r="Q380" s="571"/>
      <c r="R380" s="571"/>
      <c r="S380" s="571"/>
      <c r="T380" s="571"/>
      <c r="U380" s="571"/>
      <c r="V380" s="571"/>
      <c r="W380" s="571"/>
      <c r="X380" s="571"/>
      <c r="Y380" s="571"/>
      <c r="Z380" s="571"/>
      <c r="AA380" s="571"/>
      <c r="AB380" s="571"/>
      <c r="AC380" s="571"/>
      <c r="AD380" s="571"/>
      <c r="AE380" s="571"/>
      <c r="AF380" s="571"/>
      <c r="AG380" s="571"/>
      <c r="AH380" s="571"/>
      <c r="AI380" s="571"/>
      <c r="AJ380" s="571"/>
      <c r="AK380" s="571"/>
      <c r="AL380" s="571"/>
      <c r="AM380" s="571"/>
      <c r="AN380" s="571"/>
      <c r="AO380" s="571"/>
    </row>
    <row r="381">
      <c r="G381" s="571"/>
      <c r="H381" s="571"/>
      <c r="I381" s="571"/>
      <c r="J381" s="571"/>
      <c r="K381" s="571"/>
      <c r="L381" s="571"/>
      <c r="M381" s="571"/>
      <c r="N381" s="571"/>
      <c r="O381" s="571"/>
      <c r="P381" s="571"/>
      <c r="Q381" s="571"/>
      <c r="R381" s="571"/>
      <c r="S381" s="571"/>
      <c r="T381" s="571"/>
      <c r="U381" s="571"/>
      <c r="V381" s="571"/>
      <c r="W381" s="571"/>
      <c r="X381" s="571"/>
      <c r="Y381" s="571"/>
      <c r="Z381" s="571"/>
      <c r="AA381" s="571"/>
      <c r="AB381" s="571"/>
      <c r="AC381" s="571"/>
      <c r="AD381" s="571"/>
      <c r="AE381" s="571"/>
      <c r="AF381" s="571"/>
      <c r="AG381" s="571"/>
      <c r="AH381" s="571"/>
      <c r="AI381" s="571"/>
      <c r="AJ381" s="571"/>
      <c r="AK381" s="571"/>
      <c r="AL381" s="571"/>
      <c r="AM381" s="571"/>
      <c r="AN381" s="571"/>
      <c r="AO381" s="571"/>
    </row>
    <row r="382">
      <c r="G382" s="571"/>
      <c r="H382" s="571"/>
      <c r="I382" s="571"/>
      <c r="J382" s="571"/>
      <c r="K382" s="571"/>
      <c r="L382" s="571"/>
      <c r="M382" s="571"/>
      <c r="N382" s="571"/>
      <c r="O382" s="571"/>
      <c r="P382" s="571"/>
      <c r="Q382" s="571"/>
      <c r="R382" s="571"/>
      <c r="S382" s="571"/>
      <c r="T382" s="571"/>
      <c r="U382" s="571"/>
      <c r="V382" s="571"/>
      <c r="W382" s="571"/>
      <c r="X382" s="571"/>
      <c r="Y382" s="571"/>
      <c r="Z382" s="571"/>
      <c r="AA382" s="571"/>
      <c r="AB382" s="571"/>
      <c r="AC382" s="571"/>
      <c r="AD382" s="571"/>
      <c r="AE382" s="571"/>
      <c r="AF382" s="571"/>
      <c r="AG382" s="571"/>
      <c r="AH382" s="571"/>
      <c r="AI382" s="571"/>
      <c r="AJ382" s="571"/>
      <c r="AK382" s="571"/>
      <c r="AL382" s="571"/>
      <c r="AM382" s="571"/>
      <c r="AN382" s="571"/>
      <c r="AO382" s="571"/>
    </row>
    <row r="383">
      <c r="G383" s="571"/>
      <c r="H383" s="571"/>
      <c r="I383" s="571"/>
      <c r="J383" s="571"/>
      <c r="K383" s="571"/>
      <c r="L383" s="571"/>
      <c r="M383" s="571"/>
      <c r="N383" s="571"/>
      <c r="O383" s="571"/>
      <c r="P383" s="571"/>
      <c r="Q383" s="571"/>
      <c r="R383" s="571"/>
      <c r="S383" s="571"/>
      <c r="T383" s="571"/>
      <c r="U383" s="571"/>
      <c r="V383" s="571"/>
      <c r="W383" s="571"/>
      <c r="X383" s="571"/>
      <c r="Y383" s="571"/>
      <c r="Z383" s="571"/>
      <c r="AA383" s="571"/>
      <c r="AB383" s="571"/>
      <c r="AC383" s="571"/>
      <c r="AD383" s="571"/>
      <c r="AE383" s="571"/>
      <c r="AF383" s="571"/>
      <c r="AG383" s="571"/>
      <c r="AH383" s="571"/>
      <c r="AI383" s="571"/>
      <c r="AJ383" s="571"/>
      <c r="AK383" s="571"/>
      <c r="AL383" s="571"/>
      <c r="AM383" s="571"/>
      <c r="AN383" s="571"/>
      <c r="AO383" s="571"/>
    </row>
    <row r="384">
      <c r="G384" s="571"/>
      <c r="H384" s="571"/>
      <c r="I384" s="571"/>
      <c r="J384" s="571"/>
      <c r="K384" s="571"/>
      <c r="L384" s="571"/>
      <c r="M384" s="571"/>
      <c r="N384" s="571"/>
      <c r="O384" s="571"/>
      <c r="P384" s="571"/>
      <c r="Q384" s="571"/>
      <c r="R384" s="571"/>
      <c r="S384" s="571"/>
      <c r="T384" s="571"/>
      <c r="U384" s="571"/>
      <c r="V384" s="571"/>
      <c r="W384" s="571"/>
      <c r="X384" s="571"/>
      <c r="Y384" s="571"/>
      <c r="Z384" s="571"/>
      <c r="AA384" s="571"/>
      <c r="AB384" s="571"/>
      <c r="AC384" s="571"/>
      <c r="AD384" s="571"/>
      <c r="AE384" s="571"/>
      <c r="AF384" s="571"/>
      <c r="AG384" s="571"/>
      <c r="AH384" s="571"/>
      <c r="AI384" s="571"/>
      <c r="AJ384" s="571"/>
      <c r="AK384" s="571"/>
      <c r="AL384" s="571"/>
      <c r="AM384" s="571"/>
      <c r="AN384" s="571"/>
      <c r="AO384" s="571"/>
    </row>
    <row r="385">
      <c r="G385" s="571"/>
      <c r="H385" s="571"/>
      <c r="I385" s="571"/>
      <c r="J385" s="571"/>
      <c r="K385" s="571"/>
      <c r="L385" s="571"/>
      <c r="M385" s="571"/>
      <c r="N385" s="571"/>
      <c r="O385" s="571"/>
      <c r="P385" s="571"/>
      <c r="Q385" s="571"/>
      <c r="R385" s="571"/>
      <c r="S385" s="571"/>
      <c r="T385" s="571"/>
      <c r="U385" s="571"/>
      <c r="V385" s="571"/>
      <c r="W385" s="571"/>
      <c r="X385" s="571"/>
      <c r="Y385" s="571"/>
      <c r="Z385" s="571"/>
      <c r="AA385" s="571"/>
      <c r="AB385" s="571"/>
      <c r="AC385" s="571"/>
      <c r="AD385" s="571"/>
      <c r="AE385" s="571"/>
      <c r="AF385" s="571"/>
      <c r="AG385" s="571"/>
      <c r="AH385" s="571"/>
      <c r="AI385" s="571"/>
      <c r="AJ385" s="571"/>
      <c r="AK385" s="571"/>
      <c r="AL385" s="571"/>
      <c r="AM385" s="571"/>
      <c r="AN385" s="571"/>
      <c r="AO385" s="571"/>
    </row>
    <row r="386">
      <c r="G386" s="571"/>
      <c r="H386" s="571"/>
      <c r="I386" s="571"/>
      <c r="J386" s="571"/>
      <c r="K386" s="571"/>
      <c r="L386" s="571"/>
      <c r="M386" s="571"/>
      <c r="N386" s="571"/>
      <c r="O386" s="571"/>
      <c r="P386" s="571"/>
      <c r="Q386" s="571"/>
      <c r="R386" s="571"/>
      <c r="S386" s="571"/>
      <c r="T386" s="571"/>
      <c r="U386" s="571"/>
      <c r="V386" s="571"/>
      <c r="W386" s="571"/>
      <c r="X386" s="571"/>
      <c r="Y386" s="571"/>
      <c r="Z386" s="571"/>
      <c r="AA386" s="571"/>
      <c r="AB386" s="571"/>
      <c r="AC386" s="571"/>
      <c r="AD386" s="571"/>
      <c r="AE386" s="571"/>
      <c r="AF386" s="571"/>
      <c r="AG386" s="571"/>
      <c r="AH386" s="571"/>
      <c r="AI386" s="571"/>
      <c r="AJ386" s="571"/>
      <c r="AK386" s="571"/>
      <c r="AL386" s="571"/>
      <c r="AM386" s="571"/>
      <c r="AN386" s="571"/>
      <c r="AO386" s="571"/>
    </row>
    <row r="387">
      <c r="G387" s="571"/>
      <c r="H387" s="571"/>
      <c r="I387" s="571"/>
      <c r="J387" s="571"/>
      <c r="K387" s="571"/>
      <c r="L387" s="571"/>
      <c r="M387" s="571"/>
      <c r="N387" s="571"/>
      <c r="O387" s="571"/>
      <c r="P387" s="571"/>
      <c r="Q387" s="571"/>
      <c r="R387" s="571"/>
      <c r="S387" s="571"/>
      <c r="T387" s="571"/>
      <c r="U387" s="571"/>
      <c r="V387" s="571"/>
      <c r="W387" s="571"/>
      <c r="X387" s="571"/>
      <c r="Y387" s="571"/>
      <c r="Z387" s="571"/>
      <c r="AA387" s="571"/>
      <c r="AB387" s="571"/>
      <c r="AC387" s="571"/>
      <c r="AD387" s="571"/>
      <c r="AE387" s="571"/>
      <c r="AF387" s="571"/>
      <c r="AG387" s="571"/>
      <c r="AH387" s="571"/>
      <c r="AI387" s="571"/>
      <c r="AJ387" s="571"/>
      <c r="AK387" s="571"/>
      <c r="AL387" s="571"/>
      <c r="AM387" s="571"/>
      <c r="AN387" s="571"/>
      <c r="AO387" s="571"/>
    </row>
    <row r="388">
      <c r="G388" s="571"/>
      <c r="H388" s="571"/>
      <c r="I388" s="571"/>
      <c r="J388" s="571"/>
      <c r="K388" s="571"/>
      <c r="L388" s="571"/>
      <c r="M388" s="571"/>
      <c r="N388" s="571"/>
      <c r="O388" s="571"/>
      <c r="P388" s="571"/>
      <c r="Q388" s="571"/>
      <c r="R388" s="571"/>
      <c r="S388" s="571"/>
      <c r="T388" s="571"/>
      <c r="U388" s="571"/>
      <c r="V388" s="571"/>
      <c r="W388" s="571"/>
      <c r="X388" s="571"/>
      <c r="Y388" s="571"/>
      <c r="Z388" s="571"/>
      <c r="AA388" s="571"/>
      <c r="AB388" s="571"/>
      <c r="AC388" s="571"/>
      <c r="AD388" s="571"/>
      <c r="AE388" s="571"/>
      <c r="AF388" s="571"/>
      <c r="AG388" s="571"/>
      <c r="AH388" s="571"/>
      <c r="AI388" s="571"/>
      <c r="AJ388" s="571"/>
      <c r="AK388" s="571"/>
      <c r="AL388" s="571"/>
      <c r="AM388" s="571"/>
      <c r="AN388" s="571"/>
      <c r="AO388" s="571"/>
    </row>
    <row r="389">
      <c r="G389" s="571"/>
      <c r="H389" s="571"/>
      <c r="I389" s="571"/>
      <c r="J389" s="571"/>
      <c r="K389" s="571"/>
      <c r="L389" s="571"/>
      <c r="M389" s="571"/>
      <c r="N389" s="571"/>
      <c r="O389" s="571"/>
      <c r="P389" s="571"/>
      <c r="Q389" s="571"/>
      <c r="R389" s="571"/>
      <c r="S389" s="571"/>
      <c r="T389" s="571"/>
      <c r="U389" s="571"/>
      <c r="V389" s="571"/>
      <c r="W389" s="571"/>
      <c r="X389" s="571"/>
      <c r="Y389" s="571"/>
      <c r="Z389" s="571"/>
      <c r="AA389" s="571"/>
      <c r="AB389" s="571"/>
      <c r="AC389" s="571"/>
      <c r="AD389" s="571"/>
      <c r="AE389" s="571"/>
      <c r="AF389" s="571"/>
      <c r="AG389" s="571"/>
      <c r="AH389" s="571"/>
      <c r="AI389" s="571"/>
      <c r="AJ389" s="571"/>
      <c r="AK389" s="571"/>
      <c r="AL389" s="571"/>
      <c r="AM389" s="571"/>
      <c r="AN389" s="571"/>
      <c r="AO389" s="571"/>
    </row>
    <row r="390">
      <c r="G390" s="571"/>
      <c r="H390" s="571"/>
      <c r="I390" s="571"/>
      <c r="J390" s="571"/>
      <c r="K390" s="571"/>
      <c r="L390" s="571"/>
      <c r="M390" s="571"/>
      <c r="N390" s="571"/>
      <c r="O390" s="571"/>
      <c r="P390" s="571"/>
      <c r="Q390" s="571"/>
      <c r="R390" s="571"/>
      <c r="S390" s="571"/>
      <c r="T390" s="571"/>
      <c r="U390" s="571"/>
      <c r="V390" s="571"/>
      <c r="W390" s="571"/>
      <c r="X390" s="571"/>
      <c r="Y390" s="571"/>
      <c r="Z390" s="571"/>
      <c r="AA390" s="571"/>
      <c r="AB390" s="571"/>
      <c r="AC390" s="571"/>
      <c r="AD390" s="571"/>
      <c r="AE390" s="571"/>
      <c r="AF390" s="571"/>
      <c r="AG390" s="571"/>
      <c r="AH390" s="571"/>
      <c r="AI390" s="571"/>
      <c r="AJ390" s="571"/>
      <c r="AK390" s="571"/>
      <c r="AL390" s="571"/>
      <c r="AM390" s="571"/>
      <c r="AN390" s="571"/>
      <c r="AO390" s="571"/>
    </row>
    <row r="391">
      <c r="G391" s="571"/>
      <c r="H391" s="571"/>
      <c r="I391" s="571"/>
      <c r="J391" s="571"/>
      <c r="K391" s="571"/>
      <c r="L391" s="571"/>
      <c r="M391" s="571"/>
      <c r="N391" s="571"/>
      <c r="O391" s="571"/>
      <c r="P391" s="571"/>
      <c r="Q391" s="571"/>
      <c r="R391" s="571"/>
      <c r="S391" s="571"/>
      <c r="T391" s="571"/>
      <c r="U391" s="571"/>
      <c r="V391" s="571"/>
      <c r="W391" s="571"/>
      <c r="X391" s="571"/>
      <c r="Y391" s="571"/>
      <c r="Z391" s="571"/>
      <c r="AA391" s="571"/>
      <c r="AB391" s="571"/>
      <c r="AC391" s="571"/>
      <c r="AD391" s="571"/>
      <c r="AE391" s="571"/>
      <c r="AF391" s="571"/>
      <c r="AG391" s="571"/>
      <c r="AH391" s="571"/>
      <c r="AI391" s="571"/>
      <c r="AJ391" s="571"/>
      <c r="AK391" s="571"/>
      <c r="AL391" s="571"/>
      <c r="AM391" s="571"/>
      <c r="AN391" s="571"/>
      <c r="AO391" s="571"/>
    </row>
    <row r="392">
      <c r="G392" s="571"/>
      <c r="H392" s="571"/>
      <c r="I392" s="571"/>
      <c r="J392" s="571"/>
      <c r="K392" s="571"/>
      <c r="L392" s="571"/>
      <c r="M392" s="571"/>
      <c r="N392" s="571"/>
      <c r="O392" s="571"/>
      <c r="P392" s="571"/>
      <c r="Q392" s="571"/>
      <c r="R392" s="571"/>
      <c r="S392" s="571"/>
      <c r="T392" s="571"/>
      <c r="U392" s="571"/>
      <c r="V392" s="571"/>
      <c r="W392" s="571"/>
      <c r="X392" s="571"/>
      <c r="Y392" s="571"/>
      <c r="Z392" s="571"/>
      <c r="AA392" s="571"/>
      <c r="AB392" s="571"/>
      <c r="AC392" s="571"/>
      <c r="AD392" s="571"/>
      <c r="AE392" s="571"/>
      <c r="AF392" s="571"/>
      <c r="AG392" s="571"/>
      <c r="AH392" s="571"/>
      <c r="AI392" s="571"/>
      <c r="AJ392" s="571"/>
      <c r="AK392" s="571"/>
      <c r="AL392" s="571"/>
      <c r="AM392" s="571"/>
      <c r="AN392" s="571"/>
      <c r="AO392" s="571"/>
    </row>
    <row r="393">
      <c r="G393" s="571"/>
      <c r="H393" s="571"/>
      <c r="I393" s="571"/>
      <c r="J393" s="571"/>
      <c r="K393" s="571"/>
      <c r="L393" s="571"/>
      <c r="M393" s="571"/>
      <c r="N393" s="571"/>
      <c r="O393" s="571"/>
      <c r="P393" s="571"/>
      <c r="Q393" s="571"/>
      <c r="R393" s="571"/>
      <c r="S393" s="571"/>
      <c r="T393" s="571"/>
      <c r="U393" s="571"/>
      <c r="V393" s="571"/>
      <c r="W393" s="571"/>
      <c r="X393" s="571"/>
      <c r="Y393" s="571"/>
      <c r="Z393" s="571"/>
      <c r="AA393" s="571"/>
      <c r="AB393" s="571"/>
      <c r="AC393" s="571"/>
      <c r="AD393" s="571"/>
      <c r="AE393" s="571"/>
      <c r="AF393" s="571"/>
      <c r="AG393" s="571"/>
      <c r="AH393" s="571"/>
      <c r="AI393" s="571"/>
      <c r="AJ393" s="571"/>
      <c r="AK393" s="571"/>
      <c r="AL393" s="571"/>
      <c r="AM393" s="571"/>
      <c r="AN393" s="571"/>
      <c r="AO393" s="571"/>
    </row>
    <row r="394">
      <c r="G394" s="571"/>
      <c r="H394" s="571"/>
      <c r="I394" s="571"/>
      <c r="J394" s="571"/>
      <c r="K394" s="571"/>
      <c r="L394" s="571"/>
      <c r="M394" s="571"/>
      <c r="N394" s="571"/>
      <c r="O394" s="571"/>
      <c r="P394" s="571"/>
      <c r="Q394" s="571"/>
      <c r="R394" s="571"/>
      <c r="S394" s="571"/>
      <c r="T394" s="571"/>
      <c r="U394" s="571"/>
      <c r="V394" s="571"/>
      <c r="W394" s="571"/>
      <c r="X394" s="571"/>
      <c r="Y394" s="571"/>
      <c r="Z394" s="571"/>
      <c r="AA394" s="571"/>
      <c r="AB394" s="571"/>
      <c r="AC394" s="571"/>
      <c r="AD394" s="571"/>
      <c r="AE394" s="571"/>
      <c r="AF394" s="571"/>
      <c r="AG394" s="571"/>
      <c r="AH394" s="571"/>
      <c r="AI394" s="571"/>
      <c r="AJ394" s="571"/>
      <c r="AK394" s="571"/>
      <c r="AL394" s="571"/>
      <c r="AM394" s="571"/>
      <c r="AN394" s="571"/>
      <c r="AO394" s="571"/>
    </row>
    <row r="395">
      <c r="G395" s="571"/>
      <c r="H395" s="571"/>
      <c r="I395" s="571"/>
      <c r="J395" s="571"/>
      <c r="K395" s="571"/>
      <c r="L395" s="571"/>
      <c r="M395" s="571"/>
      <c r="N395" s="571"/>
      <c r="O395" s="571"/>
      <c r="P395" s="571"/>
      <c r="Q395" s="571"/>
      <c r="R395" s="571"/>
      <c r="S395" s="571"/>
      <c r="T395" s="571"/>
      <c r="U395" s="571"/>
      <c r="V395" s="571"/>
      <c r="W395" s="571"/>
      <c r="X395" s="571"/>
      <c r="Y395" s="571"/>
      <c r="Z395" s="571"/>
      <c r="AA395" s="571"/>
      <c r="AB395" s="571"/>
      <c r="AC395" s="571"/>
      <c r="AD395" s="571"/>
      <c r="AE395" s="571"/>
      <c r="AF395" s="571"/>
      <c r="AG395" s="571"/>
      <c r="AH395" s="571"/>
      <c r="AI395" s="571"/>
      <c r="AJ395" s="571"/>
      <c r="AK395" s="571"/>
      <c r="AL395" s="571"/>
      <c r="AM395" s="571"/>
      <c r="AN395" s="571"/>
      <c r="AO395" s="571"/>
    </row>
    <row r="396">
      <c r="G396" s="571"/>
      <c r="H396" s="571"/>
      <c r="I396" s="571"/>
      <c r="J396" s="571"/>
      <c r="K396" s="571"/>
      <c r="L396" s="571"/>
      <c r="M396" s="571"/>
      <c r="N396" s="571"/>
      <c r="O396" s="571"/>
      <c r="P396" s="571"/>
      <c r="Q396" s="571"/>
      <c r="R396" s="571"/>
      <c r="S396" s="571"/>
      <c r="T396" s="571"/>
      <c r="U396" s="571"/>
      <c r="V396" s="571"/>
      <c r="W396" s="571"/>
      <c r="X396" s="571"/>
      <c r="Y396" s="571"/>
      <c r="Z396" s="571"/>
      <c r="AA396" s="571"/>
      <c r="AB396" s="571"/>
      <c r="AC396" s="571"/>
      <c r="AD396" s="571"/>
      <c r="AE396" s="571"/>
      <c r="AF396" s="571"/>
      <c r="AG396" s="571"/>
      <c r="AH396" s="571"/>
      <c r="AI396" s="571"/>
      <c r="AJ396" s="571"/>
      <c r="AK396" s="571"/>
      <c r="AL396" s="571"/>
      <c r="AM396" s="571"/>
      <c r="AN396" s="571"/>
      <c r="AO396" s="571"/>
    </row>
    <row r="397">
      <c r="G397" s="571"/>
      <c r="H397" s="571"/>
      <c r="I397" s="571"/>
      <c r="J397" s="571"/>
      <c r="K397" s="571"/>
      <c r="L397" s="571"/>
      <c r="M397" s="571"/>
      <c r="N397" s="571"/>
      <c r="O397" s="571"/>
      <c r="P397" s="571"/>
      <c r="Q397" s="571"/>
      <c r="R397" s="571"/>
      <c r="S397" s="571"/>
      <c r="T397" s="571"/>
      <c r="U397" s="571"/>
      <c r="V397" s="571"/>
      <c r="W397" s="571"/>
      <c r="X397" s="571"/>
      <c r="Y397" s="571"/>
      <c r="Z397" s="571"/>
      <c r="AA397" s="571"/>
      <c r="AB397" s="571"/>
      <c r="AC397" s="571"/>
      <c r="AD397" s="571"/>
      <c r="AE397" s="571"/>
      <c r="AF397" s="571"/>
      <c r="AG397" s="571"/>
      <c r="AH397" s="571"/>
      <c r="AI397" s="571"/>
      <c r="AJ397" s="571"/>
      <c r="AK397" s="571"/>
      <c r="AL397" s="571"/>
      <c r="AM397" s="571"/>
      <c r="AN397" s="571"/>
      <c r="AO397" s="571"/>
    </row>
    <row r="398">
      <c r="G398" s="571"/>
      <c r="H398" s="571"/>
      <c r="I398" s="571"/>
      <c r="J398" s="571"/>
      <c r="K398" s="571"/>
      <c r="L398" s="571"/>
      <c r="M398" s="571"/>
      <c r="N398" s="571"/>
      <c r="O398" s="571"/>
      <c r="P398" s="571"/>
      <c r="Q398" s="571"/>
      <c r="R398" s="571"/>
      <c r="S398" s="571"/>
      <c r="T398" s="571"/>
      <c r="U398" s="571"/>
      <c r="V398" s="571"/>
      <c r="W398" s="571"/>
      <c r="X398" s="571"/>
      <c r="Y398" s="571"/>
      <c r="Z398" s="571"/>
      <c r="AA398" s="571"/>
      <c r="AB398" s="571"/>
      <c r="AC398" s="571"/>
      <c r="AD398" s="571"/>
      <c r="AE398" s="571"/>
      <c r="AF398" s="571"/>
      <c r="AG398" s="571"/>
      <c r="AH398" s="571"/>
      <c r="AI398" s="571"/>
      <c r="AJ398" s="571"/>
      <c r="AK398" s="571"/>
      <c r="AL398" s="571"/>
      <c r="AM398" s="571"/>
      <c r="AN398" s="571"/>
      <c r="AO398" s="571"/>
    </row>
    <row r="399">
      <c r="G399" s="571"/>
      <c r="H399" s="571"/>
      <c r="I399" s="571"/>
      <c r="J399" s="571"/>
      <c r="K399" s="571"/>
      <c r="L399" s="571"/>
      <c r="M399" s="571"/>
      <c r="N399" s="571"/>
      <c r="O399" s="571"/>
      <c r="P399" s="571"/>
      <c r="Q399" s="571"/>
      <c r="R399" s="571"/>
      <c r="S399" s="571"/>
      <c r="T399" s="571"/>
      <c r="U399" s="571"/>
      <c r="V399" s="571"/>
      <c r="W399" s="571"/>
      <c r="X399" s="571"/>
      <c r="Y399" s="571"/>
      <c r="Z399" s="571"/>
      <c r="AA399" s="571"/>
      <c r="AB399" s="571"/>
      <c r="AC399" s="571"/>
      <c r="AD399" s="571"/>
      <c r="AE399" s="571"/>
      <c r="AF399" s="571"/>
      <c r="AG399" s="571"/>
      <c r="AH399" s="571"/>
      <c r="AI399" s="571"/>
      <c r="AJ399" s="571"/>
      <c r="AK399" s="571"/>
      <c r="AL399" s="571"/>
      <c r="AM399" s="571"/>
      <c r="AN399" s="571"/>
      <c r="AO399" s="571"/>
    </row>
    <row r="400">
      <c r="G400" s="571"/>
      <c r="H400" s="571"/>
      <c r="I400" s="571"/>
      <c r="J400" s="571"/>
      <c r="K400" s="571"/>
      <c r="L400" s="571"/>
      <c r="M400" s="571"/>
      <c r="N400" s="571"/>
      <c r="O400" s="571"/>
      <c r="P400" s="571"/>
      <c r="Q400" s="571"/>
      <c r="R400" s="571"/>
      <c r="S400" s="571"/>
      <c r="T400" s="571"/>
      <c r="U400" s="571"/>
      <c r="V400" s="571"/>
      <c r="W400" s="571"/>
      <c r="X400" s="571"/>
      <c r="Y400" s="571"/>
      <c r="Z400" s="571"/>
      <c r="AA400" s="571"/>
      <c r="AB400" s="571"/>
      <c r="AC400" s="571"/>
      <c r="AD400" s="571"/>
      <c r="AE400" s="571"/>
      <c r="AF400" s="571"/>
      <c r="AG400" s="571"/>
      <c r="AH400" s="571"/>
      <c r="AI400" s="571"/>
      <c r="AJ400" s="571"/>
      <c r="AK400" s="571"/>
      <c r="AL400" s="571"/>
      <c r="AM400" s="571"/>
      <c r="AN400" s="571"/>
      <c r="AO400" s="571"/>
    </row>
    <row r="401">
      <c r="G401" s="571"/>
      <c r="H401" s="571"/>
      <c r="I401" s="571"/>
      <c r="J401" s="571"/>
      <c r="K401" s="571"/>
      <c r="L401" s="571"/>
      <c r="M401" s="571"/>
      <c r="N401" s="571"/>
      <c r="O401" s="571"/>
      <c r="P401" s="571"/>
      <c r="Q401" s="571"/>
      <c r="R401" s="571"/>
      <c r="S401" s="571"/>
      <c r="T401" s="571"/>
      <c r="U401" s="571"/>
      <c r="V401" s="571"/>
      <c r="W401" s="571"/>
      <c r="X401" s="571"/>
      <c r="Y401" s="571"/>
      <c r="Z401" s="571"/>
      <c r="AA401" s="571"/>
      <c r="AB401" s="571"/>
      <c r="AC401" s="571"/>
      <c r="AD401" s="571"/>
      <c r="AE401" s="571"/>
      <c r="AF401" s="571"/>
      <c r="AG401" s="571"/>
      <c r="AH401" s="571"/>
      <c r="AI401" s="571"/>
      <c r="AJ401" s="571"/>
      <c r="AK401" s="571"/>
      <c r="AL401" s="571"/>
      <c r="AM401" s="571"/>
      <c r="AN401" s="571"/>
      <c r="AO401" s="571"/>
    </row>
    <row r="402">
      <c r="G402" s="571"/>
      <c r="H402" s="571"/>
      <c r="I402" s="571"/>
      <c r="J402" s="571"/>
      <c r="K402" s="571"/>
      <c r="L402" s="571"/>
      <c r="M402" s="571"/>
      <c r="N402" s="571"/>
      <c r="O402" s="571"/>
      <c r="P402" s="571"/>
      <c r="Q402" s="571"/>
      <c r="R402" s="571"/>
      <c r="S402" s="571"/>
      <c r="T402" s="571"/>
      <c r="U402" s="571"/>
      <c r="V402" s="571"/>
      <c r="W402" s="571"/>
      <c r="X402" s="571"/>
      <c r="Y402" s="571"/>
      <c r="Z402" s="571"/>
      <c r="AA402" s="571"/>
      <c r="AB402" s="571"/>
      <c r="AC402" s="571"/>
      <c r="AD402" s="571"/>
      <c r="AE402" s="571"/>
      <c r="AF402" s="571"/>
      <c r="AG402" s="571"/>
      <c r="AH402" s="571"/>
      <c r="AI402" s="571"/>
      <c r="AJ402" s="571"/>
      <c r="AK402" s="571"/>
      <c r="AL402" s="571"/>
      <c r="AM402" s="571"/>
      <c r="AN402" s="571"/>
      <c r="AO402" s="571"/>
    </row>
    <row r="403">
      <c r="G403" s="571"/>
      <c r="H403" s="571"/>
      <c r="I403" s="571"/>
      <c r="J403" s="571"/>
      <c r="K403" s="571"/>
      <c r="L403" s="571"/>
      <c r="M403" s="571"/>
      <c r="N403" s="571"/>
      <c r="O403" s="571"/>
      <c r="P403" s="571"/>
      <c r="Q403" s="571"/>
      <c r="R403" s="571"/>
      <c r="S403" s="571"/>
      <c r="T403" s="571"/>
      <c r="U403" s="571"/>
      <c r="V403" s="571"/>
      <c r="W403" s="571"/>
      <c r="X403" s="571"/>
      <c r="Y403" s="571"/>
      <c r="Z403" s="571"/>
      <c r="AA403" s="571"/>
      <c r="AB403" s="571"/>
      <c r="AC403" s="571"/>
      <c r="AD403" s="571"/>
      <c r="AE403" s="571"/>
      <c r="AF403" s="571"/>
      <c r="AG403" s="571"/>
      <c r="AH403" s="571"/>
      <c r="AI403" s="571"/>
      <c r="AJ403" s="571"/>
      <c r="AK403" s="571"/>
      <c r="AL403" s="571"/>
      <c r="AM403" s="571"/>
      <c r="AN403" s="571"/>
      <c r="AO403" s="571"/>
    </row>
    <row r="404">
      <c r="G404" s="571"/>
      <c r="H404" s="571"/>
      <c r="I404" s="571"/>
      <c r="J404" s="571"/>
      <c r="K404" s="571"/>
      <c r="L404" s="571"/>
      <c r="M404" s="571"/>
      <c r="N404" s="571"/>
      <c r="O404" s="571"/>
      <c r="P404" s="571"/>
      <c r="Q404" s="571"/>
      <c r="R404" s="571"/>
      <c r="S404" s="571"/>
      <c r="T404" s="571"/>
      <c r="U404" s="571"/>
      <c r="V404" s="571"/>
      <c r="W404" s="571"/>
      <c r="X404" s="571"/>
      <c r="Y404" s="571"/>
      <c r="Z404" s="571"/>
      <c r="AA404" s="571"/>
      <c r="AB404" s="571"/>
      <c r="AC404" s="571"/>
      <c r="AD404" s="571"/>
      <c r="AE404" s="571"/>
      <c r="AF404" s="571"/>
      <c r="AG404" s="571"/>
      <c r="AH404" s="571"/>
      <c r="AI404" s="571"/>
      <c r="AJ404" s="571"/>
      <c r="AK404" s="571"/>
      <c r="AL404" s="571"/>
      <c r="AM404" s="571"/>
      <c r="AN404" s="571"/>
      <c r="AO404" s="571"/>
    </row>
    <row r="405">
      <c r="G405" s="571"/>
      <c r="H405" s="571"/>
      <c r="I405" s="571"/>
      <c r="J405" s="571"/>
      <c r="K405" s="571"/>
      <c r="L405" s="571"/>
      <c r="M405" s="571"/>
      <c r="N405" s="571"/>
      <c r="O405" s="571"/>
      <c r="P405" s="571"/>
      <c r="Q405" s="571"/>
      <c r="R405" s="571"/>
      <c r="S405" s="571"/>
      <c r="T405" s="571"/>
      <c r="U405" s="571"/>
      <c r="V405" s="571"/>
      <c r="W405" s="571"/>
      <c r="X405" s="571"/>
      <c r="Y405" s="571"/>
      <c r="Z405" s="571"/>
      <c r="AA405" s="571"/>
      <c r="AB405" s="571"/>
      <c r="AC405" s="571"/>
      <c r="AD405" s="571"/>
      <c r="AE405" s="571"/>
      <c r="AF405" s="571"/>
      <c r="AG405" s="571"/>
      <c r="AH405" s="571"/>
      <c r="AI405" s="571"/>
      <c r="AJ405" s="571"/>
      <c r="AK405" s="571"/>
      <c r="AL405" s="571"/>
      <c r="AM405" s="571"/>
      <c r="AN405" s="571"/>
      <c r="AO405" s="571"/>
    </row>
    <row r="406">
      <c r="G406" s="571"/>
      <c r="H406" s="571"/>
      <c r="I406" s="571"/>
      <c r="J406" s="571"/>
      <c r="K406" s="571"/>
      <c r="L406" s="571"/>
      <c r="M406" s="571"/>
      <c r="N406" s="571"/>
      <c r="O406" s="571"/>
      <c r="P406" s="571"/>
      <c r="Q406" s="571"/>
      <c r="R406" s="571"/>
      <c r="S406" s="571"/>
      <c r="T406" s="571"/>
      <c r="U406" s="571"/>
      <c r="V406" s="571"/>
      <c r="W406" s="571"/>
      <c r="X406" s="571"/>
      <c r="Y406" s="571"/>
      <c r="Z406" s="571"/>
      <c r="AA406" s="571"/>
      <c r="AB406" s="571"/>
      <c r="AC406" s="571"/>
      <c r="AD406" s="571"/>
      <c r="AE406" s="571"/>
      <c r="AF406" s="571"/>
      <c r="AG406" s="571"/>
      <c r="AH406" s="571"/>
      <c r="AI406" s="571"/>
      <c r="AJ406" s="571"/>
      <c r="AK406" s="571"/>
      <c r="AL406" s="571"/>
      <c r="AM406" s="571"/>
      <c r="AN406" s="571"/>
      <c r="AO406" s="571"/>
    </row>
    <row r="407">
      <c r="G407" s="571"/>
      <c r="H407" s="571"/>
      <c r="I407" s="571"/>
      <c r="J407" s="571"/>
      <c r="K407" s="571"/>
      <c r="L407" s="571"/>
      <c r="M407" s="571"/>
      <c r="N407" s="571"/>
      <c r="O407" s="571"/>
      <c r="P407" s="571"/>
      <c r="Q407" s="571"/>
      <c r="R407" s="571"/>
      <c r="S407" s="571"/>
      <c r="T407" s="571"/>
      <c r="U407" s="571"/>
      <c r="V407" s="571"/>
      <c r="W407" s="571"/>
      <c r="X407" s="571"/>
      <c r="Y407" s="571"/>
      <c r="Z407" s="571"/>
      <c r="AA407" s="571"/>
      <c r="AB407" s="571"/>
      <c r="AC407" s="571"/>
      <c r="AD407" s="571"/>
      <c r="AE407" s="571"/>
      <c r="AF407" s="571"/>
      <c r="AG407" s="571"/>
      <c r="AH407" s="571"/>
      <c r="AI407" s="571"/>
      <c r="AJ407" s="571"/>
      <c r="AK407" s="571"/>
      <c r="AL407" s="571"/>
      <c r="AM407" s="571"/>
      <c r="AN407" s="571"/>
      <c r="AO407" s="571"/>
    </row>
    <row r="408">
      <c r="G408" s="571"/>
      <c r="H408" s="571"/>
      <c r="I408" s="571"/>
      <c r="J408" s="571"/>
      <c r="K408" s="571"/>
      <c r="L408" s="571"/>
      <c r="M408" s="571"/>
      <c r="N408" s="571"/>
      <c r="O408" s="571"/>
      <c r="P408" s="571"/>
      <c r="Q408" s="571"/>
      <c r="R408" s="571"/>
      <c r="S408" s="571"/>
      <c r="T408" s="571"/>
      <c r="U408" s="571"/>
      <c r="V408" s="571"/>
      <c r="W408" s="571"/>
      <c r="X408" s="571"/>
      <c r="Y408" s="571"/>
      <c r="Z408" s="571"/>
      <c r="AA408" s="571"/>
      <c r="AB408" s="571"/>
      <c r="AC408" s="571"/>
      <c r="AD408" s="571"/>
      <c r="AE408" s="571"/>
      <c r="AF408" s="571"/>
      <c r="AG408" s="571"/>
      <c r="AH408" s="571"/>
      <c r="AI408" s="571"/>
      <c r="AJ408" s="571"/>
      <c r="AK408" s="571"/>
      <c r="AL408" s="571"/>
      <c r="AM408" s="571"/>
      <c r="AN408" s="571"/>
      <c r="AO408" s="571"/>
    </row>
    <row r="409">
      <c r="G409" s="571"/>
      <c r="H409" s="571"/>
      <c r="I409" s="571"/>
      <c r="J409" s="571"/>
      <c r="K409" s="571"/>
      <c r="L409" s="571"/>
      <c r="M409" s="571"/>
      <c r="N409" s="571"/>
      <c r="O409" s="571"/>
      <c r="P409" s="571"/>
      <c r="Q409" s="571"/>
      <c r="R409" s="571"/>
      <c r="S409" s="571"/>
      <c r="T409" s="571"/>
      <c r="U409" s="571"/>
      <c r="V409" s="571"/>
      <c r="W409" s="571"/>
      <c r="X409" s="571"/>
      <c r="Y409" s="571"/>
      <c r="Z409" s="571"/>
      <c r="AA409" s="571"/>
      <c r="AB409" s="571"/>
      <c r="AC409" s="571"/>
      <c r="AD409" s="571"/>
      <c r="AE409" s="571"/>
      <c r="AF409" s="571"/>
      <c r="AG409" s="571"/>
      <c r="AH409" s="571"/>
      <c r="AI409" s="571"/>
      <c r="AJ409" s="571"/>
      <c r="AK409" s="571"/>
      <c r="AL409" s="571"/>
      <c r="AM409" s="571"/>
      <c r="AN409" s="571"/>
      <c r="AO409" s="571"/>
    </row>
    <row r="410">
      <c r="G410" s="571"/>
      <c r="H410" s="571"/>
      <c r="I410" s="571"/>
      <c r="J410" s="571"/>
      <c r="K410" s="571"/>
      <c r="L410" s="571"/>
      <c r="M410" s="571"/>
      <c r="N410" s="571"/>
      <c r="O410" s="571"/>
      <c r="P410" s="571"/>
      <c r="Q410" s="571"/>
      <c r="R410" s="571"/>
      <c r="S410" s="571"/>
      <c r="T410" s="571"/>
      <c r="U410" s="571"/>
      <c r="V410" s="571"/>
      <c r="W410" s="571"/>
      <c r="X410" s="571"/>
      <c r="Y410" s="571"/>
      <c r="Z410" s="571"/>
      <c r="AA410" s="571"/>
      <c r="AB410" s="571"/>
      <c r="AC410" s="571"/>
      <c r="AD410" s="571"/>
      <c r="AE410" s="571"/>
      <c r="AF410" s="571"/>
      <c r="AG410" s="571"/>
      <c r="AH410" s="571"/>
      <c r="AI410" s="571"/>
      <c r="AJ410" s="571"/>
      <c r="AK410" s="571"/>
      <c r="AL410" s="571"/>
      <c r="AM410" s="571"/>
      <c r="AN410" s="571"/>
      <c r="AO410" s="571"/>
    </row>
    <row r="411">
      <c r="G411" s="571"/>
      <c r="H411" s="571"/>
      <c r="I411" s="571"/>
      <c r="J411" s="571"/>
      <c r="K411" s="571"/>
      <c r="L411" s="571"/>
      <c r="M411" s="571"/>
      <c r="N411" s="571"/>
      <c r="O411" s="571"/>
      <c r="P411" s="571"/>
      <c r="Q411" s="571"/>
      <c r="R411" s="571"/>
      <c r="S411" s="571"/>
      <c r="T411" s="571"/>
      <c r="U411" s="571"/>
      <c r="V411" s="571"/>
      <c r="W411" s="571"/>
      <c r="X411" s="571"/>
      <c r="Y411" s="571"/>
      <c r="Z411" s="571"/>
      <c r="AA411" s="571"/>
      <c r="AB411" s="571"/>
      <c r="AC411" s="571"/>
      <c r="AD411" s="571"/>
      <c r="AE411" s="571"/>
      <c r="AF411" s="571"/>
      <c r="AG411" s="571"/>
      <c r="AH411" s="571"/>
      <c r="AI411" s="571"/>
      <c r="AJ411" s="571"/>
      <c r="AK411" s="571"/>
      <c r="AL411" s="571"/>
      <c r="AM411" s="571"/>
      <c r="AN411" s="571"/>
      <c r="AO411" s="571"/>
    </row>
    <row r="412">
      <c r="G412" s="571"/>
      <c r="H412" s="571"/>
      <c r="I412" s="571"/>
      <c r="J412" s="571"/>
      <c r="K412" s="571"/>
      <c r="L412" s="571"/>
      <c r="M412" s="571"/>
      <c r="N412" s="571"/>
      <c r="O412" s="571"/>
      <c r="P412" s="571"/>
      <c r="Q412" s="571"/>
      <c r="R412" s="571"/>
      <c r="S412" s="571"/>
      <c r="T412" s="571"/>
      <c r="U412" s="571"/>
      <c r="V412" s="571"/>
      <c r="W412" s="571"/>
      <c r="X412" s="571"/>
      <c r="Y412" s="571"/>
      <c r="Z412" s="571"/>
      <c r="AA412" s="571"/>
      <c r="AB412" s="571"/>
      <c r="AC412" s="571"/>
      <c r="AD412" s="571"/>
      <c r="AE412" s="571"/>
      <c r="AF412" s="571"/>
      <c r="AG412" s="571"/>
      <c r="AH412" s="571"/>
      <c r="AI412" s="571"/>
      <c r="AJ412" s="571"/>
      <c r="AK412" s="571"/>
      <c r="AL412" s="571"/>
      <c r="AM412" s="571"/>
      <c r="AN412" s="571"/>
      <c r="AO412" s="571"/>
    </row>
    <row r="413">
      <c r="G413" s="571"/>
      <c r="H413" s="571"/>
      <c r="I413" s="571"/>
      <c r="J413" s="571"/>
      <c r="K413" s="571"/>
      <c r="L413" s="571"/>
      <c r="M413" s="571"/>
      <c r="N413" s="571"/>
      <c r="O413" s="571"/>
      <c r="P413" s="571"/>
      <c r="Q413" s="571"/>
      <c r="R413" s="571"/>
      <c r="S413" s="571"/>
      <c r="T413" s="571"/>
      <c r="U413" s="571"/>
      <c r="V413" s="571"/>
      <c r="W413" s="571"/>
      <c r="X413" s="571"/>
      <c r="Y413" s="571"/>
      <c r="Z413" s="571"/>
      <c r="AA413" s="571"/>
      <c r="AB413" s="571"/>
      <c r="AC413" s="571"/>
      <c r="AD413" s="571"/>
      <c r="AE413" s="571"/>
      <c r="AF413" s="571"/>
      <c r="AG413" s="571"/>
      <c r="AH413" s="571"/>
      <c r="AI413" s="571"/>
      <c r="AJ413" s="571"/>
      <c r="AK413" s="571"/>
      <c r="AL413" s="571"/>
      <c r="AM413" s="571"/>
      <c r="AN413" s="571"/>
      <c r="AO413" s="571"/>
    </row>
    <row r="414">
      <c r="G414" s="571"/>
      <c r="H414" s="571"/>
      <c r="I414" s="571"/>
      <c r="J414" s="571"/>
      <c r="K414" s="571"/>
      <c r="L414" s="571"/>
      <c r="M414" s="571"/>
      <c r="N414" s="571"/>
      <c r="O414" s="571"/>
      <c r="P414" s="571"/>
      <c r="Q414" s="571"/>
      <c r="R414" s="571"/>
      <c r="S414" s="571"/>
      <c r="T414" s="571"/>
      <c r="U414" s="571"/>
      <c r="V414" s="571"/>
      <c r="W414" s="571"/>
      <c r="X414" s="571"/>
      <c r="Y414" s="571"/>
      <c r="Z414" s="571"/>
      <c r="AA414" s="571"/>
      <c r="AB414" s="571"/>
      <c r="AC414" s="571"/>
      <c r="AD414" s="571"/>
      <c r="AE414" s="571"/>
      <c r="AF414" s="571"/>
      <c r="AG414" s="571"/>
      <c r="AH414" s="571"/>
      <c r="AI414" s="571"/>
      <c r="AJ414" s="571"/>
      <c r="AK414" s="571"/>
      <c r="AL414" s="571"/>
      <c r="AM414" s="571"/>
      <c r="AN414" s="571"/>
      <c r="AO414" s="571"/>
    </row>
    <row r="415">
      <c r="G415" s="571"/>
      <c r="H415" s="571"/>
      <c r="I415" s="571"/>
      <c r="J415" s="571"/>
      <c r="K415" s="571"/>
      <c r="L415" s="571"/>
      <c r="M415" s="571"/>
      <c r="N415" s="571"/>
      <c r="O415" s="571"/>
      <c r="P415" s="571"/>
      <c r="Q415" s="571"/>
      <c r="R415" s="571"/>
      <c r="S415" s="571"/>
      <c r="T415" s="571"/>
      <c r="U415" s="571"/>
      <c r="V415" s="571"/>
      <c r="W415" s="571"/>
      <c r="X415" s="571"/>
      <c r="Y415" s="571"/>
      <c r="Z415" s="571"/>
      <c r="AA415" s="571"/>
      <c r="AB415" s="571"/>
      <c r="AC415" s="571"/>
      <c r="AD415" s="571"/>
      <c r="AE415" s="571"/>
      <c r="AF415" s="571"/>
      <c r="AG415" s="571"/>
      <c r="AH415" s="571"/>
      <c r="AI415" s="571"/>
      <c r="AJ415" s="571"/>
      <c r="AK415" s="571"/>
      <c r="AL415" s="571"/>
      <c r="AM415" s="571"/>
      <c r="AN415" s="571"/>
      <c r="AO415" s="571"/>
    </row>
    <row r="416">
      <c r="G416" s="571"/>
      <c r="H416" s="571"/>
      <c r="I416" s="571"/>
      <c r="J416" s="571"/>
      <c r="K416" s="571"/>
      <c r="L416" s="571"/>
      <c r="M416" s="571"/>
      <c r="N416" s="571"/>
      <c r="O416" s="571"/>
      <c r="P416" s="571"/>
      <c r="Q416" s="571"/>
      <c r="R416" s="571"/>
      <c r="S416" s="571"/>
      <c r="T416" s="571"/>
      <c r="U416" s="571"/>
      <c r="V416" s="571"/>
      <c r="W416" s="571"/>
      <c r="X416" s="571"/>
      <c r="Y416" s="571"/>
      <c r="Z416" s="571"/>
      <c r="AA416" s="571"/>
      <c r="AB416" s="571"/>
      <c r="AC416" s="571"/>
      <c r="AD416" s="571"/>
      <c r="AE416" s="571"/>
      <c r="AF416" s="571"/>
      <c r="AG416" s="571"/>
      <c r="AH416" s="571"/>
      <c r="AI416" s="571"/>
      <c r="AJ416" s="571"/>
      <c r="AK416" s="571"/>
      <c r="AL416" s="571"/>
      <c r="AM416" s="571"/>
      <c r="AN416" s="571"/>
      <c r="AO416" s="571"/>
    </row>
    <row r="417">
      <c r="G417" s="571"/>
      <c r="H417" s="571"/>
      <c r="I417" s="571"/>
      <c r="J417" s="571"/>
      <c r="K417" s="571"/>
      <c r="L417" s="571"/>
      <c r="M417" s="571"/>
      <c r="N417" s="571"/>
      <c r="O417" s="571"/>
      <c r="P417" s="571"/>
      <c r="Q417" s="571"/>
      <c r="R417" s="571"/>
      <c r="S417" s="571"/>
      <c r="T417" s="571"/>
      <c r="U417" s="571"/>
      <c r="V417" s="571"/>
      <c r="W417" s="571"/>
      <c r="X417" s="571"/>
      <c r="Y417" s="571"/>
      <c r="Z417" s="571"/>
      <c r="AA417" s="571"/>
      <c r="AB417" s="571"/>
      <c r="AC417" s="571"/>
      <c r="AD417" s="571"/>
      <c r="AE417" s="571"/>
      <c r="AF417" s="571"/>
      <c r="AG417" s="571"/>
      <c r="AH417" s="571"/>
      <c r="AI417" s="571"/>
      <c r="AJ417" s="571"/>
      <c r="AK417" s="571"/>
      <c r="AL417" s="571"/>
      <c r="AM417" s="571"/>
      <c r="AN417" s="571"/>
      <c r="AO417" s="571"/>
    </row>
    <row r="418">
      <c r="G418" s="571"/>
      <c r="H418" s="571"/>
      <c r="I418" s="571"/>
      <c r="J418" s="571"/>
      <c r="K418" s="571"/>
      <c r="L418" s="571"/>
      <c r="M418" s="571"/>
      <c r="N418" s="571"/>
      <c r="O418" s="571"/>
      <c r="P418" s="571"/>
      <c r="Q418" s="571"/>
      <c r="R418" s="571"/>
      <c r="S418" s="571"/>
      <c r="T418" s="571"/>
      <c r="U418" s="571"/>
      <c r="V418" s="571"/>
      <c r="W418" s="571"/>
      <c r="X418" s="571"/>
      <c r="Y418" s="571"/>
      <c r="Z418" s="571"/>
      <c r="AA418" s="571"/>
      <c r="AB418" s="571"/>
      <c r="AC418" s="571"/>
      <c r="AD418" s="571"/>
      <c r="AE418" s="571"/>
      <c r="AF418" s="571"/>
      <c r="AG418" s="571"/>
      <c r="AH418" s="571"/>
      <c r="AI418" s="571"/>
      <c r="AJ418" s="571"/>
      <c r="AK418" s="571"/>
      <c r="AL418" s="571"/>
      <c r="AM418" s="571"/>
      <c r="AN418" s="571"/>
      <c r="AO418" s="571"/>
    </row>
    <row r="419">
      <c r="G419" s="571"/>
      <c r="H419" s="571"/>
      <c r="I419" s="571"/>
      <c r="J419" s="571"/>
      <c r="K419" s="571"/>
      <c r="L419" s="571"/>
      <c r="M419" s="571"/>
      <c r="N419" s="571"/>
      <c r="O419" s="571"/>
      <c r="P419" s="571"/>
      <c r="Q419" s="571"/>
      <c r="R419" s="571"/>
      <c r="S419" s="571"/>
      <c r="T419" s="571"/>
      <c r="U419" s="571"/>
      <c r="V419" s="571"/>
      <c r="W419" s="571"/>
      <c r="X419" s="571"/>
      <c r="Y419" s="571"/>
      <c r="Z419" s="571"/>
      <c r="AA419" s="571"/>
      <c r="AB419" s="571"/>
      <c r="AC419" s="571"/>
      <c r="AD419" s="571"/>
      <c r="AE419" s="571"/>
      <c r="AF419" s="571"/>
      <c r="AG419" s="571"/>
      <c r="AH419" s="571"/>
      <c r="AI419" s="571"/>
      <c r="AJ419" s="571"/>
      <c r="AK419" s="571"/>
      <c r="AL419" s="571"/>
      <c r="AM419" s="571"/>
      <c r="AN419" s="571"/>
      <c r="AO419" s="571"/>
    </row>
    <row r="420">
      <c r="G420" s="571"/>
      <c r="H420" s="571"/>
      <c r="I420" s="571"/>
      <c r="J420" s="571"/>
      <c r="K420" s="571"/>
      <c r="L420" s="571"/>
      <c r="M420" s="571"/>
      <c r="N420" s="571"/>
      <c r="O420" s="571"/>
      <c r="P420" s="571"/>
      <c r="Q420" s="571"/>
      <c r="R420" s="571"/>
      <c r="S420" s="571"/>
      <c r="T420" s="571"/>
      <c r="U420" s="571"/>
      <c r="V420" s="571"/>
      <c r="W420" s="571"/>
      <c r="X420" s="571"/>
      <c r="Y420" s="571"/>
      <c r="Z420" s="571"/>
      <c r="AA420" s="571"/>
      <c r="AB420" s="571"/>
      <c r="AC420" s="571"/>
      <c r="AD420" s="571"/>
      <c r="AE420" s="571"/>
      <c r="AF420" s="571"/>
      <c r="AG420" s="571"/>
      <c r="AH420" s="571"/>
      <c r="AI420" s="571"/>
      <c r="AJ420" s="571"/>
      <c r="AK420" s="571"/>
      <c r="AL420" s="571"/>
      <c r="AM420" s="571"/>
      <c r="AN420" s="571"/>
      <c r="AO420" s="571"/>
    </row>
    <row r="421">
      <c r="G421" s="571"/>
      <c r="H421" s="571"/>
      <c r="I421" s="571"/>
      <c r="J421" s="571"/>
      <c r="K421" s="571"/>
      <c r="L421" s="571"/>
      <c r="M421" s="571"/>
      <c r="N421" s="571"/>
      <c r="O421" s="571"/>
      <c r="P421" s="571"/>
      <c r="Q421" s="571"/>
      <c r="R421" s="571"/>
      <c r="S421" s="571"/>
      <c r="T421" s="571"/>
      <c r="U421" s="571"/>
      <c r="V421" s="571"/>
      <c r="W421" s="571"/>
      <c r="X421" s="571"/>
      <c r="Y421" s="571"/>
      <c r="Z421" s="571"/>
      <c r="AA421" s="571"/>
      <c r="AB421" s="571"/>
      <c r="AC421" s="571"/>
      <c r="AD421" s="571"/>
      <c r="AE421" s="571"/>
      <c r="AF421" s="571"/>
      <c r="AG421" s="571"/>
      <c r="AH421" s="571"/>
      <c r="AI421" s="571"/>
      <c r="AJ421" s="571"/>
      <c r="AK421" s="571"/>
      <c r="AL421" s="571"/>
      <c r="AM421" s="571"/>
      <c r="AN421" s="571"/>
      <c r="AO421" s="571"/>
    </row>
    <row r="422">
      <c r="G422" s="571"/>
      <c r="H422" s="571"/>
      <c r="I422" s="571"/>
      <c r="J422" s="571"/>
      <c r="K422" s="571"/>
      <c r="L422" s="571"/>
      <c r="M422" s="571"/>
      <c r="N422" s="571"/>
      <c r="O422" s="571"/>
      <c r="P422" s="571"/>
      <c r="Q422" s="571"/>
      <c r="R422" s="571"/>
      <c r="S422" s="571"/>
      <c r="T422" s="571"/>
      <c r="U422" s="571"/>
      <c r="V422" s="571"/>
      <c r="W422" s="571"/>
      <c r="X422" s="571"/>
      <c r="Y422" s="571"/>
      <c r="Z422" s="571"/>
      <c r="AA422" s="571"/>
      <c r="AB422" s="571"/>
      <c r="AC422" s="571"/>
      <c r="AD422" s="571"/>
      <c r="AE422" s="571"/>
      <c r="AF422" s="571"/>
      <c r="AG422" s="571"/>
      <c r="AH422" s="571"/>
      <c r="AI422" s="571"/>
      <c r="AJ422" s="571"/>
      <c r="AK422" s="571"/>
      <c r="AL422" s="571"/>
      <c r="AM422" s="571"/>
      <c r="AN422" s="571"/>
      <c r="AO422" s="571"/>
    </row>
    <row r="423">
      <c r="G423" s="571"/>
      <c r="H423" s="571"/>
      <c r="I423" s="571"/>
      <c r="J423" s="571"/>
      <c r="K423" s="571"/>
      <c r="L423" s="571"/>
      <c r="M423" s="571"/>
      <c r="N423" s="571"/>
      <c r="O423" s="571"/>
      <c r="P423" s="571"/>
      <c r="Q423" s="571"/>
      <c r="R423" s="571"/>
      <c r="S423" s="571"/>
      <c r="T423" s="571"/>
      <c r="U423" s="571"/>
      <c r="V423" s="571"/>
      <c r="W423" s="571"/>
      <c r="X423" s="571"/>
      <c r="Y423" s="571"/>
      <c r="Z423" s="571"/>
      <c r="AA423" s="571"/>
      <c r="AB423" s="571"/>
      <c r="AC423" s="571"/>
      <c r="AD423" s="571"/>
      <c r="AE423" s="571"/>
      <c r="AF423" s="571"/>
      <c r="AG423" s="571"/>
      <c r="AH423" s="571"/>
      <c r="AI423" s="571"/>
      <c r="AJ423" s="571"/>
      <c r="AK423" s="571"/>
      <c r="AL423" s="571"/>
      <c r="AM423" s="571"/>
      <c r="AN423" s="571"/>
      <c r="AO423" s="571"/>
    </row>
    <row r="424">
      <c r="G424" s="571"/>
      <c r="H424" s="571"/>
      <c r="I424" s="571"/>
      <c r="J424" s="571"/>
      <c r="K424" s="571"/>
      <c r="L424" s="571"/>
      <c r="M424" s="571"/>
      <c r="N424" s="571"/>
      <c r="O424" s="571"/>
      <c r="P424" s="571"/>
      <c r="Q424" s="571"/>
      <c r="R424" s="571"/>
      <c r="S424" s="571"/>
      <c r="T424" s="571"/>
      <c r="U424" s="571"/>
      <c r="V424" s="571"/>
      <c r="W424" s="571"/>
      <c r="X424" s="571"/>
      <c r="Y424" s="571"/>
      <c r="Z424" s="571"/>
      <c r="AA424" s="571"/>
      <c r="AB424" s="571"/>
      <c r="AC424" s="571"/>
      <c r="AD424" s="571"/>
      <c r="AE424" s="571"/>
      <c r="AF424" s="571"/>
      <c r="AG424" s="571"/>
      <c r="AH424" s="571"/>
      <c r="AI424" s="571"/>
      <c r="AJ424" s="571"/>
      <c r="AK424" s="571"/>
      <c r="AL424" s="571"/>
      <c r="AM424" s="571"/>
      <c r="AN424" s="571"/>
      <c r="AO424" s="571"/>
    </row>
    <row r="425">
      <c r="G425" s="571"/>
      <c r="H425" s="571"/>
      <c r="I425" s="571"/>
      <c r="J425" s="571"/>
      <c r="K425" s="571"/>
      <c r="L425" s="571"/>
      <c r="M425" s="571"/>
      <c r="N425" s="571"/>
      <c r="O425" s="571"/>
      <c r="P425" s="571"/>
      <c r="Q425" s="571"/>
      <c r="R425" s="571"/>
      <c r="S425" s="571"/>
      <c r="T425" s="571"/>
      <c r="U425" s="571"/>
      <c r="V425" s="571"/>
      <c r="W425" s="571"/>
      <c r="X425" s="571"/>
      <c r="Y425" s="571"/>
      <c r="Z425" s="571"/>
      <c r="AA425" s="571"/>
      <c r="AB425" s="571"/>
      <c r="AC425" s="571"/>
      <c r="AD425" s="571"/>
      <c r="AE425" s="571"/>
      <c r="AF425" s="571"/>
      <c r="AG425" s="571"/>
      <c r="AH425" s="571"/>
      <c r="AI425" s="571"/>
      <c r="AJ425" s="571"/>
      <c r="AK425" s="571"/>
      <c r="AL425" s="571"/>
      <c r="AM425" s="571"/>
      <c r="AN425" s="571"/>
      <c r="AO425" s="571"/>
    </row>
    <row r="426">
      <c r="G426" s="571"/>
      <c r="H426" s="571"/>
      <c r="I426" s="571"/>
      <c r="J426" s="571"/>
      <c r="K426" s="571"/>
      <c r="L426" s="571"/>
      <c r="M426" s="571"/>
      <c r="N426" s="571"/>
      <c r="O426" s="571"/>
      <c r="P426" s="571"/>
      <c r="Q426" s="571"/>
      <c r="R426" s="571"/>
      <c r="S426" s="571"/>
      <c r="T426" s="571"/>
      <c r="U426" s="571"/>
      <c r="V426" s="571"/>
      <c r="W426" s="571"/>
      <c r="X426" s="571"/>
      <c r="Y426" s="571"/>
      <c r="Z426" s="571"/>
      <c r="AA426" s="571"/>
      <c r="AB426" s="571"/>
      <c r="AC426" s="571"/>
      <c r="AD426" s="571"/>
      <c r="AE426" s="571"/>
      <c r="AF426" s="571"/>
      <c r="AG426" s="571"/>
      <c r="AH426" s="571"/>
      <c r="AI426" s="571"/>
      <c r="AJ426" s="571"/>
      <c r="AK426" s="571"/>
      <c r="AL426" s="571"/>
      <c r="AM426" s="571"/>
      <c r="AN426" s="571"/>
      <c r="AO426" s="571"/>
    </row>
    <row r="427">
      <c r="G427" s="571"/>
      <c r="H427" s="571"/>
      <c r="I427" s="571"/>
      <c r="J427" s="571"/>
      <c r="K427" s="571"/>
      <c r="L427" s="571"/>
      <c r="M427" s="571"/>
      <c r="N427" s="571"/>
      <c r="O427" s="571"/>
      <c r="P427" s="571"/>
      <c r="Q427" s="571"/>
      <c r="R427" s="571"/>
      <c r="S427" s="571"/>
      <c r="T427" s="571"/>
      <c r="U427" s="571"/>
      <c r="V427" s="571"/>
      <c r="W427" s="571"/>
      <c r="X427" s="571"/>
      <c r="Y427" s="571"/>
      <c r="Z427" s="571"/>
      <c r="AA427" s="571"/>
      <c r="AB427" s="571"/>
      <c r="AC427" s="571"/>
      <c r="AD427" s="571"/>
      <c r="AE427" s="571"/>
      <c r="AF427" s="571"/>
      <c r="AG427" s="571"/>
      <c r="AH427" s="571"/>
      <c r="AI427" s="571"/>
      <c r="AJ427" s="571"/>
      <c r="AK427" s="571"/>
      <c r="AL427" s="571"/>
      <c r="AM427" s="571"/>
      <c r="AN427" s="571"/>
      <c r="AO427" s="571"/>
    </row>
    <row r="428">
      <c r="G428" s="571"/>
      <c r="H428" s="571"/>
      <c r="I428" s="571"/>
      <c r="J428" s="571"/>
      <c r="K428" s="571"/>
      <c r="L428" s="571"/>
      <c r="M428" s="571"/>
      <c r="N428" s="571"/>
      <c r="O428" s="571"/>
      <c r="P428" s="571"/>
      <c r="Q428" s="571"/>
      <c r="R428" s="571"/>
      <c r="S428" s="571"/>
      <c r="T428" s="571"/>
      <c r="U428" s="571"/>
      <c r="V428" s="571"/>
      <c r="W428" s="571"/>
      <c r="X428" s="571"/>
      <c r="Y428" s="571"/>
      <c r="Z428" s="571"/>
      <c r="AA428" s="571"/>
      <c r="AB428" s="571"/>
      <c r="AC428" s="571"/>
      <c r="AD428" s="571"/>
      <c r="AE428" s="571"/>
      <c r="AF428" s="571"/>
      <c r="AG428" s="571"/>
      <c r="AH428" s="571"/>
      <c r="AI428" s="571"/>
      <c r="AJ428" s="571"/>
      <c r="AK428" s="571"/>
      <c r="AL428" s="571"/>
      <c r="AM428" s="571"/>
      <c r="AN428" s="571"/>
      <c r="AO428" s="571"/>
    </row>
    <row r="429">
      <c r="G429" s="571"/>
      <c r="H429" s="571"/>
      <c r="I429" s="571"/>
      <c r="J429" s="571"/>
      <c r="K429" s="571"/>
      <c r="L429" s="571"/>
      <c r="M429" s="571"/>
      <c r="N429" s="571"/>
      <c r="O429" s="571"/>
      <c r="P429" s="571"/>
      <c r="Q429" s="571"/>
      <c r="R429" s="571"/>
      <c r="S429" s="571"/>
      <c r="T429" s="571"/>
      <c r="U429" s="571"/>
      <c r="V429" s="571"/>
      <c r="W429" s="571"/>
      <c r="X429" s="571"/>
      <c r="Y429" s="571"/>
      <c r="Z429" s="571"/>
      <c r="AA429" s="571"/>
      <c r="AB429" s="571"/>
      <c r="AC429" s="571"/>
      <c r="AD429" s="571"/>
      <c r="AE429" s="571"/>
      <c r="AF429" s="571"/>
      <c r="AG429" s="571"/>
      <c r="AH429" s="571"/>
      <c r="AI429" s="571"/>
      <c r="AJ429" s="571"/>
      <c r="AK429" s="571"/>
      <c r="AL429" s="571"/>
      <c r="AM429" s="571"/>
      <c r="AN429" s="571"/>
      <c r="AO429" s="571"/>
    </row>
    <row r="430">
      <c r="G430" s="571"/>
      <c r="H430" s="571"/>
      <c r="I430" s="571"/>
      <c r="J430" s="571"/>
      <c r="K430" s="571"/>
      <c r="L430" s="571"/>
      <c r="M430" s="571"/>
      <c r="N430" s="571"/>
      <c r="O430" s="571"/>
      <c r="P430" s="571"/>
      <c r="Q430" s="571"/>
      <c r="R430" s="571"/>
      <c r="S430" s="571"/>
      <c r="T430" s="571"/>
      <c r="U430" s="571"/>
      <c r="V430" s="571"/>
      <c r="W430" s="571"/>
      <c r="X430" s="571"/>
      <c r="Y430" s="571"/>
      <c r="Z430" s="571"/>
      <c r="AA430" s="571"/>
      <c r="AB430" s="571"/>
      <c r="AC430" s="571"/>
      <c r="AD430" s="571"/>
      <c r="AE430" s="571"/>
      <c r="AF430" s="571"/>
      <c r="AG430" s="571"/>
      <c r="AH430" s="571"/>
      <c r="AI430" s="571"/>
      <c r="AJ430" s="571"/>
      <c r="AK430" s="571"/>
      <c r="AL430" s="571"/>
      <c r="AM430" s="571"/>
      <c r="AN430" s="571"/>
      <c r="AO430" s="571"/>
    </row>
    <row r="431">
      <c r="G431" s="571"/>
      <c r="H431" s="571"/>
      <c r="I431" s="571"/>
      <c r="J431" s="571"/>
      <c r="K431" s="571"/>
      <c r="L431" s="571"/>
      <c r="M431" s="571"/>
      <c r="N431" s="571"/>
      <c r="O431" s="571"/>
      <c r="P431" s="571"/>
      <c r="Q431" s="571"/>
      <c r="R431" s="571"/>
      <c r="S431" s="571"/>
      <c r="T431" s="571"/>
      <c r="U431" s="571"/>
      <c r="V431" s="571"/>
      <c r="W431" s="571"/>
      <c r="X431" s="571"/>
      <c r="Y431" s="571"/>
      <c r="Z431" s="571"/>
      <c r="AA431" s="571"/>
      <c r="AB431" s="571"/>
      <c r="AC431" s="571"/>
      <c r="AD431" s="571"/>
      <c r="AE431" s="571"/>
      <c r="AF431" s="571"/>
      <c r="AG431" s="571"/>
      <c r="AH431" s="571"/>
      <c r="AI431" s="571"/>
      <c r="AJ431" s="571"/>
      <c r="AK431" s="571"/>
      <c r="AL431" s="571"/>
      <c r="AM431" s="571"/>
      <c r="AN431" s="571"/>
      <c r="AO431" s="571"/>
    </row>
    <row r="432">
      <c r="G432" s="571"/>
      <c r="H432" s="571"/>
      <c r="I432" s="571"/>
      <c r="J432" s="571"/>
      <c r="K432" s="571"/>
      <c r="L432" s="571"/>
      <c r="M432" s="571"/>
      <c r="N432" s="571"/>
      <c r="O432" s="571"/>
      <c r="P432" s="571"/>
      <c r="Q432" s="571"/>
      <c r="R432" s="571"/>
      <c r="S432" s="571"/>
      <c r="T432" s="571"/>
      <c r="U432" s="571"/>
      <c r="V432" s="571"/>
      <c r="W432" s="571"/>
      <c r="X432" s="571"/>
      <c r="Y432" s="571"/>
      <c r="Z432" s="571"/>
      <c r="AA432" s="571"/>
      <c r="AB432" s="571"/>
      <c r="AC432" s="571"/>
      <c r="AD432" s="571"/>
      <c r="AE432" s="571"/>
      <c r="AF432" s="571"/>
      <c r="AG432" s="571"/>
      <c r="AH432" s="571"/>
      <c r="AI432" s="571"/>
      <c r="AJ432" s="571"/>
      <c r="AK432" s="571"/>
      <c r="AL432" s="571"/>
      <c r="AM432" s="571"/>
      <c r="AN432" s="571"/>
      <c r="AO432" s="571"/>
    </row>
    <row r="433">
      <c r="G433" s="571"/>
      <c r="H433" s="571"/>
      <c r="I433" s="571"/>
      <c r="J433" s="571"/>
      <c r="K433" s="571"/>
      <c r="L433" s="571"/>
      <c r="M433" s="571"/>
      <c r="N433" s="571"/>
      <c r="O433" s="571"/>
      <c r="P433" s="571"/>
      <c r="Q433" s="571"/>
      <c r="R433" s="571"/>
      <c r="S433" s="571"/>
      <c r="T433" s="571"/>
      <c r="U433" s="571"/>
      <c r="V433" s="571"/>
      <c r="W433" s="571"/>
      <c r="X433" s="571"/>
      <c r="Y433" s="571"/>
      <c r="Z433" s="571"/>
      <c r="AA433" s="571"/>
      <c r="AB433" s="571"/>
      <c r="AC433" s="571"/>
      <c r="AD433" s="571"/>
      <c r="AE433" s="571"/>
      <c r="AF433" s="571"/>
      <c r="AG433" s="571"/>
      <c r="AH433" s="571"/>
      <c r="AI433" s="571"/>
      <c r="AJ433" s="571"/>
      <c r="AK433" s="571"/>
      <c r="AL433" s="571"/>
      <c r="AM433" s="571"/>
      <c r="AN433" s="571"/>
      <c r="AO433" s="571"/>
    </row>
    <row r="434">
      <c r="G434" s="571"/>
      <c r="H434" s="571"/>
      <c r="I434" s="571"/>
      <c r="J434" s="571"/>
      <c r="K434" s="571"/>
      <c r="L434" s="571"/>
      <c r="M434" s="571"/>
      <c r="N434" s="571"/>
      <c r="O434" s="571"/>
      <c r="P434" s="571"/>
      <c r="Q434" s="571"/>
      <c r="R434" s="571"/>
      <c r="S434" s="571"/>
      <c r="T434" s="571"/>
      <c r="U434" s="571"/>
      <c r="V434" s="571"/>
      <c r="W434" s="571"/>
      <c r="X434" s="571"/>
      <c r="Y434" s="571"/>
      <c r="Z434" s="571"/>
      <c r="AA434" s="571"/>
      <c r="AB434" s="571"/>
      <c r="AC434" s="571"/>
      <c r="AD434" s="571"/>
      <c r="AE434" s="571"/>
      <c r="AF434" s="571"/>
      <c r="AG434" s="571"/>
      <c r="AH434" s="571"/>
      <c r="AI434" s="571"/>
      <c r="AJ434" s="571"/>
      <c r="AK434" s="571"/>
      <c r="AL434" s="571"/>
      <c r="AM434" s="571"/>
      <c r="AN434" s="571"/>
      <c r="AO434" s="571"/>
    </row>
    <row r="435">
      <c r="G435" s="571"/>
      <c r="H435" s="571"/>
      <c r="I435" s="571"/>
      <c r="J435" s="571"/>
      <c r="K435" s="571"/>
      <c r="L435" s="571"/>
      <c r="M435" s="571"/>
      <c r="N435" s="571"/>
      <c r="O435" s="571"/>
      <c r="P435" s="571"/>
      <c r="Q435" s="571"/>
      <c r="R435" s="571"/>
      <c r="S435" s="571"/>
      <c r="T435" s="571"/>
      <c r="U435" s="571"/>
      <c r="V435" s="571"/>
      <c r="W435" s="571"/>
      <c r="X435" s="571"/>
      <c r="Y435" s="571"/>
      <c r="Z435" s="571"/>
      <c r="AA435" s="571"/>
      <c r="AB435" s="571"/>
      <c r="AC435" s="571"/>
      <c r="AD435" s="571"/>
      <c r="AE435" s="571"/>
      <c r="AF435" s="571"/>
      <c r="AG435" s="571"/>
      <c r="AH435" s="571"/>
      <c r="AI435" s="571"/>
      <c r="AJ435" s="571"/>
      <c r="AK435" s="571"/>
      <c r="AL435" s="571"/>
      <c r="AM435" s="571"/>
      <c r="AN435" s="571"/>
      <c r="AO435" s="571"/>
    </row>
    <row r="436">
      <c r="G436" s="571"/>
      <c r="H436" s="571"/>
      <c r="I436" s="571"/>
      <c r="J436" s="571"/>
      <c r="K436" s="571"/>
      <c r="L436" s="571"/>
      <c r="M436" s="571"/>
      <c r="N436" s="571"/>
      <c r="O436" s="571"/>
      <c r="P436" s="571"/>
      <c r="Q436" s="571"/>
      <c r="R436" s="571"/>
      <c r="S436" s="571"/>
      <c r="T436" s="571"/>
      <c r="U436" s="571"/>
      <c r="V436" s="571"/>
      <c r="W436" s="571"/>
      <c r="X436" s="571"/>
      <c r="Y436" s="571"/>
      <c r="Z436" s="571"/>
      <c r="AA436" s="571"/>
      <c r="AB436" s="571"/>
      <c r="AC436" s="571"/>
      <c r="AD436" s="571"/>
      <c r="AE436" s="571"/>
      <c r="AF436" s="571"/>
      <c r="AG436" s="571"/>
      <c r="AH436" s="571"/>
      <c r="AI436" s="571"/>
      <c r="AJ436" s="571"/>
      <c r="AK436" s="571"/>
      <c r="AL436" s="571"/>
      <c r="AM436" s="571"/>
      <c r="AN436" s="571"/>
      <c r="AO436" s="571"/>
    </row>
    <row r="437">
      <c r="G437" s="571"/>
      <c r="H437" s="571"/>
      <c r="I437" s="571"/>
      <c r="J437" s="571"/>
      <c r="K437" s="571"/>
      <c r="L437" s="571"/>
      <c r="M437" s="571"/>
      <c r="N437" s="571"/>
      <c r="O437" s="571"/>
      <c r="P437" s="571"/>
      <c r="Q437" s="571"/>
      <c r="R437" s="571"/>
      <c r="S437" s="571"/>
      <c r="T437" s="571"/>
      <c r="U437" s="571"/>
      <c r="V437" s="571"/>
      <c r="W437" s="571"/>
      <c r="X437" s="571"/>
      <c r="Y437" s="571"/>
      <c r="Z437" s="571"/>
      <c r="AA437" s="571"/>
      <c r="AB437" s="571"/>
      <c r="AC437" s="571"/>
      <c r="AD437" s="571"/>
      <c r="AE437" s="571"/>
      <c r="AF437" s="571"/>
      <c r="AG437" s="571"/>
      <c r="AH437" s="571"/>
      <c r="AI437" s="571"/>
      <c r="AJ437" s="571"/>
      <c r="AK437" s="571"/>
      <c r="AL437" s="571"/>
      <c r="AM437" s="571"/>
      <c r="AN437" s="571"/>
      <c r="AO437" s="571"/>
    </row>
    <row r="438">
      <c r="G438" s="571"/>
      <c r="H438" s="571"/>
      <c r="I438" s="571"/>
      <c r="J438" s="571"/>
      <c r="K438" s="571"/>
      <c r="L438" s="571"/>
      <c r="M438" s="571"/>
      <c r="N438" s="571"/>
      <c r="O438" s="571"/>
      <c r="P438" s="571"/>
      <c r="Q438" s="571"/>
      <c r="R438" s="571"/>
      <c r="S438" s="571"/>
      <c r="T438" s="571"/>
      <c r="U438" s="571"/>
      <c r="V438" s="571"/>
      <c r="W438" s="571"/>
      <c r="X438" s="571"/>
      <c r="Y438" s="571"/>
      <c r="Z438" s="571"/>
      <c r="AA438" s="571"/>
      <c r="AB438" s="571"/>
      <c r="AC438" s="571"/>
      <c r="AD438" s="571"/>
      <c r="AE438" s="571"/>
      <c r="AF438" s="571"/>
      <c r="AG438" s="571"/>
      <c r="AH438" s="571"/>
      <c r="AI438" s="571"/>
      <c r="AJ438" s="571"/>
      <c r="AK438" s="571"/>
      <c r="AL438" s="571"/>
      <c r="AM438" s="571"/>
      <c r="AN438" s="571"/>
      <c r="AO438" s="571"/>
    </row>
    <row r="439">
      <c r="G439" s="571"/>
      <c r="H439" s="571"/>
      <c r="I439" s="571"/>
      <c r="J439" s="571"/>
      <c r="K439" s="571"/>
      <c r="L439" s="571"/>
      <c r="M439" s="571"/>
      <c r="N439" s="571"/>
      <c r="O439" s="571"/>
      <c r="P439" s="571"/>
      <c r="Q439" s="571"/>
      <c r="R439" s="571"/>
      <c r="S439" s="571"/>
      <c r="T439" s="571"/>
      <c r="U439" s="571"/>
      <c r="V439" s="571"/>
      <c r="W439" s="571"/>
      <c r="X439" s="571"/>
      <c r="Y439" s="571"/>
      <c r="Z439" s="571"/>
      <c r="AA439" s="571"/>
      <c r="AB439" s="571"/>
      <c r="AC439" s="571"/>
      <c r="AD439" s="571"/>
      <c r="AE439" s="571"/>
      <c r="AF439" s="571"/>
      <c r="AG439" s="571"/>
      <c r="AH439" s="571"/>
      <c r="AI439" s="571"/>
      <c r="AJ439" s="571"/>
      <c r="AK439" s="571"/>
      <c r="AL439" s="571"/>
      <c r="AM439" s="571"/>
      <c r="AN439" s="571"/>
      <c r="AO439" s="571"/>
    </row>
    <row r="440">
      <c r="G440" s="571"/>
      <c r="H440" s="571"/>
      <c r="I440" s="571"/>
      <c r="J440" s="571"/>
      <c r="K440" s="571"/>
      <c r="L440" s="571"/>
      <c r="M440" s="571"/>
      <c r="N440" s="571"/>
      <c r="O440" s="571"/>
      <c r="P440" s="571"/>
      <c r="Q440" s="571"/>
      <c r="R440" s="571"/>
      <c r="S440" s="571"/>
      <c r="T440" s="571"/>
      <c r="U440" s="571"/>
      <c r="V440" s="571"/>
      <c r="W440" s="571"/>
      <c r="X440" s="571"/>
      <c r="Y440" s="571"/>
      <c r="Z440" s="571"/>
      <c r="AA440" s="571"/>
      <c r="AB440" s="571"/>
      <c r="AC440" s="571"/>
      <c r="AD440" s="571"/>
      <c r="AE440" s="571"/>
      <c r="AF440" s="571"/>
      <c r="AG440" s="571"/>
      <c r="AH440" s="571"/>
      <c r="AI440" s="571"/>
      <c r="AJ440" s="571"/>
      <c r="AK440" s="571"/>
      <c r="AL440" s="571"/>
      <c r="AM440" s="571"/>
      <c r="AN440" s="571"/>
      <c r="AO440" s="571"/>
    </row>
    <row r="441">
      <c r="G441" s="571"/>
      <c r="H441" s="571"/>
      <c r="I441" s="571"/>
      <c r="J441" s="571"/>
      <c r="K441" s="571"/>
      <c r="L441" s="571"/>
      <c r="M441" s="571"/>
      <c r="N441" s="571"/>
      <c r="O441" s="571"/>
      <c r="P441" s="571"/>
      <c r="Q441" s="571"/>
      <c r="R441" s="571"/>
      <c r="S441" s="571"/>
      <c r="T441" s="571"/>
      <c r="U441" s="571"/>
      <c r="V441" s="571"/>
      <c r="W441" s="571"/>
      <c r="X441" s="571"/>
      <c r="Y441" s="571"/>
      <c r="Z441" s="571"/>
      <c r="AA441" s="571"/>
      <c r="AB441" s="571"/>
      <c r="AC441" s="571"/>
      <c r="AD441" s="571"/>
      <c r="AE441" s="571"/>
      <c r="AF441" s="571"/>
      <c r="AG441" s="571"/>
      <c r="AH441" s="571"/>
      <c r="AI441" s="571"/>
      <c r="AJ441" s="571"/>
      <c r="AK441" s="571"/>
      <c r="AL441" s="571"/>
      <c r="AM441" s="571"/>
      <c r="AN441" s="571"/>
      <c r="AO441" s="571"/>
    </row>
    <row r="442">
      <c r="G442" s="571"/>
      <c r="H442" s="571"/>
      <c r="I442" s="571"/>
      <c r="J442" s="571"/>
      <c r="K442" s="571"/>
      <c r="L442" s="571"/>
      <c r="M442" s="571"/>
      <c r="N442" s="571"/>
      <c r="O442" s="571"/>
      <c r="P442" s="571"/>
      <c r="Q442" s="571"/>
      <c r="R442" s="571"/>
      <c r="S442" s="571"/>
      <c r="T442" s="571"/>
      <c r="U442" s="571"/>
      <c r="V442" s="571"/>
      <c r="W442" s="571"/>
      <c r="X442" s="571"/>
      <c r="Y442" s="571"/>
      <c r="Z442" s="571"/>
      <c r="AA442" s="571"/>
      <c r="AB442" s="571"/>
      <c r="AC442" s="571"/>
      <c r="AD442" s="571"/>
      <c r="AE442" s="571"/>
      <c r="AF442" s="571"/>
      <c r="AG442" s="571"/>
      <c r="AH442" s="571"/>
      <c r="AI442" s="571"/>
      <c r="AJ442" s="571"/>
      <c r="AK442" s="571"/>
      <c r="AL442" s="571"/>
      <c r="AM442" s="571"/>
      <c r="AN442" s="571"/>
      <c r="AO442" s="571"/>
    </row>
    <row r="443">
      <c r="G443" s="571"/>
      <c r="H443" s="571"/>
      <c r="I443" s="571"/>
      <c r="J443" s="571"/>
      <c r="K443" s="571"/>
      <c r="L443" s="571"/>
      <c r="M443" s="571"/>
      <c r="N443" s="571"/>
      <c r="O443" s="571"/>
      <c r="P443" s="571"/>
      <c r="Q443" s="571"/>
      <c r="R443" s="571"/>
      <c r="S443" s="571"/>
      <c r="T443" s="571"/>
      <c r="U443" s="571"/>
      <c r="V443" s="571"/>
      <c r="W443" s="571"/>
      <c r="X443" s="571"/>
      <c r="Y443" s="571"/>
      <c r="Z443" s="571"/>
      <c r="AA443" s="571"/>
      <c r="AB443" s="571"/>
      <c r="AC443" s="571"/>
      <c r="AD443" s="571"/>
      <c r="AE443" s="571"/>
      <c r="AF443" s="571"/>
      <c r="AG443" s="571"/>
      <c r="AH443" s="571"/>
      <c r="AI443" s="571"/>
      <c r="AJ443" s="571"/>
      <c r="AK443" s="571"/>
      <c r="AL443" s="571"/>
      <c r="AM443" s="571"/>
      <c r="AN443" s="571"/>
      <c r="AO443" s="571"/>
    </row>
    <row r="444">
      <c r="G444" s="571"/>
      <c r="H444" s="571"/>
      <c r="I444" s="571"/>
      <c r="J444" s="571"/>
      <c r="K444" s="571"/>
      <c r="L444" s="571"/>
      <c r="M444" s="571"/>
      <c r="N444" s="571"/>
      <c r="O444" s="571"/>
      <c r="P444" s="571"/>
      <c r="Q444" s="571"/>
      <c r="R444" s="571"/>
      <c r="S444" s="571"/>
      <c r="T444" s="571"/>
      <c r="U444" s="571"/>
      <c r="V444" s="571"/>
      <c r="W444" s="571"/>
      <c r="X444" s="571"/>
      <c r="Y444" s="571"/>
      <c r="Z444" s="571"/>
      <c r="AA444" s="571"/>
      <c r="AB444" s="571"/>
      <c r="AC444" s="571"/>
      <c r="AD444" s="571"/>
      <c r="AE444" s="571"/>
      <c r="AF444" s="571"/>
      <c r="AG444" s="571"/>
      <c r="AH444" s="571"/>
      <c r="AI444" s="571"/>
      <c r="AJ444" s="571"/>
      <c r="AK444" s="571"/>
      <c r="AL444" s="571"/>
      <c r="AM444" s="571"/>
      <c r="AN444" s="571"/>
      <c r="AO444" s="571"/>
    </row>
    <row r="445">
      <c r="G445" s="571"/>
      <c r="H445" s="571"/>
      <c r="I445" s="571"/>
      <c r="J445" s="571"/>
      <c r="K445" s="571"/>
      <c r="L445" s="571"/>
      <c r="M445" s="571"/>
      <c r="N445" s="571"/>
      <c r="O445" s="571"/>
      <c r="P445" s="571"/>
      <c r="Q445" s="571"/>
      <c r="R445" s="571"/>
      <c r="S445" s="571"/>
      <c r="T445" s="571"/>
      <c r="U445" s="571"/>
      <c r="V445" s="571"/>
      <c r="W445" s="571"/>
      <c r="X445" s="571"/>
      <c r="Y445" s="571"/>
      <c r="Z445" s="571"/>
      <c r="AA445" s="571"/>
      <c r="AB445" s="571"/>
      <c r="AC445" s="571"/>
      <c r="AD445" s="571"/>
      <c r="AE445" s="571"/>
      <c r="AF445" s="571"/>
      <c r="AG445" s="571"/>
      <c r="AH445" s="571"/>
      <c r="AI445" s="571"/>
      <c r="AJ445" s="571"/>
      <c r="AK445" s="571"/>
      <c r="AL445" s="571"/>
      <c r="AM445" s="571"/>
      <c r="AN445" s="571"/>
      <c r="AO445" s="571"/>
    </row>
    <row r="446">
      <c r="G446" s="571"/>
      <c r="H446" s="571"/>
      <c r="I446" s="571"/>
      <c r="J446" s="571"/>
      <c r="K446" s="571"/>
      <c r="L446" s="571"/>
      <c r="M446" s="571"/>
      <c r="N446" s="571"/>
      <c r="O446" s="571"/>
      <c r="P446" s="571"/>
      <c r="Q446" s="571"/>
      <c r="R446" s="571"/>
      <c r="S446" s="571"/>
      <c r="T446" s="571"/>
      <c r="U446" s="571"/>
      <c r="V446" s="571"/>
      <c r="W446" s="571"/>
      <c r="X446" s="571"/>
      <c r="Y446" s="571"/>
      <c r="Z446" s="571"/>
      <c r="AA446" s="571"/>
      <c r="AB446" s="571"/>
      <c r="AC446" s="571"/>
      <c r="AD446" s="571"/>
      <c r="AE446" s="571"/>
      <c r="AF446" s="571"/>
      <c r="AG446" s="571"/>
      <c r="AH446" s="571"/>
      <c r="AI446" s="571"/>
      <c r="AJ446" s="571"/>
      <c r="AK446" s="571"/>
      <c r="AL446" s="571"/>
      <c r="AM446" s="571"/>
      <c r="AN446" s="571"/>
      <c r="AO446" s="571"/>
    </row>
    <row r="447">
      <c r="G447" s="571"/>
      <c r="H447" s="571"/>
      <c r="I447" s="571"/>
      <c r="J447" s="571"/>
      <c r="K447" s="571"/>
      <c r="L447" s="571"/>
      <c r="M447" s="571"/>
      <c r="N447" s="571"/>
      <c r="O447" s="571"/>
      <c r="P447" s="571"/>
      <c r="Q447" s="571"/>
      <c r="R447" s="571"/>
      <c r="S447" s="571"/>
      <c r="T447" s="571"/>
      <c r="U447" s="571"/>
      <c r="V447" s="571"/>
      <c r="W447" s="571"/>
      <c r="X447" s="571"/>
      <c r="Y447" s="571"/>
      <c r="Z447" s="571"/>
      <c r="AA447" s="571"/>
      <c r="AB447" s="571"/>
      <c r="AC447" s="571"/>
      <c r="AD447" s="571"/>
      <c r="AE447" s="571"/>
      <c r="AF447" s="571"/>
      <c r="AG447" s="571"/>
      <c r="AH447" s="571"/>
      <c r="AI447" s="571"/>
      <c r="AJ447" s="571"/>
      <c r="AK447" s="571"/>
      <c r="AL447" s="571"/>
      <c r="AM447" s="571"/>
      <c r="AN447" s="571"/>
      <c r="AO447" s="571"/>
    </row>
    <row r="448">
      <c r="G448" s="571"/>
      <c r="H448" s="571"/>
      <c r="I448" s="571"/>
      <c r="J448" s="571"/>
      <c r="K448" s="571"/>
      <c r="L448" s="571"/>
      <c r="M448" s="571"/>
      <c r="N448" s="571"/>
      <c r="O448" s="571"/>
      <c r="P448" s="571"/>
      <c r="Q448" s="571"/>
      <c r="R448" s="571"/>
      <c r="S448" s="571"/>
      <c r="T448" s="571"/>
      <c r="U448" s="571"/>
      <c r="V448" s="571"/>
      <c r="W448" s="571"/>
      <c r="X448" s="571"/>
      <c r="Y448" s="571"/>
      <c r="Z448" s="571"/>
      <c r="AA448" s="571"/>
      <c r="AB448" s="571"/>
      <c r="AC448" s="571"/>
      <c r="AD448" s="571"/>
      <c r="AE448" s="571"/>
      <c r="AF448" s="571"/>
      <c r="AG448" s="571"/>
      <c r="AH448" s="571"/>
      <c r="AI448" s="571"/>
      <c r="AJ448" s="571"/>
      <c r="AK448" s="571"/>
      <c r="AL448" s="571"/>
      <c r="AM448" s="571"/>
      <c r="AN448" s="571"/>
      <c r="AO448" s="571"/>
    </row>
    <row r="449">
      <c r="G449" s="571"/>
      <c r="H449" s="571"/>
      <c r="I449" s="571"/>
      <c r="J449" s="571"/>
      <c r="K449" s="571"/>
      <c r="L449" s="571"/>
      <c r="M449" s="571"/>
      <c r="N449" s="571"/>
      <c r="O449" s="571"/>
      <c r="P449" s="571"/>
      <c r="Q449" s="571"/>
      <c r="R449" s="571"/>
      <c r="S449" s="571"/>
      <c r="T449" s="571"/>
      <c r="U449" s="571"/>
      <c r="V449" s="571"/>
      <c r="W449" s="571"/>
      <c r="X449" s="571"/>
      <c r="Y449" s="571"/>
      <c r="Z449" s="571"/>
      <c r="AA449" s="571"/>
      <c r="AB449" s="571"/>
      <c r="AC449" s="571"/>
      <c r="AD449" s="571"/>
      <c r="AE449" s="571"/>
      <c r="AF449" s="571"/>
      <c r="AG449" s="571"/>
      <c r="AH449" s="571"/>
      <c r="AI449" s="571"/>
      <c r="AJ449" s="571"/>
      <c r="AK449" s="571"/>
      <c r="AL449" s="571"/>
      <c r="AM449" s="571"/>
      <c r="AN449" s="571"/>
      <c r="AO449" s="571"/>
    </row>
    <row r="450">
      <c r="G450" s="571"/>
      <c r="H450" s="571"/>
      <c r="I450" s="571"/>
      <c r="J450" s="571"/>
      <c r="K450" s="571"/>
      <c r="L450" s="571"/>
      <c r="M450" s="571"/>
      <c r="N450" s="571"/>
      <c r="O450" s="571"/>
      <c r="P450" s="571"/>
      <c r="Q450" s="571"/>
      <c r="R450" s="571"/>
      <c r="S450" s="571"/>
      <c r="T450" s="571"/>
      <c r="U450" s="571"/>
      <c r="V450" s="571"/>
      <c r="W450" s="571"/>
      <c r="X450" s="571"/>
      <c r="Y450" s="571"/>
      <c r="Z450" s="571"/>
      <c r="AA450" s="571"/>
      <c r="AB450" s="571"/>
      <c r="AC450" s="571"/>
      <c r="AD450" s="571"/>
      <c r="AE450" s="571"/>
      <c r="AF450" s="571"/>
      <c r="AG450" s="571"/>
      <c r="AH450" s="571"/>
      <c r="AI450" s="571"/>
      <c r="AJ450" s="571"/>
      <c r="AK450" s="571"/>
      <c r="AL450" s="571"/>
      <c r="AM450" s="571"/>
      <c r="AN450" s="571"/>
      <c r="AO450" s="571"/>
    </row>
    <row r="451">
      <c r="G451" s="571"/>
      <c r="H451" s="571"/>
      <c r="I451" s="571"/>
      <c r="J451" s="571"/>
      <c r="K451" s="571"/>
      <c r="L451" s="571"/>
      <c r="M451" s="571"/>
      <c r="N451" s="571"/>
      <c r="O451" s="571"/>
      <c r="P451" s="571"/>
      <c r="Q451" s="571"/>
      <c r="R451" s="571"/>
      <c r="S451" s="571"/>
      <c r="T451" s="571"/>
      <c r="U451" s="571"/>
      <c r="V451" s="571"/>
      <c r="W451" s="571"/>
      <c r="X451" s="571"/>
      <c r="Y451" s="571"/>
      <c r="Z451" s="571"/>
      <c r="AA451" s="571"/>
      <c r="AB451" s="571"/>
      <c r="AC451" s="571"/>
      <c r="AD451" s="571"/>
      <c r="AE451" s="571"/>
      <c r="AF451" s="571"/>
      <c r="AG451" s="571"/>
      <c r="AH451" s="571"/>
      <c r="AI451" s="571"/>
      <c r="AJ451" s="571"/>
      <c r="AK451" s="571"/>
      <c r="AL451" s="571"/>
      <c r="AM451" s="571"/>
      <c r="AN451" s="571"/>
      <c r="AO451" s="571"/>
    </row>
    <row r="452">
      <c r="G452" s="571"/>
      <c r="H452" s="571"/>
      <c r="I452" s="571"/>
      <c r="J452" s="571"/>
      <c r="K452" s="571"/>
      <c r="L452" s="571"/>
      <c r="M452" s="571"/>
      <c r="N452" s="571"/>
      <c r="O452" s="571"/>
      <c r="P452" s="571"/>
      <c r="Q452" s="571"/>
      <c r="R452" s="571"/>
      <c r="S452" s="571"/>
      <c r="T452" s="571"/>
      <c r="U452" s="571"/>
      <c r="V452" s="571"/>
      <c r="W452" s="571"/>
      <c r="X452" s="571"/>
      <c r="Y452" s="571"/>
      <c r="Z452" s="571"/>
      <c r="AA452" s="571"/>
      <c r="AB452" s="571"/>
      <c r="AC452" s="571"/>
      <c r="AD452" s="571"/>
      <c r="AE452" s="571"/>
      <c r="AF452" s="571"/>
      <c r="AG452" s="571"/>
      <c r="AH452" s="571"/>
      <c r="AI452" s="571"/>
      <c r="AJ452" s="571"/>
      <c r="AK452" s="571"/>
      <c r="AL452" s="571"/>
      <c r="AM452" s="571"/>
      <c r="AN452" s="571"/>
      <c r="AO452" s="571"/>
    </row>
    <row r="453">
      <c r="G453" s="571"/>
      <c r="H453" s="571"/>
      <c r="I453" s="571"/>
      <c r="J453" s="571"/>
      <c r="K453" s="571"/>
      <c r="L453" s="571"/>
      <c r="M453" s="571"/>
      <c r="N453" s="571"/>
      <c r="O453" s="571"/>
      <c r="P453" s="571"/>
      <c r="Q453" s="571"/>
      <c r="R453" s="571"/>
      <c r="S453" s="571"/>
      <c r="T453" s="571"/>
      <c r="U453" s="571"/>
      <c r="V453" s="571"/>
      <c r="W453" s="571"/>
      <c r="X453" s="571"/>
      <c r="Y453" s="571"/>
      <c r="Z453" s="571"/>
      <c r="AA453" s="571"/>
      <c r="AB453" s="571"/>
      <c r="AC453" s="571"/>
      <c r="AD453" s="571"/>
      <c r="AE453" s="571"/>
      <c r="AF453" s="571"/>
      <c r="AG453" s="571"/>
      <c r="AH453" s="571"/>
      <c r="AI453" s="571"/>
      <c r="AJ453" s="571"/>
      <c r="AK453" s="571"/>
      <c r="AL453" s="571"/>
      <c r="AM453" s="571"/>
      <c r="AN453" s="571"/>
      <c r="AO453" s="571"/>
    </row>
    <row r="454">
      <c r="G454" s="571"/>
      <c r="H454" s="571"/>
      <c r="I454" s="571"/>
      <c r="J454" s="571"/>
      <c r="K454" s="571"/>
      <c r="L454" s="571"/>
      <c r="M454" s="571"/>
      <c r="N454" s="571"/>
      <c r="O454" s="571"/>
      <c r="P454" s="571"/>
      <c r="Q454" s="571"/>
      <c r="R454" s="571"/>
      <c r="S454" s="571"/>
      <c r="T454" s="571"/>
      <c r="U454" s="571"/>
      <c r="V454" s="571"/>
      <c r="W454" s="571"/>
      <c r="X454" s="571"/>
      <c r="Y454" s="571"/>
      <c r="Z454" s="571"/>
      <c r="AA454" s="571"/>
      <c r="AB454" s="571"/>
      <c r="AC454" s="571"/>
      <c r="AD454" s="571"/>
      <c r="AE454" s="571"/>
      <c r="AF454" s="571"/>
      <c r="AG454" s="571"/>
      <c r="AH454" s="571"/>
      <c r="AI454" s="571"/>
      <c r="AJ454" s="571"/>
      <c r="AK454" s="571"/>
      <c r="AL454" s="571"/>
      <c r="AM454" s="571"/>
      <c r="AN454" s="571"/>
      <c r="AO454" s="571"/>
    </row>
    <row r="455">
      <c r="G455" s="571"/>
      <c r="H455" s="571"/>
      <c r="I455" s="571"/>
      <c r="J455" s="571"/>
      <c r="K455" s="571"/>
      <c r="L455" s="571"/>
      <c r="M455" s="571"/>
      <c r="N455" s="571"/>
      <c r="O455" s="571"/>
      <c r="P455" s="571"/>
      <c r="Q455" s="571"/>
      <c r="R455" s="571"/>
      <c r="S455" s="571"/>
      <c r="T455" s="571"/>
      <c r="U455" s="571"/>
      <c r="V455" s="571"/>
      <c r="W455" s="571"/>
      <c r="X455" s="571"/>
      <c r="Y455" s="571"/>
      <c r="Z455" s="571"/>
      <c r="AA455" s="571"/>
      <c r="AB455" s="571"/>
      <c r="AC455" s="571"/>
      <c r="AD455" s="571"/>
      <c r="AE455" s="571"/>
      <c r="AF455" s="571"/>
      <c r="AG455" s="571"/>
      <c r="AH455" s="571"/>
      <c r="AI455" s="571"/>
      <c r="AJ455" s="571"/>
      <c r="AK455" s="571"/>
      <c r="AL455" s="571"/>
      <c r="AM455" s="571"/>
      <c r="AN455" s="571"/>
      <c r="AO455" s="571"/>
    </row>
    <row r="456">
      <c r="G456" s="571"/>
      <c r="H456" s="571"/>
      <c r="I456" s="571"/>
      <c r="J456" s="571"/>
      <c r="K456" s="571"/>
      <c r="L456" s="571"/>
      <c r="M456" s="571"/>
      <c r="N456" s="571"/>
      <c r="O456" s="571"/>
      <c r="P456" s="571"/>
      <c r="Q456" s="571"/>
      <c r="R456" s="571"/>
      <c r="S456" s="571"/>
      <c r="T456" s="571"/>
      <c r="U456" s="571"/>
      <c r="V456" s="571"/>
      <c r="W456" s="571"/>
      <c r="X456" s="571"/>
      <c r="Y456" s="571"/>
      <c r="Z456" s="571"/>
      <c r="AA456" s="571"/>
      <c r="AB456" s="571"/>
      <c r="AC456" s="571"/>
      <c r="AD456" s="571"/>
      <c r="AE456" s="571"/>
      <c r="AF456" s="571"/>
      <c r="AG456" s="571"/>
      <c r="AH456" s="571"/>
      <c r="AI456" s="571"/>
      <c r="AJ456" s="571"/>
      <c r="AK456" s="571"/>
      <c r="AL456" s="571"/>
      <c r="AM456" s="571"/>
      <c r="AN456" s="571"/>
      <c r="AO456" s="571"/>
    </row>
    <row r="457">
      <c r="G457" s="571"/>
      <c r="H457" s="571"/>
      <c r="I457" s="571"/>
      <c r="J457" s="571"/>
      <c r="K457" s="571"/>
      <c r="L457" s="571"/>
      <c r="M457" s="571"/>
      <c r="N457" s="571"/>
      <c r="O457" s="571"/>
      <c r="P457" s="571"/>
      <c r="Q457" s="571"/>
      <c r="R457" s="571"/>
      <c r="S457" s="571"/>
      <c r="T457" s="571"/>
      <c r="U457" s="571"/>
      <c r="V457" s="571"/>
      <c r="W457" s="571"/>
      <c r="X457" s="571"/>
      <c r="Y457" s="571"/>
      <c r="Z457" s="571"/>
      <c r="AA457" s="571"/>
      <c r="AB457" s="571"/>
      <c r="AC457" s="571"/>
      <c r="AD457" s="571"/>
      <c r="AE457" s="571"/>
      <c r="AF457" s="571"/>
      <c r="AG457" s="571"/>
      <c r="AH457" s="571"/>
      <c r="AI457" s="571"/>
      <c r="AJ457" s="571"/>
      <c r="AK457" s="571"/>
      <c r="AL457" s="571"/>
      <c r="AM457" s="571"/>
      <c r="AN457" s="571"/>
      <c r="AO457" s="571"/>
    </row>
    <row r="458">
      <c r="G458" s="571"/>
      <c r="H458" s="571"/>
      <c r="I458" s="571"/>
      <c r="J458" s="571"/>
      <c r="K458" s="571"/>
      <c r="L458" s="571"/>
      <c r="M458" s="571"/>
      <c r="N458" s="571"/>
      <c r="O458" s="571"/>
      <c r="P458" s="571"/>
      <c r="Q458" s="571"/>
      <c r="R458" s="571"/>
      <c r="S458" s="571"/>
      <c r="T458" s="571"/>
      <c r="U458" s="571"/>
      <c r="V458" s="571"/>
      <c r="W458" s="571"/>
      <c r="X458" s="571"/>
      <c r="Y458" s="571"/>
      <c r="Z458" s="571"/>
      <c r="AA458" s="571"/>
      <c r="AB458" s="571"/>
      <c r="AC458" s="571"/>
      <c r="AD458" s="571"/>
      <c r="AE458" s="571"/>
      <c r="AF458" s="571"/>
      <c r="AG458" s="571"/>
      <c r="AH458" s="571"/>
      <c r="AI458" s="571"/>
      <c r="AJ458" s="571"/>
      <c r="AK458" s="571"/>
      <c r="AL458" s="571"/>
      <c r="AM458" s="571"/>
      <c r="AN458" s="571"/>
      <c r="AO458" s="571"/>
    </row>
    <row r="459">
      <c r="G459" s="571"/>
      <c r="H459" s="571"/>
      <c r="I459" s="571"/>
      <c r="J459" s="571"/>
      <c r="K459" s="571"/>
      <c r="L459" s="571"/>
      <c r="M459" s="571"/>
      <c r="N459" s="571"/>
      <c r="O459" s="571"/>
      <c r="P459" s="571"/>
      <c r="Q459" s="571"/>
      <c r="R459" s="571"/>
      <c r="S459" s="571"/>
      <c r="T459" s="571"/>
      <c r="U459" s="571"/>
      <c r="V459" s="571"/>
      <c r="W459" s="571"/>
      <c r="X459" s="571"/>
      <c r="Y459" s="571"/>
      <c r="Z459" s="571"/>
      <c r="AA459" s="571"/>
      <c r="AB459" s="571"/>
      <c r="AC459" s="571"/>
      <c r="AD459" s="571"/>
      <c r="AE459" s="571"/>
      <c r="AF459" s="571"/>
      <c r="AG459" s="571"/>
      <c r="AH459" s="571"/>
      <c r="AI459" s="571"/>
      <c r="AJ459" s="571"/>
      <c r="AK459" s="571"/>
      <c r="AL459" s="571"/>
      <c r="AM459" s="571"/>
      <c r="AN459" s="571"/>
      <c r="AO459" s="571"/>
    </row>
    <row r="460">
      <c r="G460" s="571"/>
      <c r="H460" s="571"/>
      <c r="I460" s="571"/>
      <c r="J460" s="571"/>
      <c r="K460" s="571"/>
      <c r="L460" s="571"/>
      <c r="M460" s="571"/>
      <c r="N460" s="571"/>
      <c r="O460" s="571"/>
      <c r="P460" s="571"/>
      <c r="Q460" s="571"/>
      <c r="R460" s="571"/>
      <c r="S460" s="571"/>
      <c r="T460" s="571"/>
      <c r="U460" s="571"/>
      <c r="V460" s="571"/>
      <c r="W460" s="571"/>
      <c r="X460" s="571"/>
      <c r="Y460" s="571"/>
      <c r="Z460" s="571"/>
      <c r="AA460" s="571"/>
      <c r="AB460" s="571"/>
      <c r="AC460" s="571"/>
      <c r="AD460" s="571"/>
      <c r="AE460" s="571"/>
      <c r="AF460" s="571"/>
      <c r="AG460" s="571"/>
      <c r="AH460" s="571"/>
      <c r="AI460" s="571"/>
      <c r="AJ460" s="571"/>
      <c r="AK460" s="571"/>
      <c r="AL460" s="571"/>
      <c r="AM460" s="571"/>
      <c r="AN460" s="571"/>
      <c r="AO460" s="571"/>
    </row>
    <row r="461">
      <c r="G461" s="571"/>
      <c r="H461" s="571"/>
      <c r="I461" s="571"/>
      <c r="J461" s="571"/>
      <c r="K461" s="571"/>
      <c r="L461" s="571"/>
      <c r="M461" s="571"/>
      <c r="N461" s="571"/>
      <c r="O461" s="571"/>
      <c r="P461" s="571"/>
      <c r="Q461" s="571"/>
      <c r="R461" s="571"/>
      <c r="S461" s="571"/>
      <c r="T461" s="571"/>
      <c r="U461" s="571"/>
      <c r="V461" s="571"/>
      <c r="W461" s="571"/>
      <c r="X461" s="571"/>
      <c r="Y461" s="571"/>
      <c r="Z461" s="571"/>
      <c r="AA461" s="571"/>
      <c r="AB461" s="571"/>
      <c r="AC461" s="571"/>
      <c r="AD461" s="571"/>
      <c r="AE461" s="571"/>
      <c r="AF461" s="571"/>
      <c r="AG461" s="571"/>
      <c r="AH461" s="571"/>
      <c r="AI461" s="571"/>
      <c r="AJ461" s="571"/>
      <c r="AK461" s="571"/>
      <c r="AL461" s="571"/>
      <c r="AM461" s="571"/>
      <c r="AN461" s="571"/>
      <c r="AO461" s="571"/>
    </row>
    <row r="462">
      <c r="G462" s="571"/>
      <c r="H462" s="571"/>
      <c r="I462" s="571"/>
      <c r="J462" s="571"/>
      <c r="K462" s="571"/>
      <c r="L462" s="571"/>
      <c r="M462" s="571"/>
      <c r="N462" s="571"/>
      <c r="O462" s="571"/>
      <c r="P462" s="571"/>
      <c r="Q462" s="571"/>
      <c r="R462" s="571"/>
      <c r="S462" s="571"/>
      <c r="T462" s="571"/>
      <c r="U462" s="571"/>
      <c r="V462" s="571"/>
      <c r="W462" s="571"/>
      <c r="X462" s="571"/>
      <c r="Y462" s="571"/>
      <c r="Z462" s="571"/>
      <c r="AA462" s="571"/>
      <c r="AB462" s="571"/>
      <c r="AC462" s="571"/>
      <c r="AD462" s="571"/>
      <c r="AE462" s="571"/>
      <c r="AF462" s="571"/>
      <c r="AG462" s="571"/>
      <c r="AH462" s="571"/>
      <c r="AI462" s="571"/>
      <c r="AJ462" s="571"/>
      <c r="AK462" s="571"/>
      <c r="AL462" s="571"/>
      <c r="AM462" s="571"/>
      <c r="AN462" s="571"/>
      <c r="AO462" s="571"/>
    </row>
    <row r="463">
      <c r="G463" s="571"/>
      <c r="H463" s="571"/>
      <c r="I463" s="571"/>
      <c r="J463" s="571"/>
      <c r="K463" s="571"/>
      <c r="L463" s="571"/>
      <c r="M463" s="571"/>
      <c r="N463" s="571"/>
      <c r="O463" s="571"/>
      <c r="P463" s="571"/>
      <c r="Q463" s="571"/>
      <c r="R463" s="571"/>
      <c r="S463" s="571"/>
      <c r="T463" s="571"/>
      <c r="U463" s="571"/>
      <c r="V463" s="571"/>
      <c r="W463" s="571"/>
      <c r="X463" s="571"/>
      <c r="Y463" s="571"/>
      <c r="Z463" s="571"/>
      <c r="AA463" s="571"/>
      <c r="AB463" s="571"/>
      <c r="AC463" s="571"/>
      <c r="AD463" s="571"/>
      <c r="AE463" s="571"/>
      <c r="AF463" s="571"/>
      <c r="AG463" s="571"/>
      <c r="AH463" s="571"/>
      <c r="AI463" s="571"/>
      <c r="AJ463" s="571"/>
      <c r="AK463" s="571"/>
      <c r="AL463" s="571"/>
      <c r="AM463" s="571"/>
      <c r="AN463" s="571"/>
      <c r="AO463" s="571"/>
    </row>
    <row r="464">
      <c r="G464" s="571"/>
      <c r="H464" s="571"/>
      <c r="I464" s="571"/>
      <c r="J464" s="571"/>
      <c r="K464" s="571"/>
      <c r="L464" s="571"/>
      <c r="M464" s="571"/>
      <c r="N464" s="571"/>
      <c r="O464" s="571"/>
      <c r="P464" s="571"/>
      <c r="Q464" s="571"/>
      <c r="R464" s="571"/>
      <c r="S464" s="571"/>
      <c r="T464" s="571"/>
      <c r="U464" s="571"/>
      <c r="V464" s="571"/>
      <c r="W464" s="571"/>
      <c r="X464" s="571"/>
      <c r="Y464" s="571"/>
      <c r="Z464" s="571"/>
      <c r="AA464" s="571"/>
      <c r="AB464" s="571"/>
      <c r="AC464" s="571"/>
      <c r="AD464" s="571"/>
      <c r="AE464" s="571"/>
      <c r="AF464" s="571"/>
      <c r="AG464" s="571"/>
      <c r="AH464" s="571"/>
      <c r="AI464" s="571"/>
      <c r="AJ464" s="571"/>
      <c r="AK464" s="571"/>
      <c r="AL464" s="571"/>
      <c r="AM464" s="571"/>
      <c r="AN464" s="571"/>
      <c r="AO464" s="571"/>
    </row>
    <row r="465">
      <c r="G465" s="571"/>
      <c r="H465" s="571"/>
      <c r="I465" s="571"/>
      <c r="J465" s="571"/>
      <c r="K465" s="571"/>
      <c r="L465" s="571"/>
      <c r="M465" s="571"/>
      <c r="N465" s="571"/>
      <c r="O465" s="571"/>
      <c r="P465" s="571"/>
      <c r="Q465" s="571"/>
      <c r="R465" s="571"/>
      <c r="S465" s="571"/>
      <c r="T465" s="571"/>
      <c r="U465" s="571"/>
      <c r="V465" s="571"/>
      <c r="W465" s="571"/>
      <c r="X465" s="571"/>
      <c r="Y465" s="571"/>
      <c r="Z465" s="571"/>
      <c r="AA465" s="571"/>
      <c r="AB465" s="571"/>
      <c r="AC465" s="571"/>
      <c r="AD465" s="571"/>
      <c r="AE465" s="571"/>
      <c r="AF465" s="571"/>
      <c r="AG465" s="571"/>
      <c r="AH465" s="571"/>
      <c r="AI465" s="571"/>
      <c r="AJ465" s="571"/>
      <c r="AK465" s="571"/>
      <c r="AL465" s="571"/>
      <c r="AM465" s="571"/>
      <c r="AN465" s="571"/>
      <c r="AO465" s="571"/>
    </row>
    <row r="466">
      <c r="G466" s="571"/>
      <c r="H466" s="571"/>
      <c r="I466" s="571"/>
      <c r="J466" s="571"/>
      <c r="K466" s="571"/>
      <c r="L466" s="571"/>
      <c r="M466" s="571"/>
      <c r="N466" s="571"/>
      <c r="O466" s="571"/>
      <c r="P466" s="571"/>
      <c r="Q466" s="571"/>
      <c r="R466" s="571"/>
      <c r="S466" s="571"/>
      <c r="T466" s="571"/>
      <c r="U466" s="571"/>
      <c r="V466" s="571"/>
      <c r="W466" s="571"/>
      <c r="X466" s="571"/>
      <c r="Y466" s="571"/>
      <c r="Z466" s="571"/>
      <c r="AA466" s="571"/>
      <c r="AB466" s="571"/>
      <c r="AC466" s="571"/>
      <c r="AD466" s="571"/>
      <c r="AE466" s="571"/>
      <c r="AF466" s="571"/>
      <c r="AG466" s="571"/>
      <c r="AH466" s="571"/>
      <c r="AI466" s="571"/>
      <c r="AJ466" s="571"/>
      <c r="AK466" s="571"/>
      <c r="AL466" s="571"/>
      <c r="AM466" s="571"/>
      <c r="AN466" s="571"/>
      <c r="AO466" s="571"/>
    </row>
    <row r="467">
      <c r="G467" s="571"/>
      <c r="H467" s="571"/>
      <c r="I467" s="571"/>
      <c r="J467" s="571"/>
      <c r="K467" s="571"/>
      <c r="L467" s="571"/>
      <c r="M467" s="571"/>
      <c r="N467" s="571"/>
      <c r="O467" s="571"/>
      <c r="P467" s="571"/>
      <c r="Q467" s="571"/>
      <c r="R467" s="571"/>
      <c r="S467" s="571"/>
      <c r="T467" s="571"/>
      <c r="U467" s="571"/>
      <c r="V467" s="571"/>
      <c r="W467" s="571"/>
      <c r="X467" s="571"/>
      <c r="Y467" s="571"/>
      <c r="Z467" s="571"/>
      <c r="AA467" s="571"/>
      <c r="AB467" s="571"/>
      <c r="AC467" s="571"/>
      <c r="AD467" s="571"/>
      <c r="AE467" s="571"/>
      <c r="AF467" s="571"/>
      <c r="AG467" s="571"/>
      <c r="AH467" s="571"/>
      <c r="AI467" s="571"/>
      <c r="AJ467" s="571"/>
      <c r="AK467" s="571"/>
      <c r="AL467" s="571"/>
      <c r="AM467" s="571"/>
      <c r="AN467" s="571"/>
      <c r="AO467" s="571"/>
    </row>
    <row r="468">
      <c r="G468" s="571"/>
      <c r="H468" s="571"/>
      <c r="I468" s="571"/>
      <c r="J468" s="571"/>
      <c r="K468" s="571"/>
      <c r="L468" s="571"/>
      <c r="M468" s="571"/>
      <c r="N468" s="571"/>
      <c r="O468" s="571"/>
      <c r="P468" s="571"/>
      <c r="Q468" s="571"/>
      <c r="R468" s="571"/>
      <c r="S468" s="571"/>
      <c r="T468" s="571"/>
      <c r="U468" s="571"/>
      <c r="V468" s="571"/>
      <c r="W468" s="571"/>
      <c r="X468" s="571"/>
      <c r="Y468" s="571"/>
      <c r="Z468" s="571"/>
      <c r="AA468" s="571"/>
      <c r="AB468" s="571"/>
      <c r="AC468" s="571"/>
      <c r="AD468" s="571"/>
      <c r="AE468" s="571"/>
      <c r="AF468" s="571"/>
      <c r="AG468" s="571"/>
      <c r="AH468" s="571"/>
      <c r="AI468" s="571"/>
      <c r="AJ468" s="571"/>
      <c r="AK468" s="571"/>
      <c r="AL468" s="571"/>
      <c r="AM468" s="571"/>
      <c r="AN468" s="571"/>
      <c r="AO468" s="571"/>
    </row>
    <row r="469">
      <c r="G469" s="571"/>
      <c r="H469" s="571"/>
      <c r="I469" s="571"/>
      <c r="J469" s="571"/>
      <c r="K469" s="571"/>
      <c r="L469" s="571"/>
      <c r="M469" s="571"/>
      <c r="N469" s="571"/>
      <c r="O469" s="571"/>
      <c r="P469" s="571"/>
      <c r="Q469" s="571"/>
      <c r="R469" s="571"/>
      <c r="S469" s="571"/>
      <c r="T469" s="571"/>
      <c r="U469" s="571"/>
      <c r="V469" s="571"/>
      <c r="W469" s="571"/>
      <c r="X469" s="571"/>
      <c r="Y469" s="571"/>
      <c r="Z469" s="571"/>
      <c r="AA469" s="571"/>
      <c r="AB469" s="571"/>
      <c r="AC469" s="571"/>
      <c r="AD469" s="571"/>
      <c r="AE469" s="571"/>
      <c r="AF469" s="571"/>
      <c r="AG469" s="571"/>
      <c r="AH469" s="571"/>
      <c r="AI469" s="571"/>
      <c r="AJ469" s="571"/>
      <c r="AK469" s="571"/>
      <c r="AL469" s="571"/>
      <c r="AM469" s="571"/>
      <c r="AN469" s="571"/>
      <c r="AO469" s="571"/>
    </row>
    <row r="470">
      <c r="G470" s="571"/>
      <c r="H470" s="571"/>
      <c r="I470" s="571"/>
      <c r="J470" s="571"/>
      <c r="K470" s="571"/>
      <c r="L470" s="571"/>
      <c r="M470" s="571"/>
      <c r="N470" s="571"/>
      <c r="O470" s="571"/>
      <c r="P470" s="571"/>
      <c r="Q470" s="571"/>
      <c r="R470" s="571"/>
      <c r="S470" s="571"/>
      <c r="T470" s="571"/>
      <c r="U470" s="571"/>
      <c r="V470" s="571"/>
      <c r="W470" s="571"/>
      <c r="X470" s="571"/>
      <c r="Y470" s="571"/>
      <c r="Z470" s="571"/>
      <c r="AA470" s="571"/>
      <c r="AB470" s="571"/>
      <c r="AC470" s="571"/>
      <c r="AD470" s="571"/>
      <c r="AE470" s="571"/>
      <c r="AF470" s="571"/>
      <c r="AG470" s="571"/>
      <c r="AH470" s="571"/>
      <c r="AI470" s="571"/>
      <c r="AJ470" s="571"/>
      <c r="AK470" s="571"/>
      <c r="AL470" s="571"/>
      <c r="AM470" s="571"/>
      <c r="AN470" s="571"/>
      <c r="AO470" s="571"/>
    </row>
    <row r="471">
      <c r="G471" s="571"/>
      <c r="H471" s="571"/>
      <c r="I471" s="571"/>
      <c r="J471" s="571"/>
      <c r="K471" s="571"/>
      <c r="L471" s="571"/>
      <c r="M471" s="571"/>
      <c r="N471" s="571"/>
      <c r="O471" s="571"/>
      <c r="P471" s="571"/>
      <c r="Q471" s="571"/>
      <c r="R471" s="571"/>
      <c r="S471" s="571"/>
      <c r="T471" s="571"/>
      <c r="U471" s="571"/>
      <c r="V471" s="571"/>
      <c r="W471" s="571"/>
      <c r="X471" s="571"/>
      <c r="Y471" s="571"/>
      <c r="Z471" s="571"/>
      <c r="AA471" s="571"/>
      <c r="AB471" s="571"/>
      <c r="AC471" s="571"/>
      <c r="AD471" s="571"/>
      <c r="AE471" s="571"/>
      <c r="AF471" s="571"/>
      <c r="AG471" s="571"/>
      <c r="AH471" s="571"/>
      <c r="AI471" s="571"/>
      <c r="AJ471" s="571"/>
      <c r="AK471" s="571"/>
      <c r="AL471" s="571"/>
      <c r="AM471" s="571"/>
      <c r="AN471" s="571"/>
      <c r="AO471" s="571"/>
    </row>
    <row r="472">
      <c r="G472" s="571"/>
      <c r="H472" s="571"/>
      <c r="I472" s="571"/>
      <c r="J472" s="571"/>
      <c r="K472" s="571"/>
      <c r="L472" s="571"/>
      <c r="M472" s="571"/>
      <c r="N472" s="571"/>
      <c r="O472" s="571"/>
      <c r="P472" s="571"/>
      <c r="Q472" s="571"/>
      <c r="R472" s="571"/>
      <c r="S472" s="571"/>
      <c r="T472" s="571"/>
      <c r="U472" s="571"/>
      <c r="V472" s="571"/>
      <c r="W472" s="571"/>
      <c r="X472" s="571"/>
      <c r="Y472" s="571"/>
      <c r="Z472" s="571"/>
      <c r="AA472" s="571"/>
      <c r="AB472" s="571"/>
      <c r="AC472" s="571"/>
      <c r="AD472" s="571"/>
      <c r="AE472" s="571"/>
      <c r="AF472" s="571"/>
      <c r="AG472" s="571"/>
      <c r="AH472" s="571"/>
      <c r="AI472" s="571"/>
      <c r="AJ472" s="571"/>
      <c r="AK472" s="571"/>
      <c r="AL472" s="571"/>
      <c r="AM472" s="571"/>
      <c r="AN472" s="571"/>
      <c r="AO472" s="571"/>
    </row>
    <row r="473">
      <c r="G473" s="571"/>
      <c r="H473" s="571"/>
      <c r="I473" s="571"/>
      <c r="J473" s="571"/>
      <c r="K473" s="571"/>
      <c r="L473" s="571"/>
      <c r="M473" s="571"/>
      <c r="N473" s="571"/>
      <c r="O473" s="571"/>
      <c r="P473" s="571"/>
      <c r="Q473" s="571"/>
      <c r="R473" s="571"/>
      <c r="S473" s="571"/>
      <c r="T473" s="571"/>
      <c r="U473" s="571"/>
      <c r="V473" s="571"/>
      <c r="W473" s="571"/>
      <c r="X473" s="571"/>
      <c r="Y473" s="571"/>
      <c r="Z473" s="571"/>
      <c r="AA473" s="571"/>
      <c r="AB473" s="571"/>
      <c r="AC473" s="571"/>
      <c r="AD473" s="571"/>
      <c r="AE473" s="571"/>
      <c r="AF473" s="571"/>
      <c r="AG473" s="571"/>
      <c r="AH473" s="571"/>
      <c r="AI473" s="571"/>
      <c r="AJ473" s="571"/>
      <c r="AK473" s="571"/>
      <c r="AL473" s="571"/>
      <c r="AM473" s="571"/>
      <c r="AN473" s="571"/>
      <c r="AO473" s="571"/>
    </row>
    <row r="474">
      <c r="G474" s="571"/>
      <c r="H474" s="571"/>
      <c r="I474" s="571"/>
      <c r="J474" s="571"/>
      <c r="K474" s="571"/>
      <c r="L474" s="571"/>
      <c r="M474" s="571"/>
      <c r="N474" s="571"/>
      <c r="O474" s="571"/>
      <c r="P474" s="571"/>
      <c r="Q474" s="571"/>
      <c r="R474" s="571"/>
      <c r="S474" s="571"/>
      <c r="T474" s="571"/>
      <c r="U474" s="571"/>
      <c r="V474" s="571"/>
      <c r="W474" s="571"/>
      <c r="X474" s="571"/>
      <c r="Y474" s="571"/>
      <c r="Z474" s="571"/>
      <c r="AA474" s="571"/>
      <c r="AB474" s="571"/>
      <c r="AC474" s="571"/>
      <c r="AD474" s="571"/>
      <c r="AE474" s="571"/>
      <c r="AF474" s="571"/>
      <c r="AG474" s="571"/>
      <c r="AH474" s="571"/>
      <c r="AI474" s="571"/>
      <c r="AJ474" s="571"/>
      <c r="AK474" s="571"/>
      <c r="AL474" s="571"/>
      <c r="AM474" s="571"/>
      <c r="AN474" s="571"/>
      <c r="AO474" s="571"/>
    </row>
    <row r="475">
      <c r="G475" s="571"/>
      <c r="H475" s="571"/>
      <c r="I475" s="571"/>
      <c r="J475" s="571"/>
      <c r="K475" s="571"/>
      <c r="L475" s="571"/>
      <c r="M475" s="571"/>
      <c r="N475" s="571"/>
      <c r="O475" s="571"/>
      <c r="P475" s="571"/>
      <c r="Q475" s="571"/>
      <c r="R475" s="571"/>
      <c r="S475" s="571"/>
      <c r="T475" s="571"/>
      <c r="U475" s="571"/>
      <c r="V475" s="571"/>
      <c r="W475" s="571"/>
      <c r="X475" s="571"/>
      <c r="Y475" s="571"/>
      <c r="Z475" s="571"/>
      <c r="AA475" s="571"/>
      <c r="AB475" s="571"/>
      <c r="AC475" s="571"/>
      <c r="AD475" s="571"/>
      <c r="AE475" s="571"/>
      <c r="AF475" s="571"/>
      <c r="AG475" s="571"/>
      <c r="AH475" s="571"/>
      <c r="AI475" s="571"/>
      <c r="AJ475" s="571"/>
      <c r="AK475" s="571"/>
      <c r="AL475" s="571"/>
      <c r="AM475" s="571"/>
      <c r="AN475" s="571"/>
      <c r="AO475" s="571"/>
    </row>
    <row r="476">
      <c r="G476" s="571"/>
      <c r="H476" s="571"/>
      <c r="I476" s="571"/>
      <c r="J476" s="571"/>
      <c r="K476" s="571"/>
      <c r="L476" s="571"/>
      <c r="M476" s="571"/>
      <c r="N476" s="571"/>
      <c r="O476" s="571"/>
      <c r="P476" s="571"/>
      <c r="Q476" s="571"/>
      <c r="R476" s="571"/>
      <c r="S476" s="571"/>
      <c r="T476" s="571"/>
      <c r="U476" s="571"/>
      <c r="V476" s="571"/>
      <c r="W476" s="571"/>
      <c r="X476" s="571"/>
      <c r="Y476" s="571"/>
      <c r="Z476" s="571"/>
      <c r="AA476" s="571"/>
      <c r="AB476" s="571"/>
      <c r="AC476" s="571"/>
      <c r="AD476" s="571"/>
      <c r="AE476" s="571"/>
      <c r="AF476" s="571"/>
      <c r="AG476" s="571"/>
      <c r="AH476" s="571"/>
      <c r="AI476" s="571"/>
      <c r="AJ476" s="571"/>
      <c r="AK476" s="571"/>
      <c r="AL476" s="571"/>
      <c r="AM476" s="571"/>
      <c r="AN476" s="571"/>
      <c r="AO476" s="571"/>
    </row>
    <row r="477">
      <c r="G477" s="571"/>
      <c r="H477" s="571"/>
      <c r="I477" s="571"/>
      <c r="J477" s="571"/>
      <c r="K477" s="571"/>
      <c r="L477" s="571"/>
      <c r="M477" s="571"/>
      <c r="N477" s="571"/>
      <c r="O477" s="571"/>
      <c r="P477" s="571"/>
      <c r="Q477" s="571"/>
      <c r="R477" s="571"/>
      <c r="S477" s="571"/>
      <c r="T477" s="571"/>
      <c r="U477" s="571"/>
      <c r="V477" s="571"/>
      <c r="W477" s="571"/>
      <c r="X477" s="571"/>
      <c r="Y477" s="571"/>
      <c r="Z477" s="571"/>
      <c r="AA477" s="571"/>
      <c r="AB477" s="571"/>
      <c r="AC477" s="571"/>
      <c r="AD477" s="571"/>
      <c r="AE477" s="571"/>
      <c r="AF477" s="571"/>
      <c r="AG477" s="571"/>
      <c r="AH477" s="571"/>
      <c r="AI477" s="571"/>
      <c r="AJ477" s="571"/>
      <c r="AK477" s="571"/>
      <c r="AL477" s="571"/>
      <c r="AM477" s="571"/>
      <c r="AN477" s="571"/>
      <c r="AO477" s="571"/>
    </row>
    <row r="478">
      <c r="G478" s="571"/>
      <c r="H478" s="571"/>
      <c r="I478" s="571"/>
      <c r="J478" s="571"/>
      <c r="K478" s="571"/>
      <c r="L478" s="571"/>
      <c r="M478" s="571"/>
      <c r="N478" s="571"/>
      <c r="O478" s="571"/>
      <c r="P478" s="571"/>
      <c r="Q478" s="571"/>
      <c r="R478" s="571"/>
      <c r="S478" s="571"/>
      <c r="T478" s="571"/>
      <c r="U478" s="571"/>
      <c r="V478" s="571"/>
      <c r="W478" s="571"/>
      <c r="X478" s="571"/>
      <c r="Y478" s="571"/>
      <c r="Z478" s="571"/>
      <c r="AA478" s="571"/>
      <c r="AB478" s="571"/>
      <c r="AC478" s="571"/>
      <c r="AD478" s="571"/>
      <c r="AE478" s="571"/>
      <c r="AF478" s="571"/>
      <c r="AG478" s="571"/>
      <c r="AH478" s="571"/>
      <c r="AI478" s="571"/>
      <c r="AJ478" s="571"/>
      <c r="AK478" s="571"/>
      <c r="AL478" s="571"/>
      <c r="AM478" s="571"/>
      <c r="AN478" s="571"/>
      <c r="AO478" s="571"/>
    </row>
    <row r="479">
      <c r="G479" s="571"/>
      <c r="H479" s="571"/>
      <c r="I479" s="571"/>
      <c r="J479" s="571"/>
      <c r="K479" s="571"/>
      <c r="L479" s="571"/>
      <c r="M479" s="571"/>
      <c r="N479" s="571"/>
      <c r="O479" s="571"/>
      <c r="P479" s="571"/>
      <c r="Q479" s="571"/>
      <c r="R479" s="571"/>
      <c r="S479" s="571"/>
      <c r="T479" s="571"/>
      <c r="U479" s="571"/>
      <c r="V479" s="571"/>
      <c r="W479" s="571"/>
      <c r="X479" s="571"/>
      <c r="Y479" s="571"/>
      <c r="Z479" s="571"/>
      <c r="AA479" s="571"/>
      <c r="AB479" s="571"/>
      <c r="AC479" s="571"/>
      <c r="AD479" s="571"/>
      <c r="AE479" s="571"/>
      <c r="AF479" s="571"/>
      <c r="AG479" s="571"/>
      <c r="AH479" s="571"/>
      <c r="AI479" s="571"/>
      <c r="AJ479" s="571"/>
      <c r="AK479" s="571"/>
      <c r="AL479" s="571"/>
      <c r="AM479" s="571"/>
      <c r="AN479" s="571"/>
      <c r="AO479" s="571"/>
    </row>
    <row r="480">
      <c r="G480" s="571"/>
      <c r="H480" s="571"/>
      <c r="I480" s="571"/>
      <c r="J480" s="571"/>
      <c r="K480" s="571"/>
      <c r="L480" s="571"/>
      <c r="M480" s="571"/>
      <c r="N480" s="571"/>
      <c r="O480" s="571"/>
      <c r="P480" s="571"/>
      <c r="Q480" s="571"/>
      <c r="R480" s="571"/>
      <c r="S480" s="571"/>
      <c r="T480" s="571"/>
      <c r="U480" s="571"/>
      <c r="V480" s="571"/>
      <c r="W480" s="571"/>
      <c r="X480" s="571"/>
      <c r="Y480" s="571"/>
      <c r="Z480" s="571"/>
      <c r="AA480" s="571"/>
      <c r="AB480" s="571"/>
      <c r="AC480" s="571"/>
      <c r="AD480" s="571"/>
      <c r="AE480" s="571"/>
      <c r="AF480" s="571"/>
      <c r="AG480" s="571"/>
      <c r="AH480" s="571"/>
      <c r="AI480" s="571"/>
      <c r="AJ480" s="571"/>
      <c r="AK480" s="571"/>
      <c r="AL480" s="571"/>
      <c r="AM480" s="571"/>
      <c r="AN480" s="571"/>
      <c r="AO480" s="571"/>
    </row>
    <row r="481">
      <c r="G481" s="571"/>
      <c r="H481" s="571"/>
      <c r="I481" s="571"/>
      <c r="J481" s="571"/>
      <c r="K481" s="571"/>
      <c r="L481" s="571"/>
      <c r="M481" s="571"/>
      <c r="N481" s="571"/>
      <c r="O481" s="571"/>
      <c r="P481" s="571"/>
      <c r="Q481" s="571"/>
      <c r="R481" s="571"/>
      <c r="S481" s="571"/>
      <c r="T481" s="571"/>
      <c r="U481" s="571"/>
      <c r="V481" s="571"/>
      <c r="W481" s="571"/>
      <c r="X481" s="571"/>
      <c r="Y481" s="571"/>
      <c r="Z481" s="571"/>
      <c r="AA481" s="571"/>
      <c r="AB481" s="571"/>
      <c r="AC481" s="571"/>
      <c r="AD481" s="571"/>
      <c r="AE481" s="571"/>
      <c r="AF481" s="571"/>
      <c r="AG481" s="571"/>
      <c r="AH481" s="571"/>
      <c r="AI481" s="571"/>
      <c r="AJ481" s="571"/>
      <c r="AK481" s="571"/>
      <c r="AL481" s="571"/>
      <c r="AM481" s="571"/>
      <c r="AN481" s="571"/>
      <c r="AO481" s="571"/>
    </row>
    <row r="482">
      <c r="G482" s="571"/>
      <c r="H482" s="571"/>
      <c r="I482" s="571"/>
      <c r="J482" s="571"/>
      <c r="K482" s="571"/>
      <c r="L482" s="571"/>
      <c r="M482" s="571"/>
      <c r="N482" s="571"/>
      <c r="O482" s="571"/>
      <c r="P482" s="571"/>
      <c r="Q482" s="571"/>
      <c r="R482" s="571"/>
      <c r="S482" s="571"/>
      <c r="T482" s="571"/>
      <c r="U482" s="571"/>
      <c r="V482" s="571"/>
      <c r="W482" s="571"/>
      <c r="X482" s="571"/>
      <c r="Y482" s="571"/>
      <c r="Z482" s="571"/>
      <c r="AA482" s="571"/>
      <c r="AB482" s="571"/>
      <c r="AC482" s="571"/>
      <c r="AD482" s="571"/>
      <c r="AE482" s="571"/>
      <c r="AF482" s="571"/>
      <c r="AG482" s="571"/>
      <c r="AH482" s="571"/>
      <c r="AI482" s="571"/>
      <c r="AJ482" s="571"/>
      <c r="AK482" s="571"/>
      <c r="AL482" s="571"/>
      <c r="AM482" s="571"/>
      <c r="AN482" s="571"/>
      <c r="AO482" s="571"/>
    </row>
    <row r="483">
      <c r="G483" s="571"/>
      <c r="H483" s="571"/>
      <c r="I483" s="571"/>
      <c r="J483" s="571"/>
      <c r="K483" s="571"/>
      <c r="L483" s="571"/>
      <c r="M483" s="571"/>
      <c r="N483" s="571"/>
      <c r="O483" s="571"/>
      <c r="P483" s="571"/>
      <c r="Q483" s="571"/>
      <c r="R483" s="571"/>
      <c r="S483" s="571"/>
      <c r="T483" s="571"/>
      <c r="U483" s="571"/>
      <c r="V483" s="571"/>
      <c r="W483" s="571"/>
      <c r="X483" s="571"/>
      <c r="Y483" s="571"/>
      <c r="Z483" s="571"/>
      <c r="AA483" s="571"/>
      <c r="AB483" s="571"/>
      <c r="AC483" s="571"/>
      <c r="AD483" s="571"/>
      <c r="AE483" s="571"/>
      <c r="AF483" s="571"/>
      <c r="AG483" s="571"/>
      <c r="AH483" s="571"/>
      <c r="AI483" s="571"/>
      <c r="AJ483" s="571"/>
      <c r="AK483" s="571"/>
      <c r="AL483" s="571"/>
      <c r="AM483" s="571"/>
      <c r="AN483" s="571"/>
      <c r="AO483" s="571"/>
    </row>
    <row r="484">
      <c r="G484" s="571"/>
      <c r="H484" s="571"/>
      <c r="I484" s="571"/>
      <c r="J484" s="571"/>
      <c r="K484" s="571"/>
      <c r="L484" s="571"/>
      <c r="M484" s="571"/>
      <c r="N484" s="571"/>
      <c r="O484" s="571"/>
      <c r="P484" s="571"/>
      <c r="Q484" s="571"/>
      <c r="R484" s="571"/>
      <c r="S484" s="571"/>
      <c r="T484" s="571"/>
      <c r="U484" s="571"/>
      <c r="V484" s="571"/>
      <c r="W484" s="571"/>
      <c r="X484" s="571"/>
      <c r="Y484" s="571"/>
      <c r="Z484" s="571"/>
      <c r="AA484" s="571"/>
      <c r="AB484" s="571"/>
      <c r="AC484" s="571"/>
      <c r="AD484" s="571"/>
      <c r="AE484" s="571"/>
      <c r="AF484" s="571"/>
      <c r="AG484" s="571"/>
      <c r="AH484" s="571"/>
      <c r="AI484" s="571"/>
      <c r="AJ484" s="571"/>
      <c r="AK484" s="571"/>
      <c r="AL484" s="571"/>
      <c r="AM484" s="571"/>
      <c r="AN484" s="571"/>
      <c r="AO484" s="571"/>
    </row>
    <row r="485">
      <c r="G485" s="571"/>
      <c r="H485" s="571"/>
      <c r="I485" s="571"/>
      <c r="J485" s="571"/>
      <c r="K485" s="571"/>
      <c r="L485" s="571"/>
      <c r="M485" s="571"/>
      <c r="N485" s="571"/>
      <c r="O485" s="571"/>
      <c r="P485" s="571"/>
      <c r="Q485" s="571"/>
      <c r="R485" s="571"/>
      <c r="S485" s="571"/>
      <c r="T485" s="571"/>
      <c r="U485" s="571"/>
      <c r="V485" s="571"/>
      <c r="W485" s="571"/>
      <c r="X485" s="571"/>
      <c r="Y485" s="571"/>
      <c r="Z485" s="571"/>
      <c r="AA485" s="571"/>
      <c r="AB485" s="571"/>
      <c r="AC485" s="571"/>
      <c r="AD485" s="571"/>
      <c r="AE485" s="571"/>
      <c r="AF485" s="571"/>
      <c r="AG485" s="571"/>
      <c r="AH485" s="571"/>
      <c r="AI485" s="571"/>
      <c r="AJ485" s="571"/>
      <c r="AK485" s="571"/>
      <c r="AL485" s="571"/>
      <c r="AM485" s="571"/>
      <c r="AN485" s="571"/>
      <c r="AO485" s="571"/>
    </row>
    <row r="486">
      <c r="G486" s="571"/>
      <c r="H486" s="571"/>
      <c r="I486" s="571"/>
      <c r="J486" s="571"/>
      <c r="K486" s="571"/>
      <c r="L486" s="571"/>
      <c r="M486" s="571"/>
      <c r="N486" s="571"/>
      <c r="O486" s="571"/>
      <c r="P486" s="571"/>
      <c r="Q486" s="571"/>
      <c r="R486" s="571"/>
      <c r="S486" s="571"/>
      <c r="T486" s="571"/>
      <c r="U486" s="571"/>
      <c r="V486" s="571"/>
      <c r="W486" s="571"/>
      <c r="X486" s="571"/>
      <c r="Y486" s="571"/>
      <c r="Z486" s="571"/>
      <c r="AA486" s="571"/>
      <c r="AB486" s="571"/>
      <c r="AC486" s="571"/>
      <c r="AD486" s="571"/>
      <c r="AE486" s="571"/>
      <c r="AF486" s="571"/>
      <c r="AG486" s="571"/>
      <c r="AH486" s="571"/>
      <c r="AI486" s="571"/>
      <c r="AJ486" s="571"/>
      <c r="AK486" s="571"/>
      <c r="AL486" s="571"/>
      <c r="AM486" s="571"/>
      <c r="AN486" s="571"/>
      <c r="AO486" s="571"/>
    </row>
    <row r="487">
      <c r="G487" s="571"/>
      <c r="H487" s="571"/>
      <c r="I487" s="571"/>
      <c r="J487" s="571"/>
      <c r="K487" s="571"/>
      <c r="L487" s="571"/>
      <c r="M487" s="571"/>
      <c r="N487" s="571"/>
      <c r="O487" s="571"/>
      <c r="P487" s="571"/>
      <c r="Q487" s="571"/>
      <c r="R487" s="571"/>
      <c r="S487" s="571"/>
      <c r="T487" s="571"/>
      <c r="U487" s="571"/>
      <c r="V487" s="571"/>
      <c r="W487" s="571"/>
      <c r="X487" s="571"/>
      <c r="Y487" s="571"/>
      <c r="Z487" s="571"/>
      <c r="AA487" s="571"/>
      <c r="AB487" s="571"/>
      <c r="AC487" s="571"/>
      <c r="AD487" s="571"/>
      <c r="AE487" s="571"/>
      <c r="AF487" s="571"/>
      <c r="AG487" s="571"/>
      <c r="AH487" s="571"/>
      <c r="AI487" s="571"/>
      <c r="AJ487" s="571"/>
      <c r="AK487" s="571"/>
      <c r="AL487" s="571"/>
      <c r="AM487" s="571"/>
      <c r="AN487" s="571"/>
      <c r="AO487" s="571"/>
    </row>
    <row r="488">
      <c r="G488" s="571"/>
      <c r="H488" s="571"/>
      <c r="I488" s="571"/>
      <c r="J488" s="571"/>
      <c r="K488" s="571"/>
      <c r="L488" s="571"/>
      <c r="M488" s="571"/>
      <c r="N488" s="571"/>
      <c r="O488" s="571"/>
      <c r="P488" s="571"/>
      <c r="Q488" s="571"/>
      <c r="R488" s="571"/>
      <c r="S488" s="571"/>
      <c r="T488" s="571"/>
      <c r="U488" s="571"/>
      <c r="V488" s="571"/>
      <c r="W488" s="571"/>
      <c r="X488" s="571"/>
      <c r="Y488" s="571"/>
      <c r="Z488" s="571"/>
      <c r="AA488" s="571"/>
      <c r="AB488" s="571"/>
      <c r="AC488" s="571"/>
      <c r="AD488" s="571"/>
      <c r="AE488" s="571"/>
      <c r="AF488" s="571"/>
      <c r="AG488" s="571"/>
      <c r="AH488" s="571"/>
      <c r="AI488" s="571"/>
      <c r="AJ488" s="571"/>
      <c r="AK488" s="571"/>
      <c r="AL488" s="571"/>
      <c r="AM488" s="571"/>
      <c r="AN488" s="571"/>
      <c r="AO488" s="571"/>
    </row>
    <row r="489">
      <c r="G489" s="571"/>
      <c r="H489" s="571"/>
      <c r="I489" s="571"/>
      <c r="J489" s="571"/>
      <c r="K489" s="571"/>
      <c r="L489" s="571"/>
      <c r="M489" s="571"/>
      <c r="N489" s="571"/>
      <c r="O489" s="571"/>
      <c r="P489" s="571"/>
      <c r="Q489" s="571"/>
      <c r="R489" s="571"/>
      <c r="S489" s="571"/>
      <c r="T489" s="571"/>
      <c r="U489" s="571"/>
      <c r="V489" s="571"/>
      <c r="W489" s="571"/>
      <c r="X489" s="571"/>
      <c r="Y489" s="571"/>
      <c r="Z489" s="571"/>
      <c r="AA489" s="571"/>
      <c r="AB489" s="571"/>
      <c r="AC489" s="571"/>
      <c r="AD489" s="571"/>
      <c r="AE489" s="571"/>
      <c r="AF489" s="571"/>
      <c r="AG489" s="571"/>
      <c r="AH489" s="571"/>
      <c r="AI489" s="571"/>
      <c r="AJ489" s="571"/>
      <c r="AK489" s="571"/>
      <c r="AL489" s="571"/>
      <c r="AM489" s="571"/>
      <c r="AN489" s="571"/>
      <c r="AO489" s="571"/>
    </row>
    <row r="490">
      <c r="G490" s="571"/>
      <c r="H490" s="571"/>
      <c r="I490" s="571"/>
      <c r="J490" s="571"/>
      <c r="K490" s="571"/>
      <c r="L490" s="571"/>
      <c r="M490" s="571"/>
      <c r="N490" s="571"/>
      <c r="O490" s="571"/>
      <c r="P490" s="571"/>
      <c r="Q490" s="571"/>
      <c r="R490" s="571"/>
      <c r="S490" s="571"/>
      <c r="T490" s="571"/>
      <c r="U490" s="571"/>
      <c r="V490" s="571"/>
      <c r="W490" s="571"/>
      <c r="X490" s="571"/>
      <c r="Y490" s="571"/>
      <c r="Z490" s="571"/>
      <c r="AA490" s="571"/>
      <c r="AB490" s="571"/>
      <c r="AC490" s="571"/>
      <c r="AD490" s="571"/>
      <c r="AE490" s="571"/>
      <c r="AF490" s="571"/>
      <c r="AG490" s="571"/>
      <c r="AH490" s="571"/>
      <c r="AI490" s="571"/>
      <c r="AJ490" s="571"/>
      <c r="AK490" s="571"/>
      <c r="AL490" s="571"/>
      <c r="AM490" s="571"/>
      <c r="AN490" s="571"/>
      <c r="AO490" s="571"/>
    </row>
    <row r="491">
      <c r="G491" s="571"/>
      <c r="H491" s="571"/>
      <c r="I491" s="571"/>
      <c r="J491" s="571"/>
      <c r="K491" s="571"/>
      <c r="L491" s="571"/>
      <c r="M491" s="571"/>
      <c r="N491" s="571"/>
      <c r="O491" s="571"/>
      <c r="P491" s="571"/>
      <c r="Q491" s="571"/>
      <c r="R491" s="571"/>
      <c r="S491" s="571"/>
      <c r="T491" s="571"/>
      <c r="U491" s="571"/>
      <c r="V491" s="571"/>
      <c r="W491" s="571"/>
      <c r="X491" s="571"/>
      <c r="Y491" s="571"/>
      <c r="Z491" s="571"/>
      <c r="AA491" s="571"/>
      <c r="AB491" s="571"/>
      <c r="AC491" s="571"/>
      <c r="AD491" s="571"/>
      <c r="AE491" s="571"/>
      <c r="AF491" s="571"/>
      <c r="AG491" s="571"/>
      <c r="AH491" s="571"/>
      <c r="AI491" s="571"/>
      <c r="AJ491" s="571"/>
      <c r="AK491" s="571"/>
      <c r="AL491" s="571"/>
      <c r="AM491" s="571"/>
      <c r="AN491" s="571"/>
      <c r="AO491" s="571"/>
    </row>
    <row r="492">
      <c r="G492" s="571"/>
      <c r="H492" s="571"/>
      <c r="I492" s="571"/>
      <c r="J492" s="571"/>
      <c r="K492" s="571"/>
      <c r="L492" s="571"/>
      <c r="M492" s="571"/>
      <c r="N492" s="571"/>
      <c r="O492" s="571"/>
      <c r="P492" s="571"/>
      <c r="Q492" s="571"/>
      <c r="R492" s="571"/>
      <c r="S492" s="571"/>
      <c r="T492" s="571"/>
      <c r="U492" s="571"/>
      <c r="V492" s="571"/>
      <c r="W492" s="571"/>
      <c r="X492" s="571"/>
      <c r="Y492" s="571"/>
      <c r="Z492" s="571"/>
      <c r="AA492" s="571"/>
      <c r="AB492" s="571"/>
      <c r="AC492" s="571"/>
      <c r="AD492" s="571"/>
      <c r="AE492" s="571"/>
      <c r="AF492" s="571"/>
      <c r="AG492" s="571"/>
      <c r="AH492" s="571"/>
      <c r="AI492" s="571"/>
      <c r="AJ492" s="571"/>
      <c r="AK492" s="571"/>
      <c r="AL492" s="571"/>
      <c r="AM492" s="571"/>
      <c r="AN492" s="571"/>
      <c r="AO492" s="571"/>
    </row>
    <row r="493">
      <c r="G493" s="571"/>
      <c r="H493" s="571"/>
      <c r="I493" s="571"/>
      <c r="J493" s="571"/>
      <c r="K493" s="571"/>
      <c r="L493" s="571"/>
      <c r="M493" s="571"/>
      <c r="N493" s="571"/>
      <c r="O493" s="571"/>
      <c r="P493" s="571"/>
      <c r="Q493" s="571"/>
      <c r="R493" s="571"/>
      <c r="S493" s="571"/>
      <c r="T493" s="571"/>
      <c r="U493" s="571"/>
      <c r="V493" s="571"/>
      <c r="W493" s="571"/>
      <c r="X493" s="571"/>
      <c r="Y493" s="571"/>
      <c r="Z493" s="571"/>
      <c r="AA493" s="571"/>
      <c r="AB493" s="571"/>
      <c r="AC493" s="571"/>
      <c r="AD493" s="571"/>
      <c r="AE493" s="571"/>
      <c r="AF493" s="571"/>
      <c r="AG493" s="571"/>
      <c r="AH493" s="571"/>
      <c r="AI493" s="571"/>
      <c r="AJ493" s="571"/>
      <c r="AK493" s="571"/>
      <c r="AL493" s="571"/>
      <c r="AM493" s="571"/>
      <c r="AN493" s="571"/>
      <c r="AO493" s="571"/>
    </row>
    <row r="494">
      <c r="G494" s="571"/>
      <c r="H494" s="571"/>
      <c r="I494" s="571"/>
      <c r="J494" s="571"/>
      <c r="K494" s="571"/>
      <c r="L494" s="571"/>
      <c r="M494" s="571"/>
      <c r="N494" s="571"/>
      <c r="O494" s="571"/>
      <c r="P494" s="571"/>
      <c r="Q494" s="571"/>
      <c r="R494" s="571"/>
      <c r="S494" s="571"/>
      <c r="T494" s="571"/>
      <c r="U494" s="571"/>
      <c r="V494" s="571"/>
      <c r="W494" s="571"/>
      <c r="X494" s="571"/>
      <c r="Y494" s="571"/>
      <c r="Z494" s="571"/>
      <c r="AA494" s="571"/>
      <c r="AB494" s="571"/>
      <c r="AC494" s="571"/>
      <c r="AD494" s="571"/>
      <c r="AE494" s="571"/>
      <c r="AF494" s="571"/>
      <c r="AG494" s="571"/>
      <c r="AH494" s="571"/>
      <c r="AI494" s="571"/>
      <c r="AJ494" s="571"/>
      <c r="AK494" s="571"/>
      <c r="AL494" s="571"/>
      <c r="AM494" s="571"/>
      <c r="AN494" s="571"/>
      <c r="AO494" s="571"/>
    </row>
    <row r="495">
      <c r="G495" s="571"/>
      <c r="H495" s="571"/>
      <c r="I495" s="571"/>
      <c r="J495" s="571"/>
      <c r="K495" s="571"/>
      <c r="L495" s="571"/>
      <c r="M495" s="571"/>
      <c r="N495" s="571"/>
      <c r="O495" s="571"/>
      <c r="P495" s="571"/>
      <c r="Q495" s="571"/>
      <c r="R495" s="571"/>
      <c r="S495" s="571"/>
      <c r="T495" s="571"/>
      <c r="U495" s="571"/>
      <c r="V495" s="571"/>
      <c r="W495" s="571"/>
      <c r="X495" s="571"/>
      <c r="Y495" s="571"/>
      <c r="Z495" s="571"/>
      <c r="AA495" s="571"/>
      <c r="AB495" s="571"/>
      <c r="AC495" s="571"/>
      <c r="AD495" s="571"/>
      <c r="AE495" s="571"/>
      <c r="AF495" s="571"/>
      <c r="AG495" s="571"/>
      <c r="AH495" s="571"/>
      <c r="AI495" s="571"/>
      <c r="AJ495" s="571"/>
      <c r="AK495" s="571"/>
      <c r="AL495" s="571"/>
      <c r="AM495" s="571"/>
      <c r="AN495" s="571"/>
      <c r="AO495" s="571"/>
    </row>
    <row r="496">
      <c r="G496" s="571"/>
      <c r="H496" s="571"/>
      <c r="I496" s="571"/>
      <c r="J496" s="571"/>
      <c r="K496" s="571"/>
      <c r="L496" s="571"/>
      <c r="M496" s="571"/>
      <c r="N496" s="571"/>
      <c r="O496" s="571"/>
      <c r="P496" s="571"/>
      <c r="Q496" s="571"/>
      <c r="R496" s="571"/>
      <c r="S496" s="571"/>
      <c r="T496" s="571"/>
      <c r="U496" s="571"/>
      <c r="V496" s="571"/>
      <c r="W496" s="571"/>
      <c r="X496" s="571"/>
      <c r="Y496" s="571"/>
      <c r="Z496" s="571"/>
      <c r="AA496" s="571"/>
      <c r="AB496" s="571"/>
      <c r="AC496" s="571"/>
      <c r="AD496" s="571"/>
      <c r="AE496" s="571"/>
      <c r="AF496" s="571"/>
      <c r="AG496" s="571"/>
      <c r="AH496" s="571"/>
      <c r="AI496" s="571"/>
      <c r="AJ496" s="571"/>
      <c r="AK496" s="571"/>
      <c r="AL496" s="571"/>
      <c r="AM496" s="571"/>
      <c r="AN496" s="571"/>
      <c r="AO496" s="571"/>
    </row>
    <row r="497">
      <c r="G497" s="571"/>
      <c r="H497" s="571"/>
      <c r="I497" s="571"/>
      <c r="J497" s="571"/>
      <c r="K497" s="571"/>
      <c r="L497" s="571"/>
      <c r="M497" s="571"/>
      <c r="N497" s="571"/>
      <c r="O497" s="571"/>
      <c r="P497" s="571"/>
      <c r="Q497" s="571"/>
      <c r="R497" s="571"/>
      <c r="S497" s="571"/>
      <c r="T497" s="571"/>
      <c r="U497" s="571"/>
      <c r="V497" s="571"/>
      <c r="W497" s="571"/>
      <c r="X497" s="571"/>
      <c r="Y497" s="571"/>
      <c r="Z497" s="571"/>
      <c r="AA497" s="571"/>
      <c r="AB497" s="571"/>
      <c r="AC497" s="571"/>
      <c r="AD497" s="571"/>
      <c r="AE497" s="571"/>
      <c r="AF497" s="571"/>
      <c r="AG497" s="571"/>
      <c r="AH497" s="571"/>
      <c r="AI497" s="571"/>
      <c r="AJ497" s="571"/>
      <c r="AK497" s="571"/>
      <c r="AL497" s="571"/>
      <c r="AM497" s="571"/>
      <c r="AN497" s="571"/>
      <c r="AO497" s="571"/>
    </row>
    <row r="498">
      <c r="G498" s="571"/>
      <c r="H498" s="571"/>
      <c r="I498" s="571"/>
      <c r="J498" s="571"/>
      <c r="K498" s="571"/>
      <c r="L498" s="571"/>
      <c r="M498" s="571"/>
      <c r="N498" s="571"/>
      <c r="O498" s="571"/>
      <c r="P498" s="571"/>
      <c r="Q498" s="571"/>
      <c r="R498" s="571"/>
      <c r="S498" s="571"/>
      <c r="T498" s="571"/>
      <c r="U498" s="571"/>
      <c r="V498" s="571"/>
      <c r="W498" s="571"/>
      <c r="X498" s="571"/>
      <c r="Y498" s="571"/>
      <c r="Z498" s="571"/>
      <c r="AA498" s="571"/>
      <c r="AB498" s="571"/>
      <c r="AC498" s="571"/>
      <c r="AD498" s="571"/>
      <c r="AE498" s="571"/>
      <c r="AF498" s="571"/>
      <c r="AG498" s="571"/>
      <c r="AH498" s="571"/>
      <c r="AI498" s="571"/>
      <c r="AJ498" s="571"/>
      <c r="AK498" s="571"/>
      <c r="AL498" s="571"/>
      <c r="AM498" s="571"/>
      <c r="AN498" s="571"/>
      <c r="AO498" s="571"/>
    </row>
    <row r="499">
      <c r="G499" s="571"/>
      <c r="H499" s="571"/>
      <c r="I499" s="571"/>
      <c r="J499" s="571"/>
      <c r="K499" s="571"/>
      <c r="L499" s="571"/>
      <c r="M499" s="571"/>
      <c r="N499" s="571"/>
      <c r="O499" s="571"/>
      <c r="P499" s="571"/>
      <c r="Q499" s="571"/>
      <c r="R499" s="571"/>
      <c r="S499" s="571"/>
      <c r="T499" s="571"/>
      <c r="U499" s="571"/>
      <c r="V499" s="571"/>
      <c r="W499" s="571"/>
      <c r="X499" s="571"/>
      <c r="Y499" s="571"/>
      <c r="Z499" s="571"/>
      <c r="AA499" s="571"/>
      <c r="AB499" s="571"/>
      <c r="AC499" s="571"/>
      <c r="AD499" s="571"/>
      <c r="AE499" s="571"/>
      <c r="AF499" s="571"/>
      <c r="AG499" s="571"/>
      <c r="AH499" s="571"/>
      <c r="AI499" s="571"/>
      <c r="AJ499" s="571"/>
      <c r="AK499" s="571"/>
      <c r="AL499" s="571"/>
      <c r="AM499" s="571"/>
      <c r="AN499" s="571"/>
      <c r="AO499" s="571"/>
    </row>
    <row r="500">
      <c r="G500" s="571"/>
      <c r="H500" s="571"/>
      <c r="I500" s="571"/>
      <c r="J500" s="571"/>
      <c r="K500" s="571"/>
      <c r="L500" s="571"/>
      <c r="M500" s="571"/>
      <c r="N500" s="571"/>
      <c r="O500" s="571"/>
      <c r="P500" s="571"/>
      <c r="Q500" s="571"/>
      <c r="R500" s="571"/>
      <c r="S500" s="571"/>
      <c r="T500" s="571"/>
      <c r="U500" s="571"/>
      <c r="V500" s="571"/>
      <c r="W500" s="571"/>
      <c r="X500" s="571"/>
      <c r="Y500" s="571"/>
      <c r="Z500" s="571"/>
      <c r="AA500" s="571"/>
      <c r="AB500" s="571"/>
      <c r="AC500" s="571"/>
      <c r="AD500" s="571"/>
      <c r="AE500" s="571"/>
      <c r="AF500" s="571"/>
      <c r="AG500" s="571"/>
      <c r="AH500" s="571"/>
      <c r="AI500" s="571"/>
      <c r="AJ500" s="571"/>
      <c r="AK500" s="571"/>
      <c r="AL500" s="571"/>
      <c r="AM500" s="571"/>
      <c r="AN500" s="571"/>
      <c r="AO500" s="571"/>
    </row>
    <row r="501">
      <c r="G501" s="571"/>
      <c r="H501" s="571"/>
      <c r="I501" s="571"/>
      <c r="J501" s="571"/>
      <c r="K501" s="571"/>
      <c r="L501" s="571"/>
      <c r="M501" s="571"/>
      <c r="N501" s="571"/>
      <c r="O501" s="571"/>
      <c r="P501" s="571"/>
      <c r="Q501" s="571"/>
      <c r="R501" s="571"/>
      <c r="S501" s="571"/>
      <c r="T501" s="571"/>
      <c r="U501" s="571"/>
      <c r="V501" s="571"/>
      <c r="W501" s="571"/>
      <c r="X501" s="571"/>
      <c r="Y501" s="571"/>
      <c r="Z501" s="571"/>
      <c r="AA501" s="571"/>
      <c r="AB501" s="571"/>
      <c r="AC501" s="571"/>
      <c r="AD501" s="571"/>
      <c r="AE501" s="571"/>
      <c r="AF501" s="571"/>
      <c r="AG501" s="571"/>
      <c r="AH501" s="571"/>
      <c r="AI501" s="571"/>
      <c r="AJ501" s="571"/>
      <c r="AK501" s="571"/>
      <c r="AL501" s="571"/>
      <c r="AM501" s="571"/>
      <c r="AN501" s="571"/>
      <c r="AO501" s="571"/>
    </row>
    <row r="502">
      <c r="G502" s="571"/>
      <c r="H502" s="571"/>
      <c r="I502" s="571"/>
      <c r="J502" s="571"/>
      <c r="K502" s="571"/>
      <c r="L502" s="571"/>
      <c r="M502" s="571"/>
      <c r="N502" s="571"/>
      <c r="O502" s="571"/>
      <c r="P502" s="571"/>
      <c r="Q502" s="571"/>
      <c r="R502" s="571"/>
      <c r="S502" s="571"/>
      <c r="T502" s="571"/>
      <c r="U502" s="571"/>
      <c r="V502" s="571"/>
      <c r="W502" s="571"/>
      <c r="X502" s="571"/>
      <c r="Y502" s="571"/>
      <c r="Z502" s="571"/>
      <c r="AA502" s="571"/>
      <c r="AB502" s="571"/>
      <c r="AC502" s="571"/>
      <c r="AD502" s="571"/>
      <c r="AE502" s="571"/>
      <c r="AF502" s="571"/>
      <c r="AG502" s="571"/>
      <c r="AH502" s="571"/>
      <c r="AI502" s="571"/>
      <c r="AJ502" s="571"/>
      <c r="AK502" s="571"/>
      <c r="AL502" s="571"/>
      <c r="AM502" s="571"/>
      <c r="AN502" s="571"/>
      <c r="AO502" s="571"/>
    </row>
    <row r="503">
      <c r="G503" s="571"/>
      <c r="H503" s="571"/>
      <c r="I503" s="571"/>
      <c r="J503" s="571"/>
      <c r="K503" s="571"/>
      <c r="L503" s="571"/>
      <c r="M503" s="571"/>
      <c r="N503" s="571"/>
      <c r="O503" s="571"/>
      <c r="P503" s="571"/>
      <c r="Q503" s="571"/>
      <c r="R503" s="571"/>
      <c r="S503" s="571"/>
      <c r="T503" s="571"/>
      <c r="U503" s="571"/>
      <c r="V503" s="571"/>
      <c r="W503" s="571"/>
      <c r="X503" s="571"/>
      <c r="Y503" s="571"/>
      <c r="Z503" s="571"/>
      <c r="AA503" s="571"/>
      <c r="AB503" s="571"/>
      <c r="AC503" s="571"/>
      <c r="AD503" s="571"/>
      <c r="AE503" s="571"/>
      <c r="AF503" s="571"/>
      <c r="AG503" s="571"/>
      <c r="AH503" s="571"/>
      <c r="AI503" s="571"/>
      <c r="AJ503" s="571"/>
      <c r="AK503" s="571"/>
      <c r="AL503" s="571"/>
      <c r="AM503" s="571"/>
      <c r="AN503" s="571"/>
      <c r="AO503" s="571"/>
    </row>
    <row r="504">
      <c r="G504" s="571"/>
      <c r="H504" s="571"/>
      <c r="I504" s="571"/>
      <c r="J504" s="571"/>
      <c r="K504" s="571"/>
      <c r="L504" s="571"/>
      <c r="M504" s="571"/>
      <c r="N504" s="571"/>
      <c r="O504" s="571"/>
      <c r="P504" s="571"/>
      <c r="Q504" s="571"/>
      <c r="R504" s="571"/>
      <c r="S504" s="571"/>
      <c r="T504" s="571"/>
      <c r="U504" s="571"/>
      <c r="V504" s="571"/>
      <c r="W504" s="571"/>
      <c r="X504" s="571"/>
      <c r="Y504" s="571"/>
      <c r="Z504" s="571"/>
      <c r="AA504" s="571"/>
      <c r="AB504" s="571"/>
      <c r="AC504" s="571"/>
      <c r="AD504" s="571"/>
      <c r="AE504" s="571"/>
      <c r="AF504" s="571"/>
      <c r="AG504" s="571"/>
      <c r="AH504" s="571"/>
      <c r="AI504" s="571"/>
      <c r="AJ504" s="571"/>
      <c r="AK504" s="571"/>
      <c r="AL504" s="571"/>
      <c r="AM504" s="571"/>
      <c r="AN504" s="571"/>
      <c r="AO504" s="571"/>
    </row>
    <row r="505">
      <c r="G505" s="571"/>
      <c r="H505" s="571"/>
      <c r="I505" s="571"/>
      <c r="J505" s="571"/>
      <c r="K505" s="571"/>
      <c r="L505" s="571"/>
      <c r="M505" s="571"/>
      <c r="N505" s="571"/>
      <c r="O505" s="571"/>
      <c r="P505" s="571"/>
      <c r="Q505" s="571"/>
      <c r="R505" s="571"/>
      <c r="S505" s="571"/>
      <c r="T505" s="571"/>
      <c r="U505" s="571"/>
      <c r="V505" s="571"/>
      <c r="W505" s="571"/>
      <c r="X505" s="571"/>
      <c r="Y505" s="571"/>
      <c r="Z505" s="571"/>
      <c r="AA505" s="571"/>
      <c r="AB505" s="571"/>
      <c r="AC505" s="571"/>
      <c r="AD505" s="571"/>
      <c r="AE505" s="571"/>
      <c r="AF505" s="571"/>
      <c r="AG505" s="571"/>
      <c r="AH505" s="571"/>
      <c r="AI505" s="571"/>
      <c r="AJ505" s="571"/>
      <c r="AK505" s="571"/>
      <c r="AL505" s="571"/>
      <c r="AM505" s="571"/>
      <c r="AN505" s="571"/>
      <c r="AO505" s="571"/>
    </row>
    <row r="506">
      <c r="G506" s="571"/>
      <c r="H506" s="571"/>
      <c r="I506" s="571"/>
      <c r="J506" s="571"/>
      <c r="K506" s="571"/>
      <c r="L506" s="571"/>
      <c r="M506" s="571"/>
      <c r="N506" s="571"/>
      <c r="O506" s="571"/>
      <c r="P506" s="571"/>
      <c r="Q506" s="571"/>
      <c r="R506" s="571"/>
      <c r="S506" s="571"/>
      <c r="T506" s="571"/>
      <c r="U506" s="571"/>
      <c r="V506" s="571"/>
      <c r="W506" s="571"/>
      <c r="X506" s="571"/>
      <c r="Y506" s="571"/>
      <c r="Z506" s="571"/>
      <c r="AA506" s="571"/>
      <c r="AB506" s="571"/>
      <c r="AC506" s="571"/>
      <c r="AD506" s="571"/>
      <c r="AE506" s="571"/>
      <c r="AF506" s="571"/>
      <c r="AG506" s="571"/>
      <c r="AH506" s="571"/>
      <c r="AI506" s="571"/>
      <c r="AJ506" s="571"/>
      <c r="AK506" s="571"/>
      <c r="AL506" s="571"/>
      <c r="AM506" s="571"/>
      <c r="AN506" s="571"/>
      <c r="AO506" s="571"/>
    </row>
    <row r="507">
      <c r="G507" s="571"/>
      <c r="H507" s="571"/>
      <c r="I507" s="571"/>
      <c r="J507" s="571"/>
      <c r="K507" s="571"/>
      <c r="L507" s="571"/>
      <c r="M507" s="571"/>
      <c r="N507" s="571"/>
      <c r="O507" s="571"/>
      <c r="P507" s="571"/>
      <c r="Q507" s="571"/>
      <c r="R507" s="571"/>
      <c r="S507" s="571"/>
      <c r="T507" s="571"/>
      <c r="U507" s="571"/>
      <c r="V507" s="571"/>
      <c r="W507" s="571"/>
      <c r="X507" s="571"/>
      <c r="Y507" s="571"/>
      <c r="Z507" s="571"/>
      <c r="AA507" s="571"/>
      <c r="AB507" s="571"/>
      <c r="AC507" s="571"/>
      <c r="AD507" s="571"/>
      <c r="AE507" s="571"/>
      <c r="AF507" s="571"/>
      <c r="AG507" s="571"/>
      <c r="AH507" s="571"/>
      <c r="AI507" s="571"/>
      <c r="AJ507" s="571"/>
      <c r="AK507" s="571"/>
      <c r="AL507" s="571"/>
      <c r="AM507" s="571"/>
      <c r="AN507" s="571"/>
      <c r="AO507" s="571"/>
    </row>
    <row r="508">
      <c r="G508" s="571"/>
      <c r="H508" s="571"/>
      <c r="I508" s="571"/>
      <c r="J508" s="571"/>
      <c r="K508" s="571"/>
      <c r="L508" s="571"/>
      <c r="M508" s="571"/>
      <c r="N508" s="571"/>
      <c r="O508" s="571"/>
      <c r="P508" s="571"/>
      <c r="Q508" s="571"/>
      <c r="R508" s="571"/>
      <c r="S508" s="571"/>
      <c r="T508" s="571"/>
      <c r="U508" s="571"/>
      <c r="V508" s="571"/>
      <c r="W508" s="571"/>
      <c r="X508" s="571"/>
      <c r="Y508" s="571"/>
      <c r="Z508" s="571"/>
      <c r="AA508" s="571"/>
      <c r="AB508" s="571"/>
      <c r="AC508" s="571"/>
      <c r="AD508" s="571"/>
      <c r="AE508" s="571"/>
      <c r="AF508" s="571"/>
      <c r="AG508" s="571"/>
      <c r="AH508" s="571"/>
      <c r="AI508" s="571"/>
      <c r="AJ508" s="571"/>
      <c r="AK508" s="571"/>
      <c r="AL508" s="571"/>
      <c r="AM508" s="571"/>
      <c r="AN508" s="571"/>
      <c r="AO508" s="571"/>
    </row>
    <row r="509">
      <c r="G509" s="571"/>
      <c r="H509" s="571"/>
      <c r="I509" s="571"/>
      <c r="J509" s="571"/>
      <c r="K509" s="571"/>
      <c r="L509" s="571"/>
      <c r="M509" s="571"/>
      <c r="N509" s="571"/>
      <c r="O509" s="571"/>
      <c r="P509" s="571"/>
      <c r="Q509" s="571"/>
      <c r="R509" s="571"/>
      <c r="S509" s="571"/>
      <c r="T509" s="571"/>
      <c r="U509" s="571"/>
      <c r="V509" s="571"/>
      <c r="W509" s="571"/>
      <c r="X509" s="571"/>
      <c r="Y509" s="571"/>
      <c r="Z509" s="571"/>
      <c r="AA509" s="571"/>
      <c r="AB509" s="571"/>
      <c r="AC509" s="571"/>
      <c r="AD509" s="571"/>
      <c r="AE509" s="571"/>
      <c r="AF509" s="571"/>
      <c r="AG509" s="571"/>
      <c r="AH509" s="571"/>
      <c r="AI509" s="571"/>
      <c r="AJ509" s="571"/>
      <c r="AK509" s="571"/>
      <c r="AL509" s="571"/>
      <c r="AM509" s="571"/>
      <c r="AN509" s="571"/>
      <c r="AO509" s="571"/>
    </row>
    <row r="510">
      <c r="G510" s="571"/>
      <c r="H510" s="571"/>
      <c r="I510" s="571"/>
      <c r="J510" s="571"/>
      <c r="K510" s="571"/>
      <c r="L510" s="571"/>
      <c r="M510" s="571"/>
      <c r="N510" s="571"/>
      <c r="O510" s="571"/>
      <c r="P510" s="571"/>
      <c r="Q510" s="571"/>
      <c r="R510" s="571"/>
      <c r="S510" s="571"/>
      <c r="T510" s="571"/>
      <c r="U510" s="571"/>
      <c r="V510" s="571"/>
      <c r="W510" s="571"/>
      <c r="X510" s="571"/>
      <c r="Y510" s="571"/>
      <c r="Z510" s="571"/>
      <c r="AA510" s="571"/>
      <c r="AB510" s="571"/>
      <c r="AC510" s="571"/>
      <c r="AD510" s="571"/>
      <c r="AE510" s="571"/>
      <c r="AF510" s="571"/>
      <c r="AG510" s="571"/>
      <c r="AH510" s="571"/>
      <c r="AI510" s="571"/>
      <c r="AJ510" s="571"/>
      <c r="AK510" s="571"/>
      <c r="AL510" s="571"/>
      <c r="AM510" s="571"/>
      <c r="AN510" s="571"/>
      <c r="AO510" s="571"/>
    </row>
    <row r="511">
      <c r="G511" s="571"/>
      <c r="H511" s="571"/>
      <c r="I511" s="571"/>
      <c r="J511" s="571"/>
      <c r="K511" s="571"/>
      <c r="L511" s="571"/>
      <c r="M511" s="571"/>
      <c r="N511" s="571"/>
      <c r="O511" s="571"/>
      <c r="P511" s="571"/>
      <c r="Q511" s="571"/>
      <c r="R511" s="571"/>
      <c r="S511" s="571"/>
      <c r="T511" s="571"/>
      <c r="U511" s="571"/>
      <c r="V511" s="571"/>
      <c r="W511" s="571"/>
      <c r="X511" s="571"/>
      <c r="Y511" s="571"/>
      <c r="Z511" s="571"/>
      <c r="AA511" s="571"/>
      <c r="AB511" s="571"/>
      <c r="AC511" s="571"/>
      <c r="AD511" s="571"/>
      <c r="AE511" s="571"/>
      <c r="AF511" s="571"/>
      <c r="AG511" s="571"/>
      <c r="AH511" s="571"/>
      <c r="AI511" s="571"/>
      <c r="AJ511" s="571"/>
      <c r="AK511" s="571"/>
      <c r="AL511" s="571"/>
      <c r="AM511" s="571"/>
      <c r="AN511" s="571"/>
      <c r="AO511" s="571"/>
    </row>
    <row r="512">
      <c r="G512" s="571"/>
      <c r="H512" s="571"/>
      <c r="I512" s="571"/>
      <c r="J512" s="571"/>
      <c r="K512" s="571"/>
      <c r="L512" s="571"/>
      <c r="M512" s="571"/>
      <c r="N512" s="571"/>
      <c r="O512" s="571"/>
      <c r="P512" s="571"/>
      <c r="Q512" s="571"/>
      <c r="R512" s="571"/>
      <c r="S512" s="571"/>
      <c r="T512" s="571"/>
      <c r="U512" s="571"/>
      <c r="V512" s="571"/>
      <c r="W512" s="571"/>
      <c r="X512" s="571"/>
      <c r="Y512" s="571"/>
      <c r="Z512" s="571"/>
      <c r="AA512" s="571"/>
      <c r="AB512" s="571"/>
      <c r="AC512" s="571"/>
      <c r="AD512" s="571"/>
      <c r="AE512" s="571"/>
      <c r="AF512" s="571"/>
      <c r="AG512" s="571"/>
      <c r="AH512" s="571"/>
      <c r="AI512" s="571"/>
      <c r="AJ512" s="571"/>
      <c r="AK512" s="571"/>
      <c r="AL512" s="571"/>
      <c r="AM512" s="571"/>
      <c r="AN512" s="571"/>
      <c r="AO512" s="571"/>
    </row>
    <row r="513">
      <c r="G513" s="571"/>
      <c r="H513" s="571"/>
      <c r="I513" s="571"/>
      <c r="J513" s="571"/>
      <c r="K513" s="571"/>
      <c r="L513" s="571"/>
      <c r="M513" s="571"/>
      <c r="N513" s="571"/>
      <c r="O513" s="571"/>
      <c r="P513" s="571"/>
      <c r="Q513" s="571"/>
      <c r="R513" s="571"/>
      <c r="S513" s="571"/>
      <c r="T513" s="571"/>
      <c r="U513" s="571"/>
      <c r="V513" s="571"/>
      <c r="W513" s="571"/>
      <c r="X513" s="571"/>
      <c r="Y513" s="571"/>
      <c r="Z513" s="571"/>
      <c r="AA513" s="571"/>
      <c r="AB513" s="571"/>
      <c r="AC513" s="571"/>
      <c r="AD513" s="571"/>
      <c r="AE513" s="571"/>
      <c r="AF513" s="571"/>
      <c r="AG513" s="571"/>
      <c r="AH513" s="571"/>
      <c r="AI513" s="571"/>
      <c r="AJ513" s="571"/>
      <c r="AK513" s="571"/>
      <c r="AL513" s="571"/>
      <c r="AM513" s="571"/>
      <c r="AN513" s="571"/>
      <c r="AO513" s="571"/>
    </row>
    <row r="514">
      <c r="G514" s="571"/>
      <c r="H514" s="571"/>
      <c r="I514" s="571"/>
      <c r="J514" s="571"/>
      <c r="K514" s="571"/>
      <c r="L514" s="571"/>
      <c r="M514" s="571"/>
      <c r="N514" s="571"/>
      <c r="O514" s="571"/>
      <c r="P514" s="571"/>
      <c r="Q514" s="571"/>
      <c r="R514" s="571"/>
      <c r="S514" s="571"/>
      <c r="T514" s="571"/>
      <c r="U514" s="571"/>
      <c r="V514" s="571"/>
      <c r="W514" s="571"/>
      <c r="X514" s="571"/>
      <c r="Y514" s="571"/>
      <c r="Z514" s="571"/>
      <c r="AA514" s="571"/>
      <c r="AB514" s="571"/>
      <c r="AC514" s="571"/>
      <c r="AD514" s="571"/>
      <c r="AE514" s="571"/>
      <c r="AF514" s="571"/>
      <c r="AG514" s="571"/>
      <c r="AH514" s="571"/>
      <c r="AI514" s="571"/>
      <c r="AJ514" s="571"/>
      <c r="AK514" s="571"/>
      <c r="AL514" s="571"/>
      <c r="AM514" s="571"/>
      <c r="AN514" s="571"/>
      <c r="AO514" s="571"/>
    </row>
    <row r="515">
      <c r="G515" s="571"/>
      <c r="H515" s="571"/>
      <c r="I515" s="571"/>
      <c r="J515" s="571"/>
      <c r="K515" s="571"/>
      <c r="L515" s="571"/>
      <c r="M515" s="571"/>
      <c r="N515" s="571"/>
      <c r="O515" s="571"/>
      <c r="P515" s="571"/>
      <c r="Q515" s="571"/>
      <c r="R515" s="571"/>
      <c r="S515" s="571"/>
      <c r="T515" s="571"/>
      <c r="U515" s="571"/>
      <c r="V515" s="571"/>
      <c r="W515" s="571"/>
      <c r="X515" s="571"/>
      <c r="Y515" s="571"/>
      <c r="Z515" s="571"/>
      <c r="AA515" s="571"/>
      <c r="AB515" s="571"/>
      <c r="AC515" s="571"/>
      <c r="AD515" s="571"/>
      <c r="AE515" s="571"/>
      <c r="AF515" s="571"/>
      <c r="AG515" s="571"/>
      <c r="AH515" s="571"/>
      <c r="AI515" s="571"/>
      <c r="AJ515" s="571"/>
      <c r="AK515" s="571"/>
      <c r="AL515" s="571"/>
      <c r="AM515" s="571"/>
      <c r="AN515" s="571"/>
      <c r="AO515" s="571"/>
    </row>
    <row r="516">
      <c r="G516" s="571"/>
      <c r="H516" s="571"/>
      <c r="I516" s="571"/>
      <c r="J516" s="571"/>
      <c r="K516" s="571"/>
      <c r="L516" s="571"/>
      <c r="M516" s="571"/>
      <c r="N516" s="571"/>
      <c r="O516" s="571"/>
      <c r="P516" s="571"/>
      <c r="Q516" s="571"/>
      <c r="R516" s="571"/>
      <c r="S516" s="571"/>
      <c r="T516" s="571"/>
      <c r="U516" s="571"/>
      <c r="V516" s="571"/>
      <c r="W516" s="571"/>
      <c r="X516" s="571"/>
      <c r="Y516" s="571"/>
      <c r="Z516" s="571"/>
      <c r="AA516" s="571"/>
      <c r="AB516" s="571"/>
      <c r="AC516" s="571"/>
      <c r="AD516" s="571"/>
      <c r="AE516" s="571"/>
      <c r="AF516" s="571"/>
      <c r="AG516" s="571"/>
      <c r="AH516" s="571"/>
      <c r="AI516" s="571"/>
      <c r="AJ516" s="571"/>
      <c r="AK516" s="571"/>
      <c r="AL516" s="571"/>
      <c r="AM516" s="571"/>
      <c r="AN516" s="571"/>
      <c r="AO516" s="571"/>
    </row>
    <row r="517">
      <c r="G517" s="571"/>
      <c r="H517" s="571"/>
      <c r="I517" s="571"/>
      <c r="J517" s="571"/>
      <c r="K517" s="571"/>
      <c r="L517" s="571"/>
      <c r="M517" s="571"/>
      <c r="N517" s="571"/>
      <c r="O517" s="571"/>
      <c r="P517" s="571"/>
      <c r="Q517" s="571"/>
      <c r="R517" s="571"/>
      <c r="S517" s="571"/>
      <c r="T517" s="571"/>
      <c r="U517" s="571"/>
      <c r="V517" s="571"/>
      <c r="W517" s="571"/>
      <c r="X517" s="571"/>
      <c r="Y517" s="571"/>
      <c r="Z517" s="571"/>
      <c r="AA517" s="571"/>
      <c r="AB517" s="571"/>
      <c r="AC517" s="571"/>
      <c r="AD517" s="571"/>
      <c r="AE517" s="571"/>
      <c r="AF517" s="571"/>
      <c r="AG517" s="571"/>
      <c r="AH517" s="571"/>
      <c r="AI517" s="571"/>
      <c r="AJ517" s="571"/>
      <c r="AK517" s="571"/>
      <c r="AL517" s="571"/>
      <c r="AM517" s="571"/>
      <c r="AN517" s="571"/>
      <c r="AO517" s="571"/>
    </row>
    <row r="518">
      <c r="G518" s="571"/>
      <c r="H518" s="571"/>
      <c r="I518" s="571"/>
      <c r="J518" s="571"/>
      <c r="K518" s="571"/>
      <c r="L518" s="571"/>
      <c r="M518" s="571"/>
      <c r="N518" s="571"/>
      <c r="O518" s="571"/>
      <c r="P518" s="571"/>
      <c r="Q518" s="571"/>
      <c r="R518" s="571"/>
      <c r="S518" s="571"/>
      <c r="T518" s="571"/>
      <c r="U518" s="571"/>
      <c r="V518" s="571"/>
      <c r="W518" s="571"/>
      <c r="X518" s="571"/>
      <c r="Y518" s="571"/>
      <c r="Z518" s="571"/>
      <c r="AA518" s="571"/>
      <c r="AB518" s="571"/>
      <c r="AC518" s="571"/>
      <c r="AD518" s="571"/>
      <c r="AE518" s="571"/>
      <c r="AF518" s="571"/>
      <c r="AG518" s="571"/>
      <c r="AH518" s="571"/>
      <c r="AI518" s="571"/>
      <c r="AJ518" s="571"/>
      <c r="AK518" s="571"/>
      <c r="AL518" s="571"/>
      <c r="AM518" s="571"/>
      <c r="AN518" s="571"/>
      <c r="AO518" s="571"/>
    </row>
    <row r="519">
      <c r="G519" s="571"/>
      <c r="H519" s="571"/>
      <c r="I519" s="571"/>
      <c r="J519" s="571"/>
      <c r="K519" s="571"/>
      <c r="L519" s="571"/>
      <c r="M519" s="571"/>
      <c r="N519" s="571"/>
      <c r="O519" s="571"/>
      <c r="P519" s="571"/>
      <c r="Q519" s="571"/>
      <c r="R519" s="571"/>
      <c r="S519" s="571"/>
      <c r="T519" s="571"/>
      <c r="U519" s="571"/>
      <c r="V519" s="571"/>
      <c r="W519" s="571"/>
      <c r="X519" s="571"/>
      <c r="Y519" s="571"/>
      <c r="Z519" s="571"/>
      <c r="AA519" s="571"/>
      <c r="AB519" s="571"/>
      <c r="AC519" s="571"/>
      <c r="AD519" s="571"/>
      <c r="AE519" s="571"/>
      <c r="AF519" s="571"/>
      <c r="AG519" s="571"/>
      <c r="AH519" s="571"/>
      <c r="AI519" s="571"/>
      <c r="AJ519" s="571"/>
      <c r="AK519" s="571"/>
      <c r="AL519" s="571"/>
      <c r="AM519" s="571"/>
      <c r="AN519" s="571"/>
      <c r="AO519" s="571"/>
    </row>
    <row r="520">
      <c r="G520" s="571"/>
      <c r="H520" s="571"/>
      <c r="I520" s="571"/>
      <c r="J520" s="571"/>
      <c r="K520" s="571"/>
      <c r="L520" s="571"/>
      <c r="M520" s="571"/>
      <c r="N520" s="571"/>
      <c r="O520" s="571"/>
      <c r="P520" s="571"/>
      <c r="Q520" s="571"/>
      <c r="R520" s="571"/>
      <c r="S520" s="571"/>
      <c r="T520" s="571"/>
      <c r="U520" s="571"/>
      <c r="V520" s="571"/>
      <c r="W520" s="571"/>
      <c r="X520" s="571"/>
      <c r="Y520" s="571"/>
      <c r="Z520" s="571"/>
      <c r="AA520" s="571"/>
      <c r="AB520" s="571"/>
      <c r="AC520" s="571"/>
      <c r="AD520" s="571"/>
      <c r="AE520" s="571"/>
      <c r="AF520" s="571"/>
      <c r="AG520" s="571"/>
      <c r="AH520" s="571"/>
      <c r="AI520" s="571"/>
      <c r="AJ520" s="571"/>
      <c r="AK520" s="571"/>
      <c r="AL520" s="571"/>
      <c r="AM520" s="571"/>
      <c r="AN520" s="571"/>
      <c r="AO520" s="571"/>
    </row>
    <row r="521">
      <c r="G521" s="571"/>
      <c r="H521" s="571"/>
      <c r="I521" s="571"/>
      <c r="J521" s="571"/>
      <c r="K521" s="571"/>
      <c r="L521" s="571"/>
      <c r="M521" s="571"/>
      <c r="N521" s="571"/>
      <c r="O521" s="571"/>
      <c r="P521" s="571"/>
      <c r="Q521" s="571"/>
      <c r="R521" s="571"/>
      <c r="S521" s="571"/>
      <c r="T521" s="571"/>
      <c r="U521" s="571"/>
      <c r="V521" s="571"/>
      <c r="W521" s="571"/>
      <c r="X521" s="571"/>
      <c r="Y521" s="571"/>
      <c r="Z521" s="571"/>
      <c r="AA521" s="571"/>
      <c r="AB521" s="571"/>
      <c r="AC521" s="571"/>
      <c r="AD521" s="571"/>
      <c r="AE521" s="571"/>
      <c r="AF521" s="571"/>
      <c r="AG521" s="571"/>
      <c r="AH521" s="571"/>
      <c r="AI521" s="571"/>
      <c r="AJ521" s="571"/>
      <c r="AK521" s="571"/>
      <c r="AL521" s="571"/>
      <c r="AM521" s="571"/>
      <c r="AN521" s="571"/>
      <c r="AO521" s="571"/>
    </row>
    <row r="522">
      <c r="G522" s="571"/>
      <c r="H522" s="571"/>
      <c r="I522" s="571"/>
      <c r="J522" s="571"/>
      <c r="K522" s="571"/>
      <c r="L522" s="571"/>
      <c r="M522" s="571"/>
      <c r="N522" s="571"/>
      <c r="O522" s="571"/>
      <c r="P522" s="571"/>
      <c r="Q522" s="571"/>
      <c r="R522" s="571"/>
      <c r="S522" s="571"/>
      <c r="T522" s="571"/>
      <c r="U522" s="571"/>
      <c r="V522" s="571"/>
      <c r="W522" s="571"/>
      <c r="X522" s="571"/>
      <c r="Y522" s="571"/>
      <c r="Z522" s="571"/>
      <c r="AA522" s="571"/>
      <c r="AB522" s="571"/>
      <c r="AC522" s="571"/>
      <c r="AD522" s="571"/>
      <c r="AE522" s="571"/>
      <c r="AF522" s="571"/>
      <c r="AG522" s="571"/>
      <c r="AH522" s="571"/>
      <c r="AI522" s="571"/>
      <c r="AJ522" s="571"/>
      <c r="AK522" s="571"/>
      <c r="AL522" s="571"/>
      <c r="AM522" s="571"/>
      <c r="AN522" s="571"/>
      <c r="AO522" s="571"/>
    </row>
    <row r="523">
      <c r="G523" s="571"/>
      <c r="H523" s="571"/>
      <c r="I523" s="571"/>
      <c r="J523" s="571"/>
      <c r="K523" s="571"/>
      <c r="L523" s="571"/>
      <c r="M523" s="571"/>
      <c r="N523" s="571"/>
      <c r="O523" s="571"/>
      <c r="P523" s="571"/>
      <c r="Q523" s="571"/>
      <c r="R523" s="571"/>
      <c r="S523" s="571"/>
      <c r="T523" s="571"/>
      <c r="U523" s="571"/>
      <c r="V523" s="571"/>
      <c r="W523" s="571"/>
      <c r="X523" s="571"/>
      <c r="Y523" s="571"/>
      <c r="Z523" s="571"/>
      <c r="AA523" s="571"/>
      <c r="AB523" s="571"/>
      <c r="AC523" s="571"/>
      <c r="AD523" s="571"/>
      <c r="AE523" s="571"/>
      <c r="AF523" s="571"/>
      <c r="AG523" s="571"/>
      <c r="AH523" s="571"/>
      <c r="AI523" s="571"/>
      <c r="AJ523" s="571"/>
      <c r="AK523" s="571"/>
      <c r="AL523" s="571"/>
      <c r="AM523" s="571"/>
      <c r="AN523" s="571"/>
      <c r="AO523" s="571"/>
    </row>
    <row r="524">
      <c r="G524" s="571"/>
      <c r="H524" s="571"/>
      <c r="I524" s="571"/>
      <c r="J524" s="571"/>
      <c r="K524" s="571"/>
      <c r="L524" s="571"/>
      <c r="M524" s="571"/>
      <c r="N524" s="571"/>
      <c r="O524" s="571"/>
      <c r="P524" s="571"/>
      <c r="Q524" s="571"/>
      <c r="R524" s="571"/>
      <c r="S524" s="571"/>
      <c r="T524" s="571"/>
      <c r="U524" s="571"/>
      <c r="V524" s="571"/>
      <c r="W524" s="571"/>
      <c r="X524" s="571"/>
      <c r="Y524" s="571"/>
      <c r="Z524" s="571"/>
      <c r="AA524" s="571"/>
      <c r="AB524" s="571"/>
      <c r="AC524" s="571"/>
      <c r="AD524" s="571"/>
      <c r="AE524" s="571"/>
      <c r="AF524" s="571"/>
      <c r="AG524" s="571"/>
      <c r="AH524" s="571"/>
      <c r="AI524" s="571"/>
      <c r="AJ524" s="571"/>
      <c r="AK524" s="571"/>
      <c r="AL524" s="571"/>
      <c r="AM524" s="571"/>
      <c r="AN524" s="571"/>
      <c r="AO524" s="571"/>
    </row>
    <row r="525">
      <c r="G525" s="571"/>
      <c r="H525" s="571"/>
      <c r="I525" s="571"/>
      <c r="J525" s="571"/>
      <c r="K525" s="571"/>
      <c r="L525" s="571"/>
      <c r="M525" s="571"/>
      <c r="N525" s="571"/>
      <c r="O525" s="571"/>
      <c r="P525" s="571"/>
      <c r="Q525" s="571"/>
      <c r="R525" s="571"/>
      <c r="S525" s="571"/>
      <c r="T525" s="571"/>
      <c r="U525" s="571"/>
      <c r="V525" s="571"/>
      <c r="W525" s="571"/>
      <c r="X525" s="571"/>
      <c r="Y525" s="571"/>
      <c r="Z525" s="571"/>
      <c r="AA525" s="571"/>
      <c r="AB525" s="571"/>
      <c r="AC525" s="571"/>
      <c r="AD525" s="571"/>
      <c r="AE525" s="571"/>
      <c r="AF525" s="571"/>
      <c r="AG525" s="571"/>
      <c r="AH525" s="571"/>
      <c r="AI525" s="571"/>
      <c r="AJ525" s="571"/>
      <c r="AK525" s="571"/>
      <c r="AL525" s="571"/>
      <c r="AM525" s="571"/>
      <c r="AN525" s="571"/>
      <c r="AO525" s="571"/>
    </row>
    <row r="526">
      <c r="G526" s="571"/>
      <c r="H526" s="571"/>
      <c r="I526" s="571"/>
      <c r="J526" s="571"/>
      <c r="K526" s="571"/>
      <c r="L526" s="571"/>
      <c r="M526" s="571"/>
      <c r="N526" s="571"/>
      <c r="O526" s="571"/>
      <c r="P526" s="571"/>
      <c r="Q526" s="571"/>
      <c r="R526" s="571"/>
      <c r="S526" s="571"/>
      <c r="T526" s="571"/>
      <c r="U526" s="571"/>
      <c r="V526" s="571"/>
      <c r="W526" s="571"/>
      <c r="X526" s="571"/>
      <c r="Y526" s="571"/>
      <c r="Z526" s="571"/>
      <c r="AA526" s="571"/>
      <c r="AB526" s="571"/>
      <c r="AC526" s="571"/>
      <c r="AD526" s="571"/>
      <c r="AE526" s="571"/>
      <c r="AF526" s="571"/>
      <c r="AG526" s="571"/>
      <c r="AH526" s="571"/>
      <c r="AI526" s="571"/>
      <c r="AJ526" s="571"/>
      <c r="AK526" s="571"/>
      <c r="AL526" s="571"/>
      <c r="AM526" s="571"/>
      <c r="AN526" s="571"/>
      <c r="AO526" s="571"/>
    </row>
    <row r="527">
      <c r="G527" s="571"/>
      <c r="H527" s="571"/>
      <c r="I527" s="571"/>
      <c r="J527" s="571"/>
      <c r="K527" s="571"/>
      <c r="L527" s="571"/>
      <c r="M527" s="571"/>
      <c r="N527" s="571"/>
      <c r="O527" s="571"/>
      <c r="P527" s="571"/>
      <c r="Q527" s="571"/>
      <c r="R527" s="571"/>
      <c r="S527" s="571"/>
      <c r="T527" s="571"/>
      <c r="U527" s="571"/>
      <c r="V527" s="571"/>
      <c r="W527" s="571"/>
      <c r="X527" s="571"/>
      <c r="Y527" s="571"/>
      <c r="Z527" s="571"/>
      <c r="AA527" s="571"/>
      <c r="AB527" s="571"/>
      <c r="AC527" s="571"/>
      <c r="AD527" s="571"/>
      <c r="AE527" s="571"/>
      <c r="AF527" s="571"/>
      <c r="AG527" s="571"/>
      <c r="AH527" s="571"/>
      <c r="AI527" s="571"/>
      <c r="AJ527" s="571"/>
      <c r="AK527" s="571"/>
      <c r="AL527" s="571"/>
      <c r="AM527" s="571"/>
      <c r="AN527" s="571"/>
      <c r="AO527" s="571"/>
    </row>
    <row r="528">
      <c r="G528" s="571"/>
      <c r="H528" s="571"/>
      <c r="I528" s="571"/>
      <c r="J528" s="571"/>
      <c r="K528" s="571"/>
      <c r="L528" s="571"/>
      <c r="M528" s="571"/>
      <c r="N528" s="571"/>
      <c r="O528" s="571"/>
      <c r="P528" s="571"/>
      <c r="Q528" s="571"/>
      <c r="R528" s="571"/>
      <c r="S528" s="571"/>
      <c r="T528" s="571"/>
      <c r="U528" s="571"/>
      <c r="V528" s="571"/>
      <c r="W528" s="571"/>
      <c r="X528" s="571"/>
      <c r="Y528" s="571"/>
      <c r="Z528" s="571"/>
      <c r="AA528" s="571"/>
      <c r="AB528" s="571"/>
      <c r="AC528" s="571"/>
      <c r="AD528" s="571"/>
      <c r="AE528" s="571"/>
      <c r="AF528" s="571"/>
      <c r="AG528" s="571"/>
      <c r="AH528" s="571"/>
      <c r="AI528" s="571"/>
      <c r="AJ528" s="571"/>
      <c r="AK528" s="571"/>
      <c r="AL528" s="571"/>
      <c r="AM528" s="571"/>
      <c r="AN528" s="571"/>
      <c r="AO528" s="571"/>
    </row>
    <row r="529">
      <c r="G529" s="571"/>
      <c r="H529" s="571"/>
      <c r="I529" s="571"/>
      <c r="J529" s="571"/>
      <c r="K529" s="571"/>
      <c r="L529" s="571"/>
      <c r="M529" s="571"/>
      <c r="N529" s="571"/>
      <c r="O529" s="571"/>
      <c r="P529" s="571"/>
      <c r="Q529" s="571"/>
      <c r="R529" s="571"/>
      <c r="S529" s="571"/>
      <c r="T529" s="571"/>
      <c r="U529" s="571"/>
      <c r="V529" s="571"/>
      <c r="W529" s="571"/>
      <c r="X529" s="571"/>
      <c r="Y529" s="571"/>
      <c r="Z529" s="571"/>
      <c r="AA529" s="571"/>
      <c r="AB529" s="571"/>
      <c r="AC529" s="571"/>
      <c r="AD529" s="571"/>
      <c r="AE529" s="571"/>
      <c r="AF529" s="571"/>
      <c r="AG529" s="571"/>
      <c r="AH529" s="571"/>
      <c r="AI529" s="571"/>
      <c r="AJ529" s="571"/>
      <c r="AK529" s="571"/>
      <c r="AL529" s="571"/>
      <c r="AM529" s="571"/>
      <c r="AN529" s="571"/>
      <c r="AO529" s="571"/>
    </row>
    <row r="530">
      <c r="G530" s="571"/>
      <c r="H530" s="571"/>
      <c r="I530" s="571"/>
      <c r="J530" s="571"/>
      <c r="K530" s="571"/>
      <c r="L530" s="571"/>
      <c r="M530" s="571"/>
      <c r="N530" s="571"/>
      <c r="O530" s="571"/>
      <c r="P530" s="571"/>
      <c r="Q530" s="571"/>
      <c r="R530" s="571"/>
      <c r="S530" s="571"/>
      <c r="T530" s="571"/>
      <c r="U530" s="571"/>
      <c r="V530" s="571"/>
      <c r="W530" s="571"/>
      <c r="X530" s="571"/>
      <c r="Y530" s="571"/>
      <c r="Z530" s="571"/>
      <c r="AA530" s="571"/>
      <c r="AB530" s="571"/>
      <c r="AC530" s="571"/>
      <c r="AD530" s="571"/>
      <c r="AE530" s="571"/>
      <c r="AF530" s="571"/>
      <c r="AG530" s="571"/>
      <c r="AH530" s="571"/>
      <c r="AI530" s="571"/>
      <c r="AJ530" s="571"/>
      <c r="AK530" s="571"/>
      <c r="AL530" s="571"/>
      <c r="AM530" s="571"/>
      <c r="AN530" s="571"/>
      <c r="AO530" s="571"/>
    </row>
    <row r="531">
      <c r="G531" s="571"/>
      <c r="H531" s="571"/>
      <c r="I531" s="571"/>
      <c r="J531" s="571"/>
      <c r="K531" s="571"/>
      <c r="L531" s="571"/>
      <c r="M531" s="571"/>
      <c r="N531" s="571"/>
      <c r="O531" s="571"/>
      <c r="P531" s="571"/>
      <c r="Q531" s="571"/>
      <c r="R531" s="571"/>
      <c r="S531" s="571"/>
      <c r="T531" s="571"/>
      <c r="U531" s="571"/>
      <c r="V531" s="571"/>
      <c r="W531" s="571"/>
      <c r="X531" s="571"/>
      <c r="Y531" s="571"/>
      <c r="Z531" s="571"/>
      <c r="AA531" s="571"/>
      <c r="AB531" s="571"/>
      <c r="AC531" s="571"/>
      <c r="AD531" s="571"/>
      <c r="AE531" s="571"/>
      <c r="AF531" s="571"/>
      <c r="AG531" s="571"/>
      <c r="AH531" s="571"/>
      <c r="AI531" s="571"/>
      <c r="AJ531" s="571"/>
      <c r="AK531" s="571"/>
      <c r="AL531" s="571"/>
      <c r="AM531" s="571"/>
      <c r="AN531" s="571"/>
      <c r="AO531" s="571"/>
    </row>
    <row r="532">
      <c r="G532" s="571"/>
      <c r="H532" s="571"/>
      <c r="I532" s="571"/>
      <c r="J532" s="571"/>
      <c r="K532" s="571"/>
      <c r="L532" s="571"/>
      <c r="M532" s="571"/>
      <c r="N532" s="571"/>
      <c r="O532" s="571"/>
      <c r="P532" s="571"/>
      <c r="Q532" s="571"/>
      <c r="R532" s="571"/>
      <c r="S532" s="571"/>
      <c r="T532" s="571"/>
      <c r="U532" s="571"/>
      <c r="V532" s="571"/>
      <c r="W532" s="571"/>
      <c r="X532" s="571"/>
      <c r="Y532" s="571"/>
      <c r="Z532" s="571"/>
      <c r="AA532" s="571"/>
      <c r="AB532" s="571"/>
      <c r="AC532" s="571"/>
      <c r="AD532" s="571"/>
      <c r="AE532" s="571"/>
      <c r="AF532" s="571"/>
      <c r="AG532" s="571"/>
      <c r="AH532" s="571"/>
      <c r="AI532" s="571"/>
      <c r="AJ532" s="571"/>
      <c r="AK532" s="571"/>
      <c r="AL532" s="571"/>
      <c r="AM532" s="571"/>
      <c r="AN532" s="571"/>
      <c r="AO532" s="571"/>
    </row>
    <row r="533">
      <c r="G533" s="571"/>
      <c r="H533" s="571"/>
      <c r="I533" s="571"/>
      <c r="J533" s="571"/>
      <c r="K533" s="571"/>
      <c r="L533" s="571"/>
      <c r="M533" s="571"/>
      <c r="N533" s="571"/>
      <c r="O533" s="571"/>
      <c r="P533" s="571"/>
      <c r="Q533" s="571"/>
      <c r="R533" s="571"/>
      <c r="S533" s="571"/>
      <c r="T533" s="571"/>
      <c r="U533" s="571"/>
      <c r="V533" s="571"/>
      <c r="W533" s="571"/>
      <c r="X533" s="571"/>
      <c r="Y533" s="571"/>
      <c r="Z533" s="571"/>
      <c r="AA533" s="571"/>
      <c r="AB533" s="571"/>
      <c r="AC533" s="571"/>
      <c r="AD533" s="571"/>
      <c r="AE533" s="571"/>
      <c r="AF533" s="571"/>
      <c r="AG533" s="571"/>
      <c r="AH533" s="571"/>
      <c r="AI533" s="571"/>
      <c r="AJ533" s="571"/>
      <c r="AK533" s="571"/>
      <c r="AL533" s="571"/>
      <c r="AM533" s="571"/>
      <c r="AN533" s="571"/>
      <c r="AO533" s="571"/>
    </row>
    <row r="534">
      <c r="G534" s="571"/>
      <c r="H534" s="571"/>
      <c r="I534" s="571"/>
      <c r="J534" s="571"/>
      <c r="K534" s="571"/>
      <c r="L534" s="571"/>
      <c r="M534" s="571"/>
      <c r="N534" s="571"/>
      <c r="O534" s="571"/>
      <c r="P534" s="571"/>
      <c r="Q534" s="571"/>
      <c r="R534" s="571"/>
      <c r="S534" s="571"/>
      <c r="T534" s="571"/>
      <c r="U534" s="571"/>
      <c r="V534" s="571"/>
      <c r="W534" s="571"/>
      <c r="X534" s="571"/>
      <c r="Y534" s="571"/>
      <c r="Z534" s="571"/>
      <c r="AA534" s="571"/>
      <c r="AB534" s="571"/>
      <c r="AC534" s="571"/>
      <c r="AD534" s="571"/>
      <c r="AE534" s="571"/>
      <c r="AF534" s="571"/>
      <c r="AG534" s="571"/>
      <c r="AH534" s="571"/>
      <c r="AI534" s="571"/>
      <c r="AJ534" s="571"/>
      <c r="AK534" s="571"/>
      <c r="AL534" s="571"/>
      <c r="AM534" s="571"/>
      <c r="AN534" s="571"/>
      <c r="AO534" s="571"/>
    </row>
    <row r="535">
      <c r="G535" s="571"/>
      <c r="H535" s="571"/>
      <c r="I535" s="571"/>
      <c r="J535" s="571"/>
      <c r="K535" s="571"/>
      <c r="L535" s="571"/>
      <c r="M535" s="571"/>
      <c r="N535" s="571"/>
      <c r="O535" s="571"/>
      <c r="P535" s="571"/>
      <c r="Q535" s="571"/>
      <c r="R535" s="571"/>
      <c r="S535" s="571"/>
      <c r="T535" s="571"/>
      <c r="U535" s="571"/>
      <c r="V535" s="571"/>
      <c r="W535" s="571"/>
      <c r="X535" s="571"/>
      <c r="Y535" s="571"/>
      <c r="Z535" s="571"/>
      <c r="AA535" s="571"/>
      <c r="AB535" s="571"/>
      <c r="AC535" s="571"/>
      <c r="AD535" s="571"/>
      <c r="AE535" s="571"/>
      <c r="AF535" s="571"/>
      <c r="AG535" s="571"/>
      <c r="AH535" s="571"/>
      <c r="AI535" s="571"/>
      <c r="AJ535" s="571"/>
      <c r="AK535" s="571"/>
      <c r="AL535" s="571"/>
      <c r="AM535" s="571"/>
      <c r="AN535" s="571"/>
      <c r="AO535" s="571"/>
    </row>
    <row r="536">
      <c r="G536" s="571"/>
      <c r="H536" s="571"/>
      <c r="I536" s="571"/>
      <c r="J536" s="571"/>
      <c r="K536" s="571"/>
      <c r="L536" s="571"/>
      <c r="M536" s="571"/>
      <c r="N536" s="571"/>
      <c r="O536" s="571"/>
      <c r="P536" s="571"/>
      <c r="Q536" s="571"/>
      <c r="R536" s="571"/>
      <c r="S536" s="571"/>
      <c r="T536" s="571"/>
      <c r="U536" s="571"/>
      <c r="V536" s="571"/>
      <c r="W536" s="571"/>
      <c r="X536" s="571"/>
      <c r="Y536" s="571"/>
      <c r="Z536" s="571"/>
      <c r="AA536" s="571"/>
      <c r="AB536" s="571"/>
      <c r="AC536" s="571"/>
      <c r="AD536" s="571"/>
      <c r="AE536" s="571"/>
      <c r="AF536" s="571"/>
      <c r="AG536" s="571"/>
      <c r="AH536" s="571"/>
      <c r="AI536" s="571"/>
      <c r="AJ536" s="571"/>
      <c r="AK536" s="571"/>
      <c r="AL536" s="571"/>
      <c r="AM536" s="571"/>
      <c r="AN536" s="571"/>
      <c r="AO536" s="571"/>
    </row>
    <row r="537">
      <c r="G537" s="571"/>
      <c r="H537" s="571"/>
      <c r="I537" s="571"/>
      <c r="J537" s="571"/>
      <c r="K537" s="571"/>
      <c r="L537" s="571"/>
      <c r="M537" s="571"/>
      <c r="N537" s="571"/>
      <c r="O537" s="571"/>
      <c r="P537" s="571"/>
      <c r="Q537" s="571"/>
      <c r="R537" s="571"/>
      <c r="S537" s="571"/>
      <c r="T537" s="571"/>
      <c r="U537" s="571"/>
      <c r="V537" s="571"/>
      <c r="W537" s="571"/>
      <c r="X537" s="571"/>
      <c r="Y537" s="571"/>
      <c r="Z537" s="571"/>
      <c r="AA537" s="571"/>
      <c r="AB537" s="571"/>
      <c r="AC537" s="571"/>
      <c r="AD537" s="571"/>
      <c r="AE537" s="571"/>
      <c r="AF537" s="571"/>
      <c r="AG537" s="571"/>
      <c r="AH537" s="571"/>
      <c r="AI537" s="571"/>
      <c r="AJ537" s="571"/>
      <c r="AK537" s="571"/>
      <c r="AL537" s="571"/>
      <c r="AM537" s="571"/>
      <c r="AN537" s="571"/>
      <c r="AO537" s="571"/>
    </row>
    <row r="538">
      <c r="G538" s="571"/>
      <c r="H538" s="571"/>
      <c r="I538" s="571"/>
      <c r="J538" s="571"/>
      <c r="K538" s="571"/>
      <c r="L538" s="571"/>
      <c r="M538" s="571"/>
      <c r="N538" s="571"/>
      <c r="O538" s="571"/>
      <c r="P538" s="571"/>
      <c r="Q538" s="571"/>
      <c r="R538" s="571"/>
      <c r="S538" s="571"/>
      <c r="T538" s="571"/>
      <c r="U538" s="571"/>
      <c r="V538" s="571"/>
      <c r="W538" s="571"/>
      <c r="X538" s="571"/>
      <c r="Y538" s="571"/>
      <c r="Z538" s="571"/>
      <c r="AA538" s="571"/>
      <c r="AB538" s="571"/>
      <c r="AC538" s="571"/>
      <c r="AD538" s="571"/>
      <c r="AE538" s="571"/>
      <c r="AF538" s="571"/>
      <c r="AG538" s="571"/>
      <c r="AH538" s="571"/>
      <c r="AI538" s="571"/>
      <c r="AJ538" s="571"/>
      <c r="AK538" s="571"/>
      <c r="AL538" s="571"/>
      <c r="AM538" s="571"/>
      <c r="AN538" s="571"/>
      <c r="AO538" s="571"/>
    </row>
    <row r="539">
      <c r="G539" s="571"/>
      <c r="H539" s="571"/>
      <c r="I539" s="571"/>
      <c r="J539" s="571"/>
      <c r="K539" s="571"/>
      <c r="L539" s="571"/>
      <c r="M539" s="571"/>
      <c r="N539" s="571"/>
      <c r="O539" s="571"/>
      <c r="P539" s="571"/>
      <c r="Q539" s="571"/>
      <c r="R539" s="571"/>
      <c r="S539" s="571"/>
      <c r="T539" s="571"/>
      <c r="U539" s="571"/>
      <c r="V539" s="571"/>
      <c r="W539" s="571"/>
      <c r="X539" s="571"/>
      <c r="Y539" s="571"/>
      <c r="Z539" s="571"/>
      <c r="AA539" s="571"/>
      <c r="AB539" s="571"/>
      <c r="AC539" s="571"/>
      <c r="AD539" s="571"/>
      <c r="AE539" s="571"/>
      <c r="AF539" s="571"/>
      <c r="AG539" s="571"/>
      <c r="AH539" s="571"/>
      <c r="AI539" s="571"/>
      <c r="AJ539" s="571"/>
      <c r="AK539" s="571"/>
      <c r="AL539" s="571"/>
      <c r="AM539" s="571"/>
      <c r="AN539" s="571"/>
      <c r="AO539" s="571"/>
    </row>
    <row r="540">
      <c r="G540" s="571"/>
      <c r="H540" s="571"/>
      <c r="I540" s="571"/>
      <c r="J540" s="571"/>
      <c r="K540" s="571"/>
      <c r="L540" s="571"/>
      <c r="M540" s="571"/>
      <c r="N540" s="571"/>
      <c r="O540" s="571"/>
      <c r="P540" s="571"/>
      <c r="Q540" s="571"/>
      <c r="R540" s="571"/>
      <c r="S540" s="571"/>
      <c r="T540" s="571"/>
      <c r="U540" s="571"/>
      <c r="V540" s="571"/>
      <c r="W540" s="571"/>
      <c r="X540" s="571"/>
      <c r="Y540" s="571"/>
      <c r="Z540" s="571"/>
      <c r="AA540" s="571"/>
      <c r="AB540" s="571"/>
      <c r="AC540" s="571"/>
      <c r="AD540" s="571"/>
      <c r="AE540" s="571"/>
      <c r="AF540" s="571"/>
      <c r="AG540" s="571"/>
      <c r="AH540" s="571"/>
      <c r="AI540" s="571"/>
      <c r="AJ540" s="571"/>
      <c r="AK540" s="571"/>
      <c r="AL540" s="571"/>
      <c r="AM540" s="571"/>
      <c r="AN540" s="571"/>
      <c r="AO540" s="571"/>
    </row>
    <row r="541">
      <c r="G541" s="571"/>
      <c r="H541" s="571"/>
      <c r="I541" s="571"/>
      <c r="J541" s="571"/>
      <c r="K541" s="571"/>
      <c r="L541" s="571"/>
      <c r="M541" s="571"/>
      <c r="N541" s="571"/>
      <c r="O541" s="571"/>
      <c r="P541" s="571"/>
      <c r="Q541" s="571"/>
      <c r="R541" s="571"/>
      <c r="S541" s="571"/>
      <c r="T541" s="571"/>
      <c r="U541" s="571"/>
      <c r="V541" s="571"/>
      <c r="W541" s="571"/>
      <c r="X541" s="571"/>
      <c r="Y541" s="571"/>
      <c r="Z541" s="571"/>
      <c r="AA541" s="571"/>
      <c r="AB541" s="571"/>
      <c r="AC541" s="571"/>
      <c r="AD541" s="571"/>
      <c r="AE541" s="571"/>
      <c r="AF541" s="571"/>
      <c r="AG541" s="571"/>
      <c r="AH541" s="571"/>
      <c r="AI541" s="571"/>
      <c r="AJ541" s="571"/>
      <c r="AK541" s="571"/>
      <c r="AL541" s="571"/>
      <c r="AM541" s="571"/>
      <c r="AN541" s="571"/>
      <c r="AO541" s="571"/>
    </row>
    <row r="542">
      <c r="G542" s="571"/>
      <c r="H542" s="571"/>
      <c r="I542" s="571"/>
      <c r="J542" s="571"/>
      <c r="K542" s="571"/>
      <c r="L542" s="571"/>
      <c r="M542" s="571"/>
      <c r="N542" s="571"/>
      <c r="O542" s="571"/>
      <c r="P542" s="571"/>
      <c r="Q542" s="571"/>
      <c r="R542" s="571"/>
      <c r="S542" s="571"/>
      <c r="T542" s="571"/>
      <c r="U542" s="571"/>
      <c r="V542" s="571"/>
      <c r="W542" s="571"/>
      <c r="X542" s="571"/>
      <c r="Y542" s="571"/>
      <c r="Z542" s="571"/>
      <c r="AA542" s="571"/>
      <c r="AB542" s="571"/>
      <c r="AC542" s="571"/>
      <c r="AD542" s="571"/>
      <c r="AE542" s="571"/>
      <c r="AF542" s="571"/>
      <c r="AG542" s="571"/>
      <c r="AH542" s="571"/>
      <c r="AI542" s="571"/>
      <c r="AJ542" s="571"/>
      <c r="AK542" s="571"/>
      <c r="AL542" s="571"/>
      <c r="AM542" s="571"/>
      <c r="AN542" s="571"/>
      <c r="AO542" s="571"/>
    </row>
    <row r="543">
      <c r="G543" s="571"/>
      <c r="H543" s="571"/>
      <c r="I543" s="571"/>
      <c r="J543" s="571"/>
      <c r="K543" s="571"/>
      <c r="L543" s="571"/>
      <c r="M543" s="571"/>
      <c r="N543" s="571"/>
      <c r="O543" s="571"/>
      <c r="P543" s="571"/>
      <c r="Q543" s="571"/>
      <c r="R543" s="571"/>
      <c r="S543" s="571"/>
      <c r="T543" s="571"/>
      <c r="U543" s="571"/>
      <c r="V543" s="571"/>
      <c r="W543" s="571"/>
      <c r="X543" s="571"/>
      <c r="Y543" s="571"/>
      <c r="Z543" s="571"/>
      <c r="AA543" s="571"/>
      <c r="AB543" s="571"/>
      <c r="AC543" s="571"/>
      <c r="AD543" s="571"/>
      <c r="AE543" s="571"/>
      <c r="AF543" s="571"/>
      <c r="AG543" s="571"/>
      <c r="AH543" s="571"/>
      <c r="AI543" s="571"/>
      <c r="AJ543" s="571"/>
      <c r="AK543" s="571"/>
      <c r="AL543" s="571"/>
      <c r="AM543" s="571"/>
      <c r="AN543" s="571"/>
      <c r="AO543" s="571"/>
    </row>
    <row r="544">
      <c r="G544" s="571"/>
      <c r="H544" s="571"/>
      <c r="I544" s="571"/>
      <c r="J544" s="571"/>
      <c r="K544" s="571"/>
      <c r="L544" s="571"/>
      <c r="M544" s="571"/>
      <c r="N544" s="571"/>
      <c r="O544" s="571"/>
      <c r="P544" s="571"/>
      <c r="Q544" s="571"/>
      <c r="R544" s="571"/>
      <c r="S544" s="571"/>
      <c r="T544" s="571"/>
      <c r="U544" s="571"/>
      <c r="V544" s="571"/>
      <c r="W544" s="571"/>
      <c r="X544" s="571"/>
      <c r="Y544" s="571"/>
      <c r="Z544" s="571"/>
      <c r="AA544" s="571"/>
      <c r="AB544" s="571"/>
      <c r="AC544" s="571"/>
      <c r="AD544" s="571"/>
      <c r="AE544" s="571"/>
      <c r="AF544" s="571"/>
      <c r="AG544" s="571"/>
      <c r="AH544" s="571"/>
      <c r="AI544" s="571"/>
      <c r="AJ544" s="571"/>
      <c r="AK544" s="571"/>
      <c r="AL544" s="571"/>
      <c r="AM544" s="571"/>
      <c r="AN544" s="571"/>
      <c r="AO544" s="571"/>
    </row>
    <row r="545">
      <c r="G545" s="571"/>
      <c r="H545" s="571"/>
      <c r="I545" s="571"/>
      <c r="J545" s="571"/>
      <c r="K545" s="571"/>
      <c r="L545" s="571"/>
      <c r="M545" s="571"/>
      <c r="N545" s="571"/>
      <c r="O545" s="571"/>
      <c r="P545" s="571"/>
      <c r="Q545" s="571"/>
      <c r="R545" s="571"/>
      <c r="S545" s="571"/>
      <c r="T545" s="571"/>
      <c r="U545" s="571"/>
      <c r="V545" s="571"/>
      <c r="W545" s="571"/>
      <c r="X545" s="571"/>
      <c r="Y545" s="571"/>
      <c r="Z545" s="571"/>
      <c r="AA545" s="571"/>
      <c r="AB545" s="571"/>
      <c r="AC545" s="571"/>
      <c r="AD545" s="571"/>
      <c r="AE545" s="571"/>
      <c r="AF545" s="571"/>
      <c r="AG545" s="571"/>
      <c r="AH545" s="571"/>
      <c r="AI545" s="571"/>
      <c r="AJ545" s="571"/>
      <c r="AK545" s="571"/>
      <c r="AL545" s="571"/>
      <c r="AM545" s="571"/>
      <c r="AN545" s="571"/>
      <c r="AO545" s="571"/>
    </row>
    <row r="546">
      <c r="G546" s="571"/>
      <c r="H546" s="571"/>
      <c r="I546" s="571"/>
      <c r="J546" s="571"/>
      <c r="K546" s="571"/>
      <c r="L546" s="571"/>
      <c r="M546" s="571"/>
      <c r="N546" s="571"/>
      <c r="O546" s="571"/>
      <c r="P546" s="571"/>
      <c r="Q546" s="571"/>
      <c r="R546" s="571"/>
      <c r="S546" s="571"/>
      <c r="T546" s="571"/>
      <c r="U546" s="571"/>
      <c r="V546" s="571"/>
      <c r="W546" s="571"/>
      <c r="X546" s="571"/>
      <c r="Y546" s="571"/>
      <c r="Z546" s="571"/>
      <c r="AA546" s="571"/>
      <c r="AB546" s="571"/>
      <c r="AC546" s="571"/>
      <c r="AD546" s="571"/>
      <c r="AE546" s="571"/>
      <c r="AF546" s="571"/>
      <c r="AG546" s="571"/>
      <c r="AH546" s="571"/>
      <c r="AI546" s="571"/>
      <c r="AJ546" s="571"/>
      <c r="AK546" s="571"/>
      <c r="AL546" s="571"/>
      <c r="AM546" s="571"/>
      <c r="AN546" s="571"/>
      <c r="AO546" s="571"/>
    </row>
    <row r="547">
      <c r="G547" s="571"/>
      <c r="H547" s="571"/>
      <c r="I547" s="571"/>
      <c r="J547" s="571"/>
      <c r="K547" s="571"/>
      <c r="L547" s="571"/>
      <c r="M547" s="571"/>
      <c r="N547" s="571"/>
      <c r="O547" s="571"/>
      <c r="P547" s="571"/>
      <c r="Q547" s="571"/>
      <c r="R547" s="571"/>
      <c r="S547" s="571"/>
      <c r="T547" s="571"/>
      <c r="U547" s="571"/>
      <c r="V547" s="571"/>
      <c r="W547" s="571"/>
      <c r="X547" s="571"/>
      <c r="Y547" s="571"/>
      <c r="Z547" s="571"/>
      <c r="AA547" s="571"/>
      <c r="AB547" s="571"/>
      <c r="AC547" s="571"/>
      <c r="AD547" s="571"/>
      <c r="AE547" s="571"/>
      <c r="AF547" s="571"/>
      <c r="AG547" s="571"/>
      <c r="AH547" s="571"/>
      <c r="AI547" s="571"/>
      <c r="AJ547" s="571"/>
      <c r="AK547" s="571"/>
      <c r="AL547" s="571"/>
      <c r="AM547" s="571"/>
      <c r="AN547" s="571"/>
      <c r="AO547" s="571"/>
    </row>
    <row r="548">
      <c r="G548" s="571"/>
      <c r="H548" s="571"/>
      <c r="I548" s="571"/>
      <c r="J548" s="571"/>
      <c r="K548" s="571"/>
      <c r="L548" s="571"/>
      <c r="M548" s="571"/>
      <c r="N548" s="571"/>
      <c r="O548" s="571"/>
      <c r="P548" s="571"/>
      <c r="Q548" s="571"/>
      <c r="R548" s="571"/>
      <c r="S548" s="571"/>
      <c r="T548" s="571"/>
      <c r="U548" s="571"/>
      <c r="V548" s="571"/>
      <c r="W548" s="571"/>
      <c r="X548" s="571"/>
      <c r="Y548" s="571"/>
      <c r="Z548" s="571"/>
      <c r="AA548" s="571"/>
      <c r="AB548" s="571"/>
      <c r="AC548" s="571"/>
      <c r="AD548" s="571"/>
      <c r="AE548" s="571"/>
      <c r="AF548" s="571"/>
      <c r="AG548" s="571"/>
      <c r="AH548" s="571"/>
      <c r="AI548" s="571"/>
      <c r="AJ548" s="571"/>
      <c r="AK548" s="571"/>
      <c r="AL548" s="571"/>
      <c r="AM548" s="571"/>
      <c r="AN548" s="571"/>
      <c r="AO548" s="571"/>
    </row>
    <row r="549">
      <c r="G549" s="571"/>
      <c r="H549" s="571"/>
      <c r="I549" s="571"/>
      <c r="J549" s="571"/>
      <c r="K549" s="571"/>
      <c r="L549" s="571"/>
      <c r="M549" s="571"/>
      <c r="N549" s="571"/>
      <c r="O549" s="571"/>
      <c r="P549" s="571"/>
      <c r="Q549" s="571"/>
      <c r="R549" s="571"/>
      <c r="S549" s="571"/>
      <c r="T549" s="571"/>
      <c r="U549" s="571"/>
      <c r="V549" s="571"/>
      <c r="W549" s="571"/>
      <c r="X549" s="571"/>
      <c r="Y549" s="571"/>
      <c r="Z549" s="571"/>
      <c r="AA549" s="571"/>
      <c r="AB549" s="571"/>
      <c r="AC549" s="571"/>
      <c r="AD549" s="571"/>
      <c r="AE549" s="571"/>
      <c r="AF549" s="571"/>
      <c r="AG549" s="571"/>
      <c r="AH549" s="571"/>
      <c r="AI549" s="571"/>
      <c r="AJ549" s="571"/>
      <c r="AK549" s="571"/>
      <c r="AL549" s="571"/>
      <c r="AM549" s="571"/>
      <c r="AN549" s="571"/>
      <c r="AO549" s="571"/>
    </row>
    <row r="550">
      <c r="G550" s="571"/>
      <c r="H550" s="571"/>
      <c r="I550" s="571"/>
      <c r="J550" s="571"/>
      <c r="K550" s="571"/>
      <c r="L550" s="571"/>
      <c r="M550" s="571"/>
      <c r="N550" s="571"/>
      <c r="O550" s="571"/>
      <c r="P550" s="571"/>
      <c r="Q550" s="571"/>
      <c r="R550" s="571"/>
      <c r="S550" s="571"/>
      <c r="T550" s="571"/>
      <c r="U550" s="571"/>
      <c r="V550" s="571"/>
      <c r="W550" s="571"/>
      <c r="X550" s="571"/>
      <c r="Y550" s="571"/>
      <c r="Z550" s="571"/>
      <c r="AA550" s="571"/>
      <c r="AB550" s="571"/>
      <c r="AC550" s="571"/>
      <c r="AD550" s="571"/>
      <c r="AE550" s="571"/>
      <c r="AF550" s="571"/>
      <c r="AG550" s="571"/>
      <c r="AH550" s="571"/>
      <c r="AI550" s="571"/>
      <c r="AJ550" s="571"/>
      <c r="AK550" s="571"/>
      <c r="AL550" s="571"/>
      <c r="AM550" s="571"/>
      <c r="AN550" s="571"/>
      <c r="AO550" s="571"/>
    </row>
    <row r="551">
      <c r="G551" s="571"/>
      <c r="H551" s="571"/>
      <c r="I551" s="571"/>
      <c r="J551" s="571"/>
      <c r="K551" s="571"/>
      <c r="L551" s="571"/>
      <c r="M551" s="571"/>
      <c r="N551" s="571"/>
      <c r="O551" s="571"/>
      <c r="P551" s="571"/>
      <c r="Q551" s="571"/>
      <c r="R551" s="571"/>
      <c r="S551" s="571"/>
      <c r="T551" s="571"/>
      <c r="U551" s="571"/>
      <c r="V551" s="571"/>
      <c r="W551" s="571"/>
      <c r="X551" s="571"/>
      <c r="Y551" s="571"/>
      <c r="Z551" s="571"/>
      <c r="AA551" s="571"/>
      <c r="AB551" s="571"/>
      <c r="AC551" s="571"/>
      <c r="AD551" s="571"/>
      <c r="AE551" s="571"/>
      <c r="AF551" s="571"/>
      <c r="AG551" s="571"/>
      <c r="AH551" s="571"/>
      <c r="AI551" s="571"/>
      <c r="AJ551" s="571"/>
      <c r="AK551" s="571"/>
      <c r="AL551" s="571"/>
      <c r="AM551" s="571"/>
      <c r="AN551" s="571"/>
      <c r="AO551" s="571"/>
    </row>
    <row r="552">
      <c r="G552" s="571"/>
      <c r="H552" s="571"/>
      <c r="I552" s="571"/>
      <c r="J552" s="571"/>
      <c r="K552" s="571"/>
      <c r="L552" s="571"/>
      <c r="M552" s="571"/>
      <c r="N552" s="571"/>
      <c r="O552" s="571"/>
      <c r="P552" s="571"/>
      <c r="Q552" s="571"/>
      <c r="R552" s="571"/>
      <c r="S552" s="571"/>
      <c r="T552" s="571"/>
      <c r="U552" s="571"/>
      <c r="V552" s="571"/>
      <c r="W552" s="571"/>
      <c r="X552" s="571"/>
      <c r="Y552" s="571"/>
      <c r="Z552" s="571"/>
      <c r="AA552" s="571"/>
      <c r="AB552" s="571"/>
      <c r="AC552" s="571"/>
      <c r="AD552" s="571"/>
      <c r="AE552" s="571"/>
      <c r="AF552" s="571"/>
      <c r="AG552" s="571"/>
      <c r="AH552" s="571"/>
      <c r="AI552" s="571"/>
      <c r="AJ552" s="571"/>
      <c r="AK552" s="571"/>
      <c r="AL552" s="571"/>
      <c r="AM552" s="571"/>
      <c r="AN552" s="571"/>
      <c r="AO552" s="571"/>
    </row>
    <row r="553">
      <c r="G553" s="571"/>
      <c r="H553" s="571"/>
      <c r="I553" s="571"/>
      <c r="J553" s="571"/>
      <c r="K553" s="571"/>
      <c r="L553" s="571"/>
      <c r="M553" s="571"/>
      <c r="N553" s="571"/>
      <c r="O553" s="571"/>
      <c r="P553" s="571"/>
      <c r="Q553" s="571"/>
      <c r="R553" s="571"/>
      <c r="S553" s="571"/>
      <c r="T553" s="571"/>
      <c r="U553" s="571"/>
      <c r="V553" s="571"/>
      <c r="W553" s="571"/>
      <c r="X553" s="571"/>
      <c r="Y553" s="571"/>
      <c r="Z553" s="571"/>
      <c r="AA553" s="571"/>
      <c r="AB553" s="571"/>
      <c r="AC553" s="571"/>
      <c r="AD553" s="571"/>
      <c r="AE553" s="571"/>
      <c r="AF553" s="571"/>
      <c r="AG553" s="571"/>
      <c r="AH553" s="571"/>
      <c r="AI553" s="571"/>
      <c r="AJ553" s="571"/>
      <c r="AK553" s="571"/>
      <c r="AL553" s="571"/>
      <c r="AM553" s="571"/>
      <c r="AN553" s="571"/>
      <c r="AO553" s="571"/>
    </row>
    <row r="554">
      <c r="G554" s="571"/>
      <c r="H554" s="571"/>
      <c r="I554" s="571"/>
      <c r="J554" s="571"/>
      <c r="K554" s="571"/>
      <c r="L554" s="571"/>
      <c r="M554" s="571"/>
      <c r="N554" s="571"/>
      <c r="O554" s="571"/>
      <c r="P554" s="571"/>
      <c r="Q554" s="571"/>
      <c r="R554" s="571"/>
      <c r="S554" s="571"/>
      <c r="T554" s="571"/>
      <c r="U554" s="571"/>
      <c r="V554" s="571"/>
      <c r="W554" s="571"/>
      <c r="X554" s="571"/>
      <c r="Y554" s="571"/>
      <c r="Z554" s="571"/>
      <c r="AA554" s="571"/>
      <c r="AB554" s="571"/>
      <c r="AC554" s="571"/>
      <c r="AD554" s="571"/>
      <c r="AE554" s="571"/>
      <c r="AF554" s="571"/>
      <c r="AG554" s="571"/>
      <c r="AH554" s="571"/>
      <c r="AI554" s="571"/>
      <c r="AJ554" s="571"/>
      <c r="AK554" s="571"/>
      <c r="AL554" s="571"/>
      <c r="AM554" s="571"/>
      <c r="AN554" s="571"/>
      <c r="AO554" s="571"/>
    </row>
    <row r="555">
      <c r="G555" s="571"/>
      <c r="H555" s="571"/>
      <c r="I555" s="571"/>
      <c r="J555" s="571"/>
      <c r="K555" s="571"/>
      <c r="L555" s="571"/>
      <c r="M555" s="571"/>
      <c r="N555" s="571"/>
      <c r="O555" s="571"/>
      <c r="P555" s="571"/>
      <c r="Q555" s="571"/>
      <c r="R555" s="571"/>
      <c r="S555" s="571"/>
      <c r="T555" s="571"/>
      <c r="U555" s="571"/>
      <c r="V555" s="571"/>
      <c r="W555" s="571"/>
      <c r="X555" s="571"/>
      <c r="Y555" s="571"/>
      <c r="Z555" s="571"/>
      <c r="AA555" s="571"/>
      <c r="AB555" s="571"/>
      <c r="AC555" s="571"/>
      <c r="AD555" s="571"/>
      <c r="AE555" s="571"/>
      <c r="AF555" s="571"/>
      <c r="AG555" s="571"/>
      <c r="AH555" s="571"/>
      <c r="AI555" s="571"/>
      <c r="AJ555" s="571"/>
      <c r="AK555" s="571"/>
      <c r="AL555" s="571"/>
      <c r="AM555" s="571"/>
      <c r="AN555" s="571"/>
      <c r="AO555" s="571"/>
    </row>
    <row r="556">
      <c r="G556" s="571"/>
      <c r="H556" s="571"/>
      <c r="I556" s="571"/>
      <c r="J556" s="571"/>
      <c r="K556" s="571"/>
      <c r="L556" s="571"/>
      <c r="M556" s="571"/>
      <c r="N556" s="571"/>
      <c r="O556" s="571"/>
      <c r="P556" s="571"/>
      <c r="Q556" s="571"/>
      <c r="R556" s="571"/>
      <c r="S556" s="571"/>
      <c r="T556" s="571"/>
      <c r="U556" s="571"/>
      <c r="V556" s="571"/>
      <c r="W556" s="571"/>
      <c r="X556" s="571"/>
      <c r="Y556" s="571"/>
      <c r="Z556" s="571"/>
      <c r="AA556" s="571"/>
      <c r="AB556" s="571"/>
      <c r="AC556" s="571"/>
      <c r="AD556" s="571"/>
      <c r="AE556" s="571"/>
      <c r="AF556" s="571"/>
      <c r="AG556" s="571"/>
      <c r="AH556" s="571"/>
      <c r="AI556" s="571"/>
      <c r="AJ556" s="571"/>
      <c r="AK556" s="571"/>
      <c r="AL556" s="571"/>
      <c r="AM556" s="571"/>
      <c r="AN556" s="571"/>
      <c r="AO556" s="571"/>
    </row>
    <row r="557">
      <c r="G557" s="571"/>
      <c r="H557" s="571"/>
      <c r="I557" s="571"/>
      <c r="J557" s="571"/>
      <c r="K557" s="571"/>
      <c r="L557" s="571"/>
      <c r="M557" s="571"/>
      <c r="N557" s="571"/>
      <c r="O557" s="571"/>
      <c r="P557" s="571"/>
      <c r="Q557" s="571"/>
      <c r="R557" s="571"/>
      <c r="S557" s="571"/>
      <c r="T557" s="571"/>
      <c r="U557" s="571"/>
      <c r="V557" s="571"/>
      <c r="W557" s="571"/>
      <c r="X557" s="571"/>
      <c r="Y557" s="571"/>
      <c r="Z557" s="571"/>
      <c r="AA557" s="571"/>
      <c r="AB557" s="571"/>
      <c r="AC557" s="571"/>
      <c r="AD557" s="571"/>
      <c r="AE557" s="571"/>
      <c r="AF557" s="571"/>
      <c r="AG557" s="571"/>
      <c r="AH557" s="571"/>
      <c r="AI557" s="571"/>
      <c r="AJ557" s="571"/>
      <c r="AK557" s="571"/>
      <c r="AL557" s="571"/>
      <c r="AM557" s="571"/>
      <c r="AN557" s="571"/>
      <c r="AO557" s="571"/>
    </row>
    <row r="558">
      <c r="G558" s="571"/>
      <c r="H558" s="571"/>
      <c r="I558" s="571"/>
      <c r="J558" s="571"/>
      <c r="K558" s="571"/>
      <c r="L558" s="571"/>
      <c r="M558" s="571"/>
      <c r="N558" s="571"/>
      <c r="O558" s="571"/>
      <c r="P558" s="571"/>
      <c r="Q558" s="571"/>
      <c r="R558" s="571"/>
      <c r="S558" s="571"/>
      <c r="T558" s="571"/>
      <c r="U558" s="571"/>
      <c r="V558" s="571"/>
      <c r="W558" s="571"/>
      <c r="X558" s="571"/>
      <c r="Y558" s="571"/>
      <c r="Z558" s="571"/>
      <c r="AA558" s="571"/>
      <c r="AB558" s="571"/>
      <c r="AC558" s="571"/>
      <c r="AD558" s="571"/>
      <c r="AE558" s="571"/>
      <c r="AF558" s="571"/>
      <c r="AG558" s="571"/>
      <c r="AH558" s="571"/>
      <c r="AI558" s="571"/>
      <c r="AJ558" s="571"/>
      <c r="AK558" s="571"/>
      <c r="AL558" s="571"/>
      <c r="AM558" s="571"/>
      <c r="AN558" s="571"/>
      <c r="AO558" s="571"/>
    </row>
    <row r="559">
      <c r="G559" s="571"/>
      <c r="H559" s="571"/>
      <c r="I559" s="571"/>
      <c r="J559" s="571"/>
      <c r="K559" s="571"/>
      <c r="L559" s="571"/>
      <c r="M559" s="571"/>
      <c r="N559" s="571"/>
      <c r="O559" s="571"/>
      <c r="P559" s="571"/>
      <c r="Q559" s="571"/>
      <c r="R559" s="571"/>
      <c r="S559" s="571"/>
      <c r="T559" s="571"/>
      <c r="U559" s="571"/>
      <c r="V559" s="571"/>
      <c r="W559" s="571"/>
      <c r="X559" s="571"/>
      <c r="Y559" s="571"/>
      <c r="Z559" s="571"/>
      <c r="AA559" s="571"/>
      <c r="AB559" s="571"/>
      <c r="AC559" s="571"/>
      <c r="AD559" s="571"/>
      <c r="AE559" s="571"/>
      <c r="AF559" s="571"/>
      <c r="AG559" s="571"/>
      <c r="AH559" s="571"/>
      <c r="AI559" s="571"/>
      <c r="AJ559" s="571"/>
      <c r="AK559" s="571"/>
      <c r="AL559" s="571"/>
      <c r="AM559" s="571"/>
      <c r="AN559" s="571"/>
      <c r="AO559" s="571"/>
    </row>
    <row r="560">
      <c r="G560" s="571"/>
      <c r="H560" s="571"/>
      <c r="I560" s="571"/>
      <c r="J560" s="571"/>
      <c r="K560" s="571"/>
      <c r="L560" s="571"/>
      <c r="M560" s="571"/>
      <c r="N560" s="571"/>
      <c r="O560" s="571"/>
      <c r="P560" s="571"/>
      <c r="Q560" s="571"/>
      <c r="R560" s="571"/>
      <c r="S560" s="571"/>
      <c r="T560" s="571"/>
      <c r="U560" s="571"/>
      <c r="V560" s="571"/>
      <c r="W560" s="571"/>
      <c r="X560" s="571"/>
      <c r="Y560" s="571"/>
      <c r="Z560" s="571"/>
      <c r="AA560" s="571"/>
      <c r="AB560" s="571"/>
      <c r="AC560" s="571"/>
      <c r="AD560" s="571"/>
      <c r="AE560" s="571"/>
      <c r="AF560" s="571"/>
      <c r="AG560" s="571"/>
      <c r="AH560" s="571"/>
      <c r="AI560" s="571"/>
      <c r="AJ560" s="571"/>
      <c r="AK560" s="571"/>
      <c r="AL560" s="571"/>
      <c r="AM560" s="571"/>
      <c r="AN560" s="571"/>
      <c r="AO560" s="571"/>
    </row>
    <row r="561">
      <c r="G561" s="571"/>
      <c r="H561" s="571"/>
      <c r="I561" s="571"/>
      <c r="J561" s="571"/>
      <c r="K561" s="571"/>
      <c r="L561" s="571"/>
      <c r="M561" s="571"/>
      <c r="N561" s="571"/>
      <c r="O561" s="571"/>
      <c r="P561" s="571"/>
      <c r="Q561" s="571"/>
      <c r="R561" s="571"/>
      <c r="S561" s="571"/>
      <c r="T561" s="571"/>
      <c r="U561" s="571"/>
      <c r="V561" s="571"/>
      <c r="W561" s="571"/>
      <c r="X561" s="571"/>
      <c r="Y561" s="571"/>
      <c r="Z561" s="571"/>
      <c r="AA561" s="571"/>
      <c r="AB561" s="571"/>
      <c r="AC561" s="571"/>
      <c r="AD561" s="571"/>
      <c r="AE561" s="571"/>
      <c r="AF561" s="571"/>
      <c r="AG561" s="571"/>
      <c r="AH561" s="571"/>
      <c r="AI561" s="571"/>
      <c r="AJ561" s="571"/>
      <c r="AK561" s="571"/>
      <c r="AL561" s="571"/>
      <c r="AM561" s="571"/>
      <c r="AN561" s="571"/>
      <c r="AO561" s="571"/>
    </row>
    <row r="562">
      <c r="G562" s="571"/>
      <c r="H562" s="571"/>
      <c r="I562" s="571"/>
      <c r="J562" s="571"/>
      <c r="K562" s="571"/>
      <c r="L562" s="571"/>
      <c r="M562" s="571"/>
      <c r="N562" s="571"/>
      <c r="O562" s="571"/>
      <c r="P562" s="571"/>
      <c r="Q562" s="571"/>
      <c r="R562" s="571"/>
      <c r="S562" s="571"/>
      <c r="T562" s="571"/>
      <c r="U562" s="571"/>
      <c r="V562" s="571"/>
      <c r="W562" s="571"/>
      <c r="X562" s="571"/>
      <c r="Y562" s="571"/>
      <c r="Z562" s="571"/>
      <c r="AA562" s="571"/>
      <c r="AB562" s="571"/>
      <c r="AC562" s="571"/>
      <c r="AD562" s="571"/>
      <c r="AE562" s="571"/>
      <c r="AF562" s="571"/>
      <c r="AG562" s="571"/>
      <c r="AH562" s="571"/>
      <c r="AI562" s="571"/>
      <c r="AJ562" s="571"/>
      <c r="AK562" s="571"/>
      <c r="AL562" s="571"/>
      <c r="AM562" s="571"/>
      <c r="AN562" s="571"/>
      <c r="AO562" s="571"/>
    </row>
    <row r="563">
      <c r="G563" s="571"/>
      <c r="H563" s="571"/>
      <c r="I563" s="571"/>
      <c r="J563" s="571"/>
      <c r="K563" s="571"/>
      <c r="L563" s="571"/>
      <c r="M563" s="571"/>
      <c r="N563" s="571"/>
      <c r="O563" s="571"/>
      <c r="P563" s="571"/>
      <c r="Q563" s="571"/>
      <c r="R563" s="571"/>
      <c r="S563" s="571"/>
      <c r="T563" s="571"/>
      <c r="U563" s="571"/>
      <c r="V563" s="571"/>
      <c r="W563" s="571"/>
      <c r="X563" s="571"/>
      <c r="Y563" s="571"/>
      <c r="Z563" s="571"/>
      <c r="AA563" s="571"/>
      <c r="AB563" s="571"/>
      <c r="AC563" s="571"/>
      <c r="AD563" s="571"/>
      <c r="AE563" s="571"/>
      <c r="AF563" s="571"/>
      <c r="AG563" s="571"/>
      <c r="AH563" s="571"/>
      <c r="AI563" s="571"/>
      <c r="AJ563" s="571"/>
      <c r="AK563" s="571"/>
      <c r="AL563" s="571"/>
      <c r="AM563" s="571"/>
      <c r="AN563" s="571"/>
      <c r="AO563" s="571"/>
    </row>
    <row r="564">
      <c r="G564" s="571"/>
      <c r="H564" s="571"/>
      <c r="I564" s="571"/>
      <c r="J564" s="571"/>
      <c r="K564" s="571"/>
      <c r="L564" s="571"/>
      <c r="M564" s="571"/>
      <c r="N564" s="571"/>
      <c r="O564" s="571"/>
      <c r="P564" s="571"/>
      <c r="Q564" s="571"/>
      <c r="R564" s="571"/>
      <c r="S564" s="571"/>
      <c r="T564" s="571"/>
      <c r="U564" s="571"/>
      <c r="V564" s="571"/>
      <c r="W564" s="571"/>
      <c r="X564" s="571"/>
      <c r="Y564" s="571"/>
      <c r="Z564" s="571"/>
      <c r="AA564" s="571"/>
      <c r="AB564" s="571"/>
      <c r="AC564" s="571"/>
      <c r="AD564" s="571"/>
      <c r="AE564" s="571"/>
      <c r="AF564" s="571"/>
      <c r="AG564" s="571"/>
      <c r="AH564" s="571"/>
      <c r="AI564" s="571"/>
      <c r="AJ564" s="571"/>
      <c r="AK564" s="571"/>
      <c r="AL564" s="571"/>
      <c r="AM564" s="571"/>
      <c r="AN564" s="571"/>
      <c r="AO564" s="571"/>
    </row>
    <row r="565">
      <c r="G565" s="571"/>
      <c r="H565" s="571"/>
      <c r="I565" s="571"/>
      <c r="J565" s="571"/>
      <c r="K565" s="571"/>
      <c r="L565" s="571"/>
      <c r="M565" s="571"/>
      <c r="N565" s="571"/>
      <c r="O565" s="571"/>
      <c r="P565" s="571"/>
      <c r="Q565" s="571"/>
      <c r="R565" s="571"/>
      <c r="S565" s="571"/>
      <c r="T565" s="571"/>
      <c r="U565" s="571"/>
      <c r="V565" s="571"/>
      <c r="W565" s="571"/>
      <c r="X565" s="571"/>
      <c r="Y565" s="571"/>
      <c r="Z565" s="571"/>
      <c r="AA565" s="571"/>
      <c r="AB565" s="571"/>
      <c r="AC565" s="571"/>
      <c r="AD565" s="571"/>
      <c r="AE565" s="571"/>
      <c r="AF565" s="571"/>
      <c r="AG565" s="571"/>
      <c r="AH565" s="571"/>
      <c r="AI565" s="571"/>
      <c r="AJ565" s="571"/>
      <c r="AK565" s="571"/>
      <c r="AL565" s="571"/>
      <c r="AM565" s="571"/>
      <c r="AN565" s="571"/>
      <c r="AO565" s="571"/>
    </row>
    <row r="566">
      <c r="G566" s="571"/>
      <c r="H566" s="571"/>
      <c r="I566" s="571"/>
      <c r="J566" s="571"/>
      <c r="K566" s="571"/>
      <c r="L566" s="571"/>
      <c r="M566" s="571"/>
      <c r="N566" s="571"/>
      <c r="O566" s="571"/>
      <c r="P566" s="571"/>
      <c r="Q566" s="571"/>
      <c r="R566" s="571"/>
      <c r="S566" s="571"/>
      <c r="T566" s="571"/>
      <c r="U566" s="571"/>
      <c r="V566" s="571"/>
      <c r="W566" s="571"/>
      <c r="X566" s="571"/>
      <c r="Y566" s="571"/>
      <c r="Z566" s="571"/>
      <c r="AA566" s="571"/>
      <c r="AB566" s="571"/>
      <c r="AC566" s="571"/>
      <c r="AD566" s="571"/>
      <c r="AE566" s="571"/>
      <c r="AF566" s="571"/>
      <c r="AG566" s="571"/>
      <c r="AH566" s="571"/>
      <c r="AI566" s="571"/>
      <c r="AJ566" s="571"/>
      <c r="AK566" s="571"/>
      <c r="AL566" s="571"/>
      <c r="AM566" s="571"/>
      <c r="AN566" s="571"/>
      <c r="AO566" s="571"/>
    </row>
    <row r="567">
      <c r="G567" s="571"/>
      <c r="H567" s="571"/>
      <c r="I567" s="571"/>
      <c r="J567" s="571"/>
      <c r="K567" s="571"/>
      <c r="L567" s="571"/>
      <c r="M567" s="571"/>
      <c r="N567" s="571"/>
      <c r="O567" s="571"/>
      <c r="P567" s="571"/>
      <c r="Q567" s="571"/>
      <c r="R567" s="571"/>
      <c r="S567" s="571"/>
      <c r="T567" s="571"/>
      <c r="U567" s="571"/>
      <c r="V567" s="571"/>
      <c r="W567" s="571"/>
      <c r="X567" s="571"/>
      <c r="Y567" s="571"/>
      <c r="Z567" s="571"/>
      <c r="AA567" s="571"/>
      <c r="AB567" s="571"/>
      <c r="AC567" s="571"/>
      <c r="AD567" s="571"/>
      <c r="AE567" s="571"/>
      <c r="AF567" s="571"/>
      <c r="AG567" s="571"/>
      <c r="AH567" s="571"/>
      <c r="AI567" s="571"/>
      <c r="AJ567" s="571"/>
      <c r="AK567" s="571"/>
      <c r="AL567" s="571"/>
      <c r="AM567" s="571"/>
      <c r="AN567" s="571"/>
      <c r="AO567" s="571"/>
    </row>
    <row r="568">
      <c r="G568" s="571"/>
      <c r="H568" s="571"/>
      <c r="I568" s="571"/>
      <c r="J568" s="571"/>
      <c r="K568" s="571"/>
      <c r="L568" s="571"/>
      <c r="M568" s="571"/>
      <c r="N568" s="571"/>
      <c r="O568" s="571"/>
      <c r="P568" s="571"/>
      <c r="Q568" s="571"/>
      <c r="R568" s="571"/>
      <c r="S568" s="571"/>
      <c r="T568" s="571"/>
      <c r="U568" s="571"/>
      <c r="V568" s="571"/>
      <c r="W568" s="571"/>
      <c r="X568" s="571"/>
      <c r="Y568" s="571"/>
      <c r="Z568" s="571"/>
      <c r="AA568" s="571"/>
      <c r="AB568" s="571"/>
      <c r="AC568" s="571"/>
      <c r="AD568" s="571"/>
      <c r="AE568" s="571"/>
      <c r="AF568" s="571"/>
      <c r="AG568" s="571"/>
      <c r="AH568" s="571"/>
      <c r="AI568" s="571"/>
      <c r="AJ568" s="571"/>
      <c r="AK568" s="571"/>
      <c r="AL568" s="571"/>
      <c r="AM568" s="571"/>
      <c r="AN568" s="571"/>
      <c r="AO568" s="571"/>
    </row>
    <row r="569">
      <c r="G569" s="571"/>
      <c r="H569" s="571"/>
      <c r="I569" s="571"/>
      <c r="J569" s="571"/>
      <c r="K569" s="571"/>
      <c r="L569" s="571"/>
      <c r="M569" s="571"/>
      <c r="N569" s="571"/>
      <c r="O569" s="571"/>
      <c r="P569" s="571"/>
      <c r="Q569" s="571"/>
      <c r="R569" s="571"/>
      <c r="S569" s="571"/>
      <c r="T569" s="571"/>
      <c r="U569" s="571"/>
      <c r="V569" s="571"/>
      <c r="W569" s="571"/>
      <c r="X569" s="571"/>
      <c r="Y569" s="571"/>
      <c r="Z569" s="571"/>
      <c r="AA569" s="571"/>
      <c r="AB569" s="571"/>
      <c r="AC569" s="571"/>
      <c r="AD569" s="571"/>
      <c r="AE569" s="571"/>
      <c r="AF569" s="571"/>
      <c r="AG569" s="571"/>
      <c r="AH569" s="571"/>
      <c r="AI569" s="571"/>
      <c r="AJ569" s="571"/>
      <c r="AK569" s="571"/>
      <c r="AL569" s="571"/>
      <c r="AM569" s="571"/>
      <c r="AN569" s="571"/>
      <c r="AO569" s="571"/>
    </row>
    <row r="570">
      <c r="G570" s="571"/>
      <c r="H570" s="571"/>
      <c r="I570" s="571"/>
      <c r="J570" s="571"/>
      <c r="K570" s="571"/>
      <c r="L570" s="571"/>
      <c r="M570" s="571"/>
      <c r="N570" s="571"/>
      <c r="O570" s="571"/>
      <c r="P570" s="571"/>
      <c r="Q570" s="571"/>
      <c r="R570" s="571"/>
      <c r="S570" s="571"/>
      <c r="T570" s="571"/>
      <c r="U570" s="571"/>
      <c r="V570" s="571"/>
      <c r="W570" s="571"/>
      <c r="X570" s="571"/>
      <c r="Y570" s="571"/>
      <c r="Z570" s="571"/>
      <c r="AA570" s="571"/>
      <c r="AB570" s="571"/>
      <c r="AC570" s="571"/>
      <c r="AD570" s="571"/>
      <c r="AE570" s="571"/>
      <c r="AF570" s="571"/>
      <c r="AG570" s="571"/>
      <c r="AH570" s="571"/>
      <c r="AI570" s="571"/>
      <c r="AJ570" s="571"/>
      <c r="AK570" s="571"/>
      <c r="AL570" s="571"/>
      <c r="AM570" s="571"/>
      <c r="AN570" s="571"/>
      <c r="AO570" s="571"/>
    </row>
    <row r="571">
      <c r="G571" s="571"/>
      <c r="H571" s="571"/>
      <c r="I571" s="571"/>
      <c r="J571" s="571"/>
      <c r="K571" s="571"/>
      <c r="L571" s="571"/>
      <c r="M571" s="571"/>
      <c r="N571" s="571"/>
      <c r="O571" s="571"/>
      <c r="P571" s="571"/>
      <c r="Q571" s="571"/>
      <c r="R571" s="571"/>
      <c r="S571" s="571"/>
      <c r="T571" s="571"/>
      <c r="U571" s="571"/>
      <c r="V571" s="571"/>
      <c r="W571" s="571"/>
      <c r="X571" s="571"/>
      <c r="Y571" s="571"/>
      <c r="Z571" s="571"/>
      <c r="AA571" s="571"/>
      <c r="AB571" s="571"/>
      <c r="AC571" s="571"/>
      <c r="AD571" s="571"/>
      <c r="AE571" s="571"/>
      <c r="AF571" s="571"/>
      <c r="AG571" s="571"/>
      <c r="AH571" s="571"/>
      <c r="AI571" s="571"/>
      <c r="AJ571" s="571"/>
      <c r="AK571" s="571"/>
      <c r="AL571" s="571"/>
      <c r="AM571" s="571"/>
      <c r="AN571" s="571"/>
      <c r="AO571" s="571"/>
    </row>
    <row r="572">
      <c r="G572" s="571"/>
      <c r="H572" s="571"/>
      <c r="I572" s="571"/>
      <c r="J572" s="571"/>
      <c r="K572" s="571"/>
      <c r="L572" s="571"/>
      <c r="M572" s="571"/>
      <c r="N572" s="571"/>
      <c r="O572" s="571"/>
      <c r="P572" s="571"/>
      <c r="Q572" s="571"/>
      <c r="R572" s="571"/>
      <c r="S572" s="571"/>
      <c r="T572" s="571"/>
      <c r="U572" s="571"/>
      <c r="V572" s="571"/>
      <c r="W572" s="571"/>
      <c r="X572" s="571"/>
      <c r="Y572" s="571"/>
      <c r="Z572" s="571"/>
      <c r="AA572" s="571"/>
      <c r="AB572" s="571"/>
      <c r="AC572" s="571"/>
      <c r="AD572" s="571"/>
      <c r="AE572" s="571"/>
      <c r="AF572" s="571"/>
      <c r="AG572" s="571"/>
      <c r="AH572" s="571"/>
      <c r="AI572" s="571"/>
      <c r="AJ572" s="571"/>
      <c r="AK572" s="571"/>
      <c r="AL572" s="571"/>
      <c r="AM572" s="571"/>
      <c r="AN572" s="571"/>
      <c r="AO572" s="571"/>
    </row>
    <row r="573">
      <c r="G573" s="571"/>
      <c r="H573" s="571"/>
      <c r="I573" s="571"/>
      <c r="J573" s="571"/>
      <c r="K573" s="571"/>
      <c r="L573" s="571"/>
      <c r="M573" s="571"/>
      <c r="N573" s="571"/>
      <c r="O573" s="571"/>
      <c r="P573" s="571"/>
      <c r="Q573" s="571"/>
      <c r="R573" s="571"/>
      <c r="S573" s="571"/>
      <c r="T573" s="571"/>
      <c r="U573" s="571"/>
      <c r="V573" s="571"/>
      <c r="W573" s="571"/>
      <c r="X573" s="571"/>
      <c r="Y573" s="571"/>
      <c r="Z573" s="571"/>
      <c r="AA573" s="571"/>
      <c r="AB573" s="571"/>
      <c r="AC573" s="571"/>
      <c r="AD573" s="571"/>
      <c r="AE573" s="571"/>
      <c r="AF573" s="571"/>
      <c r="AG573" s="571"/>
      <c r="AH573" s="571"/>
      <c r="AI573" s="571"/>
      <c r="AJ573" s="571"/>
      <c r="AK573" s="571"/>
      <c r="AL573" s="571"/>
      <c r="AM573" s="571"/>
      <c r="AN573" s="571"/>
      <c r="AO573" s="571"/>
    </row>
    <row r="574">
      <c r="G574" s="571"/>
      <c r="H574" s="571"/>
      <c r="I574" s="571"/>
      <c r="J574" s="571"/>
      <c r="K574" s="571"/>
      <c r="L574" s="571"/>
      <c r="M574" s="571"/>
      <c r="N574" s="571"/>
      <c r="O574" s="571"/>
      <c r="P574" s="571"/>
      <c r="Q574" s="571"/>
      <c r="R574" s="571"/>
      <c r="S574" s="571"/>
      <c r="T574" s="571"/>
      <c r="U574" s="571"/>
      <c r="V574" s="571"/>
      <c r="W574" s="571"/>
      <c r="X574" s="571"/>
      <c r="Y574" s="571"/>
      <c r="Z574" s="571"/>
      <c r="AA574" s="571"/>
      <c r="AB574" s="571"/>
      <c r="AC574" s="571"/>
      <c r="AD574" s="571"/>
      <c r="AE574" s="571"/>
      <c r="AF574" s="571"/>
      <c r="AG574" s="571"/>
      <c r="AH574" s="571"/>
      <c r="AI574" s="571"/>
      <c r="AJ574" s="571"/>
      <c r="AK574" s="571"/>
      <c r="AL574" s="571"/>
      <c r="AM574" s="571"/>
      <c r="AN574" s="571"/>
      <c r="AO574" s="571"/>
    </row>
    <row r="575">
      <c r="G575" s="571"/>
      <c r="H575" s="571"/>
      <c r="I575" s="571"/>
      <c r="J575" s="571"/>
      <c r="K575" s="571"/>
      <c r="L575" s="571"/>
      <c r="M575" s="571"/>
      <c r="N575" s="571"/>
      <c r="O575" s="571"/>
      <c r="P575" s="571"/>
      <c r="Q575" s="571"/>
      <c r="R575" s="571"/>
      <c r="S575" s="571"/>
      <c r="T575" s="571"/>
      <c r="U575" s="571"/>
      <c r="V575" s="571"/>
      <c r="W575" s="571"/>
      <c r="X575" s="571"/>
      <c r="Y575" s="571"/>
      <c r="Z575" s="571"/>
      <c r="AA575" s="571"/>
      <c r="AB575" s="571"/>
      <c r="AC575" s="571"/>
      <c r="AD575" s="571"/>
      <c r="AE575" s="571"/>
      <c r="AF575" s="571"/>
      <c r="AG575" s="571"/>
      <c r="AH575" s="571"/>
      <c r="AI575" s="571"/>
      <c r="AJ575" s="571"/>
      <c r="AK575" s="571"/>
      <c r="AL575" s="571"/>
      <c r="AM575" s="571"/>
      <c r="AN575" s="571"/>
      <c r="AO575" s="571"/>
    </row>
    <row r="576">
      <c r="G576" s="571"/>
      <c r="H576" s="571"/>
      <c r="I576" s="571"/>
      <c r="J576" s="571"/>
      <c r="K576" s="571"/>
      <c r="L576" s="571"/>
      <c r="M576" s="571"/>
      <c r="N576" s="571"/>
      <c r="O576" s="571"/>
      <c r="P576" s="571"/>
      <c r="Q576" s="571"/>
      <c r="R576" s="571"/>
      <c r="S576" s="571"/>
      <c r="T576" s="571"/>
      <c r="U576" s="571"/>
      <c r="V576" s="571"/>
      <c r="W576" s="571"/>
      <c r="X576" s="571"/>
      <c r="Y576" s="571"/>
      <c r="Z576" s="571"/>
      <c r="AA576" s="571"/>
      <c r="AB576" s="571"/>
      <c r="AC576" s="571"/>
      <c r="AD576" s="571"/>
      <c r="AE576" s="571"/>
      <c r="AF576" s="571"/>
      <c r="AG576" s="571"/>
      <c r="AH576" s="571"/>
      <c r="AI576" s="571"/>
      <c r="AJ576" s="571"/>
      <c r="AK576" s="571"/>
      <c r="AL576" s="571"/>
      <c r="AM576" s="571"/>
      <c r="AN576" s="571"/>
      <c r="AO576" s="571"/>
    </row>
    <row r="577">
      <c r="G577" s="571"/>
      <c r="H577" s="571"/>
      <c r="I577" s="571"/>
      <c r="J577" s="571"/>
      <c r="K577" s="571"/>
      <c r="L577" s="571"/>
      <c r="M577" s="571"/>
      <c r="N577" s="571"/>
      <c r="O577" s="571"/>
      <c r="P577" s="571"/>
      <c r="Q577" s="571"/>
      <c r="R577" s="571"/>
      <c r="S577" s="571"/>
      <c r="T577" s="571"/>
      <c r="U577" s="571"/>
      <c r="V577" s="571"/>
      <c r="W577" s="571"/>
      <c r="X577" s="571"/>
      <c r="Y577" s="571"/>
      <c r="Z577" s="571"/>
      <c r="AA577" s="571"/>
      <c r="AB577" s="571"/>
      <c r="AC577" s="571"/>
      <c r="AD577" s="571"/>
      <c r="AE577" s="571"/>
      <c r="AF577" s="571"/>
      <c r="AG577" s="571"/>
      <c r="AH577" s="571"/>
      <c r="AI577" s="571"/>
      <c r="AJ577" s="571"/>
      <c r="AK577" s="571"/>
      <c r="AL577" s="571"/>
      <c r="AM577" s="571"/>
      <c r="AN577" s="571"/>
      <c r="AO577" s="571"/>
    </row>
    <row r="578">
      <c r="G578" s="571"/>
      <c r="H578" s="571"/>
      <c r="I578" s="571"/>
      <c r="J578" s="571"/>
      <c r="K578" s="571"/>
      <c r="L578" s="571"/>
      <c r="M578" s="571"/>
      <c r="N578" s="571"/>
      <c r="O578" s="571"/>
      <c r="P578" s="571"/>
      <c r="Q578" s="571"/>
      <c r="R578" s="571"/>
      <c r="S578" s="571"/>
      <c r="T578" s="571"/>
      <c r="U578" s="571"/>
      <c r="V578" s="571"/>
      <c r="W578" s="571"/>
      <c r="X578" s="571"/>
      <c r="Y578" s="571"/>
      <c r="Z578" s="571"/>
      <c r="AA578" s="571"/>
      <c r="AB578" s="571"/>
      <c r="AC578" s="571"/>
      <c r="AD578" s="571"/>
      <c r="AE578" s="571"/>
      <c r="AF578" s="571"/>
      <c r="AG578" s="571"/>
      <c r="AH578" s="571"/>
      <c r="AI578" s="571"/>
      <c r="AJ578" s="571"/>
      <c r="AK578" s="571"/>
      <c r="AL578" s="571"/>
      <c r="AM578" s="571"/>
      <c r="AN578" s="571"/>
      <c r="AO578" s="571"/>
    </row>
    <row r="579">
      <c r="G579" s="571"/>
      <c r="H579" s="571"/>
      <c r="I579" s="571"/>
      <c r="J579" s="571"/>
      <c r="K579" s="571"/>
      <c r="L579" s="571"/>
      <c r="M579" s="571"/>
      <c r="N579" s="571"/>
      <c r="O579" s="571"/>
      <c r="P579" s="571"/>
      <c r="Q579" s="571"/>
      <c r="R579" s="571"/>
      <c r="S579" s="571"/>
      <c r="T579" s="571"/>
      <c r="U579" s="571"/>
      <c r="V579" s="571"/>
      <c r="W579" s="571"/>
      <c r="X579" s="571"/>
      <c r="Y579" s="571"/>
      <c r="Z579" s="571"/>
      <c r="AA579" s="571"/>
      <c r="AB579" s="571"/>
      <c r="AC579" s="571"/>
      <c r="AD579" s="571"/>
      <c r="AE579" s="571"/>
      <c r="AF579" s="571"/>
      <c r="AG579" s="571"/>
      <c r="AH579" s="571"/>
      <c r="AI579" s="571"/>
      <c r="AJ579" s="571"/>
      <c r="AK579" s="571"/>
      <c r="AL579" s="571"/>
      <c r="AM579" s="571"/>
      <c r="AN579" s="571"/>
      <c r="AO579" s="571"/>
    </row>
    <row r="580">
      <c r="G580" s="571"/>
      <c r="H580" s="571"/>
      <c r="I580" s="571"/>
      <c r="J580" s="571"/>
      <c r="K580" s="571"/>
      <c r="L580" s="571"/>
      <c r="M580" s="571"/>
      <c r="N580" s="571"/>
      <c r="O580" s="571"/>
      <c r="P580" s="571"/>
      <c r="Q580" s="571"/>
      <c r="R580" s="571"/>
      <c r="S580" s="571"/>
      <c r="T580" s="571"/>
      <c r="U580" s="571"/>
      <c r="V580" s="571"/>
      <c r="W580" s="571"/>
      <c r="X580" s="571"/>
      <c r="Y580" s="571"/>
      <c r="Z580" s="571"/>
      <c r="AA580" s="571"/>
      <c r="AB580" s="571"/>
      <c r="AC580" s="571"/>
      <c r="AD580" s="571"/>
      <c r="AE580" s="571"/>
      <c r="AF580" s="571"/>
      <c r="AG580" s="571"/>
      <c r="AH580" s="571"/>
      <c r="AI580" s="571"/>
      <c r="AJ580" s="571"/>
      <c r="AK580" s="571"/>
      <c r="AL580" s="571"/>
      <c r="AM580" s="571"/>
      <c r="AN580" s="571"/>
      <c r="AO580" s="571"/>
    </row>
    <row r="581">
      <c r="G581" s="571"/>
      <c r="H581" s="571"/>
      <c r="I581" s="571"/>
      <c r="J581" s="571"/>
      <c r="K581" s="571"/>
      <c r="L581" s="571"/>
      <c r="M581" s="571"/>
      <c r="N581" s="571"/>
      <c r="O581" s="571"/>
      <c r="P581" s="571"/>
      <c r="Q581" s="571"/>
      <c r="R581" s="571"/>
      <c r="S581" s="571"/>
      <c r="T581" s="571"/>
      <c r="U581" s="571"/>
      <c r="V581" s="571"/>
      <c r="W581" s="571"/>
      <c r="X581" s="571"/>
      <c r="Y581" s="571"/>
      <c r="Z581" s="571"/>
      <c r="AA581" s="571"/>
      <c r="AB581" s="571"/>
      <c r="AC581" s="571"/>
      <c r="AD581" s="571"/>
      <c r="AE581" s="571"/>
      <c r="AF581" s="571"/>
      <c r="AG581" s="571"/>
      <c r="AH581" s="571"/>
      <c r="AI581" s="571"/>
      <c r="AJ581" s="571"/>
      <c r="AK581" s="571"/>
      <c r="AL581" s="571"/>
      <c r="AM581" s="571"/>
      <c r="AN581" s="571"/>
      <c r="AO581" s="571"/>
    </row>
    <row r="582">
      <c r="G582" s="571"/>
      <c r="H582" s="571"/>
      <c r="I582" s="571"/>
      <c r="J582" s="571"/>
      <c r="K582" s="571"/>
      <c r="L582" s="571"/>
      <c r="M582" s="571"/>
      <c r="N582" s="571"/>
      <c r="O582" s="571"/>
      <c r="P582" s="571"/>
      <c r="Q582" s="571"/>
      <c r="R582" s="571"/>
      <c r="S582" s="571"/>
      <c r="T582" s="571"/>
      <c r="U582" s="571"/>
      <c r="V582" s="571"/>
      <c r="W582" s="571"/>
      <c r="X582" s="571"/>
      <c r="Y582" s="571"/>
      <c r="Z582" s="571"/>
      <c r="AA582" s="571"/>
      <c r="AB582" s="571"/>
      <c r="AC582" s="571"/>
      <c r="AD582" s="571"/>
      <c r="AE582" s="571"/>
      <c r="AF582" s="571"/>
      <c r="AG582" s="571"/>
      <c r="AH582" s="571"/>
      <c r="AI582" s="571"/>
      <c r="AJ582" s="571"/>
      <c r="AK582" s="571"/>
      <c r="AL582" s="571"/>
      <c r="AM582" s="571"/>
      <c r="AN582" s="571"/>
      <c r="AO582" s="571"/>
    </row>
    <row r="583">
      <c r="G583" s="571"/>
      <c r="H583" s="571"/>
      <c r="I583" s="571"/>
      <c r="J583" s="571"/>
      <c r="K583" s="571"/>
      <c r="L583" s="571"/>
      <c r="M583" s="571"/>
      <c r="N583" s="571"/>
      <c r="O583" s="571"/>
      <c r="P583" s="571"/>
      <c r="Q583" s="571"/>
      <c r="R583" s="571"/>
      <c r="S583" s="571"/>
      <c r="T583" s="571"/>
      <c r="U583" s="571"/>
      <c r="V583" s="571"/>
      <c r="W583" s="571"/>
      <c r="X583" s="571"/>
      <c r="Y583" s="571"/>
      <c r="Z583" s="571"/>
      <c r="AA583" s="571"/>
      <c r="AB583" s="571"/>
      <c r="AC583" s="571"/>
      <c r="AD583" s="571"/>
      <c r="AE583" s="571"/>
      <c r="AF583" s="571"/>
      <c r="AG583" s="571"/>
      <c r="AH583" s="571"/>
      <c r="AI583" s="571"/>
      <c r="AJ583" s="571"/>
      <c r="AK583" s="571"/>
      <c r="AL583" s="571"/>
      <c r="AM583" s="571"/>
      <c r="AN583" s="571"/>
      <c r="AO583" s="571"/>
    </row>
    <row r="584">
      <c r="G584" s="571"/>
      <c r="H584" s="571"/>
      <c r="I584" s="571"/>
      <c r="J584" s="571"/>
      <c r="K584" s="571"/>
      <c r="L584" s="571"/>
      <c r="M584" s="571"/>
      <c r="N584" s="571"/>
      <c r="O584" s="571"/>
      <c r="P584" s="571"/>
      <c r="Q584" s="571"/>
      <c r="R584" s="571"/>
      <c r="S584" s="571"/>
      <c r="T584" s="571"/>
      <c r="U584" s="571"/>
      <c r="V584" s="571"/>
      <c r="W584" s="571"/>
      <c r="X584" s="571"/>
      <c r="Y584" s="571"/>
      <c r="Z584" s="571"/>
      <c r="AA584" s="571"/>
      <c r="AB584" s="571"/>
      <c r="AC584" s="571"/>
      <c r="AD584" s="571"/>
      <c r="AE584" s="571"/>
      <c r="AF584" s="571"/>
      <c r="AG584" s="571"/>
      <c r="AH584" s="571"/>
      <c r="AI584" s="571"/>
      <c r="AJ584" s="571"/>
      <c r="AK584" s="571"/>
      <c r="AL584" s="571"/>
      <c r="AM584" s="571"/>
      <c r="AN584" s="571"/>
      <c r="AO584" s="571"/>
    </row>
    <row r="585">
      <c r="G585" s="571"/>
      <c r="H585" s="571"/>
      <c r="I585" s="571"/>
      <c r="J585" s="571"/>
      <c r="K585" s="571"/>
      <c r="L585" s="571"/>
      <c r="M585" s="571"/>
      <c r="N585" s="571"/>
      <c r="O585" s="571"/>
      <c r="P585" s="571"/>
      <c r="Q585" s="571"/>
      <c r="R585" s="571"/>
      <c r="S585" s="571"/>
      <c r="T585" s="571"/>
      <c r="U585" s="571"/>
      <c r="V585" s="571"/>
      <c r="W585" s="571"/>
      <c r="X585" s="571"/>
      <c r="Y585" s="571"/>
      <c r="Z585" s="571"/>
      <c r="AA585" s="571"/>
      <c r="AB585" s="571"/>
      <c r="AC585" s="571"/>
      <c r="AD585" s="571"/>
      <c r="AE585" s="571"/>
      <c r="AF585" s="571"/>
      <c r="AG585" s="571"/>
      <c r="AH585" s="571"/>
      <c r="AI585" s="571"/>
      <c r="AJ585" s="571"/>
      <c r="AK585" s="571"/>
      <c r="AL585" s="571"/>
      <c r="AM585" s="571"/>
      <c r="AN585" s="571"/>
      <c r="AO585" s="571"/>
    </row>
    <row r="586">
      <c r="G586" s="571"/>
      <c r="H586" s="571"/>
      <c r="I586" s="571"/>
      <c r="J586" s="571"/>
      <c r="K586" s="571"/>
      <c r="L586" s="571"/>
      <c r="M586" s="571"/>
      <c r="N586" s="571"/>
      <c r="O586" s="571"/>
      <c r="P586" s="571"/>
      <c r="Q586" s="571"/>
      <c r="R586" s="571"/>
      <c r="S586" s="571"/>
      <c r="T586" s="571"/>
      <c r="U586" s="571"/>
      <c r="V586" s="571"/>
      <c r="W586" s="571"/>
      <c r="X586" s="571"/>
      <c r="Y586" s="571"/>
      <c r="Z586" s="571"/>
      <c r="AA586" s="571"/>
      <c r="AB586" s="571"/>
      <c r="AC586" s="571"/>
      <c r="AD586" s="571"/>
      <c r="AE586" s="571"/>
      <c r="AF586" s="571"/>
      <c r="AG586" s="571"/>
      <c r="AH586" s="571"/>
      <c r="AI586" s="571"/>
      <c r="AJ586" s="571"/>
      <c r="AK586" s="571"/>
      <c r="AL586" s="571"/>
      <c r="AM586" s="571"/>
      <c r="AN586" s="571"/>
      <c r="AO586" s="571"/>
    </row>
    <row r="587">
      <c r="G587" s="571"/>
      <c r="H587" s="571"/>
      <c r="I587" s="571"/>
      <c r="J587" s="571"/>
      <c r="K587" s="571"/>
      <c r="L587" s="571"/>
      <c r="M587" s="571"/>
      <c r="N587" s="571"/>
      <c r="O587" s="571"/>
      <c r="P587" s="571"/>
      <c r="Q587" s="571"/>
      <c r="R587" s="571"/>
      <c r="S587" s="571"/>
      <c r="T587" s="571"/>
      <c r="U587" s="571"/>
      <c r="V587" s="571"/>
      <c r="W587" s="571"/>
      <c r="X587" s="571"/>
      <c r="Y587" s="571"/>
      <c r="Z587" s="571"/>
      <c r="AA587" s="571"/>
      <c r="AB587" s="571"/>
      <c r="AC587" s="571"/>
      <c r="AD587" s="571"/>
      <c r="AE587" s="571"/>
      <c r="AF587" s="571"/>
      <c r="AG587" s="571"/>
      <c r="AH587" s="571"/>
      <c r="AI587" s="571"/>
      <c r="AJ587" s="571"/>
      <c r="AK587" s="571"/>
      <c r="AL587" s="571"/>
      <c r="AM587" s="571"/>
      <c r="AN587" s="571"/>
      <c r="AO587" s="571"/>
    </row>
    <row r="588">
      <c r="G588" s="571"/>
      <c r="H588" s="571"/>
      <c r="I588" s="571"/>
      <c r="J588" s="571"/>
      <c r="K588" s="571"/>
      <c r="L588" s="571"/>
      <c r="M588" s="571"/>
      <c r="N588" s="571"/>
      <c r="O588" s="571"/>
      <c r="P588" s="571"/>
      <c r="Q588" s="571"/>
      <c r="R588" s="571"/>
      <c r="S588" s="571"/>
      <c r="T588" s="571"/>
      <c r="U588" s="571"/>
      <c r="V588" s="571"/>
      <c r="W588" s="571"/>
      <c r="X588" s="571"/>
      <c r="Y588" s="571"/>
      <c r="Z588" s="571"/>
      <c r="AA588" s="571"/>
      <c r="AB588" s="571"/>
      <c r="AC588" s="571"/>
      <c r="AD588" s="571"/>
      <c r="AE588" s="571"/>
      <c r="AF588" s="571"/>
      <c r="AG588" s="571"/>
      <c r="AH588" s="571"/>
      <c r="AI588" s="571"/>
      <c r="AJ588" s="571"/>
      <c r="AK588" s="571"/>
      <c r="AL588" s="571"/>
      <c r="AM588" s="571"/>
      <c r="AN588" s="571"/>
      <c r="AO588" s="571"/>
    </row>
    <row r="589">
      <c r="G589" s="571"/>
      <c r="H589" s="571"/>
      <c r="I589" s="571"/>
      <c r="J589" s="571"/>
      <c r="K589" s="571"/>
      <c r="L589" s="571"/>
      <c r="M589" s="571"/>
      <c r="N589" s="571"/>
      <c r="O589" s="571"/>
      <c r="P589" s="571"/>
      <c r="Q589" s="571"/>
      <c r="R589" s="571"/>
      <c r="S589" s="571"/>
      <c r="T589" s="571"/>
      <c r="U589" s="571"/>
      <c r="V589" s="571"/>
      <c r="W589" s="571"/>
      <c r="X589" s="571"/>
      <c r="Y589" s="571"/>
      <c r="Z589" s="571"/>
      <c r="AA589" s="571"/>
      <c r="AB589" s="571"/>
      <c r="AC589" s="571"/>
      <c r="AD589" s="571"/>
      <c r="AE589" s="571"/>
      <c r="AF589" s="571"/>
      <c r="AG589" s="571"/>
      <c r="AH589" s="571"/>
      <c r="AI589" s="571"/>
      <c r="AJ589" s="571"/>
      <c r="AK589" s="571"/>
      <c r="AL589" s="571"/>
      <c r="AM589" s="571"/>
      <c r="AN589" s="571"/>
      <c r="AO589" s="571"/>
    </row>
    <row r="590">
      <c r="G590" s="571"/>
      <c r="H590" s="571"/>
      <c r="I590" s="571"/>
      <c r="J590" s="571"/>
      <c r="K590" s="571"/>
      <c r="L590" s="571"/>
      <c r="M590" s="571"/>
      <c r="N590" s="571"/>
      <c r="O590" s="571"/>
      <c r="P590" s="571"/>
      <c r="Q590" s="571"/>
      <c r="R590" s="571"/>
      <c r="S590" s="571"/>
      <c r="T590" s="571"/>
      <c r="U590" s="571"/>
      <c r="V590" s="571"/>
      <c r="W590" s="571"/>
      <c r="X590" s="571"/>
      <c r="Y590" s="571"/>
      <c r="Z590" s="571"/>
      <c r="AA590" s="571"/>
      <c r="AB590" s="571"/>
      <c r="AC590" s="571"/>
      <c r="AD590" s="571"/>
      <c r="AE590" s="571"/>
      <c r="AF590" s="571"/>
      <c r="AG590" s="571"/>
      <c r="AH590" s="571"/>
      <c r="AI590" s="571"/>
      <c r="AJ590" s="571"/>
      <c r="AK590" s="571"/>
      <c r="AL590" s="571"/>
      <c r="AM590" s="571"/>
      <c r="AN590" s="571"/>
      <c r="AO590" s="571"/>
    </row>
    <row r="591">
      <c r="G591" s="571"/>
      <c r="H591" s="571"/>
      <c r="I591" s="571"/>
      <c r="J591" s="571"/>
      <c r="K591" s="571"/>
      <c r="L591" s="571"/>
      <c r="M591" s="571"/>
      <c r="N591" s="571"/>
      <c r="O591" s="571"/>
      <c r="P591" s="571"/>
      <c r="Q591" s="571"/>
      <c r="R591" s="571"/>
      <c r="S591" s="571"/>
      <c r="T591" s="571"/>
      <c r="U591" s="571"/>
      <c r="V591" s="571"/>
      <c r="W591" s="571"/>
      <c r="X591" s="571"/>
      <c r="Y591" s="571"/>
      <c r="Z591" s="571"/>
      <c r="AA591" s="571"/>
      <c r="AB591" s="571"/>
      <c r="AC591" s="571"/>
      <c r="AD591" s="571"/>
      <c r="AE591" s="571"/>
      <c r="AF591" s="571"/>
      <c r="AG591" s="571"/>
      <c r="AH591" s="571"/>
      <c r="AI591" s="571"/>
      <c r="AJ591" s="571"/>
      <c r="AK591" s="571"/>
      <c r="AL591" s="571"/>
      <c r="AM591" s="571"/>
      <c r="AN591" s="571"/>
      <c r="AO591" s="571"/>
    </row>
    <row r="592">
      <c r="G592" s="571"/>
      <c r="H592" s="571"/>
      <c r="I592" s="571"/>
      <c r="J592" s="571"/>
      <c r="K592" s="571"/>
      <c r="L592" s="571"/>
      <c r="M592" s="571"/>
      <c r="N592" s="571"/>
      <c r="O592" s="571"/>
      <c r="P592" s="571"/>
      <c r="Q592" s="571"/>
      <c r="R592" s="571"/>
      <c r="S592" s="571"/>
      <c r="T592" s="571"/>
      <c r="U592" s="571"/>
      <c r="V592" s="571"/>
      <c r="W592" s="571"/>
      <c r="X592" s="571"/>
      <c r="Y592" s="571"/>
      <c r="Z592" s="571"/>
      <c r="AA592" s="571"/>
      <c r="AB592" s="571"/>
      <c r="AC592" s="571"/>
      <c r="AD592" s="571"/>
      <c r="AE592" s="571"/>
      <c r="AF592" s="571"/>
      <c r="AG592" s="571"/>
      <c r="AH592" s="571"/>
      <c r="AI592" s="571"/>
      <c r="AJ592" s="571"/>
      <c r="AK592" s="571"/>
      <c r="AL592" s="571"/>
      <c r="AM592" s="571"/>
      <c r="AN592" s="571"/>
      <c r="AO592" s="571"/>
    </row>
    <row r="593">
      <c r="G593" s="571"/>
      <c r="H593" s="571"/>
      <c r="I593" s="571"/>
      <c r="J593" s="571"/>
      <c r="K593" s="571"/>
      <c r="L593" s="571"/>
      <c r="M593" s="571"/>
      <c r="N593" s="571"/>
      <c r="O593" s="571"/>
      <c r="P593" s="571"/>
      <c r="Q593" s="571"/>
      <c r="R593" s="571"/>
      <c r="S593" s="571"/>
      <c r="T593" s="571"/>
      <c r="U593" s="571"/>
      <c r="V593" s="571"/>
      <c r="W593" s="571"/>
      <c r="X593" s="571"/>
      <c r="Y593" s="571"/>
      <c r="Z593" s="571"/>
      <c r="AA593" s="571"/>
      <c r="AB593" s="571"/>
      <c r="AC593" s="571"/>
      <c r="AD593" s="571"/>
      <c r="AE593" s="571"/>
      <c r="AF593" s="571"/>
      <c r="AG593" s="571"/>
      <c r="AH593" s="571"/>
      <c r="AI593" s="571"/>
      <c r="AJ593" s="571"/>
      <c r="AK593" s="571"/>
      <c r="AL593" s="571"/>
      <c r="AM593" s="571"/>
      <c r="AN593" s="571"/>
      <c r="AO593" s="571"/>
    </row>
    <row r="594">
      <c r="G594" s="571"/>
      <c r="H594" s="571"/>
      <c r="I594" s="571"/>
      <c r="J594" s="571"/>
      <c r="K594" s="571"/>
      <c r="L594" s="571"/>
      <c r="M594" s="571"/>
      <c r="N594" s="571"/>
      <c r="O594" s="571"/>
      <c r="P594" s="571"/>
      <c r="Q594" s="571"/>
      <c r="R594" s="571"/>
      <c r="S594" s="571"/>
      <c r="T594" s="571"/>
      <c r="U594" s="571"/>
      <c r="V594" s="571"/>
      <c r="W594" s="571"/>
      <c r="X594" s="571"/>
      <c r="Y594" s="571"/>
      <c r="Z594" s="571"/>
      <c r="AA594" s="571"/>
      <c r="AB594" s="571"/>
      <c r="AC594" s="571"/>
      <c r="AD594" s="571"/>
      <c r="AE594" s="571"/>
      <c r="AF594" s="571"/>
      <c r="AG594" s="571"/>
      <c r="AH594" s="571"/>
      <c r="AI594" s="571"/>
      <c r="AJ594" s="571"/>
      <c r="AK594" s="571"/>
      <c r="AL594" s="571"/>
      <c r="AM594" s="571"/>
      <c r="AN594" s="571"/>
      <c r="AO594" s="571"/>
    </row>
    <row r="595">
      <c r="G595" s="571"/>
      <c r="H595" s="571"/>
      <c r="I595" s="571"/>
      <c r="J595" s="571"/>
      <c r="K595" s="571"/>
      <c r="L595" s="571"/>
      <c r="M595" s="571"/>
      <c r="N595" s="571"/>
      <c r="O595" s="571"/>
      <c r="P595" s="571"/>
      <c r="Q595" s="571"/>
      <c r="R595" s="571"/>
      <c r="S595" s="571"/>
      <c r="T595" s="571"/>
      <c r="U595" s="571"/>
      <c r="V595" s="571"/>
      <c r="W595" s="571"/>
      <c r="X595" s="571"/>
      <c r="Y595" s="571"/>
      <c r="Z595" s="571"/>
      <c r="AA595" s="571"/>
      <c r="AB595" s="571"/>
      <c r="AC595" s="571"/>
      <c r="AD595" s="571"/>
      <c r="AE595" s="571"/>
      <c r="AF595" s="571"/>
      <c r="AG595" s="571"/>
      <c r="AH595" s="571"/>
      <c r="AI595" s="571"/>
      <c r="AJ595" s="571"/>
      <c r="AK595" s="571"/>
      <c r="AL595" s="571"/>
      <c r="AM595" s="571"/>
      <c r="AN595" s="571"/>
      <c r="AO595" s="571"/>
    </row>
    <row r="596">
      <c r="G596" s="571"/>
      <c r="H596" s="571"/>
      <c r="I596" s="571"/>
      <c r="J596" s="571"/>
      <c r="K596" s="571"/>
      <c r="L596" s="571"/>
      <c r="M596" s="571"/>
      <c r="N596" s="571"/>
      <c r="O596" s="571"/>
      <c r="P596" s="571"/>
      <c r="Q596" s="571"/>
      <c r="R596" s="571"/>
      <c r="S596" s="571"/>
      <c r="T596" s="571"/>
      <c r="U596" s="571"/>
      <c r="V596" s="571"/>
      <c r="W596" s="571"/>
      <c r="X596" s="571"/>
      <c r="Y596" s="571"/>
      <c r="Z596" s="571"/>
      <c r="AA596" s="571"/>
      <c r="AB596" s="571"/>
      <c r="AC596" s="571"/>
      <c r="AD596" s="571"/>
      <c r="AE596" s="571"/>
      <c r="AF596" s="571"/>
      <c r="AG596" s="571"/>
      <c r="AH596" s="571"/>
      <c r="AI596" s="571"/>
      <c r="AJ596" s="571"/>
      <c r="AK596" s="571"/>
      <c r="AL596" s="571"/>
      <c r="AM596" s="571"/>
      <c r="AN596" s="571"/>
      <c r="AO596" s="571"/>
    </row>
    <row r="597">
      <c r="G597" s="571"/>
      <c r="H597" s="571"/>
      <c r="I597" s="571"/>
      <c r="J597" s="571"/>
      <c r="K597" s="571"/>
      <c r="L597" s="571"/>
      <c r="M597" s="571"/>
      <c r="N597" s="571"/>
      <c r="O597" s="571"/>
      <c r="P597" s="571"/>
      <c r="Q597" s="571"/>
      <c r="R597" s="571"/>
      <c r="S597" s="571"/>
      <c r="T597" s="571"/>
      <c r="U597" s="571"/>
      <c r="V597" s="571"/>
      <c r="W597" s="571"/>
      <c r="X597" s="571"/>
      <c r="Y597" s="571"/>
      <c r="Z597" s="571"/>
      <c r="AA597" s="571"/>
      <c r="AB597" s="571"/>
      <c r="AC597" s="571"/>
      <c r="AD597" s="571"/>
      <c r="AE597" s="571"/>
      <c r="AF597" s="571"/>
      <c r="AG597" s="571"/>
      <c r="AH597" s="571"/>
      <c r="AI597" s="571"/>
      <c r="AJ597" s="571"/>
      <c r="AK597" s="571"/>
      <c r="AL597" s="571"/>
      <c r="AM597" s="571"/>
      <c r="AN597" s="571"/>
      <c r="AO597" s="571"/>
    </row>
    <row r="598">
      <c r="G598" s="571"/>
      <c r="H598" s="571"/>
      <c r="I598" s="571"/>
      <c r="J598" s="571"/>
      <c r="K598" s="571"/>
      <c r="L598" s="571"/>
      <c r="M598" s="571"/>
      <c r="N598" s="571"/>
      <c r="O598" s="571"/>
      <c r="P598" s="571"/>
      <c r="Q598" s="571"/>
      <c r="R598" s="571"/>
      <c r="S598" s="571"/>
      <c r="T598" s="571"/>
      <c r="U598" s="571"/>
      <c r="V598" s="571"/>
      <c r="W598" s="571"/>
      <c r="X598" s="571"/>
      <c r="Y598" s="571"/>
      <c r="Z598" s="571"/>
      <c r="AA598" s="571"/>
      <c r="AB598" s="571"/>
      <c r="AC598" s="571"/>
      <c r="AD598" s="571"/>
      <c r="AE598" s="571"/>
      <c r="AF598" s="571"/>
      <c r="AG598" s="571"/>
      <c r="AH598" s="571"/>
      <c r="AI598" s="571"/>
      <c r="AJ598" s="571"/>
      <c r="AK598" s="571"/>
      <c r="AL598" s="571"/>
      <c r="AM598" s="571"/>
      <c r="AN598" s="571"/>
      <c r="AO598" s="571"/>
    </row>
    <row r="599">
      <c r="G599" s="571"/>
      <c r="H599" s="571"/>
      <c r="I599" s="571"/>
      <c r="J599" s="571"/>
      <c r="K599" s="571"/>
      <c r="L599" s="571"/>
      <c r="M599" s="571"/>
      <c r="N599" s="571"/>
      <c r="O599" s="571"/>
      <c r="P599" s="571"/>
      <c r="Q599" s="571"/>
      <c r="R599" s="571"/>
      <c r="S599" s="571"/>
      <c r="T599" s="571"/>
      <c r="U599" s="571"/>
      <c r="V599" s="571"/>
      <c r="W599" s="571"/>
      <c r="X599" s="571"/>
      <c r="Y599" s="571"/>
      <c r="Z599" s="571"/>
      <c r="AA599" s="571"/>
      <c r="AB599" s="571"/>
      <c r="AC599" s="571"/>
      <c r="AD599" s="571"/>
      <c r="AE599" s="571"/>
      <c r="AF599" s="571"/>
      <c r="AG599" s="571"/>
      <c r="AH599" s="571"/>
      <c r="AI599" s="571"/>
      <c r="AJ599" s="571"/>
      <c r="AK599" s="571"/>
      <c r="AL599" s="571"/>
      <c r="AM599" s="571"/>
      <c r="AN599" s="571"/>
      <c r="AO599" s="571"/>
    </row>
    <row r="600">
      <c r="G600" s="571"/>
      <c r="H600" s="571"/>
      <c r="I600" s="571"/>
      <c r="J600" s="571"/>
      <c r="K600" s="571"/>
      <c r="L600" s="571"/>
      <c r="M600" s="571"/>
      <c r="N600" s="571"/>
      <c r="O600" s="571"/>
      <c r="P600" s="571"/>
      <c r="Q600" s="571"/>
      <c r="R600" s="571"/>
      <c r="S600" s="571"/>
      <c r="T600" s="571"/>
      <c r="U600" s="571"/>
      <c r="V600" s="571"/>
      <c r="W600" s="571"/>
      <c r="X600" s="571"/>
      <c r="Y600" s="571"/>
      <c r="Z600" s="571"/>
      <c r="AA600" s="571"/>
      <c r="AB600" s="571"/>
      <c r="AC600" s="571"/>
      <c r="AD600" s="571"/>
      <c r="AE600" s="571"/>
      <c r="AF600" s="571"/>
      <c r="AG600" s="571"/>
      <c r="AH600" s="571"/>
      <c r="AI600" s="571"/>
      <c r="AJ600" s="571"/>
      <c r="AK600" s="571"/>
      <c r="AL600" s="571"/>
      <c r="AM600" s="571"/>
      <c r="AN600" s="571"/>
      <c r="AO600" s="571"/>
    </row>
    <row r="601">
      <c r="G601" s="571"/>
      <c r="H601" s="571"/>
      <c r="I601" s="571"/>
      <c r="J601" s="571"/>
      <c r="K601" s="571"/>
      <c r="L601" s="571"/>
      <c r="M601" s="571"/>
      <c r="N601" s="571"/>
      <c r="O601" s="571"/>
      <c r="P601" s="571"/>
      <c r="Q601" s="571"/>
      <c r="R601" s="571"/>
      <c r="S601" s="571"/>
      <c r="T601" s="571"/>
      <c r="U601" s="571"/>
      <c r="V601" s="571"/>
      <c r="W601" s="571"/>
      <c r="X601" s="571"/>
      <c r="Y601" s="571"/>
      <c r="Z601" s="571"/>
      <c r="AA601" s="571"/>
      <c r="AB601" s="571"/>
      <c r="AC601" s="571"/>
      <c r="AD601" s="571"/>
      <c r="AE601" s="571"/>
      <c r="AF601" s="571"/>
      <c r="AG601" s="571"/>
      <c r="AH601" s="571"/>
      <c r="AI601" s="571"/>
      <c r="AJ601" s="571"/>
      <c r="AK601" s="571"/>
      <c r="AL601" s="571"/>
      <c r="AM601" s="571"/>
      <c r="AN601" s="571"/>
      <c r="AO601" s="571"/>
    </row>
    <row r="602">
      <c r="G602" s="571"/>
      <c r="H602" s="571"/>
      <c r="I602" s="571"/>
      <c r="J602" s="571"/>
      <c r="K602" s="571"/>
      <c r="L602" s="571"/>
      <c r="M602" s="571"/>
      <c r="N602" s="571"/>
      <c r="O602" s="571"/>
      <c r="P602" s="571"/>
      <c r="Q602" s="571"/>
      <c r="R602" s="571"/>
      <c r="S602" s="571"/>
      <c r="T602" s="571"/>
      <c r="U602" s="571"/>
      <c r="V602" s="571"/>
      <c r="W602" s="571"/>
      <c r="X602" s="571"/>
      <c r="Y602" s="571"/>
      <c r="Z602" s="571"/>
      <c r="AA602" s="571"/>
      <c r="AB602" s="571"/>
      <c r="AC602" s="571"/>
      <c r="AD602" s="571"/>
      <c r="AE602" s="571"/>
      <c r="AF602" s="571"/>
      <c r="AG602" s="571"/>
      <c r="AH602" s="571"/>
      <c r="AI602" s="571"/>
      <c r="AJ602" s="571"/>
      <c r="AK602" s="571"/>
      <c r="AL602" s="571"/>
      <c r="AM602" s="571"/>
      <c r="AN602" s="571"/>
      <c r="AO602" s="571"/>
    </row>
    <row r="603">
      <c r="G603" s="571"/>
      <c r="H603" s="571"/>
      <c r="I603" s="571"/>
      <c r="J603" s="571"/>
      <c r="K603" s="571"/>
      <c r="L603" s="571"/>
      <c r="M603" s="571"/>
      <c r="N603" s="571"/>
      <c r="O603" s="571"/>
      <c r="P603" s="571"/>
      <c r="Q603" s="571"/>
      <c r="R603" s="571"/>
      <c r="S603" s="571"/>
      <c r="T603" s="571"/>
      <c r="U603" s="571"/>
      <c r="V603" s="571"/>
      <c r="W603" s="571"/>
      <c r="X603" s="571"/>
      <c r="Y603" s="571"/>
      <c r="Z603" s="571"/>
      <c r="AA603" s="571"/>
      <c r="AB603" s="571"/>
      <c r="AC603" s="571"/>
      <c r="AD603" s="571"/>
      <c r="AE603" s="571"/>
      <c r="AF603" s="571"/>
      <c r="AG603" s="571"/>
      <c r="AH603" s="571"/>
      <c r="AI603" s="571"/>
      <c r="AJ603" s="571"/>
      <c r="AK603" s="571"/>
      <c r="AL603" s="571"/>
      <c r="AM603" s="571"/>
      <c r="AN603" s="571"/>
      <c r="AO603" s="571"/>
    </row>
    <row r="604">
      <c r="G604" s="571"/>
      <c r="H604" s="571"/>
      <c r="I604" s="571"/>
      <c r="J604" s="571"/>
      <c r="K604" s="571"/>
      <c r="L604" s="571"/>
      <c r="M604" s="571"/>
      <c r="N604" s="571"/>
      <c r="O604" s="571"/>
      <c r="P604" s="571"/>
      <c r="Q604" s="571"/>
      <c r="R604" s="571"/>
      <c r="S604" s="571"/>
      <c r="T604" s="571"/>
      <c r="U604" s="571"/>
      <c r="V604" s="571"/>
      <c r="W604" s="571"/>
      <c r="X604" s="571"/>
      <c r="Y604" s="571"/>
      <c r="Z604" s="571"/>
      <c r="AA604" s="571"/>
      <c r="AB604" s="571"/>
      <c r="AC604" s="571"/>
      <c r="AD604" s="571"/>
      <c r="AE604" s="571"/>
      <c r="AF604" s="571"/>
      <c r="AG604" s="571"/>
      <c r="AH604" s="571"/>
      <c r="AI604" s="571"/>
      <c r="AJ604" s="571"/>
      <c r="AK604" s="571"/>
      <c r="AL604" s="571"/>
      <c r="AM604" s="571"/>
      <c r="AN604" s="571"/>
      <c r="AO604" s="571"/>
    </row>
    <row r="605">
      <c r="G605" s="571"/>
      <c r="H605" s="571"/>
      <c r="I605" s="571"/>
      <c r="J605" s="571"/>
      <c r="K605" s="571"/>
      <c r="L605" s="571"/>
      <c r="M605" s="571"/>
      <c r="N605" s="571"/>
      <c r="O605" s="571"/>
      <c r="P605" s="571"/>
      <c r="Q605" s="571"/>
      <c r="R605" s="571"/>
      <c r="S605" s="571"/>
      <c r="T605" s="571"/>
      <c r="U605" s="571"/>
      <c r="V605" s="571"/>
      <c r="W605" s="571"/>
      <c r="X605" s="571"/>
      <c r="Y605" s="571"/>
      <c r="Z605" s="571"/>
      <c r="AA605" s="571"/>
      <c r="AB605" s="571"/>
      <c r="AC605" s="571"/>
      <c r="AD605" s="571"/>
      <c r="AE605" s="571"/>
      <c r="AF605" s="571"/>
      <c r="AG605" s="571"/>
      <c r="AH605" s="571"/>
      <c r="AI605" s="571"/>
      <c r="AJ605" s="571"/>
      <c r="AK605" s="571"/>
      <c r="AL605" s="571"/>
      <c r="AM605" s="571"/>
      <c r="AN605" s="571"/>
      <c r="AO605" s="571"/>
    </row>
    <row r="606">
      <c r="G606" s="571"/>
      <c r="H606" s="571"/>
      <c r="I606" s="571"/>
      <c r="J606" s="571"/>
      <c r="K606" s="571"/>
      <c r="L606" s="571"/>
      <c r="M606" s="571"/>
      <c r="N606" s="571"/>
      <c r="O606" s="571"/>
      <c r="P606" s="571"/>
      <c r="Q606" s="571"/>
      <c r="R606" s="571"/>
      <c r="S606" s="571"/>
      <c r="T606" s="571"/>
      <c r="U606" s="571"/>
      <c r="V606" s="571"/>
      <c r="W606" s="571"/>
      <c r="X606" s="571"/>
      <c r="Y606" s="571"/>
      <c r="Z606" s="571"/>
      <c r="AA606" s="571"/>
      <c r="AB606" s="571"/>
      <c r="AC606" s="571"/>
      <c r="AD606" s="571"/>
      <c r="AE606" s="571"/>
      <c r="AF606" s="571"/>
      <c r="AG606" s="571"/>
      <c r="AH606" s="571"/>
      <c r="AI606" s="571"/>
      <c r="AJ606" s="571"/>
      <c r="AK606" s="571"/>
      <c r="AL606" s="571"/>
      <c r="AM606" s="571"/>
      <c r="AN606" s="571"/>
      <c r="AO606" s="571"/>
    </row>
    <row r="607">
      <c r="G607" s="571"/>
      <c r="H607" s="571"/>
      <c r="I607" s="571"/>
      <c r="J607" s="571"/>
      <c r="K607" s="571"/>
      <c r="L607" s="571"/>
      <c r="M607" s="571"/>
      <c r="N607" s="571"/>
      <c r="O607" s="571"/>
      <c r="P607" s="571"/>
      <c r="Q607" s="571"/>
      <c r="R607" s="571"/>
      <c r="S607" s="571"/>
      <c r="T607" s="571"/>
      <c r="U607" s="571"/>
      <c r="V607" s="571"/>
      <c r="W607" s="571"/>
      <c r="X607" s="571"/>
      <c r="Y607" s="571"/>
      <c r="Z607" s="571"/>
      <c r="AA607" s="571"/>
      <c r="AB607" s="571"/>
      <c r="AC607" s="571"/>
      <c r="AD607" s="571"/>
      <c r="AE607" s="571"/>
      <c r="AF607" s="571"/>
      <c r="AG607" s="571"/>
      <c r="AH607" s="571"/>
      <c r="AI607" s="571"/>
      <c r="AJ607" s="571"/>
      <c r="AK607" s="571"/>
      <c r="AL607" s="571"/>
      <c r="AM607" s="571"/>
      <c r="AN607" s="571"/>
      <c r="AO607" s="571"/>
    </row>
    <row r="608">
      <c r="G608" s="571"/>
      <c r="H608" s="571"/>
      <c r="I608" s="571"/>
      <c r="J608" s="571"/>
      <c r="K608" s="571"/>
      <c r="L608" s="571"/>
      <c r="M608" s="571"/>
      <c r="N608" s="571"/>
      <c r="O608" s="571"/>
      <c r="P608" s="571"/>
      <c r="Q608" s="571"/>
      <c r="R608" s="571"/>
      <c r="S608" s="571"/>
      <c r="T608" s="571"/>
      <c r="U608" s="571"/>
      <c r="V608" s="571"/>
      <c r="W608" s="571"/>
      <c r="X608" s="571"/>
      <c r="Y608" s="571"/>
      <c r="Z608" s="571"/>
      <c r="AA608" s="571"/>
      <c r="AB608" s="571"/>
      <c r="AC608" s="571"/>
      <c r="AD608" s="571"/>
      <c r="AE608" s="571"/>
      <c r="AF608" s="571"/>
      <c r="AG608" s="571"/>
      <c r="AH608" s="571"/>
      <c r="AI608" s="571"/>
      <c r="AJ608" s="571"/>
      <c r="AK608" s="571"/>
      <c r="AL608" s="571"/>
      <c r="AM608" s="571"/>
      <c r="AN608" s="571"/>
      <c r="AO608" s="571"/>
    </row>
    <row r="609">
      <c r="G609" s="571"/>
      <c r="H609" s="571"/>
      <c r="I609" s="571"/>
      <c r="J609" s="571"/>
      <c r="K609" s="571"/>
      <c r="L609" s="571"/>
      <c r="M609" s="571"/>
      <c r="N609" s="571"/>
      <c r="O609" s="571"/>
      <c r="P609" s="571"/>
      <c r="Q609" s="571"/>
      <c r="R609" s="571"/>
      <c r="S609" s="571"/>
      <c r="T609" s="571"/>
      <c r="U609" s="571"/>
      <c r="V609" s="571"/>
      <c r="W609" s="571"/>
      <c r="X609" s="571"/>
      <c r="Y609" s="571"/>
      <c r="Z609" s="571"/>
      <c r="AA609" s="571"/>
      <c r="AB609" s="571"/>
      <c r="AC609" s="571"/>
      <c r="AD609" s="571"/>
      <c r="AE609" s="571"/>
      <c r="AF609" s="571"/>
      <c r="AG609" s="571"/>
      <c r="AH609" s="571"/>
      <c r="AI609" s="571"/>
      <c r="AJ609" s="571"/>
      <c r="AK609" s="571"/>
      <c r="AL609" s="571"/>
      <c r="AM609" s="571"/>
      <c r="AN609" s="571"/>
      <c r="AO609" s="571"/>
    </row>
    <row r="610">
      <c r="G610" s="571"/>
      <c r="H610" s="571"/>
      <c r="I610" s="571"/>
      <c r="J610" s="571"/>
      <c r="K610" s="571"/>
      <c r="L610" s="571"/>
      <c r="M610" s="571"/>
      <c r="N610" s="571"/>
      <c r="O610" s="571"/>
      <c r="P610" s="571"/>
      <c r="Q610" s="571"/>
      <c r="R610" s="571"/>
      <c r="S610" s="571"/>
      <c r="T610" s="571"/>
      <c r="U610" s="571"/>
      <c r="V610" s="571"/>
      <c r="W610" s="571"/>
      <c r="X610" s="571"/>
      <c r="Y610" s="571"/>
      <c r="Z610" s="571"/>
      <c r="AA610" s="571"/>
      <c r="AB610" s="571"/>
      <c r="AC610" s="571"/>
      <c r="AD610" s="571"/>
      <c r="AE610" s="571"/>
      <c r="AF610" s="571"/>
      <c r="AG610" s="571"/>
      <c r="AH610" s="571"/>
      <c r="AI610" s="571"/>
      <c r="AJ610" s="571"/>
      <c r="AK610" s="571"/>
      <c r="AL610" s="571"/>
      <c r="AM610" s="571"/>
      <c r="AN610" s="571"/>
      <c r="AO610" s="571"/>
    </row>
    <row r="611">
      <c r="G611" s="571"/>
      <c r="H611" s="571"/>
      <c r="I611" s="571"/>
      <c r="J611" s="571"/>
      <c r="K611" s="571"/>
      <c r="L611" s="571"/>
      <c r="M611" s="571"/>
      <c r="N611" s="571"/>
      <c r="O611" s="571"/>
      <c r="P611" s="571"/>
      <c r="Q611" s="571"/>
      <c r="R611" s="571"/>
      <c r="S611" s="571"/>
      <c r="T611" s="571"/>
      <c r="U611" s="571"/>
      <c r="V611" s="571"/>
      <c r="W611" s="571"/>
      <c r="X611" s="571"/>
      <c r="Y611" s="571"/>
      <c r="Z611" s="571"/>
      <c r="AA611" s="571"/>
      <c r="AB611" s="571"/>
      <c r="AC611" s="571"/>
      <c r="AD611" s="571"/>
      <c r="AE611" s="571"/>
      <c r="AF611" s="571"/>
      <c r="AG611" s="571"/>
      <c r="AH611" s="571"/>
      <c r="AI611" s="571"/>
      <c r="AJ611" s="571"/>
      <c r="AK611" s="571"/>
      <c r="AL611" s="571"/>
      <c r="AM611" s="571"/>
      <c r="AN611" s="571"/>
      <c r="AO611" s="571"/>
    </row>
    <row r="612">
      <c r="G612" s="571"/>
      <c r="H612" s="571"/>
      <c r="I612" s="571"/>
      <c r="J612" s="571"/>
      <c r="K612" s="571"/>
      <c r="L612" s="571"/>
      <c r="M612" s="571"/>
      <c r="N612" s="571"/>
      <c r="O612" s="571"/>
      <c r="P612" s="571"/>
      <c r="Q612" s="571"/>
      <c r="R612" s="571"/>
      <c r="S612" s="571"/>
      <c r="T612" s="571"/>
      <c r="U612" s="571"/>
      <c r="V612" s="571"/>
      <c r="W612" s="571"/>
      <c r="X612" s="571"/>
      <c r="Y612" s="571"/>
      <c r="Z612" s="571"/>
      <c r="AA612" s="571"/>
      <c r="AB612" s="571"/>
      <c r="AC612" s="571"/>
      <c r="AD612" s="571"/>
      <c r="AE612" s="571"/>
      <c r="AF612" s="571"/>
      <c r="AG612" s="571"/>
      <c r="AH612" s="571"/>
      <c r="AI612" s="571"/>
      <c r="AJ612" s="571"/>
      <c r="AK612" s="571"/>
      <c r="AL612" s="571"/>
      <c r="AM612" s="571"/>
      <c r="AN612" s="571"/>
      <c r="AO612" s="571"/>
    </row>
    <row r="613">
      <c r="G613" s="571"/>
      <c r="H613" s="571"/>
      <c r="I613" s="571"/>
      <c r="J613" s="571"/>
      <c r="K613" s="571"/>
      <c r="L613" s="571"/>
      <c r="M613" s="571"/>
      <c r="N613" s="571"/>
      <c r="O613" s="571"/>
      <c r="P613" s="571"/>
      <c r="Q613" s="571"/>
      <c r="R613" s="571"/>
      <c r="S613" s="571"/>
      <c r="T613" s="571"/>
      <c r="U613" s="571"/>
      <c r="V613" s="571"/>
      <c r="W613" s="571"/>
      <c r="X613" s="571"/>
      <c r="Y613" s="571"/>
      <c r="Z613" s="571"/>
      <c r="AA613" s="571"/>
      <c r="AB613" s="571"/>
      <c r="AC613" s="571"/>
      <c r="AD613" s="571"/>
      <c r="AE613" s="571"/>
      <c r="AF613" s="571"/>
      <c r="AG613" s="571"/>
      <c r="AH613" s="571"/>
      <c r="AI613" s="571"/>
      <c r="AJ613" s="571"/>
      <c r="AK613" s="571"/>
      <c r="AL613" s="571"/>
      <c r="AM613" s="571"/>
      <c r="AN613" s="571"/>
      <c r="AO613" s="571"/>
    </row>
    <row r="614">
      <c r="G614" s="571"/>
      <c r="H614" s="571"/>
      <c r="I614" s="571"/>
      <c r="J614" s="571"/>
      <c r="K614" s="571"/>
      <c r="L614" s="571"/>
      <c r="M614" s="571"/>
      <c r="N614" s="571"/>
      <c r="O614" s="571"/>
      <c r="P614" s="571"/>
      <c r="Q614" s="571"/>
      <c r="R614" s="571"/>
      <c r="S614" s="571"/>
      <c r="T614" s="571"/>
      <c r="U614" s="571"/>
      <c r="V614" s="571"/>
      <c r="W614" s="571"/>
      <c r="X614" s="571"/>
      <c r="Y614" s="571"/>
      <c r="Z614" s="571"/>
      <c r="AA614" s="571"/>
      <c r="AB614" s="571"/>
      <c r="AC614" s="571"/>
      <c r="AD614" s="571"/>
      <c r="AE614" s="571"/>
      <c r="AF614" s="571"/>
      <c r="AG614" s="571"/>
      <c r="AH614" s="571"/>
      <c r="AI614" s="571"/>
      <c r="AJ614" s="571"/>
      <c r="AK614" s="571"/>
      <c r="AL614" s="571"/>
      <c r="AM614" s="571"/>
      <c r="AN614" s="571"/>
      <c r="AO614" s="571"/>
    </row>
    <row r="615">
      <c r="G615" s="571"/>
      <c r="H615" s="571"/>
      <c r="I615" s="571"/>
      <c r="J615" s="571"/>
      <c r="K615" s="571"/>
      <c r="L615" s="571"/>
      <c r="M615" s="571"/>
      <c r="N615" s="571"/>
      <c r="O615" s="571"/>
      <c r="P615" s="571"/>
      <c r="Q615" s="571"/>
      <c r="R615" s="571"/>
      <c r="S615" s="571"/>
      <c r="T615" s="571"/>
      <c r="U615" s="571"/>
      <c r="V615" s="571"/>
      <c r="W615" s="571"/>
      <c r="X615" s="571"/>
      <c r="Y615" s="571"/>
      <c r="Z615" s="571"/>
      <c r="AA615" s="571"/>
      <c r="AB615" s="571"/>
      <c r="AC615" s="571"/>
      <c r="AD615" s="571"/>
      <c r="AE615" s="571"/>
      <c r="AF615" s="571"/>
      <c r="AG615" s="571"/>
      <c r="AH615" s="571"/>
      <c r="AI615" s="571"/>
      <c r="AJ615" s="571"/>
      <c r="AK615" s="571"/>
      <c r="AL615" s="571"/>
      <c r="AM615" s="571"/>
      <c r="AN615" s="571"/>
      <c r="AO615" s="571"/>
    </row>
    <row r="616">
      <c r="G616" s="571"/>
      <c r="H616" s="571"/>
      <c r="I616" s="571"/>
      <c r="J616" s="571"/>
      <c r="K616" s="571"/>
      <c r="L616" s="571"/>
      <c r="M616" s="571"/>
      <c r="N616" s="571"/>
      <c r="O616" s="571"/>
      <c r="P616" s="571"/>
      <c r="Q616" s="571"/>
      <c r="R616" s="571"/>
      <c r="S616" s="571"/>
      <c r="T616" s="571"/>
      <c r="U616" s="571"/>
      <c r="V616" s="571"/>
      <c r="W616" s="571"/>
      <c r="X616" s="571"/>
      <c r="Y616" s="571"/>
      <c r="Z616" s="571"/>
      <c r="AA616" s="571"/>
      <c r="AB616" s="571"/>
      <c r="AC616" s="571"/>
      <c r="AD616" s="571"/>
      <c r="AE616" s="571"/>
      <c r="AF616" s="571"/>
      <c r="AG616" s="571"/>
      <c r="AH616" s="571"/>
      <c r="AI616" s="571"/>
      <c r="AJ616" s="571"/>
      <c r="AK616" s="571"/>
      <c r="AL616" s="571"/>
      <c r="AM616" s="571"/>
      <c r="AN616" s="571"/>
      <c r="AO616" s="571"/>
    </row>
    <row r="617">
      <c r="G617" s="571"/>
      <c r="H617" s="571"/>
      <c r="I617" s="571"/>
      <c r="J617" s="571"/>
      <c r="K617" s="571"/>
      <c r="L617" s="571"/>
      <c r="M617" s="571"/>
      <c r="N617" s="571"/>
      <c r="O617" s="571"/>
      <c r="P617" s="571"/>
      <c r="Q617" s="571"/>
      <c r="R617" s="571"/>
      <c r="S617" s="571"/>
      <c r="T617" s="571"/>
      <c r="U617" s="571"/>
      <c r="V617" s="571"/>
      <c r="W617" s="571"/>
      <c r="X617" s="571"/>
      <c r="Y617" s="571"/>
      <c r="Z617" s="571"/>
      <c r="AA617" s="571"/>
      <c r="AB617" s="571"/>
      <c r="AC617" s="571"/>
      <c r="AD617" s="571"/>
      <c r="AE617" s="571"/>
      <c r="AF617" s="571"/>
      <c r="AG617" s="571"/>
      <c r="AH617" s="571"/>
      <c r="AI617" s="571"/>
      <c r="AJ617" s="571"/>
      <c r="AK617" s="571"/>
      <c r="AL617" s="571"/>
      <c r="AM617" s="571"/>
      <c r="AN617" s="571"/>
      <c r="AO617" s="571"/>
    </row>
    <row r="618">
      <c r="G618" s="571"/>
      <c r="H618" s="571"/>
      <c r="I618" s="571"/>
      <c r="J618" s="571"/>
      <c r="K618" s="571"/>
      <c r="L618" s="571"/>
      <c r="M618" s="571"/>
      <c r="N618" s="571"/>
      <c r="O618" s="571"/>
      <c r="P618" s="571"/>
      <c r="Q618" s="571"/>
      <c r="R618" s="571"/>
      <c r="S618" s="571"/>
      <c r="T618" s="571"/>
      <c r="U618" s="571"/>
      <c r="V618" s="571"/>
      <c r="W618" s="571"/>
      <c r="X618" s="571"/>
      <c r="Y618" s="571"/>
      <c r="Z618" s="571"/>
      <c r="AA618" s="571"/>
      <c r="AB618" s="571"/>
      <c r="AC618" s="571"/>
      <c r="AD618" s="571"/>
      <c r="AE618" s="571"/>
      <c r="AF618" s="571"/>
      <c r="AG618" s="571"/>
      <c r="AH618" s="571"/>
      <c r="AI618" s="571"/>
      <c r="AJ618" s="571"/>
      <c r="AK618" s="571"/>
      <c r="AL618" s="571"/>
      <c r="AM618" s="571"/>
      <c r="AN618" s="571"/>
      <c r="AO618" s="571"/>
    </row>
    <row r="619">
      <c r="G619" s="571"/>
      <c r="H619" s="571"/>
      <c r="I619" s="571"/>
      <c r="J619" s="571"/>
      <c r="K619" s="571"/>
      <c r="L619" s="571"/>
      <c r="M619" s="571"/>
      <c r="N619" s="571"/>
      <c r="O619" s="571"/>
      <c r="P619" s="571"/>
      <c r="Q619" s="571"/>
      <c r="R619" s="571"/>
      <c r="S619" s="571"/>
      <c r="T619" s="571"/>
      <c r="U619" s="571"/>
      <c r="V619" s="571"/>
      <c r="W619" s="571"/>
      <c r="X619" s="571"/>
      <c r="Y619" s="571"/>
      <c r="Z619" s="571"/>
      <c r="AA619" s="571"/>
      <c r="AB619" s="571"/>
      <c r="AC619" s="571"/>
      <c r="AD619" s="571"/>
      <c r="AE619" s="571"/>
      <c r="AF619" s="571"/>
      <c r="AG619" s="571"/>
      <c r="AH619" s="571"/>
      <c r="AI619" s="571"/>
      <c r="AJ619" s="571"/>
      <c r="AK619" s="571"/>
      <c r="AL619" s="571"/>
      <c r="AM619" s="571"/>
      <c r="AN619" s="571"/>
      <c r="AO619" s="571"/>
    </row>
    <row r="620">
      <c r="G620" s="571"/>
      <c r="H620" s="571"/>
      <c r="I620" s="571"/>
      <c r="J620" s="571"/>
      <c r="K620" s="571"/>
      <c r="L620" s="571"/>
      <c r="M620" s="571"/>
      <c r="N620" s="571"/>
      <c r="O620" s="571"/>
      <c r="P620" s="571"/>
      <c r="Q620" s="571"/>
      <c r="R620" s="571"/>
      <c r="S620" s="571"/>
      <c r="T620" s="571"/>
      <c r="U620" s="571"/>
      <c r="V620" s="571"/>
      <c r="W620" s="571"/>
      <c r="X620" s="571"/>
      <c r="Y620" s="571"/>
      <c r="Z620" s="571"/>
      <c r="AA620" s="571"/>
      <c r="AB620" s="571"/>
      <c r="AC620" s="571"/>
      <c r="AD620" s="571"/>
      <c r="AE620" s="571"/>
      <c r="AF620" s="571"/>
      <c r="AG620" s="571"/>
      <c r="AH620" s="571"/>
      <c r="AI620" s="571"/>
      <c r="AJ620" s="571"/>
      <c r="AK620" s="571"/>
      <c r="AL620" s="571"/>
      <c r="AM620" s="571"/>
      <c r="AN620" s="571"/>
      <c r="AO620" s="571"/>
    </row>
    <row r="621">
      <c r="G621" s="571"/>
      <c r="H621" s="571"/>
      <c r="I621" s="571"/>
      <c r="J621" s="571"/>
      <c r="K621" s="571"/>
      <c r="L621" s="571"/>
      <c r="M621" s="571"/>
      <c r="N621" s="571"/>
      <c r="O621" s="571"/>
      <c r="P621" s="571"/>
      <c r="Q621" s="571"/>
      <c r="R621" s="571"/>
      <c r="S621" s="571"/>
      <c r="T621" s="571"/>
      <c r="U621" s="571"/>
      <c r="V621" s="571"/>
      <c r="W621" s="571"/>
      <c r="X621" s="571"/>
      <c r="Y621" s="571"/>
      <c r="Z621" s="571"/>
      <c r="AA621" s="571"/>
      <c r="AB621" s="571"/>
      <c r="AC621" s="571"/>
      <c r="AD621" s="571"/>
      <c r="AE621" s="571"/>
      <c r="AF621" s="571"/>
      <c r="AG621" s="571"/>
      <c r="AH621" s="571"/>
      <c r="AI621" s="571"/>
      <c r="AJ621" s="571"/>
      <c r="AK621" s="571"/>
      <c r="AL621" s="571"/>
      <c r="AM621" s="571"/>
      <c r="AN621" s="571"/>
      <c r="AO621" s="571"/>
    </row>
    <row r="622">
      <c r="G622" s="571"/>
      <c r="H622" s="571"/>
      <c r="I622" s="571"/>
      <c r="J622" s="571"/>
      <c r="K622" s="571"/>
      <c r="L622" s="571"/>
      <c r="M622" s="571"/>
      <c r="N622" s="571"/>
      <c r="O622" s="571"/>
      <c r="P622" s="571"/>
      <c r="Q622" s="571"/>
      <c r="R622" s="571"/>
      <c r="S622" s="571"/>
      <c r="T622" s="571"/>
      <c r="U622" s="571"/>
      <c r="V622" s="571"/>
      <c r="W622" s="571"/>
      <c r="X622" s="571"/>
      <c r="Y622" s="571"/>
      <c r="Z622" s="571"/>
      <c r="AA622" s="571"/>
      <c r="AB622" s="571"/>
      <c r="AC622" s="571"/>
      <c r="AD622" s="571"/>
      <c r="AE622" s="571"/>
      <c r="AF622" s="571"/>
      <c r="AG622" s="571"/>
      <c r="AH622" s="571"/>
      <c r="AI622" s="571"/>
      <c r="AJ622" s="571"/>
      <c r="AK622" s="571"/>
      <c r="AL622" s="571"/>
      <c r="AM622" s="571"/>
      <c r="AN622" s="571"/>
      <c r="AO622" s="571"/>
    </row>
    <row r="623">
      <c r="G623" s="571"/>
      <c r="H623" s="571"/>
      <c r="I623" s="571"/>
      <c r="J623" s="571"/>
      <c r="K623" s="571"/>
      <c r="L623" s="571"/>
      <c r="M623" s="571"/>
      <c r="N623" s="571"/>
      <c r="O623" s="571"/>
      <c r="P623" s="571"/>
      <c r="Q623" s="571"/>
      <c r="R623" s="571"/>
      <c r="S623" s="571"/>
      <c r="T623" s="571"/>
      <c r="U623" s="571"/>
      <c r="V623" s="571"/>
      <c r="W623" s="571"/>
      <c r="X623" s="571"/>
      <c r="Y623" s="571"/>
      <c r="Z623" s="571"/>
      <c r="AA623" s="571"/>
      <c r="AB623" s="571"/>
      <c r="AC623" s="571"/>
      <c r="AD623" s="571"/>
      <c r="AE623" s="571"/>
      <c r="AF623" s="571"/>
      <c r="AG623" s="571"/>
      <c r="AH623" s="571"/>
      <c r="AI623" s="571"/>
      <c r="AJ623" s="571"/>
      <c r="AK623" s="571"/>
      <c r="AL623" s="571"/>
      <c r="AM623" s="571"/>
      <c r="AN623" s="571"/>
      <c r="AO623" s="571"/>
    </row>
    <row r="624">
      <c r="G624" s="571"/>
      <c r="H624" s="571"/>
      <c r="I624" s="571"/>
      <c r="J624" s="571"/>
      <c r="K624" s="571"/>
      <c r="L624" s="571"/>
      <c r="M624" s="571"/>
      <c r="N624" s="571"/>
      <c r="O624" s="571"/>
      <c r="P624" s="571"/>
      <c r="Q624" s="571"/>
      <c r="R624" s="571"/>
      <c r="S624" s="571"/>
      <c r="T624" s="571"/>
      <c r="U624" s="571"/>
      <c r="V624" s="571"/>
      <c r="W624" s="571"/>
      <c r="X624" s="571"/>
      <c r="Y624" s="571"/>
      <c r="Z624" s="571"/>
      <c r="AA624" s="571"/>
      <c r="AB624" s="571"/>
      <c r="AC624" s="571"/>
      <c r="AD624" s="571"/>
      <c r="AE624" s="571"/>
      <c r="AF624" s="571"/>
      <c r="AG624" s="571"/>
      <c r="AH624" s="571"/>
      <c r="AI624" s="571"/>
      <c r="AJ624" s="571"/>
      <c r="AK624" s="571"/>
      <c r="AL624" s="571"/>
      <c r="AM624" s="571"/>
      <c r="AN624" s="571"/>
      <c r="AO624" s="571"/>
    </row>
    <row r="625">
      <c r="G625" s="571"/>
      <c r="H625" s="571"/>
      <c r="I625" s="571"/>
      <c r="J625" s="571"/>
      <c r="K625" s="571"/>
      <c r="L625" s="571"/>
      <c r="M625" s="571"/>
      <c r="N625" s="571"/>
      <c r="O625" s="571"/>
      <c r="P625" s="571"/>
      <c r="Q625" s="571"/>
      <c r="R625" s="571"/>
      <c r="S625" s="571"/>
      <c r="T625" s="571"/>
      <c r="U625" s="571"/>
      <c r="V625" s="571"/>
      <c r="W625" s="571"/>
      <c r="X625" s="571"/>
      <c r="Y625" s="571"/>
      <c r="Z625" s="571"/>
      <c r="AA625" s="571"/>
      <c r="AB625" s="571"/>
      <c r="AC625" s="571"/>
      <c r="AD625" s="571"/>
      <c r="AE625" s="571"/>
      <c r="AF625" s="571"/>
      <c r="AG625" s="571"/>
      <c r="AH625" s="571"/>
      <c r="AI625" s="571"/>
      <c r="AJ625" s="571"/>
      <c r="AK625" s="571"/>
      <c r="AL625" s="571"/>
      <c r="AM625" s="571"/>
      <c r="AN625" s="571"/>
      <c r="AO625" s="571"/>
    </row>
    <row r="626">
      <c r="G626" s="571"/>
      <c r="H626" s="571"/>
      <c r="I626" s="571"/>
      <c r="J626" s="571"/>
      <c r="K626" s="571"/>
      <c r="L626" s="571"/>
      <c r="M626" s="571"/>
      <c r="N626" s="571"/>
      <c r="O626" s="571"/>
      <c r="P626" s="571"/>
      <c r="Q626" s="571"/>
      <c r="R626" s="571"/>
      <c r="S626" s="571"/>
      <c r="T626" s="571"/>
      <c r="U626" s="571"/>
      <c r="V626" s="571"/>
      <c r="W626" s="571"/>
      <c r="X626" s="571"/>
      <c r="Y626" s="571"/>
      <c r="Z626" s="571"/>
      <c r="AA626" s="571"/>
      <c r="AB626" s="571"/>
      <c r="AC626" s="571"/>
      <c r="AD626" s="571"/>
      <c r="AE626" s="571"/>
      <c r="AF626" s="571"/>
      <c r="AG626" s="571"/>
      <c r="AH626" s="571"/>
      <c r="AI626" s="571"/>
      <c r="AJ626" s="571"/>
      <c r="AK626" s="571"/>
      <c r="AL626" s="571"/>
      <c r="AM626" s="571"/>
      <c r="AN626" s="571"/>
      <c r="AO626" s="571"/>
    </row>
    <row r="627">
      <c r="G627" s="571"/>
      <c r="H627" s="571"/>
      <c r="I627" s="571"/>
      <c r="J627" s="571"/>
      <c r="K627" s="571"/>
      <c r="L627" s="571"/>
      <c r="M627" s="571"/>
      <c r="N627" s="571"/>
      <c r="O627" s="571"/>
      <c r="P627" s="571"/>
      <c r="Q627" s="571"/>
      <c r="R627" s="571"/>
      <c r="S627" s="571"/>
      <c r="T627" s="571"/>
      <c r="U627" s="571"/>
      <c r="V627" s="571"/>
      <c r="W627" s="571"/>
      <c r="X627" s="571"/>
      <c r="Y627" s="571"/>
      <c r="Z627" s="571"/>
      <c r="AA627" s="571"/>
      <c r="AB627" s="571"/>
      <c r="AC627" s="571"/>
      <c r="AD627" s="571"/>
      <c r="AE627" s="571"/>
      <c r="AF627" s="571"/>
      <c r="AG627" s="571"/>
      <c r="AH627" s="571"/>
      <c r="AI627" s="571"/>
      <c r="AJ627" s="571"/>
      <c r="AK627" s="571"/>
      <c r="AL627" s="571"/>
      <c r="AM627" s="571"/>
      <c r="AN627" s="571"/>
      <c r="AO627" s="571"/>
    </row>
    <row r="628">
      <c r="G628" s="571"/>
      <c r="H628" s="571"/>
      <c r="I628" s="571"/>
      <c r="J628" s="571"/>
      <c r="K628" s="571"/>
      <c r="L628" s="571"/>
      <c r="M628" s="571"/>
      <c r="N628" s="571"/>
      <c r="O628" s="571"/>
      <c r="P628" s="571"/>
      <c r="Q628" s="571"/>
      <c r="R628" s="571"/>
      <c r="S628" s="571"/>
      <c r="T628" s="571"/>
      <c r="U628" s="571"/>
      <c r="V628" s="571"/>
      <c r="W628" s="571"/>
      <c r="X628" s="571"/>
      <c r="Y628" s="571"/>
      <c r="Z628" s="571"/>
      <c r="AA628" s="571"/>
      <c r="AB628" s="571"/>
      <c r="AC628" s="571"/>
      <c r="AD628" s="571"/>
      <c r="AE628" s="571"/>
      <c r="AF628" s="571"/>
      <c r="AG628" s="571"/>
      <c r="AH628" s="571"/>
      <c r="AI628" s="571"/>
      <c r="AJ628" s="571"/>
      <c r="AK628" s="571"/>
      <c r="AL628" s="571"/>
      <c r="AM628" s="571"/>
      <c r="AN628" s="571"/>
      <c r="AO628" s="571"/>
    </row>
    <row r="629">
      <c r="G629" s="571"/>
      <c r="H629" s="571"/>
      <c r="I629" s="571"/>
      <c r="J629" s="571"/>
      <c r="K629" s="571"/>
      <c r="L629" s="571"/>
      <c r="M629" s="571"/>
      <c r="N629" s="571"/>
      <c r="O629" s="571"/>
      <c r="P629" s="571"/>
      <c r="Q629" s="571"/>
      <c r="R629" s="571"/>
      <c r="S629" s="571"/>
      <c r="T629" s="571"/>
      <c r="U629" s="571"/>
      <c r="V629" s="571"/>
      <c r="W629" s="571"/>
      <c r="X629" s="571"/>
      <c r="Y629" s="571"/>
      <c r="Z629" s="571"/>
      <c r="AA629" s="571"/>
      <c r="AB629" s="571"/>
      <c r="AC629" s="571"/>
      <c r="AD629" s="571"/>
      <c r="AE629" s="571"/>
      <c r="AF629" s="571"/>
      <c r="AG629" s="571"/>
      <c r="AH629" s="571"/>
      <c r="AI629" s="571"/>
      <c r="AJ629" s="571"/>
      <c r="AK629" s="571"/>
      <c r="AL629" s="571"/>
      <c r="AM629" s="571"/>
      <c r="AN629" s="571"/>
      <c r="AO629" s="571"/>
    </row>
    <row r="630">
      <c r="G630" s="571"/>
      <c r="H630" s="571"/>
      <c r="I630" s="571"/>
      <c r="J630" s="571"/>
      <c r="K630" s="571"/>
      <c r="L630" s="571"/>
      <c r="M630" s="571"/>
      <c r="N630" s="571"/>
      <c r="O630" s="571"/>
      <c r="P630" s="571"/>
      <c r="Q630" s="571"/>
      <c r="R630" s="571"/>
      <c r="S630" s="571"/>
      <c r="T630" s="571"/>
      <c r="U630" s="571"/>
      <c r="V630" s="571"/>
      <c r="W630" s="571"/>
      <c r="X630" s="571"/>
      <c r="Y630" s="571"/>
      <c r="Z630" s="571"/>
      <c r="AA630" s="571"/>
      <c r="AB630" s="571"/>
      <c r="AC630" s="571"/>
      <c r="AD630" s="571"/>
      <c r="AE630" s="571"/>
      <c r="AF630" s="571"/>
      <c r="AG630" s="571"/>
      <c r="AH630" s="571"/>
      <c r="AI630" s="571"/>
      <c r="AJ630" s="571"/>
      <c r="AK630" s="571"/>
      <c r="AL630" s="571"/>
      <c r="AM630" s="571"/>
      <c r="AN630" s="571"/>
      <c r="AO630" s="571"/>
    </row>
    <row r="631">
      <c r="G631" s="571"/>
      <c r="H631" s="571"/>
      <c r="I631" s="571"/>
      <c r="J631" s="571"/>
      <c r="K631" s="571"/>
      <c r="L631" s="571"/>
      <c r="M631" s="571"/>
      <c r="N631" s="571"/>
      <c r="O631" s="571"/>
      <c r="P631" s="571"/>
      <c r="Q631" s="571"/>
      <c r="R631" s="571"/>
      <c r="S631" s="571"/>
      <c r="T631" s="571"/>
      <c r="U631" s="571"/>
      <c r="V631" s="571"/>
      <c r="W631" s="571"/>
      <c r="X631" s="571"/>
      <c r="Y631" s="571"/>
      <c r="Z631" s="571"/>
      <c r="AA631" s="571"/>
      <c r="AB631" s="571"/>
      <c r="AC631" s="571"/>
      <c r="AD631" s="571"/>
      <c r="AE631" s="571"/>
      <c r="AF631" s="571"/>
      <c r="AG631" s="571"/>
      <c r="AH631" s="571"/>
      <c r="AI631" s="571"/>
      <c r="AJ631" s="571"/>
      <c r="AK631" s="571"/>
      <c r="AL631" s="571"/>
      <c r="AM631" s="571"/>
      <c r="AN631" s="571"/>
      <c r="AO631" s="571"/>
    </row>
    <row r="632">
      <c r="G632" s="571"/>
      <c r="H632" s="571"/>
      <c r="I632" s="571"/>
      <c r="J632" s="571"/>
      <c r="K632" s="571"/>
      <c r="L632" s="571"/>
      <c r="M632" s="571"/>
      <c r="N632" s="571"/>
      <c r="O632" s="571"/>
      <c r="P632" s="571"/>
      <c r="Q632" s="571"/>
      <c r="R632" s="571"/>
      <c r="S632" s="571"/>
      <c r="T632" s="571"/>
      <c r="U632" s="571"/>
      <c r="V632" s="571"/>
      <c r="W632" s="571"/>
      <c r="X632" s="571"/>
      <c r="Y632" s="571"/>
      <c r="Z632" s="571"/>
      <c r="AA632" s="571"/>
      <c r="AB632" s="571"/>
      <c r="AC632" s="571"/>
      <c r="AD632" s="571"/>
      <c r="AE632" s="571"/>
      <c r="AF632" s="571"/>
      <c r="AG632" s="571"/>
      <c r="AH632" s="571"/>
      <c r="AI632" s="571"/>
      <c r="AJ632" s="571"/>
      <c r="AK632" s="571"/>
      <c r="AL632" s="571"/>
      <c r="AM632" s="571"/>
      <c r="AN632" s="571"/>
      <c r="AO632" s="571"/>
    </row>
    <row r="633">
      <c r="G633" s="571"/>
      <c r="H633" s="571"/>
      <c r="I633" s="571"/>
      <c r="J633" s="571"/>
      <c r="K633" s="571"/>
      <c r="L633" s="571"/>
      <c r="M633" s="571"/>
      <c r="N633" s="571"/>
      <c r="O633" s="571"/>
      <c r="P633" s="571"/>
      <c r="Q633" s="571"/>
      <c r="R633" s="571"/>
      <c r="S633" s="571"/>
      <c r="T633" s="571"/>
      <c r="U633" s="571"/>
      <c r="V633" s="571"/>
      <c r="W633" s="571"/>
      <c r="X633" s="571"/>
      <c r="Y633" s="571"/>
      <c r="Z633" s="571"/>
      <c r="AA633" s="571"/>
      <c r="AB633" s="571"/>
      <c r="AC633" s="571"/>
      <c r="AD633" s="571"/>
      <c r="AE633" s="571"/>
      <c r="AF633" s="571"/>
      <c r="AG633" s="571"/>
      <c r="AH633" s="571"/>
      <c r="AI633" s="571"/>
      <c r="AJ633" s="571"/>
      <c r="AK633" s="571"/>
      <c r="AL633" s="571"/>
      <c r="AM633" s="571"/>
      <c r="AN633" s="571"/>
      <c r="AO633" s="571"/>
    </row>
    <row r="634">
      <c r="G634" s="571"/>
      <c r="H634" s="571"/>
      <c r="I634" s="571"/>
      <c r="J634" s="571"/>
      <c r="K634" s="571"/>
      <c r="L634" s="571"/>
      <c r="M634" s="571"/>
      <c r="N634" s="571"/>
      <c r="O634" s="571"/>
      <c r="P634" s="571"/>
      <c r="Q634" s="571"/>
      <c r="R634" s="571"/>
      <c r="S634" s="571"/>
      <c r="T634" s="571"/>
      <c r="U634" s="571"/>
      <c r="V634" s="571"/>
      <c r="W634" s="571"/>
      <c r="X634" s="571"/>
      <c r="Y634" s="571"/>
      <c r="Z634" s="571"/>
      <c r="AA634" s="571"/>
      <c r="AB634" s="571"/>
      <c r="AC634" s="571"/>
      <c r="AD634" s="571"/>
      <c r="AE634" s="571"/>
      <c r="AF634" s="571"/>
      <c r="AG634" s="571"/>
      <c r="AH634" s="571"/>
      <c r="AI634" s="571"/>
      <c r="AJ634" s="571"/>
      <c r="AK634" s="571"/>
      <c r="AL634" s="571"/>
      <c r="AM634" s="571"/>
      <c r="AN634" s="571"/>
      <c r="AO634" s="571"/>
    </row>
    <row r="635">
      <c r="G635" s="571"/>
      <c r="H635" s="571"/>
      <c r="I635" s="571"/>
      <c r="J635" s="571"/>
      <c r="K635" s="571"/>
      <c r="L635" s="571"/>
      <c r="M635" s="571"/>
      <c r="N635" s="571"/>
      <c r="O635" s="571"/>
      <c r="P635" s="571"/>
      <c r="Q635" s="571"/>
      <c r="R635" s="571"/>
      <c r="S635" s="571"/>
      <c r="T635" s="571"/>
      <c r="U635" s="571"/>
      <c r="V635" s="571"/>
      <c r="W635" s="571"/>
      <c r="X635" s="571"/>
      <c r="Y635" s="571"/>
      <c r="Z635" s="571"/>
      <c r="AA635" s="571"/>
      <c r="AB635" s="571"/>
      <c r="AC635" s="571"/>
      <c r="AD635" s="571"/>
      <c r="AE635" s="571"/>
      <c r="AF635" s="571"/>
      <c r="AG635" s="571"/>
      <c r="AH635" s="571"/>
      <c r="AI635" s="571"/>
      <c r="AJ635" s="571"/>
      <c r="AK635" s="571"/>
      <c r="AL635" s="571"/>
      <c r="AM635" s="571"/>
      <c r="AN635" s="571"/>
      <c r="AO635" s="571"/>
    </row>
    <row r="636">
      <c r="G636" s="571"/>
      <c r="H636" s="571"/>
      <c r="I636" s="571"/>
      <c r="J636" s="571"/>
      <c r="K636" s="571"/>
      <c r="L636" s="571"/>
      <c r="M636" s="571"/>
      <c r="N636" s="571"/>
      <c r="O636" s="571"/>
      <c r="P636" s="571"/>
      <c r="Q636" s="571"/>
      <c r="R636" s="571"/>
      <c r="S636" s="571"/>
      <c r="T636" s="571"/>
      <c r="U636" s="571"/>
      <c r="V636" s="571"/>
      <c r="W636" s="571"/>
      <c r="X636" s="571"/>
      <c r="Y636" s="571"/>
      <c r="Z636" s="571"/>
      <c r="AA636" s="571"/>
      <c r="AB636" s="571"/>
      <c r="AC636" s="571"/>
      <c r="AD636" s="571"/>
      <c r="AE636" s="571"/>
      <c r="AF636" s="571"/>
      <c r="AG636" s="571"/>
      <c r="AH636" s="571"/>
      <c r="AI636" s="571"/>
      <c r="AJ636" s="571"/>
      <c r="AK636" s="571"/>
      <c r="AL636" s="571"/>
      <c r="AM636" s="571"/>
      <c r="AN636" s="571"/>
      <c r="AO636" s="571"/>
    </row>
    <row r="637">
      <c r="G637" s="571"/>
      <c r="H637" s="571"/>
      <c r="I637" s="571"/>
      <c r="J637" s="571"/>
      <c r="K637" s="571"/>
      <c r="L637" s="571"/>
      <c r="M637" s="571"/>
      <c r="N637" s="571"/>
      <c r="O637" s="571"/>
      <c r="P637" s="571"/>
      <c r="Q637" s="571"/>
      <c r="R637" s="571"/>
      <c r="S637" s="571"/>
      <c r="T637" s="571"/>
      <c r="U637" s="571"/>
      <c r="V637" s="571"/>
      <c r="W637" s="571"/>
      <c r="X637" s="571"/>
      <c r="Y637" s="571"/>
      <c r="Z637" s="571"/>
      <c r="AA637" s="571"/>
      <c r="AB637" s="571"/>
      <c r="AC637" s="571"/>
      <c r="AD637" s="571"/>
      <c r="AE637" s="571"/>
      <c r="AF637" s="571"/>
      <c r="AG637" s="571"/>
      <c r="AH637" s="571"/>
      <c r="AI637" s="571"/>
      <c r="AJ637" s="571"/>
      <c r="AK637" s="571"/>
      <c r="AL637" s="571"/>
      <c r="AM637" s="571"/>
      <c r="AN637" s="571"/>
      <c r="AO637" s="571"/>
    </row>
    <row r="638">
      <c r="G638" s="571"/>
      <c r="H638" s="571"/>
      <c r="I638" s="571"/>
      <c r="J638" s="571"/>
      <c r="K638" s="571"/>
      <c r="L638" s="571"/>
      <c r="M638" s="571"/>
      <c r="N638" s="571"/>
      <c r="O638" s="571"/>
      <c r="P638" s="571"/>
      <c r="Q638" s="571"/>
      <c r="R638" s="571"/>
      <c r="S638" s="571"/>
      <c r="T638" s="571"/>
      <c r="U638" s="571"/>
      <c r="V638" s="571"/>
      <c r="W638" s="571"/>
      <c r="X638" s="571"/>
      <c r="Y638" s="571"/>
      <c r="Z638" s="571"/>
      <c r="AA638" s="571"/>
      <c r="AB638" s="571"/>
      <c r="AC638" s="571"/>
      <c r="AD638" s="571"/>
      <c r="AE638" s="571"/>
      <c r="AF638" s="571"/>
      <c r="AG638" s="571"/>
      <c r="AH638" s="571"/>
      <c r="AI638" s="571"/>
      <c r="AJ638" s="571"/>
      <c r="AK638" s="571"/>
      <c r="AL638" s="571"/>
      <c r="AM638" s="571"/>
      <c r="AN638" s="571"/>
      <c r="AO638" s="571"/>
    </row>
    <row r="639">
      <c r="G639" s="571"/>
      <c r="H639" s="571"/>
      <c r="I639" s="571"/>
      <c r="J639" s="571"/>
      <c r="K639" s="571"/>
      <c r="L639" s="571"/>
      <c r="M639" s="571"/>
      <c r="N639" s="571"/>
      <c r="O639" s="571"/>
      <c r="P639" s="571"/>
      <c r="Q639" s="571"/>
      <c r="R639" s="571"/>
      <c r="S639" s="571"/>
      <c r="T639" s="571"/>
      <c r="U639" s="571"/>
      <c r="V639" s="571"/>
      <c r="W639" s="571"/>
      <c r="X639" s="571"/>
      <c r="Y639" s="571"/>
      <c r="Z639" s="571"/>
      <c r="AA639" s="571"/>
      <c r="AB639" s="571"/>
      <c r="AC639" s="571"/>
      <c r="AD639" s="571"/>
      <c r="AE639" s="571"/>
      <c r="AF639" s="571"/>
      <c r="AG639" s="571"/>
      <c r="AH639" s="571"/>
      <c r="AI639" s="571"/>
      <c r="AJ639" s="571"/>
      <c r="AK639" s="571"/>
      <c r="AL639" s="571"/>
      <c r="AM639" s="571"/>
      <c r="AN639" s="571"/>
      <c r="AO639" s="571"/>
    </row>
    <row r="640">
      <c r="G640" s="571"/>
      <c r="H640" s="571"/>
      <c r="I640" s="571"/>
      <c r="J640" s="571"/>
      <c r="K640" s="571"/>
      <c r="L640" s="571"/>
      <c r="M640" s="571"/>
      <c r="N640" s="571"/>
      <c r="O640" s="571"/>
      <c r="P640" s="571"/>
      <c r="Q640" s="571"/>
      <c r="R640" s="571"/>
      <c r="S640" s="571"/>
      <c r="T640" s="571"/>
      <c r="U640" s="571"/>
      <c r="V640" s="571"/>
      <c r="W640" s="571"/>
      <c r="X640" s="571"/>
      <c r="Y640" s="571"/>
      <c r="Z640" s="571"/>
      <c r="AA640" s="571"/>
      <c r="AB640" s="571"/>
      <c r="AC640" s="571"/>
      <c r="AD640" s="571"/>
      <c r="AE640" s="571"/>
      <c r="AF640" s="571"/>
      <c r="AG640" s="571"/>
      <c r="AH640" s="571"/>
      <c r="AI640" s="571"/>
      <c r="AJ640" s="571"/>
      <c r="AK640" s="571"/>
      <c r="AL640" s="571"/>
      <c r="AM640" s="571"/>
      <c r="AN640" s="571"/>
      <c r="AO640" s="571"/>
    </row>
    <row r="641">
      <c r="G641" s="571"/>
      <c r="H641" s="571"/>
      <c r="I641" s="571"/>
      <c r="J641" s="571"/>
      <c r="K641" s="571"/>
      <c r="L641" s="571"/>
      <c r="M641" s="571"/>
      <c r="N641" s="571"/>
      <c r="O641" s="571"/>
      <c r="P641" s="571"/>
      <c r="Q641" s="571"/>
      <c r="R641" s="571"/>
      <c r="S641" s="571"/>
      <c r="T641" s="571"/>
      <c r="U641" s="571"/>
      <c r="V641" s="571"/>
      <c r="W641" s="571"/>
      <c r="X641" s="571"/>
      <c r="Y641" s="571"/>
      <c r="Z641" s="571"/>
      <c r="AA641" s="571"/>
      <c r="AB641" s="571"/>
      <c r="AC641" s="571"/>
      <c r="AD641" s="571"/>
      <c r="AE641" s="571"/>
      <c r="AF641" s="571"/>
      <c r="AG641" s="571"/>
      <c r="AH641" s="571"/>
      <c r="AI641" s="571"/>
      <c r="AJ641" s="571"/>
      <c r="AK641" s="571"/>
      <c r="AL641" s="571"/>
      <c r="AM641" s="571"/>
      <c r="AN641" s="571"/>
      <c r="AO641" s="571"/>
    </row>
    <row r="642">
      <c r="G642" s="571"/>
      <c r="H642" s="571"/>
      <c r="I642" s="571"/>
      <c r="J642" s="571"/>
      <c r="K642" s="571"/>
      <c r="L642" s="571"/>
      <c r="M642" s="571"/>
      <c r="N642" s="571"/>
      <c r="O642" s="571"/>
      <c r="P642" s="571"/>
      <c r="Q642" s="571"/>
      <c r="R642" s="571"/>
      <c r="S642" s="571"/>
      <c r="T642" s="571"/>
      <c r="U642" s="571"/>
      <c r="V642" s="571"/>
      <c r="W642" s="571"/>
      <c r="X642" s="571"/>
      <c r="Y642" s="571"/>
      <c r="Z642" s="571"/>
      <c r="AA642" s="571"/>
      <c r="AB642" s="571"/>
      <c r="AC642" s="571"/>
      <c r="AD642" s="571"/>
      <c r="AE642" s="571"/>
      <c r="AF642" s="571"/>
      <c r="AG642" s="571"/>
      <c r="AH642" s="571"/>
      <c r="AI642" s="571"/>
      <c r="AJ642" s="571"/>
      <c r="AK642" s="571"/>
      <c r="AL642" s="571"/>
      <c r="AM642" s="571"/>
      <c r="AN642" s="571"/>
      <c r="AO642" s="571"/>
    </row>
    <row r="643">
      <c r="G643" s="571"/>
      <c r="H643" s="571"/>
      <c r="I643" s="571"/>
      <c r="J643" s="571"/>
      <c r="K643" s="571"/>
      <c r="L643" s="571"/>
      <c r="M643" s="571"/>
      <c r="N643" s="571"/>
      <c r="O643" s="571"/>
      <c r="P643" s="571"/>
      <c r="Q643" s="571"/>
      <c r="R643" s="571"/>
      <c r="S643" s="571"/>
      <c r="T643" s="571"/>
      <c r="U643" s="571"/>
      <c r="V643" s="571"/>
      <c r="W643" s="571"/>
      <c r="X643" s="571"/>
      <c r="Y643" s="571"/>
      <c r="Z643" s="571"/>
      <c r="AA643" s="571"/>
      <c r="AB643" s="571"/>
      <c r="AC643" s="571"/>
      <c r="AD643" s="571"/>
      <c r="AE643" s="571"/>
      <c r="AF643" s="571"/>
      <c r="AG643" s="571"/>
      <c r="AH643" s="571"/>
      <c r="AI643" s="571"/>
      <c r="AJ643" s="571"/>
      <c r="AK643" s="571"/>
      <c r="AL643" s="571"/>
      <c r="AM643" s="571"/>
      <c r="AN643" s="571"/>
      <c r="AO643" s="571"/>
    </row>
    <row r="644">
      <c r="G644" s="571"/>
      <c r="H644" s="571"/>
      <c r="I644" s="571"/>
      <c r="J644" s="571"/>
      <c r="K644" s="571"/>
      <c r="L644" s="571"/>
      <c r="M644" s="571"/>
      <c r="N644" s="571"/>
      <c r="O644" s="571"/>
      <c r="P644" s="571"/>
      <c r="Q644" s="571"/>
      <c r="R644" s="571"/>
      <c r="S644" s="571"/>
      <c r="T644" s="571"/>
      <c r="U644" s="571"/>
      <c r="V644" s="571"/>
      <c r="W644" s="571"/>
      <c r="X644" s="571"/>
      <c r="Y644" s="571"/>
      <c r="Z644" s="571"/>
      <c r="AA644" s="571"/>
      <c r="AB644" s="571"/>
      <c r="AC644" s="571"/>
      <c r="AD644" s="571"/>
      <c r="AE644" s="571"/>
      <c r="AF644" s="571"/>
      <c r="AG644" s="571"/>
      <c r="AH644" s="571"/>
      <c r="AI644" s="571"/>
      <c r="AJ644" s="571"/>
      <c r="AK644" s="571"/>
      <c r="AL644" s="571"/>
      <c r="AM644" s="571"/>
      <c r="AN644" s="571"/>
      <c r="AO644" s="571"/>
    </row>
    <row r="645">
      <c r="G645" s="571"/>
      <c r="H645" s="571"/>
      <c r="I645" s="571"/>
      <c r="J645" s="571"/>
      <c r="K645" s="571"/>
      <c r="L645" s="571"/>
      <c r="M645" s="571"/>
      <c r="N645" s="571"/>
      <c r="O645" s="571"/>
      <c r="P645" s="571"/>
      <c r="Q645" s="571"/>
      <c r="R645" s="571"/>
      <c r="S645" s="571"/>
      <c r="T645" s="571"/>
      <c r="U645" s="571"/>
      <c r="V645" s="571"/>
      <c r="W645" s="571"/>
      <c r="X645" s="571"/>
      <c r="Y645" s="571"/>
      <c r="Z645" s="571"/>
      <c r="AA645" s="571"/>
      <c r="AB645" s="571"/>
      <c r="AC645" s="571"/>
      <c r="AD645" s="571"/>
      <c r="AE645" s="571"/>
      <c r="AF645" s="571"/>
      <c r="AG645" s="571"/>
      <c r="AH645" s="571"/>
      <c r="AI645" s="571"/>
      <c r="AJ645" s="571"/>
      <c r="AK645" s="571"/>
      <c r="AL645" s="571"/>
      <c r="AM645" s="571"/>
      <c r="AN645" s="571"/>
      <c r="AO645" s="571"/>
    </row>
    <row r="646">
      <c r="G646" s="571"/>
      <c r="H646" s="571"/>
      <c r="I646" s="571"/>
      <c r="J646" s="571"/>
      <c r="K646" s="571"/>
      <c r="L646" s="571"/>
      <c r="M646" s="571"/>
      <c r="N646" s="571"/>
      <c r="O646" s="571"/>
      <c r="P646" s="571"/>
      <c r="Q646" s="571"/>
      <c r="R646" s="571"/>
      <c r="S646" s="571"/>
      <c r="T646" s="571"/>
      <c r="U646" s="571"/>
      <c r="V646" s="571"/>
      <c r="W646" s="571"/>
      <c r="X646" s="571"/>
      <c r="Y646" s="571"/>
      <c r="Z646" s="571"/>
      <c r="AA646" s="571"/>
      <c r="AB646" s="571"/>
      <c r="AC646" s="571"/>
      <c r="AD646" s="571"/>
      <c r="AE646" s="571"/>
      <c r="AF646" s="571"/>
      <c r="AG646" s="571"/>
      <c r="AH646" s="571"/>
      <c r="AI646" s="571"/>
      <c r="AJ646" s="571"/>
      <c r="AK646" s="571"/>
      <c r="AL646" s="571"/>
      <c r="AM646" s="571"/>
      <c r="AN646" s="571"/>
      <c r="AO646" s="571"/>
    </row>
    <row r="647">
      <c r="G647" s="571"/>
      <c r="H647" s="571"/>
      <c r="I647" s="571"/>
      <c r="J647" s="571"/>
      <c r="K647" s="571"/>
      <c r="L647" s="571"/>
      <c r="M647" s="571"/>
      <c r="N647" s="571"/>
      <c r="O647" s="571"/>
      <c r="P647" s="571"/>
      <c r="Q647" s="571"/>
      <c r="R647" s="571"/>
      <c r="S647" s="571"/>
      <c r="T647" s="571"/>
      <c r="U647" s="571"/>
      <c r="V647" s="571"/>
      <c r="W647" s="571"/>
      <c r="X647" s="571"/>
      <c r="Y647" s="571"/>
      <c r="Z647" s="571"/>
      <c r="AA647" s="571"/>
      <c r="AB647" s="571"/>
      <c r="AC647" s="571"/>
      <c r="AD647" s="571"/>
      <c r="AE647" s="571"/>
      <c r="AF647" s="571"/>
      <c r="AG647" s="571"/>
      <c r="AH647" s="571"/>
      <c r="AI647" s="571"/>
      <c r="AJ647" s="571"/>
      <c r="AK647" s="571"/>
      <c r="AL647" s="571"/>
      <c r="AM647" s="571"/>
      <c r="AN647" s="571"/>
      <c r="AO647" s="571"/>
    </row>
    <row r="648">
      <c r="G648" s="571"/>
      <c r="H648" s="571"/>
      <c r="I648" s="571"/>
      <c r="J648" s="571"/>
      <c r="K648" s="571"/>
      <c r="L648" s="571"/>
      <c r="M648" s="571"/>
      <c r="N648" s="571"/>
      <c r="O648" s="571"/>
      <c r="P648" s="571"/>
      <c r="Q648" s="571"/>
      <c r="R648" s="571"/>
      <c r="S648" s="571"/>
      <c r="T648" s="571"/>
      <c r="U648" s="571"/>
      <c r="V648" s="571"/>
      <c r="W648" s="571"/>
      <c r="X648" s="571"/>
      <c r="Y648" s="571"/>
      <c r="Z648" s="571"/>
      <c r="AA648" s="571"/>
      <c r="AB648" s="571"/>
      <c r="AC648" s="571"/>
      <c r="AD648" s="571"/>
      <c r="AE648" s="571"/>
      <c r="AF648" s="571"/>
      <c r="AG648" s="571"/>
      <c r="AH648" s="571"/>
      <c r="AI648" s="571"/>
      <c r="AJ648" s="571"/>
      <c r="AK648" s="571"/>
      <c r="AL648" s="571"/>
      <c r="AM648" s="571"/>
      <c r="AN648" s="571"/>
      <c r="AO648" s="571"/>
    </row>
    <row r="649">
      <c r="G649" s="571"/>
      <c r="H649" s="571"/>
      <c r="I649" s="571"/>
      <c r="J649" s="571"/>
      <c r="K649" s="571"/>
      <c r="L649" s="571"/>
      <c r="M649" s="571"/>
      <c r="N649" s="571"/>
      <c r="O649" s="571"/>
      <c r="P649" s="571"/>
      <c r="Q649" s="571"/>
      <c r="R649" s="571"/>
      <c r="S649" s="571"/>
      <c r="T649" s="571"/>
      <c r="U649" s="571"/>
      <c r="V649" s="571"/>
      <c r="W649" s="571"/>
      <c r="X649" s="571"/>
      <c r="Y649" s="571"/>
      <c r="Z649" s="571"/>
      <c r="AA649" s="571"/>
      <c r="AB649" s="571"/>
      <c r="AC649" s="571"/>
      <c r="AD649" s="571"/>
      <c r="AE649" s="571"/>
      <c r="AF649" s="571"/>
      <c r="AG649" s="571"/>
      <c r="AH649" s="571"/>
      <c r="AI649" s="571"/>
      <c r="AJ649" s="571"/>
      <c r="AK649" s="571"/>
      <c r="AL649" s="571"/>
      <c r="AM649" s="571"/>
      <c r="AN649" s="571"/>
      <c r="AO649" s="571"/>
    </row>
    <row r="650">
      <c r="G650" s="571"/>
      <c r="H650" s="571"/>
      <c r="I650" s="571"/>
      <c r="J650" s="571"/>
      <c r="K650" s="571"/>
      <c r="L650" s="571"/>
      <c r="M650" s="571"/>
      <c r="N650" s="571"/>
      <c r="O650" s="571"/>
      <c r="P650" s="571"/>
      <c r="Q650" s="571"/>
      <c r="R650" s="571"/>
      <c r="S650" s="571"/>
      <c r="T650" s="571"/>
      <c r="U650" s="571"/>
      <c r="V650" s="571"/>
      <c r="W650" s="571"/>
      <c r="X650" s="571"/>
      <c r="Y650" s="571"/>
      <c r="Z650" s="571"/>
      <c r="AA650" s="571"/>
      <c r="AB650" s="571"/>
      <c r="AC650" s="571"/>
      <c r="AD650" s="571"/>
      <c r="AE650" s="571"/>
      <c r="AF650" s="571"/>
      <c r="AG650" s="571"/>
      <c r="AH650" s="571"/>
      <c r="AI650" s="571"/>
      <c r="AJ650" s="571"/>
      <c r="AK650" s="571"/>
      <c r="AL650" s="571"/>
      <c r="AM650" s="571"/>
      <c r="AN650" s="571"/>
      <c r="AO650" s="571"/>
    </row>
    <row r="651">
      <c r="G651" s="571"/>
      <c r="H651" s="571"/>
      <c r="I651" s="571"/>
      <c r="J651" s="571"/>
      <c r="K651" s="571"/>
      <c r="L651" s="571"/>
      <c r="M651" s="571"/>
      <c r="N651" s="571"/>
      <c r="O651" s="571"/>
      <c r="P651" s="571"/>
      <c r="Q651" s="571"/>
      <c r="R651" s="571"/>
      <c r="S651" s="571"/>
      <c r="T651" s="571"/>
      <c r="U651" s="571"/>
      <c r="V651" s="571"/>
      <c r="W651" s="571"/>
      <c r="X651" s="571"/>
      <c r="Y651" s="571"/>
      <c r="Z651" s="571"/>
      <c r="AA651" s="571"/>
      <c r="AB651" s="571"/>
      <c r="AC651" s="571"/>
      <c r="AD651" s="571"/>
      <c r="AE651" s="571"/>
      <c r="AF651" s="571"/>
      <c r="AG651" s="571"/>
      <c r="AH651" s="571"/>
      <c r="AI651" s="571"/>
      <c r="AJ651" s="571"/>
      <c r="AK651" s="571"/>
      <c r="AL651" s="571"/>
      <c r="AM651" s="571"/>
      <c r="AN651" s="571"/>
      <c r="AO651" s="571"/>
    </row>
    <row r="652">
      <c r="G652" s="571"/>
      <c r="H652" s="571"/>
      <c r="I652" s="571"/>
      <c r="J652" s="571"/>
      <c r="K652" s="571"/>
      <c r="L652" s="571"/>
      <c r="M652" s="571"/>
      <c r="N652" s="571"/>
      <c r="O652" s="571"/>
      <c r="P652" s="571"/>
      <c r="Q652" s="571"/>
      <c r="R652" s="571"/>
      <c r="S652" s="571"/>
      <c r="T652" s="571"/>
      <c r="U652" s="571"/>
      <c r="V652" s="571"/>
      <c r="W652" s="571"/>
      <c r="X652" s="571"/>
      <c r="Y652" s="571"/>
      <c r="Z652" s="571"/>
      <c r="AA652" s="571"/>
      <c r="AB652" s="571"/>
      <c r="AC652" s="571"/>
      <c r="AD652" s="571"/>
      <c r="AE652" s="571"/>
      <c r="AF652" s="571"/>
      <c r="AG652" s="571"/>
      <c r="AH652" s="571"/>
      <c r="AI652" s="571"/>
      <c r="AJ652" s="571"/>
      <c r="AK652" s="571"/>
      <c r="AL652" s="571"/>
      <c r="AM652" s="571"/>
      <c r="AN652" s="571"/>
      <c r="AO652" s="571"/>
    </row>
    <row r="653">
      <c r="G653" s="571"/>
      <c r="H653" s="571"/>
      <c r="I653" s="571"/>
      <c r="J653" s="571"/>
      <c r="K653" s="571"/>
      <c r="L653" s="571"/>
      <c r="M653" s="571"/>
      <c r="N653" s="571"/>
      <c r="O653" s="571"/>
      <c r="P653" s="571"/>
      <c r="Q653" s="571"/>
      <c r="R653" s="571"/>
      <c r="S653" s="571"/>
      <c r="T653" s="571"/>
      <c r="U653" s="571"/>
      <c r="V653" s="571"/>
      <c r="W653" s="571"/>
      <c r="X653" s="571"/>
      <c r="Y653" s="571"/>
      <c r="Z653" s="571"/>
      <c r="AA653" s="571"/>
      <c r="AB653" s="571"/>
      <c r="AC653" s="571"/>
      <c r="AD653" s="571"/>
      <c r="AE653" s="571"/>
      <c r="AF653" s="571"/>
      <c r="AG653" s="571"/>
      <c r="AH653" s="571"/>
      <c r="AI653" s="571"/>
      <c r="AJ653" s="571"/>
      <c r="AK653" s="571"/>
      <c r="AL653" s="571"/>
      <c r="AM653" s="571"/>
      <c r="AN653" s="571"/>
      <c r="AO653" s="571"/>
    </row>
    <row r="654">
      <c r="G654" s="571"/>
      <c r="H654" s="571"/>
      <c r="I654" s="571"/>
      <c r="J654" s="571"/>
      <c r="K654" s="571"/>
      <c r="L654" s="571"/>
      <c r="M654" s="571"/>
      <c r="N654" s="571"/>
      <c r="O654" s="571"/>
      <c r="P654" s="571"/>
      <c r="Q654" s="571"/>
      <c r="R654" s="571"/>
      <c r="S654" s="571"/>
      <c r="T654" s="571"/>
      <c r="U654" s="571"/>
      <c r="V654" s="571"/>
      <c r="W654" s="571"/>
      <c r="X654" s="571"/>
      <c r="Y654" s="571"/>
      <c r="Z654" s="571"/>
      <c r="AA654" s="571"/>
      <c r="AB654" s="571"/>
      <c r="AC654" s="571"/>
      <c r="AD654" s="571"/>
      <c r="AE654" s="571"/>
      <c r="AF654" s="571"/>
      <c r="AG654" s="571"/>
      <c r="AH654" s="571"/>
      <c r="AI654" s="571"/>
      <c r="AJ654" s="571"/>
      <c r="AK654" s="571"/>
      <c r="AL654" s="571"/>
      <c r="AM654" s="571"/>
      <c r="AN654" s="571"/>
      <c r="AO654" s="571"/>
    </row>
    <row r="655">
      <c r="G655" s="571"/>
      <c r="H655" s="571"/>
      <c r="I655" s="571"/>
      <c r="J655" s="571"/>
      <c r="K655" s="571"/>
      <c r="L655" s="571"/>
      <c r="M655" s="571"/>
      <c r="N655" s="571"/>
      <c r="O655" s="571"/>
      <c r="P655" s="571"/>
      <c r="Q655" s="571"/>
      <c r="R655" s="571"/>
      <c r="S655" s="571"/>
      <c r="T655" s="571"/>
      <c r="U655" s="571"/>
      <c r="V655" s="571"/>
      <c r="W655" s="571"/>
      <c r="X655" s="571"/>
      <c r="Y655" s="571"/>
      <c r="Z655" s="571"/>
      <c r="AA655" s="571"/>
      <c r="AB655" s="571"/>
      <c r="AC655" s="571"/>
      <c r="AD655" s="571"/>
      <c r="AE655" s="571"/>
      <c r="AF655" s="571"/>
      <c r="AG655" s="571"/>
      <c r="AH655" s="571"/>
      <c r="AI655" s="571"/>
      <c r="AJ655" s="571"/>
      <c r="AK655" s="571"/>
      <c r="AL655" s="571"/>
      <c r="AM655" s="571"/>
      <c r="AN655" s="571"/>
      <c r="AO655" s="571"/>
    </row>
    <row r="656">
      <c r="G656" s="571"/>
      <c r="H656" s="571"/>
      <c r="I656" s="571"/>
      <c r="J656" s="571"/>
      <c r="K656" s="571"/>
      <c r="L656" s="571"/>
      <c r="M656" s="571"/>
      <c r="N656" s="571"/>
      <c r="O656" s="571"/>
      <c r="P656" s="571"/>
      <c r="Q656" s="571"/>
      <c r="R656" s="571"/>
      <c r="S656" s="571"/>
      <c r="T656" s="571"/>
      <c r="U656" s="571"/>
      <c r="V656" s="571"/>
      <c r="W656" s="571"/>
      <c r="X656" s="571"/>
      <c r="Y656" s="571"/>
      <c r="Z656" s="571"/>
      <c r="AA656" s="571"/>
      <c r="AB656" s="571"/>
      <c r="AC656" s="571"/>
      <c r="AD656" s="571"/>
      <c r="AE656" s="571"/>
      <c r="AF656" s="571"/>
      <c r="AG656" s="571"/>
      <c r="AH656" s="571"/>
      <c r="AI656" s="571"/>
      <c r="AJ656" s="571"/>
      <c r="AK656" s="571"/>
      <c r="AL656" s="571"/>
      <c r="AM656" s="571"/>
      <c r="AN656" s="571"/>
      <c r="AO656" s="571"/>
    </row>
    <row r="657">
      <c r="G657" s="571"/>
      <c r="H657" s="571"/>
      <c r="I657" s="571"/>
      <c r="J657" s="571"/>
      <c r="K657" s="571"/>
      <c r="L657" s="571"/>
      <c r="M657" s="571"/>
      <c r="N657" s="571"/>
      <c r="O657" s="571"/>
      <c r="P657" s="571"/>
      <c r="Q657" s="571"/>
      <c r="R657" s="571"/>
      <c r="S657" s="571"/>
      <c r="T657" s="571"/>
      <c r="U657" s="571"/>
      <c r="V657" s="571"/>
      <c r="W657" s="571"/>
      <c r="X657" s="571"/>
      <c r="Y657" s="571"/>
      <c r="Z657" s="571"/>
      <c r="AA657" s="571"/>
      <c r="AB657" s="571"/>
      <c r="AC657" s="571"/>
      <c r="AD657" s="571"/>
      <c r="AE657" s="571"/>
      <c r="AF657" s="571"/>
      <c r="AG657" s="571"/>
      <c r="AH657" s="571"/>
      <c r="AI657" s="571"/>
      <c r="AJ657" s="571"/>
      <c r="AK657" s="571"/>
      <c r="AL657" s="571"/>
      <c r="AM657" s="571"/>
      <c r="AN657" s="571"/>
      <c r="AO657" s="571"/>
    </row>
    <row r="658">
      <c r="G658" s="571"/>
      <c r="H658" s="571"/>
      <c r="I658" s="571"/>
      <c r="J658" s="571"/>
      <c r="K658" s="571"/>
      <c r="L658" s="571"/>
      <c r="M658" s="571"/>
      <c r="N658" s="571"/>
      <c r="O658" s="571"/>
      <c r="P658" s="571"/>
      <c r="Q658" s="571"/>
      <c r="R658" s="571"/>
      <c r="S658" s="571"/>
      <c r="T658" s="571"/>
      <c r="U658" s="571"/>
      <c r="V658" s="571"/>
      <c r="W658" s="571"/>
      <c r="X658" s="571"/>
      <c r="Y658" s="571"/>
      <c r="Z658" s="571"/>
      <c r="AA658" s="571"/>
      <c r="AB658" s="571"/>
      <c r="AC658" s="571"/>
      <c r="AD658" s="571"/>
      <c r="AE658" s="571"/>
      <c r="AF658" s="571"/>
      <c r="AG658" s="571"/>
      <c r="AH658" s="571"/>
      <c r="AI658" s="571"/>
      <c r="AJ658" s="571"/>
      <c r="AK658" s="571"/>
      <c r="AL658" s="571"/>
      <c r="AM658" s="571"/>
      <c r="AN658" s="571"/>
      <c r="AO658" s="571"/>
    </row>
    <row r="659">
      <c r="G659" s="571"/>
      <c r="H659" s="571"/>
      <c r="I659" s="571"/>
      <c r="J659" s="571"/>
      <c r="K659" s="571"/>
      <c r="L659" s="571"/>
      <c r="M659" s="571"/>
      <c r="N659" s="571"/>
      <c r="O659" s="571"/>
      <c r="P659" s="571"/>
      <c r="Q659" s="571"/>
      <c r="R659" s="571"/>
      <c r="S659" s="571"/>
      <c r="T659" s="571"/>
      <c r="U659" s="571"/>
      <c r="V659" s="571"/>
      <c r="W659" s="571"/>
      <c r="X659" s="571"/>
      <c r="Y659" s="571"/>
      <c r="Z659" s="571"/>
      <c r="AA659" s="571"/>
      <c r="AB659" s="571"/>
      <c r="AC659" s="571"/>
      <c r="AD659" s="571"/>
      <c r="AE659" s="571"/>
      <c r="AF659" s="571"/>
      <c r="AG659" s="571"/>
      <c r="AH659" s="571"/>
      <c r="AI659" s="571"/>
      <c r="AJ659" s="571"/>
      <c r="AK659" s="571"/>
      <c r="AL659" s="571"/>
      <c r="AM659" s="571"/>
      <c r="AN659" s="571"/>
      <c r="AO659" s="571"/>
    </row>
    <row r="660">
      <c r="G660" s="571"/>
      <c r="H660" s="571"/>
      <c r="I660" s="571"/>
      <c r="J660" s="571"/>
      <c r="K660" s="571"/>
      <c r="L660" s="571"/>
      <c r="M660" s="571"/>
      <c r="N660" s="571"/>
      <c r="O660" s="571"/>
      <c r="P660" s="571"/>
      <c r="Q660" s="571"/>
      <c r="R660" s="571"/>
      <c r="S660" s="571"/>
      <c r="T660" s="571"/>
      <c r="U660" s="571"/>
      <c r="V660" s="571"/>
      <c r="W660" s="571"/>
      <c r="X660" s="571"/>
      <c r="Y660" s="571"/>
      <c r="Z660" s="571"/>
      <c r="AA660" s="571"/>
      <c r="AB660" s="571"/>
      <c r="AC660" s="571"/>
      <c r="AD660" s="571"/>
      <c r="AE660" s="571"/>
      <c r="AF660" s="571"/>
      <c r="AG660" s="571"/>
      <c r="AH660" s="571"/>
      <c r="AI660" s="571"/>
      <c r="AJ660" s="571"/>
      <c r="AK660" s="571"/>
      <c r="AL660" s="571"/>
      <c r="AM660" s="571"/>
      <c r="AN660" s="571"/>
      <c r="AO660" s="571"/>
    </row>
    <row r="661">
      <c r="G661" s="571"/>
      <c r="H661" s="571"/>
      <c r="I661" s="571"/>
      <c r="J661" s="571"/>
      <c r="K661" s="571"/>
      <c r="L661" s="571"/>
      <c r="M661" s="571"/>
      <c r="N661" s="571"/>
      <c r="O661" s="571"/>
      <c r="P661" s="571"/>
      <c r="Q661" s="571"/>
      <c r="R661" s="571"/>
      <c r="S661" s="571"/>
      <c r="T661" s="571"/>
      <c r="U661" s="571"/>
      <c r="V661" s="571"/>
      <c r="W661" s="571"/>
      <c r="X661" s="571"/>
      <c r="Y661" s="571"/>
      <c r="Z661" s="571"/>
      <c r="AA661" s="571"/>
      <c r="AB661" s="571"/>
      <c r="AC661" s="571"/>
      <c r="AD661" s="571"/>
      <c r="AE661" s="571"/>
      <c r="AF661" s="571"/>
      <c r="AG661" s="571"/>
      <c r="AH661" s="571"/>
      <c r="AI661" s="571"/>
      <c r="AJ661" s="571"/>
      <c r="AK661" s="571"/>
      <c r="AL661" s="571"/>
      <c r="AM661" s="571"/>
      <c r="AN661" s="571"/>
      <c r="AO661" s="571"/>
    </row>
    <row r="662">
      <c r="G662" s="571"/>
      <c r="H662" s="571"/>
      <c r="I662" s="571"/>
      <c r="J662" s="571"/>
      <c r="K662" s="571"/>
      <c r="L662" s="571"/>
      <c r="M662" s="571"/>
      <c r="N662" s="571"/>
      <c r="O662" s="571"/>
      <c r="P662" s="571"/>
      <c r="Q662" s="571"/>
      <c r="R662" s="571"/>
      <c r="S662" s="571"/>
      <c r="T662" s="571"/>
      <c r="U662" s="571"/>
      <c r="V662" s="571"/>
      <c r="W662" s="571"/>
      <c r="X662" s="571"/>
      <c r="Y662" s="571"/>
      <c r="Z662" s="571"/>
      <c r="AA662" s="571"/>
      <c r="AB662" s="571"/>
      <c r="AC662" s="571"/>
      <c r="AD662" s="571"/>
      <c r="AE662" s="571"/>
      <c r="AF662" s="571"/>
      <c r="AG662" s="571"/>
      <c r="AH662" s="571"/>
      <c r="AI662" s="571"/>
      <c r="AJ662" s="571"/>
      <c r="AK662" s="571"/>
      <c r="AL662" s="571"/>
      <c r="AM662" s="571"/>
      <c r="AN662" s="571"/>
      <c r="AO662" s="571"/>
    </row>
    <row r="663">
      <c r="G663" s="571"/>
      <c r="H663" s="571"/>
      <c r="I663" s="571"/>
      <c r="J663" s="571"/>
      <c r="K663" s="571"/>
      <c r="L663" s="571"/>
      <c r="M663" s="571"/>
      <c r="N663" s="571"/>
      <c r="O663" s="571"/>
      <c r="P663" s="571"/>
      <c r="Q663" s="571"/>
      <c r="R663" s="571"/>
      <c r="S663" s="571"/>
      <c r="T663" s="571"/>
      <c r="U663" s="571"/>
      <c r="V663" s="571"/>
      <c r="W663" s="571"/>
      <c r="X663" s="571"/>
      <c r="Y663" s="571"/>
      <c r="Z663" s="571"/>
      <c r="AA663" s="571"/>
      <c r="AB663" s="571"/>
      <c r="AC663" s="571"/>
      <c r="AD663" s="571"/>
      <c r="AE663" s="571"/>
      <c r="AF663" s="571"/>
      <c r="AG663" s="571"/>
      <c r="AH663" s="571"/>
      <c r="AI663" s="571"/>
      <c r="AJ663" s="571"/>
      <c r="AK663" s="571"/>
      <c r="AL663" s="571"/>
      <c r="AM663" s="571"/>
      <c r="AN663" s="571"/>
      <c r="AO663" s="571"/>
    </row>
    <row r="664">
      <c r="G664" s="571"/>
      <c r="H664" s="571"/>
      <c r="I664" s="571"/>
      <c r="J664" s="571"/>
      <c r="K664" s="571"/>
      <c r="L664" s="571"/>
      <c r="M664" s="571"/>
      <c r="N664" s="571"/>
      <c r="O664" s="571"/>
      <c r="P664" s="571"/>
      <c r="Q664" s="571"/>
      <c r="R664" s="571"/>
      <c r="S664" s="571"/>
      <c r="T664" s="571"/>
      <c r="U664" s="571"/>
      <c r="V664" s="571"/>
      <c r="W664" s="571"/>
      <c r="X664" s="571"/>
      <c r="Y664" s="571"/>
      <c r="Z664" s="571"/>
      <c r="AA664" s="571"/>
      <c r="AB664" s="571"/>
      <c r="AC664" s="571"/>
      <c r="AD664" s="571"/>
      <c r="AE664" s="571"/>
      <c r="AF664" s="571"/>
      <c r="AG664" s="571"/>
      <c r="AH664" s="571"/>
      <c r="AI664" s="571"/>
      <c r="AJ664" s="571"/>
      <c r="AK664" s="571"/>
      <c r="AL664" s="571"/>
      <c r="AM664" s="571"/>
      <c r="AN664" s="571"/>
      <c r="AO664" s="571"/>
    </row>
    <row r="665">
      <c r="G665" s="571"/>
      <c r="H665" s="571"/>
      <c r="I665" s="571"/>
      <c r="J665" s="571"/>
      <c r="K665" s="571"/>
      <c r="L665" s="571"/>
      <c r="M665" s="571"/>
      <c r="N665" s="571"/>
      <c r="O665" s="571"/>
      <c r="P665" s="571"/>
      <c r="Q665" s="571"/>
      <c r="R665" s="571"/>
      <c r="S665" s="571"/>
      <c r="T665" s="571"/>
      <c r="U665" s="571"/>
      <c r="V665" s="571"/>
      <c r="W665" s="571"/>
      <c r="X665" s="571"/>
      <c r="Y665" s="571"/>
      <c r="Z665" s="571"/>
      <c r="AA665" s="571"/>
      <c r="AB665" s="571"/>
      <c r="AC665" s="571"/>
      <c r="AD665" s="571"/>
      <c r="AE665" s="571"/>
      <c r="AF665" s="571"/>
      <c r="AG665" s="571"/>
      <c r="AH665" s="571"/>
      <c r="AI665" s="571"/>
      <c r="AJ665" s="571"/>
      <c r="AK665" s="571"/>
      <c r="AL665" s="571"/>
      <c r="AM665" s="571"/>
      <c r="AN665" s="571"/>
      <c r="AO665" s="571"/>
    </row>
    <row r="666">
      <c r="G666" s="571"/>
      <c r="H666" s="571"/>
      <c r="I666" s="571"/>
      <c r="J666" s="571"/>
      <c r="K666" s="571"/>
      <c r="L666" s="571"/>
      <c r="M666" s="571"/>
      <c r="N666" s="571"/>
      <c r="O666" s="571"/>
      <c r="P666" s="571"/>
      <c r="Q666" s="571"/>
      <c r="R666" s="571"/>
      <c r="S666" s="571"/>
      <c r="T666" s="571"/>
      <c r="U666" s="571"/>
      <c r="V666" s="571"/>
      <c r="W666" s="571"/>
      <c r="X666" s="571"/>
      <c r="Y666" s="571"/>
      <c r="Z666" s="571"/>
      <c r="AA666" s="571"/>
      <c r="AB666" s="571"/>
      <c r="AC666" s="571"/>
      <c r="AD666" s="571"/>
      <c r="AE666" s="571"/>
      <c r="AF666" s="571"/>
      <c r="AG666" s="571"/>
      <c r="AH666" s="571"/>
      <c r="AI666" s="571"/>
      <c r="AJ666" s="571"/>
      <c r="AK666" s="571"/>
      <c r="AL666" s="571"/>
      <c r="AM666" s="571"/>
      <c r="AN666" s="571"/>
      <c r="AO666" s="571"/>
    </row>
    <row r="667">
      <c r="G667" s="571"/>
      <c r="H667" s="571"/>
      <c r="I667" s="571"/>
      <c r="J667" s="571"/>
      <c r="K667" s="571"/>
      <c r="L667" s="571"/>
      <c r="M667" s="571"/>
      <c r="N667" s="571"/>
      <c r="O667" s="571"/>
      <c r="P667" s="571"/>
      <c r="Q667" s="571"/>
      <c r="R667" s="571"/>
      <c r="S667" s="571"/>
      <c r="T667" s="571"/>
      <c r="U667" s="571"/>
      <c r="V667" s="571"/>
      <c r="W667" s="571"/>
      <c r="X667" s="571"/>
      <c r="Y667" s="571"/>
      <c r="Z667" s="571"/>
      <c r="AA667" s="571"/>
      <c r="AB667" s="571"/>
      <c r="AC667" s="571"/>
      <c r="AD667" s="571"/>
      <c r="AE667" s="571"/>
      <c r="AF667" s="571"/>
      <c r="AG667" s="571"/>
      <c r="AH667" s="571"/>
      <c r="AI667" s="571"/>
      <c r="AJ667" s="571"/>
      <c r="AK667" s="571"/>
      <c r="AL667" s="571"/>
      <c r="AM667" s="571"/>
      <c r="AN667" s="571"/>
      <c r="AO667" s="571"/>
    </row>
    <row r="668">
      <c r="G668" s="571"/>
      <c r="H668" s="571"/>
      <c r="I668" s="571"/>
      <c r="J668" s="571"/>
      <c r="K668" s="571"/>
      <c r="L668" s="571"/>
      <c r="M668" s="571"/>
      <c r="N668" s="571"/>
      <c r="O668" s="571"/>
      <c r="P668" s="571"/>
      <c r="Q668" s="571"/>
      <c r="R668" s="571"/>
      <c r="S668" s="571"/>
      <c r="T668" s="571"/>
      <c r="U668" s="571"/>
      <c r="V668" s="571"/>
      <c r="W668" s="571"/>
      <c r="X668" s="571"/>
      <c r="Y668" s="571"/>
      <c r="Z668" s="571"/>
      <c r="AA668" s="571"/>
      <c r="AB668" s="571"/>
      <c r="AC668" s="571"/>
      <c r="AD668" s="571"/>
      <c r="AE668" s="571"/>
      <c r="AF668" s="571"/>
      <c r="AG668" s="571"/>
      <c r="AH668" s="571"/>
      <c r="AI668" s="571"/>
      <c r="AJ668" s="571"/>
      <c r="AK668" s="571"/>
      <c r="AL668" s="571"/>
      <c r="AM668" s="571"/>
      <c r="AN668" s="571"/>
      <c r="AO668" s="571"/>
    </row>
    <row r="669">
      <c r="G669" s="571"/>
      <c r="H669" s="571"/>
      <c r="I669" s="571"/>
      <c r="J669" s="571"/>
      <c r="K669" s="571"/>
      <c r="L669" s="571"/>
      <c r="M669" s="571"/>
      <c r="N669" s="571"/>
      <c r="O669" s="571"/>
      <c r="P669" s="571"/>
      <c r="Q669" s="571"/>
      <c r="R669" s="571"/>
      <c r="S669" s="571"/>
      <c r="T669" s="571"/>
      <c r="U669" s="571"/>
      <c r="V669" s="571"/>
      <c r="W669" s="571"/>
      <c r="X669" s="571"/>
      <c r="Y669" s="571"/>
      <c r="Z669" s="571"/>
      <c r="AA669" s="571"/>
      <c r="AB669" s="571"/>
      <c r="AC669" s="571"/>
      <c r="AD669" s="571"/>
      <c r="AE669" s="571"/>
      <c r="AF669" s="571"/>
      <c r="AG669" s="571"/>
      <c r="AH669" s="571"/>
      <c r="AI669" s="571"/>
      <c r="AJ669" s="571"/>
      <c r="AK669" s="571"/>
      <c r="AL669" s="571"/>
      <c r="AM669" s="571"/>
      <c r="AN669" s="571"/>
      <c r="AO669" s="571"/>
    </row>
    <row r="670">
      <c r="G670" s="571"/>
      <c r="H670" s="571"/>
      <c r="I670" s="571"/>
      <c r="J670" s="571"/>
      <c r="K670" s="571"/>
      <c r="L670" s="571"/>
      <c r="M670" s="571"/>
      <c r="N670" s="571"/>
      <c r="O670" s="571"/>
      <c r="P670" s="571"/>
      <c r="Q670" s="571"/>
      <c r="R670" s="571"/>
      <c r="S670" s="571"/>
      <c r="T670" s="571"/>
      <c r="U670" s="571"/>
      <c r="V670" s="571"/>
      <c r="W670" s="571"/>
      <c r="X670" s="571"/>
      <c r="Y670" s="571"/>
      <c r="Z670" s="571"/>
      <c r="AA670" s="571"/>
      <c r="AB670" s="571"/>
      <c r="AC670" s="571"/>
      <c r="AD670" s="571"/>
      <c r="AE670" s="571"/>
      <c r="AF670" s="571"/>
      <c r="AG670" s="571"/>
      <c r="AH670" s="571"/>
      <c r="AI670" s="571"/>
      <c r="AJ670" s="571"/>
      <c r="AK670" s="571"/>
      <c r="AL670" s="571"/>
      <c r="AM670" s="571"/>
      <c r="AN670" s="571"/>
      <c r="AO670" s="571"/>
    </row>
    <row r="671">
      <c r="G671" s="571"/>
      <c r="H671" s="571"/>
      <c r="I671" s="571"/>
      <c r="J671" s="571"/>
      <c r="K671" s="571"/>
      <c r="L671" s="571"/>
      <c r="M671" s="571"/>
      <c r="N671" s="571"/>
      <c r="O671" s="571"/>
      <c r="P671" s="571"/>
      <c r="Q671" s="571"/>
      <c r="R671" s="571"/>
      <c r="S671" s="571"/>
      <c r="T671" s="571"/>
      <c r="U671" s="571"/>
      <c r="V671" s="571"/>
      <c r="W671" s="571"/>
      <c r="X671" s="571"/>
      <c r="Y671" s="571"/>
      <c r="Z671" s="571"/>
      <c r="AA671" s="571"/>
      <c r="AB671" s="571"/>
      <c r="AC671" s="571"/>
      <c r="AD671" s="571"/>
      <c r="AE671" s="571"/>
      <c r="AF671" s="571"/>
      <c r="AG671" s="571"/>
      <c r="AH671" s="571"/>
      <c r="AI671" s="571"/>
      <c r="AJ671" s="571"/>
      <c r="AK671" s="571"/>
      <c r="AL671" s="571"/>
      <c r="AM671" s="571"/>
      <c r="AN671" s="571"/>
      <c r="AO671" s="571"/>
    </row>
    <row r="672">
      <c r="G672" s="571"/>
      <c r="H672" s="571"/>
      <c r="I672" s="571"/>
      <c r="J672" s="571"/>
      <c r="K672" s="571"/>
      <c r="L672" s="571"/>
      <c r="M672" s="571"/>
      <c r="N672" s="571"/>
      <c r="O672" s="571"/>
      <c r="P672" s="571"/>
      <c r="Q672" s="571"/>
      <c r="R672" s="571"/>
      <c r="S672" s="571"/>
      <c r="T672" s="571"/>
      <c r="U672" s="571"/>
      <c r="V672" s="571"/>
      <c r="W672" s="571"/>
      <c r="X672" s="571"/>
      <c r="Y672" s="571"/>
      <c r="Z672" s="571"/>
      <c r="AA672" s="571"/>
      <c r="AB672" s="571"/>
      <c r="AC672" s="571"/>
      <c r="AD672" s="571"/>
      <c r="AE672" s="571"/>
      <c r="AF672" s="571"/>
      <c r="AG672" s="571"/>
      <c r="AH672" s="571"/>
      <c r="AI672" s="571"/>
      <c r="AJ672" s="571"/>
      <c r="AK672" s="571"/>
      <c r="AL672" s="571"/>
      <c r="AM672" s="571"/>
      <c r="AN672" s="571"/>
      <c r="AO672" s="571"/>
    </row>
    <row r="673">
      <c r="G673" s="571"/>
      <c r="H673" s="571"/>
      <c r="I673" s="571"/>
      <c r="J673" s="571"/>
      <c r="K673" s="571"/>
      <c r="L673" s="571"/>
      <c r="M673" s="571"/>
      <c r="N673" s="571"/>
      <c r="O673" s="571"/>
      <c r="P673" s="571"/>
      <c r="Q673" s="571"/>
      <c r="R673" s="571"/>
      <c r="S673" s="571"/>
      <c r="T673" s="571"/>
      <c r="U673" s="571"/>
      <c r="V673" s="571"/>
      <c r="W673" s="571"/>
      <c r="X673" s="571"/>
      <c r="Y673" s="571"/>
      <c r="Z673" s="571"/>
      <c r="AA673" s="571"/>
      <c r="AB673" s="571"/>
      <c r="AC673" s="571"/>
      <c r="AD673" s="571"/>
      <c r="AE673" s="571"/>
      <c r="AF673" s="571"/>
      <c r="AG673" s="571"/>
      <c r="AH673" s="571"/>
      <c r="AI673" s="571"/>
      <c r="AJ673" s="571"/>
      <c r="AK673" s="571"/>
      <c r="AL673" s="571"/>
      <c r="AM673" s="571"/>
      <c r="AN673" s="571"/>
      <c r="AO673" s="571"/>
    </row>
    <row r="674">
      <c r="G674" s="571"/>
      <c r="H674" s="571"/>
      <c r="I674" s="571"/>
      <c r="J674" s="571"/>
      <c r="K674" s="571"/>
      <c r="L674" s="571"/>
      <c r="M674" s="571"/>
      <c r="N674" s="571"/>
      <c r="O674" s="571"/>
      <c r="P674" s="571"/>
      <c r="Q674" s="571"/>
      <c r="R674" s="571"/>
      <c r="S674" s="571"/>
      <c r="T674" s="571"/>
      <c r="U674" s="571"/>
      <c r="V674" s="571"/>
      <c r="W674" s="571"/>
      <c r="X674" s="571"/>
      <c r="Y674" s="571"/>
      <c r="Z674" s="571"/>
      <c r="AA674" s="571"/>
      <c r="AB674" s="571"/>
      <c r="AC674" s="571"/>
      <c r="AD674" s="571"/>
      <c r="AE674" s="571"/>
      <c r="AF674" s="571"/>
      <c r="AG674" s="571"/>
      <c r="AH674" s="571"/>
      <c r="AI674" s="571"/>
      <c r="AJ674" s="571"/>
      <c r="AK674" s="571"/>
      <c r="AL674" s="571"/>
      <c r="AM674" s="571"/>
      <c r="AN674" s="571"/>
      <c r="AO674" s="571"/>
    </row>
    <row r="675">
      <c r="G675" s="571"/>
      <c r="H675" s="571"/>
      <c r="I675" s="571"/>
      <c r="J675" s="571"/>
      <c r="K675" s="571"/>
      <c r="L675" s="571"/>
      <c r="M675" s="571"/>
      <c r="N675" s="571"/>
      <c r="O675" s="571"/>
      <c r="P675" s="571"/>
      <c r="Q675" s="571"/>
      <c r="R675" s="571"/>
      <c r="S675" s="571"/>
      <c r="T675" s="571"/>
      <c r="U675" s="571"/>
      <c r="V675" s="571"/>
      <c r="W675" s="571"/>
      <c r="X675" s="571"/>
      <c r="Y675" s="571"/>
      <c r="Z675" s="571"/>
      <c r="AA675" s="571"/>
      <c r="AB675" s="571"/>
      <c r="AC675" s="571"/>
      <c r="AD675" s="571"/>
      <c r="AE675" s="571"/>
      <c r="AF675" s="571"/>
      <c r="AG675" s="571"/>
      <c r="AH675" s="571"/>
      <c r="AI675" s="571"/>
      <c r="AJ675" s="571"/>
      <c r="AK675" s="571"/>
      <c r="AL675" s="571"/>
      <c r="AM675" s="571"/>
      <c r="AN675" s="571"/>
      <c r="AO675" s="571"/>
    </row>
    <row r="676">
      <c r="G676" s="571"/>
      <c r="H676" s="571"/>
      <c r="I676" s="571"/>
      <c r="J676" s="571"/>
      <c r="K676" s="571"/>
      <c r="L676" s="571"/>
      <c r="M676" s="571"/>
      <c r="N676" s="571"/>
      <c r="O676" s="571"/>
      <c r="P676" s="571"/>
      <c r="Q676" s="571"/>
      <c r="R676" s="571"/>
      <c r="S676" s="571"/>
      <c r="T676" s="571"/>
      <c r="U676" s="571"/>
      <c r="V676" s="571"/>
      <c r="W676" s="571"/>
      <c r="X676" s="571"/>
      <c r="Y676" s="571"/>
      <c r="Z676" s="571"/>
      <c r="AA676" s="571"/>
      <c r="AB676" s="571"/>
      <c r="AC676" s="571"/>
      <c r="AD676" s="571"/>
      <c r="AE676" s="571"/>
      <c r="AF676" s="571"/>
      <c r="AG676" s="571"/>
      <c r="AH676" s="571"/>
      <c r="AI676" s="571"/>
      <c r="AJ676" s="571"/>
      <c r="AK676" s="571"/>
      <c r="AL676" s="571"/>
      <c r="AM676" s="571"/>
      <c r="AN676" s="571"/>
      <c r="AO676" s="571"/>
    </row>
    <row r="677">
      <c r="G677" s="571"/>
      <c r="H677" s="571"/>
      <c r="I677" s="571"/>
      <c r="J677" s="571"/>
      <c r="K677" s="571"/>
      <c r="L677" s="571"/>
      <c r="M677" s="571"/>
      <c r="N677" s="571"/>
      <c r="O677" s="571"/>
      <c r="P677" s="571"/>
      <c r="Q677" s="571"/>
      <c r="R677" s="571"/>
      <c r="S677" s="571"/>
      <c r="T677" s="571"/>
      <c r="U677" s="571"/>
      <c r="V677" s="571"/>
      <c r="W677" s="571"/>
      <c r="X677" s="571"/>
      <c r="Y677" s="571"/>
      <c r="Z677" s="571"/>
      <c r="AA677" s="571"/>
      <c r="AB677" s="571"/>
      <c r="AC677" s="571"/>
      <c r="AD677" s="571"/>
      <c r="AE677" s="571"/>
      <c r="AF677" s="571"/>
      <c r="AG677" s="571"/>
      <c r="AH677" s="571"/>
      <c r="AI677" s="571"/>
      <c r="AJ677" s="571"/>
      <c r="AK677" s="571"/>
      <c r="AL677" s="571"/>
      <c r="AM677" s="571"/>
      <c r="AN677" s="571"/>
      <c r="AO677" s="571"/>
    </row>
    <row r="678">
      <c r="G678" s="571"/>
      <c r="H678" s="571"/>
      <c r="I678" s="571"/>
      <c r="J678" s="571"/>
      <c r="K678" s="571"/>
      <c r="L678" s="571"/>
      <c r="M678" s="571"/>
      <c r="N678" s="571"/>
      <c r="O678" s="571"/>
      <c r="P678" s="571"/>
      <c r="Q678" s="571"/>
      <c r="R678" s="571"/>
      <c r="S678" s="571"/>
      <c r="T678" s="571"/>
      <c r="U678" s="571"/>
      <c r="V678" s="571"/>
      <c r="W678" s="571"/>
      <c r="X678" s="571"/>
      <c r="Y678" s="571"/>
      <c r="Z678" s="571"/>
      <c r="AA678" s="571"/>
      <c r="AB678" s="571"/>
      <c r="AC678" s="571"/>
      <c r="AD678" s="571"/>
      <c r="AE678" s="571"/>
      <c r="AF678" s="571"/>
      <c r="AG678" s="571"/>
      <c r="AH678" s="571"/>
      <c r="AI678" s="571"/>
      <c r="AJ678" s="571"/>
      <c r="AK678" s="571"/>
      <c r="AL678" s="571"/>
      <c r="AM678" s="571"/>
      <c r="AN678" s="571"/>
      <c r="AO678" s="571"/>
    </row>
    <row r="679">
      <c r="G679" s="571"/>
      <c r="H679" s="571"/>
      <c r="I679" s="571"/>
      <c r="J679" s="571"/>
      <c r="K679" s="571"/>
      <c r="L679" s="571"/>
      <c r="M679" s="571"/>
      <c r="N679" s="571"/>
      <c r="O679" s="571"/>
      <c r="P679" s="571"/>
      <c r="Q679" s="571"/>
      <c r="R679" s="571"/>
      <c r="S679" s="571"/>
      <c r="T679" s="571"/>
      <c r="U679" s="571"/>
      <c r="V679" s="571"/>
      <c r="W679" s="571"/>
      <c r="X679" s="571"/>
      <c r="Y679" s="571"/>
      <c r="Z679" s="571"/>
      <c r="AA679" s="571"/>
      <c r="AB679" s="571"/>
      <c r="AC679" s="571"/>
      <c r="AD679" s="571"/>
      <c r="AE679" s="571"/>
      <c r="AF679" s="571"/>
      <c r="AG679" s="571"/>
      <c r="AH679" s="571"/>
      <c r="AI679" s="571"/>
      <c r="AJ679" s="571"/>
      <c r="AK679" s="571"/>
      <c r="AL679" s="571"/>
      <c r="AM679" s="571"/>
      <c r="AN679" s="571"/>
      <c r="AO679" s="571"/>
    </row>
    <row r="680">
      <c r="G680" s="571"/>
      <c r="H680" s="571"/>
      <c r="I680" s="571"/>
      <c r="J680" s="571"/>
      <c r="K680" s="571"/>
      <c r="L680" s="571"/>
      <c r="M680" s="571"/>
      <c r="N680" s="571"/>
      <c r="O680" s="571"/>
      <c r="P680" s="571"/>
      <c r="Q680" s="571"/>
      <c r="R680" s="571"/>
      <c r="S680" s="571"/>
      <c r="T680" s="571"/>
      <c r="U680" s="571"/>
      <c r="V680" s="571"/>
      <c r="W680" s="571"/>
      <c r="X680" s="571"/>
      <c r="Y680" s="571"/>
      <c r="Z680" s="571"/>
      <c r="AA680" s="571"/>
      <c r="AB680" s="571"/>
      <c r="AC680" s="571"/>
      <c r="AD680" s="571"/>
      <c r="AE680" s="571"/>
      <c r="AF680" s="571"/>
      <c r="AG680" s="571"/>
      <c r="AH680" s="571"/>
      <c r="AI680" s="571"/>
      <c r="AJ680" s="571"/>
      <c r="AK680" s="571"/>
      <c r="AL680" s="571"/>
      <c r="AM680" s="571"/>
      <c r="AN680" s="571"/>
      <c r="AO680" s="571"/>
    </row>
    <row r="681">
      <c r="G681" s="571"/>
      <c r="H681" s="571"/>
      <c r="I681" s="571"/>
      <c r="J681" s="571"/>
      <c r="K681" s="571"/>
      <c r="L681" s="571"/>
      <c r="M681" s="571"/>
      <c r="N681" s="571"/>
      <c r="O681" s="571"/>
      <c r="P681" s="571"/>
      <c r="Q681" s="571"/>
      <c r="R681" s="571"/>
      <c r="S681" s="571"/>
      <c r="T681" s="571"/>
      <c r="U681" s="571"/>
      <c r="V681" s="571"/>
      <c r="W681" s="571"/>
      <c r="X681" s="571"/>
      <c r="Y681" s="571"/>
      <c r="Z681" s="571"/>
      <c r="AA681" s="571"/>
      <c r="AB681" s="571"/>
      <c r="AC681" s="571"/>
      <c r="AD681" s="571"/>
      <c r="AE681" s="571"/>
      <c r="AF681" s="571"/>
      <c r="AG681" s="571"/>
      <c r="AH681" s="571"/>
      <c r="AI681" s="571"/>
      <c r="AJ681" s="571"/>
      <c r="AK681" s="571"/>
      <c r="AL681" s="571"/>
      <c r="AM681" s="571"/>
      <c r="AN681" s="571"/>
      <c r="AO681" s="571"/>
    </row>
    <row r="682">
      <c r="G682" s="571"/>
      <c r="H682" s="571"/>
      <c r="I682" s="571"/>
      <c r="J682" s="571"/>
      <c r="K682" s="571"/>
      <c r="L682" s="571"/>
      <c r="M682" s="571"/>
      <c r="N682" s="571"/>
      <c r="O682" s="571"/>
      <c r="P682" s="571"/>
      <c r="Q682" s="571"/>
      <c r="R682" s="571"/>
      <c r="S682" s="571"/>
      <c r="T682" s="571"/>
      <c r="U682" s="571"/>
      <c r="V682" s="571"/>
      <c r="W682" s="571"/>
      <c r="X682" s="571"/>
      <c r="Y682" s="571"/>
      <c r="Z682" s="571"/>
      <c r="AA682" s="571"/>
      <c r="AB682" s="571"/>
      <c r="AC682" s="571"/>
      <c r="AD682" s="571"/>
      <c r="AE682" s="571"/>
      <c r="AF682" s="571"/>
      <c r="AG682" s="571"/>
      <c r="AH682" s="571"/>
      <c r="AI682" s="571"/>
      <c r="AJ682" s="571"/>
      <c r="AK682" s="571"/>
      <c r="AL682" s="571"/>
      <c r="AM682" s="571"/>
      <c r="AN682" s="571"/>
      <c r="AO682" s="571"/>
    </row>
    <row r="683">
      <c r="G683" s="571"/>
      <c r="H683" s="571"/>
      <c r="I683" s="571"/>
      <c r="J683" s="571"/>
      <c r="K683" s="571"/>
      <c r="L683" s="571"/>
      <c r="M683" s="571"/>
      <c r="N683" s="571"/>
      <c r="O683" s="571"/>
      <c r="P683" s="571"/>
      <c r="Q683" s="571"/>
      <c r="R683" s="571"/>
      <c r="S683" s="571"/>
      <c r="T683" s="571"/>
      <c r="U683" s="571"/>
      <c r="V683" s="571"/>
      <c r="W683" s="571"/>
      <c r="X683" s="571"/>
      <c r="Y683" s="571"/>
      <c r="Z683" s="571"/>
      <c r="AA683" s="571"/>
      <c r="AB683" s="571"/>
      <c r="AC683" s="571"/>
      <c r="AD683" s="571"/>
      <c r="AE683" s="571"/>
      <c r="AF683" s="571"/>
      <c r="AG683" s="571"/>
      <c r="AH683" s="571"/>
      <c r="AI683" s="571"/>
      <c r="AJ683" s="571"/>
      <c r="AK683" s="571"/>
      <c r="AL683" s="571"/>
      <c r="AM683" s="571"/>
      <c r="AN683" s="571"/>
      <c r="AO683" s="571"/>
    </row>
    <row r="684">
      <c r="G684" s="571"/>
      <c r="H684" s="571"/>
      <c r="I684" s="571"/>
      <c r="J684" s="571"/>
      <c r="K684" s="571"/>
      <c r="L684" s="571"/>
      <c r="M684" s="571"/>
      <c r="N684" s="571"/>
      <c r="O684" s="571"/>
      <c r="P684" s="571"/>
      <c r="Q684" s="571"/>
      <c r="R684" s="571"/>
      <c r="S684" s="571"/>
      <c r="T684" s="571"/>
      <c r="U684" s="571"/>
      <c r="V684" s="571"/>
      <c r="W684" s="571"/>
      <c r="X684" s="571"/>
      <c r="Y684" s="571"/>
      <c r="Z684" s="571"/>
      <c r="AA684" s="571"/>
      <c r="AB684" s="571"/>
      <c r="AC684" s="571"/>
      <c r="AD684" s="571"/>
      <c r="AE684" s="571"/>
      <c r="AF684" s="571"/>
      <c r="AG684" s="571"/>
      <c r="AH684" s="571"/>
      <c r="AI684" s="571"/>
      <c r="AJ684" s="571"/>
      <c r="AK684" s="571"/>
      <c r="AL684" s="571"/>
      <c r="AM684" s="571"/>
      <c r="AN684" s="571"/>
      <c r="AO684" s="571"/>
    </row>
    <row r="685">
      <c r="G685" s="571"/>
      <c r="H685" s="571"/>
      <c r="I685" s="571"/>
      <c r="J685" s="571"/>
      <c r="K685" s="571"/>
      <c r="L685" s="571"/>
      <c r="M685" s="571"/>
      <c r="N685" s="571"/>
      <c r="O685" s="571"/>
      <c r="P685" s="571"/>
      <c r="Q685" s="571"/>
      <c r="R685" s="571"/>
      <c r="S685" s="571"/>
      <c r="T685" s="571"/>
      <c r="U685" s="571"/>
      <c r="V685" s="571"/>
      <c r="W685" s="571"/>
      <c r="X685" s="571"/>
      <c r="Y685" s="571"/>
      <c r="Z685" s="571"/>
      <c r="AA685" s="571"/>
      <c r="AB685" s="571"/>
      <c r="AC685" s="571"/>
      <c r="AD685" s="571"/>
      <c r="AE685" s="571"/>
      <c r="AF685" s="571"/>
      <c r="AG685" s="571"/>
      <c r="AH685" s="571"/>
      <c r="AI685" s="571"/>
      <c r="AJ685" s="571"/>
      <c r="AK685" s="571"/>
      <c r="AL685" s="571"/>
      <c r="AM685" s="571"/>
      <c r="AN685" s="571"/>
      <c r="AO685" s="571"/>
    </row>
    <row r="686">
      <c r="G686" s="571"/>
      <c r="H686" s="571"/>
      <c r="I686" s="571"/>
      <c r="J686" s="571"/>
      <c r="K686" s="571"/>
      <c r="L686" s="571"/>
      <c r="M686" s="571"/>
      <c r="N686" s="571"/>
      <c r="O686" s="571"/>
      <c r="P686" s="571"/>
      <c r="Q686" s="571"/>
      <c r="R686" s="571"/>
      <c r="S686" s="571"/>
      <c r="T686" s="571"/>
      <c r="U686" s="571"/>
      <c r="V686" s="571"/>
      <c r="W686" s="571"/>
      <c r="X686" s="571"/>
      <c r="Y686" s="571"/>
      <c r="Z686" s="571"/>
      <c r="AA686" s="571"/>
      <c r="AB686" s="571"/>
      <c r="AC686" s="571"/>
      <c r="AD686" s="571"/>
      <c r="AE686" s="571"/>
      <c r="AF686" s="571"/>
      <c r="AG686" s="571"/>
      <c r="AH686" s="571"/>
      <c r="AI686" s="571"/>
      <c r="AJ686" s="571"/>
      <c r="AK686" s="571"/>
      <c r="AL686" s="571"/>
      <c r="AM686" s="571"/>
      <c r="AN686" s="571"/>
      <c r="AO686" s="571"/>
    </row>
    <row r="687">
      <c r="G687" s="571"/>
      <c r="H687" s="571"/>
      <c r="I687" s="571"/>
      <c r="J687" s="571"/>
      <c r="K687" s="571"/>
      <c r="L687" s="571"/>
      <c r="M687" s="571"/>
      <c r="N687" s="571"/>
      <c r="O687" s="571"/>
      <c r="P687" s="571"/>
      <c r="Q687" s="571"/>
      <c r="R687" s="571"/>
      <c r="S687" s="571"/>
      <c r="T687" s="571"/>
      <c r="U687" s="571"/>
      <c r="V687" s="571"/>
      <c r="W687" s="571"/>
      <c r="X687" s="571"/>
      <c r="Y687" s="571"/>
      <c r="Z687" s="571"/>
      <c r="AA687" s="571"/>
      <c r="AB687" s="571"/>
      <c r="AC687" s="571"/>
      <c r="AD687" s="571"/>
      <c r="AE687" s="571"/>
      <c r="AF687" s="571"/>
      <c r="AG687" s="571"/>
      <c r="AH687" s="571"/>
      <c r="AI687" s="571"/>
      <c r="AJ687" s="571"/>
      <c r="AK687" s="571"/>
      <c r="AL687" s="571"/>
      <c r="AM687" s="571"/>
      <c r="AN687" s="571"/>
      <c r="AO687" s="571"/>
    </row>
    <row r="688">
      <c r="G688" s="571"/>
      <c r="H688" s="571"/>
      <c r="I688" s="571"/>
      <c r="J688" s="571"/>
      <c r="K688" s="571"/>
      <c r="L688" s="571"/>
      <c r="M688" s="571"/>
      <c r="N688" s="571"/>
      <c r="O688" s="571"/>
      <c r="P688" s="571"/>
      <c r="Q688" s="571"/>
      <c r="R688" s="571"/>
      <c r="S688" s="571"/>
      <c r="T688" s="571"/>
      <c r="U688" s="571"/>
      <c r="V688" s="571"/>
      <c r="W688" s="571"/>
      <c r="X688" s="571"/>
      <c r="Y688" s="571"/>
      <c r="Z688" s="571"/>
      <c r="AA688" s="571"/>
      <c r="AB688" s="571"/>
      <c r="AC688" s="571"/>
      <c r="AD688" s="571"/>
      <c r="AE688" s="571"/>
      <c r="AF688" s="571"/>
      <c r="AG688" s="571"/>
      <c r="AH688" s="571"/>
      <c r="AI688" s="571"/>
      <c r="AJ688" s="571"/>
      <c r="AK688" s="571"/>
      <c r="AL688" s="571"/>
      <c r="AM688" s="571"/>
      <c r="AN688" s="571"/>
      <c r="AO688" s="571"/>
    </row>
    <row r="689">
      <c r="G689" s="571"/>
      <c r="H689" s="571"/>
      <c r="I689" s="571"/>
      <c r="J689" s="571"/>
      <c r="K689" s="571"/>
      <c r="L689" s="571"/>
      <c r="M689" s="571"/>
      <c r="N689" s="571"/>
      <c r="O689" s="571"/>
      <c r="P689" s="571"/>
      <c r="Q689" s="571"/>
      <c r="R689" s="571"/>
      <c r="S689" s="571"/>
      <c r="T689" s="571"/>
      <c r="U689" s="571"/>
      <c r="V689" s="571"/>
      <c r="W689" s="571"/>
      <c r="X689" s="571"/>
      <c r="Y689" s="571"/>
      <c r="Z689" s="571"/>
      <c r="AA689" s="571"/>
      <c r="AB689" s="571"/>
      <c r="AC689" s="571"/>
      <c r="AD689" s="571"/>
      <c r="AE689" s="571"/>
      <c r="AF689" s="571"/>
      <c r="AG689" s="571"/>
      <c r="AH689" s="571"/>
      <c r="AI689" s="571"/>
      <c r="AJ689" s="571"/>
      <c r="AK689" s="571"/>
      <c r="AL689" s="571"/>
      <c r="AM689" s="571"/>
      <c r="AN689" s="571"/>
      <c r="AO689" s="571"/>
    </row>
    <row r="690">
      <c r="G690" s="571"/>
      <c r="H690" s="571"/>
      <c r="I690" s="571"/>
      <c r="J690" s="571"/>
      <c r="K690" s="571"/>
      <c r="L690" s="571"/>
      <c r="M690" s="571"/>
      <c r="N690" s="571"/>
      <c r="O690" s="571"/>
      <c r="P690" s="571"/>
      <c r="Q690" s="571"/>
      <c r="R690" s="571"/>
      <c r="S690" s="571"/>
      <c r="T690" s="571"/>
      <c r="U690" s="571"/>
      <c r="V690" s="571"/>
      <c r="W690" s="571"/>
      <c r="X690" s="571"/>
      <c r="Y690" s="571"/>
      <c r="Z690" s="571"/>
      <c r="AA690" s="571"/>
      <c r="AB690" s="571"/>
      <c r="AC690" s="571"/>
      <c r="AD690" s="571"/>
      <c r="AE690" s="571"/>
      <c r="AF690" s="571"/>
      <c r="AG690" s="571"/>
      <c r="AH690" s="571"/>
      <c r="AI690" s="571"/>
      <c r="AJ690" s="571"/>
      <c r="AK690" s="571"/>
      <c r="AL690" s="571"/>
      <c r="AM690" s="571"/>
      <c r="AN690" s="571"/>
      <c r="AO690" s="571"/>
    </row>
    <row r="691">
      <c r="G691" s="571"/>
      <c r="H691" s="571"/>
      <c r="I691" s="571"/>
      <c r="J691" s="571"/>
      <c r="K691" s="571"/>
      <c r="L691" s="571"/>
      <c r="M691" s="571"/>
      <c r="N691" s="571"/>
      <c r="O691" s="571"/>
      <c r="P691" s="571"/>
      <c r="Q691" s="571"/>
      <c r="R691" s="571"/>
      <c r="S691" s="571"/>
      <c r="T691" s="571"/>
      <c r="U691" s="571"/>
      <c r="V691" s="571"/>
      <c r="W691" s="571"/>
      <c r="X691" s="571"/>
      <c r="Y691" s="571"/>
      <c r="Z691" s="571"/>
      <c r="AA691" s="571"/>
      <c r="AB691" s="571"/>
      <c r="AC691" s="571"/>
      <c r="AD691" s="571"/>
      <c r="AE691" s="571"/>
      <c r="AF691" s="571"/>
      <c r="AG691" s="571"/>
      <c r="AH691" s="571"/>
      <c r="AI691" s="571"/>
      <c r="AJ691" s="571"/>
      <c r="AK691" s="571"/>
      <c r="AL691" s="571"/>
      <c r="AM691" s="571"/>
      <c r="AN691" s="571"/>
      <c r="AO691" s="571"/>
    </row>
    <row r="692">
      <c r="G692" s="571"/>
      <c r="H692" s="571"/>
      <c r="I692" s="571"/>
      <c r="J692" s="571"/>
      <c r="K692" s="571"/>
      <c r="L692" s="571"/>
      <c r="M692" s="571"/>
      <c r="N692" s="571"/>
      <c r="O692" s="571"/>
      <c r="P692" s="571"/>
      <c r="Q692" s="571"/>
      <c r="R692" s="571"/>
      <c r="S692" s="571"/>
      <c r="T692" s="571"/>
      <c r="U692" s="571"/>
      <c r="V692" s="571"/>
      <c r="W692" s="571"/>
      <c r="X692" s="571"/>
      <c r="Y692" s="571"/>
      <c r="Z692" s="571"/>
      <c r="AA692" s="571"/>
      <c r="AB692" s="571"/>
      <c r="AC692" s="571"/>
      <c r="AD692" s="571"/>
      <c r="AE692" s="571"/>
      <c r="AF692" s="571"/>
      <c r="AG692" s="571"/>
      <c r="AH692" s="571"/>
      <c r="AI692" s="571"/>
      <c r="AJ692" s="571"/>
      <c r="AK692" s="571"/>
      <c r="AL692" s="571"/>
      <c r="AM692" s="571"/>
      <c r="AN692" s="571"/>
      <c r="AO692" s="571"/>
    </row>
    <row r="693">
      <c r="G693" s="571"/>
      <c r="H693" s="571"/>
      <c r="I693" s="571"/>
      <c r="J693" s="571"/>
      <c r="K693" s="571"/>
      <c r="L693" s="571"/>
      <c r="M693" s="571"/>
      <c r="N693" s="571"/>
      <c r="O693" s="571"/>
      <c r="P693" s="571"/>
      <c r="Q693" s="571"/>
      <c r="R693" s="571"/>
      <c r="S693" s="571"/>
      <c r="T693" s="571"/>
      <c r="U693" s="571"/>
      <c r="V693" s="571"/>
      <c r="W693" s="571"/>
      <c r="X693" s="571"/>
      <c r="Y693" s="571"/>
      <c r="Z693" s="571"/>
      <c r="AA693" s="571"/>
      <c r="AB693" s="571"/>
      <c r="AC693" s="571"/>
      <c r="AD693" s="571"/>
      <c r="AE693" s="571"/>
      <c r="AF693" s="571"/>
      <c r="AG693" s="571"/>
      <c r="AH693" s="571"/>
      <c r="AI693" s="571"/>
      <c r="AJ693" s="571"/>
      <c r="AK693" s="571"/>
      <c r="AL693" s="571"/>
      <c r="AM693" s="571"/>
      <c r="AN693" s="571"/>
      <c r="AO693" s="571"/>
    </row>
    <row r="694">
      <c r="G694" s="571"/>
      <c r="H694" s="571"/>
      <c r="I694" s="571"/>
      <c r="J694" s="571"/>
      <c r="K694" s="571"/>
      <c r="L694" s="571"/>
      <c r="M694" s="571"/>
      <c r="N694" s="571"/>
      <c r="O694" s="571"/>
      <c r="P694" s="571"/>
      <c r="Q694" s="571"/>
      <c r="R694" s="571"/>
      <c r="S694" s="571"/>
      <c r="T694" s="571"/>
      <c r="U694" s="571"/>
      <c r="V694" s="571"/>
      <c r="W694" s="571"/>
      <c r="X694" s="571"/>
      <c r="Y694" s="571"/>
      <c r="Z694" s="571"/>
      <c r="AA694" s="571"/>
      <c r="AB694" s="571"/>
      <c r="AC694" s="571"/>
      <c r="AD694" s="571"/>
      <c r="AE694" s="571"/>
      <c r="AF694" s="571"/>
      <c r="AG694" s="571"/>
      <c r="AH694" s="571"/>
      <c r="AI694" s="571"/>
      <c r="AJ694" s="571"/>
      <c r="AK694" s="571"/>
      <c r="AL694" s="571"/>
      <c r="AM694" s="571"/>
      <c r="AN694" s="571"/>
      <c r="AO694" s="571"/>
    </row>
    <row r="695">
      <c r="G695" s="571"/>
      <c r="H695" s="571"/>
      <c r="I695" s="571"/>
      <c r="J695" s="571"/>
      <c r="K695" s="571"/>
      <c r="L695" s="571"/>
      <c r="M695" s="571"/>
      <c r="N695" s="571"/>
      <c r="O695" s="571"/>
      <c r="P695" s="571"/>
      <c r="Q695" s="571"/>
      <c r="R695" s="571"/>
      <c r="S695" s="571"/>
      <c r="T695" s="571"/>
      <c r="U695" s="571"/>
      <c r="V695" s="571"/>
      <c r="W695" s="571"/>
      <c r="X695" s="571"/>
      <c r="Y695" s="571"/>
      <c r="Z695" s="571"/>
      <c r="AA695" s="571"/>
      <c r="AB695" s="571"/>
      <c r="AC695" s="571"/>
      <c r="AD695" s="571"/>
      <c r="AE695" s="571"/>
      <c r="AF695" s="571"/>
      <c r="AG695" s="571"/>
      <c r="AH695" s="571"/>
      <c r="AI695" s="571"/>
      <c r="AJ695" s="571"/>
      <c r="AK695" s="571"/>
      <c r="AL695" s="571"/>
      <c r="AM695" s="571"/>
      <c r="AN695" s="571"/>
      <c r="AO695" s="571"/>
    </row>
    <row r="696">
      <c r="G696" s="571"/>
      <c r="H696" s="571"/>
      <c r="I696" s="571"/>
      <c r="J696" s="571"/>
      <c r="K696" s="571"/>
      <c r="L696" s="571"/>
      <c r="M696" s="571"/>
      <c r="N696" s="571"/>
      <c r="O696" s="571"/>
      <c r="P696" s="571"/>
      <c r="Q696" s="571"/>
      <c r="R696" s="571"/>
      <c r="S696" s="571"/>
      <c r="T696" s="571"/>
      <c r="U696" s="571"/>
      <c r="V696" s="571"/>
      <c r="W696" s="571"/>
      <c r="X696" s="571"/>
      <c r="Y696" s="571"/>
      <c r="Z696" s="571"/>
      <c r="AA696" s="571"/>
      <c r="AB696" s="571"/>
      <c r="AC696" s="571"/>
      <c r="AD696" s="571"/>
      <c r="AE696" s="571"/>
      <c r="AF696" s="571"/>
      <c r="AG696" s="571"/>
      <c r="AH696" s="571"/>
      <c r="AI696" s="571"/>
      <c r="AJ696" s="571"/>
      <c r="AK696" s="571"/>
      <c r="AL696" s="571"/>
      <c r="AM696" s="571"/>
      <c r="AN696" s="571"/>
      <c r="AO696" s="571"/>
    </row>
    <row r="697">
      <c r="G697" s="571"/>
      <c r="H697" s="571"/>
      <c r="I697" s="571"/>
      <c r="J697" s="571"/>
      <c r="K697" s="571"/>
      <c r="L697" s="571"/>
      <c r="M697" s="571"/>
      <c r="N697" s="571"/>
      <c r="O697" s="571"/>
      <c r="P697" s="571"/>
      <c r="Q697" s="571"/>
      <c r="R697" s="571"/>
      <c r="S697" s="571"/>
      <c r="T697" s="571"/>
      <c r="U697" s="571"/>
      <c r="V697" s="571"/>
      <c r="W697" s="571"/>
      <c r="X697" s="571"/>
      <c r="Y697" s="571"/>
      <c r="Z697" s="571"/>
      <c r="AA697" s="571"/>
      <c r="AB697" s="571"/>
      <c r="AC697" s="571"/>
      <c r="AD697" s="571"/>
      <c r="AE697" s="571"/>
      <c r="AF697" s="571"/>
      <c r="AG697" s="571"/>
      <c r="AH697" s="571"/>
      <c r="AI697" s="571"/>
      <c r="AJ697" s="571"/>
      <c r="AK697" s="571"/>
      <c r="AL697" s="571"/>
      <c r="AM697" s="571"/>
      <c r="AN697" s="571"/>
      <c r="AO697" s="571"/>
    </row>
    <row r="698">
      <c r="G698" s="571"/>
      <c r="H698" s="571"/>
      <c r="I698" s="571"/>
      <c r="J698" s="571"/>
      <c r="K698" s="571"/>
      <c r="L698" s="571"/>
      <c r="M698" s="571"/>
      <c r="N698" s="571"/>
      <c r="O698" s="571"/>
      <c r="P698" s="571"/>
      <c r="Q698" s="571"/>
      <c r="R698" s="571"/>
      <c r="S698" s="571"/>
      <c r="T698" s="571"/>
      <c r="U698" s="571"/>
      <c r="V698" s="571"/>
      <c r="W698" s="571"/>
      <c r="X698" s="571"/>
      <c r="Y698" s="571"/>
      <c r="Z698" s="571"/>
      <c r="AA698" s="571"/>
      <c r="AB698" s="571"/>
      <c r="AC698" s="571"/>
      <c r="AD698" s="571"/>
      <c r="AE698" s="571"/>
      <c r="AF698" s="571"/>
      <c r="AG698" s="571"/>
      <c r="AH698" s="571"/>
      <c r="AI698" s="571"/>
      <c r="AJ698" s="571"/>
      <c r="AK698" s="571"/>
      <c r="AL698" s="571"/>
      <c r="AM698" s="571"/>
      <c r="AN698" s="571"/>
      <c r="AO698" s="571"/>
    </row>
    <row r="699">
      <c r="G699" s="571"/>
      <c r="H699" s="571"/>
      <c r="I699" s="571"/>
      <c r="J699" s="571"/>
      <c r="K699" s="571"/>
      <c r="L699" s="571"/>
      <c r="M699" s="571"/>
      <c r="N699" s="571"/>
      <c r="O699" s="571"/>
      <c r="P699" s="571"/>
      <c r="Q699" s="571"/>
      <c r="R699" s="571"/>
      <c r="S699" s="571"/>
      <c r="T699" s="571"/>
      <c r="U699" s="571"/>
      <c r="V699" s="571"/>
      <c r="W699" s="571"/>
      <c r="X699" s="571"/>
      <c r="Y699" s="571"/>
      <c r="Z699" s="571"/>
      <c r="AA699" s="571"/>
      <c r="AB699" s="571"/>
      <c r="AC699" s="571"/>
      <c r="AD699" s="571"/>
      <c r="AE699" s="571"/>
      <c r="AF699" s="571"/>
      <c r="AG699" s="571"/>
      <c r="AH699" s="571"/>
      <c r="AI699" s="571"/>
      <c r="AJ699" s="571"/>
      <c r="AK699" s="571"/>
      <c r="AL699" s="571"/>
      <c r="AM699" s="571"/>
      <c r="AN699" s="571"/>
      <c r="AO699" s="571"/>
    </row>
    <row r="700">
      <c r="G700" s="571"/>
      <c r="H700" s="571"/>
      <c r="I700" s="571"/>
      <c r="J700" s="571"/>
      <c r="K700" s="571"/>
      <c r="L700" s="571"/>
      <c r="M700" s="571"/>
      <c r="N700" s="571"/>
      <c r="O700" s="571"/>
      <c r="P700" s="571"/>
      <c r="Q700" s="571"/>
      <c r="R700" s="571"/>
      <c r="S700" s="571"/>
      <c r="T700" s="571"/>
      <c r="U700" s="571"/>
      <c r="V700" s="571"/>
      <c r="W700" s="571"/>
      <c r="X700" s="571"/>
      <c r="Y700" s="571"/>
      <c r="Z700" s="571"/>
      <c r="AA700" s="571"/>
      <c r="AB700" s="571"/>
      <c r="AC700" s="571"/>
      <c r="AD700" s="571"/>
      <c r="AE700" s="571"/>
      <c r="AF700" s="571"/>
      <c r="AG700" s="571"/>
      <c r="AH700" s="571"/>
      <c r="AI700" s="571"/>
      <c r="AJ700" s="571"/>
      <c r="AK700" s="571"/>
      <c r="AL700" s="571"/>
      <c r="AM700" s="571"/>
      <c r="AN700" s="571"/>
      <c r="AO700" s="571"/>
    </row>
    <row r="701">
      <c r="G701" s="571"/>
      <c r="H701" s="571"/>
      <c r="I701" s="571"/>
      <c r="J701" s="571"/>
      <c r="K701" s="571"/>
      <c r="L701" s="571"/>
      <c r="M701" s="571"/>
      <c r="N701" s="571"/>
      <c r="O701" s="571"/>
      <c r="P701" s="571"/>
      <c r="Q701" s="571"/>
      <c r="R701" s="571"/>
      <c r="S701" s="571"/>
      <c r="T701" s="571"/>
      <c r="U701" s="571"/>
      <c r="V701" s="571"/>
      <c r="W701" s="571"/>
      <c r="X701" s="571"/>
      <c r="Y701" s="571"/>
      <c r="Z701" s="571"/>
      <c r="AA701" s="571"/>
      <c r="AB701" s="571"/>
      <c r="AC701" s="571"/>
      <c r="AD701" s="571"/>
      <c r="AE701" s="571"/>
      <c r="AF701" s="571"/>
      <c r="AG701" s="571"/>
      <c r="AH701" s="571"/>
      <c r="AI701" s="571"/>
      <c r="AJ701" s="571"/>
      <c r="AK701" s="571"/>
      <c r="AL701" s="571"/>
      <c r="AM701" s="571"/>
      <c r="AN701" s="571"/>
      <c r="AO701" s="571"/>
    </row>
    <row r="702">
      <c r="G702" s="571"/>
      <c r="H702" s="571"/>
      <c r="I702" s="571"/>
      <c r="J702" s="571"/>
      <c r="K702" s="571"/>
      <c r="L702" s="571"/>
      <c r="M702" s="571"/>
      <c r="N702" s="571"/>
      <c r="O702" s="571"/>
      <c r="P702" s="571"/>
      <c r="Q702" s="571"/>
      <c r="R702" s="571"/>
      <c r="S702" s="571"/>
      <c r="T702" s="571"/>
      <c r="U702" s="571"/>
      <c r="V702" s="571"/>
      <c r="W702" s="571"/>
      <c r="X702" s="571"/>
      <c r="Y702" s="571"/>
      <c r="Z702" s="571"/>
      <c r="AA702" s="571"/>
      <c r="AB702" s="571"/>
      <c r="AC702" s="571"/>
      <c r="AD702" s="571"/>
      <c r="AE702" s="571"/>
      <c r="AF702" s="571"/>
      <c r="AG702" s="571"/>
      <c r="AH702" s="571"/>
      <c r="AI702" s="571"/>
      <c r="AJ702" s="571"/>
      <c r="AK702" s="571"/>
      <c r="AL702" s="571"/>
      <c r="AM702" s="571"/>
      <c r="AN702" s="571"/>
      <c r="AO702" s="571"/>
    </row>
    <row r="703">
      <c r="G703" s="571"/>
      <c r="H703" s="571"/>
      <c r="I703" s="571"/>
      <c r="J703" s="571"/>
      <c r="K703" s="571"/>
      <c r="L703" s="571"/>
      <c r="M703" s="571"/>
      <c r="N703" s="571"/>
      <c r="O703" s="571"/>
      <c r="P703" s="571"/>
      <c r="Q703" s="571"/>
      <c r="R703" s="571"/>
      <c r="S703" s="571"/>
      <c r="T703" s="571"/>
      <c r="U703" s="571"/>
      <c r="V703" s="571"/>
      <c r="W703" s="571"/>
      <c r="X703" s="571"/>
      <c r="Y703" s="571"/>
      <c r="Z703" s="571"/>
      <c r="AA703" s="571"/>
      <c r="AB703" s="571"/>
      <c r="AC703" s="571"/>
      <c r="AD703" s="571"/>
      <c r="AE703" s="571"/>
      <c r="AF703" s="571"/>
      <c r="AG703" s="571"/>
      <c r="AH703" s="571"/>
      <c r="AI703" s="571"/>
      <c r="AJ703" s="571"/>
      <c r="AK703" s="571"/>
      <c r="AL703" s="571"/>
      <c r="AM703" s="571"/>
      <c r="AN703" s="571"/>
      <c r="AO703" s="571"/>
    </row>
    <row r="704">
      <c r="G704" s="571"/>
      <c r="H704" s="571"/>
      <c r="I704" s="571"/>
      <c r="J704" s="571"/>
      <c r="K704" s="571"/>
      <c r="L704" s="571"/>
      <c r="M704" s="571"/>
      <c r="N704" s="571"/>
      <c r="O704" s="571"/>
      <c r="P704" s="571"/>
      <c r="Q704" s="571"/>
      <c r="R704" s="571"/>
      <c r="S704" s="571"/>
      <c r="T704" s="571"/>
      <c r="U704" s="571"/>
      <c r="V704" s="571"/>
      <c r="W704" s="571"/>
      <c r="X704" s="571"/>
      <c r="Y704" s="571"/>
      <c r="Z704" s="571"/>
      <c r="AA704" s="571"/>
      <c r="AB704" s="571"/>
      <c r="AC704" s="571"/>
      <c r="AD704" s="571"/>
      <c r="AE704" s="571"/>
      <c r="AF704" s="571"/>
      <c r="AG704" s="571"/>
      <c r="AH704" s="571"/>
      <c r="AI704" s="571"/>
      <c r="AJ704" s="571"/>
      <c r="AK704" s="571"/>
      <c r="AL704" s="571"/>
      <c r="AM704" s="571"/>
      <c r="AN704" s="571"/>
      <c r="AO704" s="571"/>
    </row>
    <row r="705">
      <c r="G705" s="571"/>
      <c r="H705" s="571"/>
      <c r="I705" s="571"/>
      <c r="J705" s="571"/>
      <c r="K705" s="571"/>
      <c r="L705" s="571"/>
      <c r="M705" s="571"/>
      <c r="N705" s="571"/>
      <c r="O705" s="571"/>
      <c r="P705" s="571"/>
      <c r="Q705" s="571"/>
      <c r="R705" s="571"/>
      <c r="S705" s="571"/>
      <c r="T705" s="571"/>
      <c r="U705" s="571"/>
      <c r="V705" s="571"/>
      <c r="W705" s="571"/>
      <c r="X705" s="571"/>
      <c r="Y705" s="571"/>
      <c r="Z705" s="571"/>
      <c r="AA705" s="571"/>
      <c r="AB705" s="571"/>
      <c r="AC705" s="571"/>
      <c r="AD705" s="571"/>
      <c r="AE705" s="571"/>
      <c r="AF705" s="571"/>
      <c r="AG705" s="571"/>
      <c r="AH705" s="571"/>
      <c r="AI705" s="571"/>
      <c r="AJ705" s="571"/>
      <c r="AK705" s="571"/>
      <c r="AL705" s="571"/>
      <c r="AM705" s="571"/>
      <c r="AN705" s="571"/>
      <c r="AO705" s="571"/>
    </row>
    <row r="706">
      <c r="G706" s="571"/>
      <c r="H706" s="571"/>
      <c r="I706" s="571"/>
      <c r="J706" s="571"/>
      <c r="K706" s="571"/>
      <c r="L706" s="571"/>
      <c r="M706" s="571"/>
      <c r="N706" s="571"/>
      <c r="O706" s="571"/>
      <c r="P706" s="571"/>
      <c r="Q706" s="571"/>
      <c r="R706" s="571"/>
      <c r="S706" s="571"/>
      <c r="T706" s="571"/>
      <c r="U706" s="571"/>
      <c r="V706" s="571"/>
      <c r="W706" s="571"/>
      <c r="X706" s="571"/>
      <c r="Y706" s="571"/>
      <c r="Z706" s="571"/>
      <c r="AA706" s="571"/>
      <c r="AB706" s="571"/>
      <c r="AC706" s="571"/>
      <c r="AD706" s="571"/>
      <c r="AE706" s="571"/>
      <c r="AF706" s="571"/>
      <c r="AG706" s="571"/>
      <c r="AH706" s="571"/>
      <c r="AI706" s="571"/>
      <c r="AJ706" s="571"/>
      <c r="AK706" s="571"/>
      <c r="AL706" s="571"/>
      <c r="AM706" s="571"/>
      <c r="AN706" s="571"/>
      <c r="AO706" s="571"/>
    </row>
    <row r="707">
      <c r="G707" s="571"/>
      <c r="H707" s="571"/>
      <c r="I707" s="571"/>
      <c r="J707" s="571"/>
      <c r="K707" s="571"/>
      <c r="L707" s="571"/>
      <c r="M707" s="571"/>
      <c r="N707" s="571"/>
      <c r="O707" s="571"/>
      <c r="P707" s="571"/>
      <c r="Q707" s="571"/>
      <c r="R707" s="571"/>
      <c r="S707" s="571"/>
      <c r="T707" s="571"/>
      <c r="U707" s="571"/>
      <c r="V707" s="571"/>
      <c r="W707" s="571"/>
      <c r="X707" s="571"/>
      <c r="Y707" s="571"/>
      <c r="Z707" s="571"/>
      <c r="AA707" s="571"/>
      <c r="AB707" s="571"/>
      <c r="AC707" s="571"/>
      <c r="AD707" s="571"/>
      <c r="AE707" s="571"/>
      <c r="AF707" s="571"/>
      <c r="AG707" s="571"/>
      <c r="AH707" s="571"/>
      <c r="AI707" s="571"/>
      <c r="AJ707" s="571"/>
      <c r="AK707" s="571"/>
      <c r="AL707" s="571"/>
      <c r="AM707" s="571"/>
      <c r="AN707" s="571"/>
      <c r="AO707" s="571"/>
    </row>
    <row r="708">
      <c r="G708" s="571"/>
      <c r="H708" s="571"/>
      <c r="I708" s="571"/>
      <c r="J708" s="571"/>
      <c r="K708" s="571"/>
      <c r="L708" s="571"/>
      <c r="M708" s="571"/>
      <c r="N708" s="571"/>
      <c r="O708" s="571"/>
      <c r="P708" s="571"/>
      <c r="Q708" s="571"/>
      <c r="R708" s="571"/>
      <c r="S708" s="571"/>
      <c r="T708" s="571"/>
      <c r="U708" s="571"/>
      <c r="V708" s="571"/>
      <c r="W708" s="571"/>
      <c r="X708" s="571"/>
      <c r="Y708" s="571"/>
      <c r="Z708" s="571"/>
      <c r="AA708" s="571"/>
      <c r="AB708" s="571"/>
      <c r="AC708" s="571"/>
      <c r="AD708" s="571"/>
      <c r="AE708" s="571"/>
      <c r="AF708" s="571"/>
      <c r="AG708" s="571"/>
      <c r="AH708" s="571"/>
      <c r="AI708" s="571"/>
      <c r="AJ708" s="571"/>
      <c r="AK708" s="571"/>
      <c r="AL708" s="571"/>
      <c r="AM708" s="571"/>
      <c r="AN708" s="571"/>
      <c r="AO708" s="571"/>
    </row>
    <row r="709">
      <c r="G709" s="571"/>
      <c r="H709" s="571"/>
      <c r="I709" s="571"/>
      <c r="J709" s="571"/>
      <c r="K709" s="571"/>
      <c r="L709" s="571"/>
      <c r="M709" s="571"/>
      <c r="N709" s="571"/>
      <c r="O709" s="571"/>
      <c r="P709" s="571"/>
      <c r="Q709" s="571"/>
      <c r="R709" s="571"/>
      <c r="S709" s="571"/>
      <c r="T709" s="571"/>
      <c r="U709" s="571"/>
      <c r="V709" s="571"/>
      <c r="W709" s="571"/>
      <c r="X709" s="571"/>
      <c r="Y709" s="571"/>
      <c r="Z709" s="571"/>
      <c r="AA709" s="571"/>
      <c r="AB709" s="571"/>
      <c r="AC709" s="571"/>
      <c r="AD709" s="571"/>
      <c r="AE709" s="571"/>
      <c r="AF709" s="571"/>
      <c r="AG709" s="571"/>
      <c r="AH709" s="571"/>
      <c r="AI709" s="571"/>
      <c r="AJ709" s="571"/>
      <c r="AK709" s="571"/>
      <c r="AL709" s="571"/>
      <c r="AM709" s="571"/>
      <c r="AN709" s="571"/>
      <c r="AO709" s="571"/>
    </row>
    <row r="710">
      <c r="G710" s="571"/>
      <c r="H710" s="571"/>
      <c r="I710" s="571"/>
      <c r="J710" s="571"/>
      <c r="K710" s="571"/>
      <c r="L710" s="571"/>
      <c r="M710" s="571"/>
      <c r="N710" s="571"/>
      <c r="O710" s="571"/>
      <c r="P710" s="571"/>
      <c r="Q710" s="571"/>
      <c r="R710" s="571"/>
      <c r="S710" s="571"/>
      <c r="T710" s="571"/>
      <c r="U710" s="571"/>
      <c r="V710" s="571"/>
      <c r="W710" s="571"/>
      <c r="X710" s="571"/>
      <c r="Y710" s="571"/>
      <c r="Z710" s="571"/>
      <c r="AA710" s="571"/>
      <c r="AB710" s="571"/>
      <c r="AC710" s="571"/>
      <c r="AD710" s="571"/>
      <c r="AE710" s="571"/>
      <c r="AF710" s="571"/>
      <c r="AG710" s="571"/>
      <c r="AH710" s="571"/>
      <c r="AI710" s="571"/>
      <c r="AJ710" s="571"/>
      <c r="AK710" s="571"/>
      <c r="AL710" s="571"/>
      <c r="AM710" s="571"/>
      <c r="AN710" s="571"/>
      <c r="AO710" s="571"/>
    </row>
    <row r="711">
      <c r="G711" s="571"/>
      <c r="H711" s="571"/>
      <c r="I711" s="571"/>
      <c r="J711" s="571"/>
      <c r="K711" s="571"/>
      <c r="L711" s="571"/>
      <c r="M711" s="571"/>
      <c r="N711" s="571"/>
      <c r="O711" s="571"/>
      <c r="P711" s="571"/>
      <c r="Q711" s="571"/>
      <c r="R711" s="571"/>
      <c r="S711" s="571"/>
      <c r="T711" s="571"/>
      <c r="U711" s="571"/>
      <c r="V711" s="571"/>
      <c r="W711" s="571"/>
      <c r="X711" s="571"/>
      <c r="Y711" s="571"/>
      <c r="Z711" s="571"/>
      <c r="AA711" s="571"/>
      <c r="AB711" s="571"/>
      <c r="AC711" s="571"/>
      <c r="AD711" s="571"/>
      <c r="AE711" s="571"/>
      <c r="AF711" s="571"/>
      <c r="AG711" s="571"/>
      <c r="AH711" s="571"/>
      <c r="AI711" s="571"/>
      <c r="AJ711" s="571"/>
      <c r="AK711" s="571"/>
      <c r="AL711" s="571"/>
      <c r="AM711" s="571"/>
      <c r="AN711" s="571"/>
      <c r="AO711" s="571"/>
    </row>
    <row r="712">
      <c r="G712" s="571"/>
      <c r="H712" s="571"/>
      <c r="I712" s="571"/>
      <c r="J712" s="571"/>
      <c r="K712" s="571"/>
      <c r="L712" s="571"/>
      <c r="M712" s="571"/>
      <c r="N712" s="571"/>
      <c r="O712" s="571"/>
      <c r="P712" s="571"/>
      <c r="Q712" s="571"/>
      <c r="R712" s="571"/>
      <c r="S712" s="571"/>
      <c r="T712" s="571"/>
      <c r="U712" s="571"/>
      <c r="V712" s="571"/>
      <c r="W712" s="571"/>
      <c r="X712" s="571"/>
      <c r="Y712" s="571"/>
      <c r="Z712" s="571"/>
      <c r="AA712" s="571"/>
      <c r="AB712" s="571"/>
      <c r="AC712" s="571"/>
      <c r="AD712" s="571"/>
      <c r="AE712" s="571"/>
      <c r="AF712" s="571"/>
      <c r="AG712" s="571"/>
      <c r="AH712" s="571"/>
      <c r="AI712" s="571"/>
      <c r="AJ712" s="571"/>
      <c r="AK712" s="571"/>
      <c r="AL712" s="571"/>
      <c r="AM712" s="571"/>
      <c r="AN712" s="571"/>
      <c r="AO712" s="571"/>
    </row>
    <row r="713">
      <c r="G713" s="571"/>
      <c r="H713" s="571"/>
      <c r="I713" s="571"/>
      <c r="J713" s="571"/>
      <c r="K713" s="571"/>
      <c r="L713" s="571"/>
      <c r="M713" s="571"/>
      <c r="N713" s="571"/>
      <c r="O713" s="571"/>
      <c r="P713" s="571"/>
      <c r="Q713" s="571"/>
      <c r="R713" s="571"/>
      <c r="S713" s="571"/>
      <c r="T713" s="571"/>
      <c r="U713" s="571"/>
      <c r="V713" s="571"/>
      <c r="W713" s="571"/>
      <c r="X713" s="571"/>
      <c r="Y713" s="571"/>
      <c r="Z713" s="571"/>
      <c r="AA713" s="571"/>
      <c r="AB713" s="571"/>
      <c r="AC713" s="571"/>
      <c r="AD713" s="571"/>
      <c r="AE713" s="571"/>
      <c r="AF713" s="571"/>
      <c r="AG713" s="571"/>
      <c r="AH713" s="571"/>
      <c r="AI713" s="571"/>
      <c r="AJ713" s="571"/>
      <c r="AK713" s="571"/>
      <c r="AL713" s="571"/>
      <c r="AM713" s="571"/>
      <c r="AN713" s="571"/>
      <c r="AO713" s="571"/>
    </row>
    <row r="714">
      <c r="G714" s="571"/>
      <c r="H714" s="571"/>
      <c r="I714" s="571"/>
      <c r="J714" s="571"/>
      <c r="K714" s="571"/>
      <c r="L714" s="571"/>
      <c r="M714" s="571"/>
      <c r="N714" s="571"/>
      <c r="O714" s="571"/>
      <c r="P714" s="571"/>
      <c r="Q714" s="571"/>
      <c r="R714" s="571"/>
      <c r="S714" s="571"/>
      <c r="T714" s="571"/>
      <c r="U714" s="571"/>
      <c r="V714" s="571"/>
      <c r="W714" s="571"/>
      <c r="X714" s="571"/>
      <c r="Y714" s="571"/>
      <c r="Z714" s="571"/>
      <c r="AA714" s="571"/>
      <c r="AB714" s="571"/>
      <c r="AC714" s="571"/>
      <c r="AD714" s="571"/>
      <c r="AE714" s="571"/>
      <c r="AF714" s="571"/>
      <c r="AG714" s="571"/>
      <c r="AH714" s="571"/>
      <c r="AI714" s="571"/>
      <c r="AJ714" s="571"/>
      <c r="AK714" s="571"/>
      <c r="AL714" s="571"/>
      <c r="AM714" s="571"/>
      <c r="AN714" s="571"/>
      <c r="AO714" s="571"/>
    </row>
    <row r="715">
      <c r="G715" s="571"/>
      <c r="H715" s="571"/>
      <c r="I715" s="571"/>
      <c r="J715" s="571"/>
      <c r="K715" s="571"/>
      <c r="L715" s="571"/>
      <c r="M715" s="571"/>
      <c r="N715" s="571"/>
      <c r="O715" s="571"/>
      <c r="P715" s="571"/>
      <c r="Q715" s="571"/>
      <c r="R715" s="571"/>
      <c r="S715" s="571"/>
      <c r="T715" s="571"/>
      <c r="U715" s="571"/>
      <c r="V715" s="571"/>
      <c r="W715" s="571"/>
      <c r="X715" s="571"/>
      <c r="Y715" s="571"/>
      <c r="Z715" s="571"/>
      <c r="AA715" s="571"/>
      <c r="AB715" s="571"/>
      <c r="AC715" s="571"/>
      <c r="AD715" s="571"/>
      <c r="AE715" s="571"/>
      <c r="AF715" s="571"/>
      <c r="AG715" s="571"/>
      <c r="AH715" s="571"/>
      <c r="AI715" s="571"/>
      <c r="AJ715" s="571"/>
      <c r="AK715" s="571"/>
      <c r="AL715" s="571"/>
      <c r="AM715" s="571"/>
      <c r="AN715" s="571"/>
      <c r="AO715" s="571"/>
    </row>
    <row r="716">
      <c r="G716" s="571"/>
      <c r="H716" s="571"/>
      <c r="I716" s="571"/>
      <c r="J716" s="571"/>
      <c r="K716" s="571"/>
      <c r="L716" s="571"/>
      <c r="M716" s="571"/>
      <c r="N716" s="571"/>
      <c r="O716" s="571"/>
      <c r="P716" s="571"/>
      <c r="Q716" s="571"/>
      <c r="R716" s="571"/>
      <c r="S716" s="571"/>
      <c r="T716" s="571"/>
      <c r="U716" s="571"/>
      <c r="V716" s="571"/>
      <c r="W716" s="571"/>
      <c r="X716" s="571"/>
      <c r="Y716" s="571"/>
      <c r="Z716" s="571"/>
      <c r="AA716" s="571"/>
      <c r="AB716" s="571"/>
      <c r="AC716" s="571"/>
      <c r="AD716" s="571"/>
      <c r="AE716" s="571"/>
      <c r="AF716" s="571"/>
      <c r="AG716" s="571"/>
      <c r="AH716" s="571"/>
      <c r="AI716" s="571"/>
      <c r="AJ716" s="571"/>
      <c r="AK716" s="571"/>
      <c r="AL716" s="571"/>
      <c r="AM716" s="571"/>
      <c r="AN716" s="571"/>
      <c r="AO716" s="571"/>
    </row>
    <row r="717">
      <c r="G717" s="571"/>
      <c r="H717" s="571"/>
      <c r="I717" s="571"/>
      <c r="J717" s="571"/>
      <c r="K717" s="571"/>
      <c r="L717" s="571"/>
      <c r="M717" s="571"/>
      <c r="N717" s="571"/>
      <c r="O717" s="571"/>
      <c r="P717" s="571"/>
      <c r="Q717" s="571"/>
      <c r="R717" s="571"/>
      <c r="S717" s="571"/>
      <c r="T717" s="571"/>
      <c r="U717" s="571"/>
      <c r="V717" s="571"/>
      <c r="W717" s="571"/>
      <c r="X717" s="571"/>
      <c r="Y717" s="571"/>
      <c r="Z717" s="571"/>
      <c r="AA717" s="571"/>
      <c r="AB717" s="571"/>
      <c r="AC717" s="571"/>
      <c r="AD717" s="571"/>
      <c r="AE717" s="571"/>
      <c r="AF717" s="571"/>
      <c r="AG717" s="571"/>
      <c r="AH717" s="571"/>
      <c r="AI717" s="571"/>
      <c r="AJ717" s="571"/>
      <c r="AK717" s="571"/>
      <c r="AL717" s="571"/>
      <c r="AM717" s="571"/>
      <c r="AN717" s="571"/>
      <c r="AO717" s="571"/>
    </row>
    <row r="718">
      <c r="G718" s="571"/>
      <c r="H718" s="571"/>
      <c r="I718" s="571"/>
      <c r="J718" s="571"/>
      <c r="K718" s="571"/>
      <c r="L718" s="571"/>
      <c r="M718" s="571"/>
      <c r="N718" s="571"/>
      <c r="O718" s="571"/>
      <c r="P718" s="571"/>
      <c r="Q718" s="571"/>
      <c r="R718" s="571"/>
      <c r="S718" s="571"/>
      <c r="T718" s="571"/>
      <c r="U718" s="571"/>
      <c r="V718" s="571"/>
      <c r="W718" s="571"/>
      <c r="X718" s="571"/>
      <c r="Y718" s="571"/>
      <c r="Z718" s="571"/>
      <c r="AA718" s="571"/>
      <c r="AB718" s="571"/>
      <c r="AC718" s="571"/>
      <c r="AD718" s="571"/>
      <c r="AE718" s="571"/>
      <c r="AF718" s="571"/>
      <c r="AG718" s="571"/>
      <c r="AH718" s="571"/>
      <c r="AI718" s="571"/>
      <c r="AJ718" s="571"/>
      <c r="AK718" s="571"/>
      <c r="AL718" s="571"/>
      <c r="AM718" s="571"/>
      <c r="AN718" s="571"/>
      <c r="AO718" s="571"/>
    </row>
    <row r="719">
      <c r="G719" s="571"/>
      <c r="H719" s="571"/>
      <c r="I719" s="571"/>
      <c r="J719" s="571"/>
      <c r="K719" s="571"/>
      <c r="L719" s="571"/>
      <c r="M719" s="571"/>
      <c r="N719" s="571"/>
      <c r="O719" s="571"/>
      <c r="P719" s="571"/>
      <c r="Q719" s="571"/>
      <c r="R719" s="571"/>
      <c r="S719" s="571"/>
      <c r="T719" s="571"/>
      <c r="U719" s="571"/>
      <c r="V719" s="571"/>
      <c r="W719" s="571"/>
      <c r="X719" s="571"/>
      <c r="Y719" s="571"/>
      <c r="Z719" s="571"/>
      <c r="AA719" s="571"/>
      <c r="AB719" s="571"/>
      <c r="AC719" s="571"/>
      <c r="AD719" s="571"/>
      <c r="AE719" s="571"/>
      <c r="AF719" s="571"/>
      <c r="AG719" s="571"/>
      <c r="AH719" s="571"/>
      <c r="AI719" s="571"/>
      <c r="AJ719" s="571"/>
      <c r="AK719" s="571"/>
      <c r="AL719" s="571"/>
      <c r="AM719" s="571"/>
      <c r="AN719" s="571"/>
      <c r="AO719" s="571"/>
    </row>
    <row r="720">
      <c r="G720" s="571"/>
      <c r="H720" s="571"/>
      <c r="I720" s="571"/>
      <c r="J720" s="571"/>
      <c r="K720" s="571"/>
      <c r="L720" s="571"/>
      <c r="M720" s="571"/>
      <c r="N720" s="571"/>
      <c r="O720" s="571"/>
      <c r="P720" s="571"/>
      <c r="Q720" s="571"/>
      <c r="R720" s="571"/>
      <c r="S720" s="571"/>
      <c r="T720" s="571"/>
      <c r="U720" s="571"/>
      <c r="V720" s="571"/>
      <c r="W720" s="571"/>
      <c r="X720" s="571"/>
      <c r="Y720" s="571"/>
      <c r="Z720" s="571"/>
      <c r="AA720" s="571"/>
      <c r="AB720" s="571"/>
      <c r="AC720" s="571"/>
      <c r="AD720" s="571"/>
      <c r="AE720" s="571"/>
      <c r="AF720" s="571"/>
      <c r="AG720" s="571"/>
      <c r="AH720" s="571"/>
      <c r="AI720" s="571"/>
      <c r="AJ720" s="571"/>
      <c r="AK720" s="571"/>
      <c r="AL720" s="571"/>
      <c r="AM720" s="571"/>
      <c r="AN720" s="571"/>
      <c r="AO720" s="571"/>
    </row>
    <row r="721">
      <c r="G721" s="571"/>
      <c r="H721" s="571"/>
      <c r="I721" s="571"/>
      <c r="J721" s="571"/>
      <c r="K721" s="571"/>
      <c r="L721" s="571"/>
      <c r="M721" s="571"/>
      <c r="N721" s="571"/>
      <c r="O721" s="571"/>
      <c r="P721" s="571"/>
      <c r="Q721" s="571"/>
      <c r="R721" s="571"/>
      <c r="S721" s="571"/>
      <c r="T721" s="571"/>
      <c r="U721" s="571"/>
      <c r="V721" s="571"/>
      <c r="W721" s="571"/>
      <c r="X721" s="571"/>
      <c r="Y721" s="571"/>
      <c r="Z721" s="571"/>
      <c r="AA721" s="571"/>
      <c r="AB721" s="571"/>
      <c r="AC721" s="571"/>
      <c r="AD721" s="571"/>
      <c r="AE721" s="571"/>
      <c r="AF721" s="571"/>
      <c r="AG721" s="571"/>
      <c r="AH721" s="571"/>
      <c r="AI721" s="571"/>
      <c r="AJ721" s="571"/>
      <c r="AK721" s="571"/>
      <c r="AL721" s="571"/>
      <c r="AM721" s="571"/>
      <c r="AN721" s="571"/>
      <c r="AO721" s="571"/>
    </row>
    <row r="722">
      <c r="G722" s="571"/>
      <c r="H722" s="571"/>
      <c r="I722" s="571"/>
      <c r="J722" s="571"/>
      <c r="K722" s="571"/>
      <c r="L722" s="571"/>
      <c r="M722" s="571"/>
      <c r="N722" s="571"/>
      <c r="O722" s="571"/>
      <c r="P722" s="571"/>
      <c r="Q722" s="571"/>
      <c r="R722" s="571"/>
      <c r="S722" s="571"/>
      <c r="T722" s="571"/>
      <c r="U722" s="571"/>
      <c r="V722" s="571"/>
      <c r="W722" s="571"/>
      <c r="X722" s="571"/>
      <c r="Y722" s="571"/>
      <c r="Z722" s="571"/>
      <c r="AA722" s="571"/>
      <c r="AB722" s="571"/>
      <c r="AC722" s="571"/>
      <c r="AD722" s="571"/>
      <c r="AE722" s="571"/>
      <c r="AF722" s="571"/>
      <c r="AG722" s="571"/>
      <c r="AH722" s="571"/>
      <c r="AI722" s="571"/>
      <c r="AJ722" s="571"/>
      <c r="AK722" s="571"/>
      <c r="AL722" s="571"/>
      <c r="AM722" s="571"/>
      <c r="AN722" s="571"/>
      <c r="AO722" s="571"/>
    </row>
    <row r="723">
      <c r="G723" s="571"/>
      <c r="H723" s="571"/>
      <c r="I723" s="571"/>
      <c r="J723" s="571"/>
      <c r="K723" s="571"/>
      <c r="L723" s="571"/>
      <c r="M723" s="571"/>
      <c r="N723" s="571"/>
      <c r="O723" s="571"/>
      <c r="P723" s="571"/>
      <c r="Q723" s="571"/>
      <c r="R723" s="571"/>
      <c r="S723" s="571"/>
      <c r="T723" s="571"/>
      <c r="U723" s="571"/>
      <c r="V723" s="571"/>
      <c r="W723" s="571"/>
      <c r="X723" s="571"/>
      <c r="Y723" s="571"/>
      <c r="Z723" s="571"/>
      <c r="AA723" s="571"/>
      <c r="AB723" s="571"/>
      <c r="AC723" s="571"/>
      <c r="AD723" s="571"/>
      <c r="AE723" s="571"/>
      <c r="AF723" s="571"/>
      <c r="AG723" s="571"/>
      <c r="AH723" s="571"/>
      <c r="AI723" s="571"/>
      <c r="AJ723" s="571"/>
      <c r="AK723" s="571"/>
      <c r="AL723" s="571"/>
      <c r="AM723" s="571"/>
      <c r="AN723" s="571"/>
      <c r="AO723" s="571"/>
    </row>
    <row r="724">
      <c r="G724" s="571"/>
      <c r="H724" s="571"/>
      <c r="I724" s="571"/>
      <c r="J724" s="571"/>
      <c r="K724" s="571"/>
      <c r="L724" s="571"/>
      <c r="M724" s="571"/>
      <c r="N724" s="571"/>
      <c r="O724" s="571"/>
      <c r="P724" s="571"/>
      <c r="Q724" s="571"/>
      <c r="R724" s="571"/>
      <c r="S724" s="571"/>
      <c r="T724" s="571"/>
      <c r="U724" s="571"/>
      <c r="V724" s="571"/>
      <c r="W724" s="571"/>
      <c r="X724" s="571"/>
      <c r="Y724" s="571"/>
      <c r="Z724" s="571"/>
      <c r="AA724" s="571"/>
      <c r="AB724" s="571"/>
      <c r="AC724" s="571"/>
      <c r="AD724" s="571"/>
      <c r="AE724" s="571"/>
      <c r="AF724" s="571"/>
      <c r="AG724" s="571"/>
      <c r="AH724" s="571"/>
      <c r="AI724" s="571"/>
      <c r="AJ724" s="571"/>
      <c r="AK724" s="571"/>
      <c r="AL724" s="571"/>
      <c r="AM724" s="571"/>
      <c r="AN724" s="571"/>
      <c r="AO724" s="571"/>
    </row>
    <row r="725">
      <c r="G725" s="571"/>
      <c r="H725" s="571"/>
      <c r="I725" s="571"/>
      <c r="J725" s="571"/>
      <c r="K725" s="571"/>
      <c r="L725" s="571"/>
      <c r="M725" s="571"/>
      <c r="N725" s="571"/>
      <c r="O725" s="571"/>
      <c r="P725" s="571"/>
      <c r="Q725" s="571"/>
      <c r="R725" s="571"/>
      <c r="S725" s="571"/>
      <c r="T725" s="571"/>
      <c r="U725" s="571"/>
      <c r="V725" s="571"/>
      <c r="W725" s="571"/>
      <c r="X725" s="571"/>
      <c r="Y725" s="571"/>
      <c r="Z725" s="571"/>
      <c r="AA725" s="571"/>
      <c r="AB725" s="571"/>
      <c r="AC725" s="571"/>
      <c r="AD725" s="571"/>
      <c r="AE725" s="571"/>
      <c r="AF725" s="571"/>
      <c r="AG725" s="571"/>
      <c r="AH725" s="571"/>
      <c r="AI725" s="571"/>
      <c r="AJ725" s="571"/>
      <c r="AK725" s="571"/>
      <c r="AL725" s="571"/>
      <c r="AM725" s="571"/>
      <c r="AN725" s="571"/>
      <c r="AO725" s="571"/>
    </row>
    <row r="726">
      <c r="G726" s="571"/>
      <c r="H726" s="571"/>
      <c r="I726" s="571"/>
      <c r="J726" s="571"/>
      <c r="K726" s="571"/>
      <c r="L726" s="571"/>
      <c r="M726" s="571"/>
      <c r="N726" s="571"/>
      <c r="O726" s="571"/>
      <c r="P726" s="571"/>
      <c r="Q726" s="571"/>
      <c r="R726" s="571"/>
      <c r="S726" s="571"/>
      <c r="T726" s="571"/>
      <c r="U726" s="571"/>
      <c r="V726" s="571"/>
      <c r="W726" s="571"/>
      <c r="X726" s="571"/>
      <c r="Y726" s="571"/>
      <c r="Z726" s="571"/>
      <c r="AA726" s="571"/>
      <c r="AB726" s="571"/>
      <c r="AC726" s="571"/>
      <c r="AD726" s="571"/>
      <c r="AE726" s="571"/>
      <c r="AF726" s="571"/>
      <c r="AG726" s="571"/>
      <c r="AH726" s="571"/>
      <c r="AI726" s="571"/>
      <c r="AJ726" s="571"/>
      <c r="AK726" s="571"/>
      <c r="AL726" s="571"/>
      <c r="AM726" s="571"/>
      <c r="AN726" s="571"/>
      <c r="AO726" s="571"/>
    </row>
    <row r="727">
      <c r="G727" s="571"/>
      <c r="H727" s="571"/>
      <c r="I727" s="571"/>
      <c r="J727" s="571"/>
      <c r="K727" s="571"/>
      <c r="L727" s="571"/>
      <c r="M727" s="571"/>
      <c r="N727" s="571"/>
      <c r="O727" s="571"/>
      <c r="P727" s="571"/>
      <c r="Q727" s="571"/>
      <c r="R727" s="571"/>
      <c r="S727" s="571"/>
      <c r="T727" s="571"/>
      <c r="U727" s="571"/>
      <c r="V727" s="571"/>
      <c r="W727" s="571"/>
      <c r="X727" s="571"/>
      <c r="Y727" s="571"/>
      <c r="Z727" s="571"/>
      <c r="AA727" s="571"/>
      <c r="AB727" s="571"/>
      <c r="AC727" s="571"/>
      <c r="AD727" s="571"/>
      <c r="AE727" s="571"/>
      <c r="AF727" s="571"/>
      <c r="AG727" s="571"/>
      <c r="AH727" s="571"/>
      <c r="AI727" s="571"/>
      <c r="AJ727" s="571"/>
      <c r="AK727" s="571"/>
      <c r="AL727" s="571"/>
      <c r="AM727" s="571"/>
      <c r="AN727" s="571"/>
      <c r="AO727" s="571"/>
    </row>
    <row r="728">
      <c r="G728" s="571"/>
      <c r="H728" s="571"/>
      <c r="I728" s="571"/>
      <c r="J728" s="571"/>
      <c r="K728" s="571"/>
      <c r="L728" s="571"/>
      <c r="M728" s="571"/>
      <c r="N728" s="571"/>
      <c r="O728" s="571"/>
      <c r="P728" s="571"/>
      <c r="Q728" s="571"/>
      <c r="R728" s="571"/>
      <c r="S728" s="571"/>
      <c r="T728" s="571"/>
      <c r="U728" s="571"/>
      <c r="V728" s="571"/>
      <c r="W728" s="571"/>
      <c r="X728" s="571"/>
      <c r="Y728" s="571"/>
      <c r="Z728" s="571"/>
      <c r="AA728" s="571"/>
      <c r="AB728" s="571"/>
      <c r="AC728" s="571"/>
      <c r="AD728" s="571"/>
      <c r="AE728" s="571"/>
      <c r="AF728" s="571"/>
      <c r="AG728" s="571"/>
      <c r="AH728" s="571"/>
      <c r="AI728" s="571"/>
      <c r="AJ728" s="571"/>
      <c r="AK728" s="571"/>
      <c r="AL728" s="571"/>
      <c r="AM728" s="571"/>
      <c r="AN728" s="571"/>
      <c r="AO728" s="571"/>
    </row>
    <row r="729">
      <c r="G729" s="571"/>
      <c r="H729" s="571"/>
      <c r="I729" s="571"/>
      <c r="J729" s="571"/>
      <c r="K729" s="571"/>
      <c r="L729" s="571"/>
      <c r="M729" s="571"/>
      <c r="N729" s="571"/>
      <c r="O729" s="571"/>
      <c r="P729" s="571"/>
      <c r="Q729" s="571"/>
      <c r="R729" s="571"/>
      <c r="S729" s="571"/>
      <c r="T729" s="571"/>
      <c r="U729" s="571"/>
      <c r="V729" s="571"/>
      <c r="W729" s="571"/>
      <c r="X729" s="571"/>
      <c r="Y729" s="571"/>
      <c r="Z729" s="571"/>
      <c r="AA729" s="571"/>
      <c r="AB729" s="571"/>
      <c r="AC729" s="571"/>
      <c r="AD729" s="571"/>
      <c r="AE729" s="571"/>
      <c r="AF729" s="571"/>
      <c r="AG729" s="571"/>
      <c r="AH729" s="571"/>
      <c r="AI729" s="571"/>
      <c r="AJ729" s="571"/>
      <c r="AK729" s="571"/>
      <c r="AL729" s="571"/>
      <c r="AM729" s="571"/>
      <c r="AN729" s="571"/>
      <c r="AO729" s="571"/>
    </row>
    <row r="730">
      <c r="G730" s="571"/>
      <c r="H730" s="571"/>
      <c r="I730" s="571"/>
      <c r="J730" s="571"/>
      <c r="K730" s="571"/>
      <c r="L730" s="571"/>
      <c r="M730" s="571"/>
      <c r="N730" s="571"/>
      <c r="O730" s="571"/>
      <c r="P730" s="571"/>
      <c r="Q730" s="571"/>
      <c r="R730" s="571"/>
      <c r="S730" s="571"/>
      <c r="T730" s="571"/>
      <c r="U730" s="571"/>
      <c r="V730" s="571"/>
      <c r="W730" s="571"/>
      <c r="X730" s="571"/>
      <c r="Y730" s="571"/>
      <c r="Z730" s="571"/>
      <c r="AA730" s="571"/>
      <c r="AB730" s="571"/>
      <c r="AC730" s="571"/>
      <c r="AD730" s="571"/>
      <c r="AE730" s="571"/>
      <c r="AF730" s="571"/>
      <c r="AG730" s="571"/>
      <c r="AH730" s="571"/>
      <c r="AI730" s="571"/>
      <c r="AJ730" s="571"/>
      <c r="AK730" s="571"/>
      <c r="AL730" s="571"/>
      <c r="AM730" s="571"/>
      <c r="AN730" s="571"/>
      <c r="AO730" s="571"/>
    </row>
    <row r="731">
      <c r="G731" s="571"/>
      <c r="H731" s="571"/>
      <c r="I731" s="571"/>
      <c r="J731" s="571"/>
      <c r="K731" s="571"/>
      <c r="L731" s="571"/>
      <c r="M731" s="571"/>
      <c r="N731" s="571"/>
      <c r="O731" s="571"/>
      <c r="P731" s="571"/>
      <c r="Q731" s="571"/>
      <c r="R731" s="571"/>
      <c r="S731" s="571"/>
      <c r="T731" s="571"/>
      <c r="U731" s="571"/>
      <c r="V731" s="571"/>
      <c r="W731" s="571"/>
      <c r="X731" s="571"/>
      <c r="Y731" s="571"/>
      <c r="Z731" s="571"/>
      <c r="AA731" s="571"/>
      <c r="AB731" s="571"/>
      <c r="AC731" s="571"/>
      <c r="AD731" s="571"/>
      <c r="AE731" s="571"/>
      <c r="AF731" s="571"/>
      <c r="AG731" s="571"/>
      <c r="AH731" s="571"/>
      <c r="AI731" s="571"/>
      <c r="AJ731" s="571"/>
      <c r="AK731" s="571"/>
      <c r="AL731" s="571"/>
      <c r="AM731" s="571"/>
      <c r="AN731" s="571"/>
      <c r="AO731" s="571"/>
    </row>
    <row r="732">
      <c r="G732" s="571"/>
      <c r="H732" s="571"/>
      <c r="I732" s="571"/>
      <c r="J732" s="571"/>
      <c r="K732" s="571"/>
      <c r="L732" s="571"/>
      <c r="M732" s="571"/>
      <c r="N732" s="571"/>
      <c r="O732" s="571"/>
      <c r="P732" s="571"/>
      <c r="Q732" s="571"/>
      <c r="R732" s="571"/>
      <c r="S732" s="571"/>
      <c r="T732" s="571"/>
      <c r="U732" s="571"/>
      <c r="V732" s="571"/>
      <c r="W732" s="571"/>
      <c r="X732" s="571"/>
      <c r="Y732" s="571"/>
      <c r="Z732" s="571"/>
      <c r="AA732" s="571"/>
      <c r="AB732" s="571"/>
      <c r="AC732" s="571"/>
      <c r="AD732" s="571"/>
      <c r="AE732" s="571"/>
      <c r="AF732" s="571"/>
      <c r="AG732" s="571"/>
      <c r="AH732" s="571"/>
      <c r="AI732" s="571"/>
      <c r="AJ732" s="571"/>
      <c r="AK732" s="571"/>
      <c r="AL732" s="571"/>
      <c r="AM732" s="571"/>
      <c r="AN732" s="571"/>
      <c r="AO732" s="571"/>
    </row>
    <row r="733">
      <c r="G733" s="571"/>
      <c r="H733" s="571"/>
      <c r="I733" s="571"/>
      <c r="J733" s="571"/>
      <c r="K733" s="571"/>
      <c r="L733" s="571"/>
      <c r="M733" s="571"/>
      <c r="N733" s="571"/>
      <c r="O733" s="571"/>
      <c r="P733" s="571"/>
      <c r="Q733" s="571"/>
      <c r="R733" s="571"/>
      <c r="S733" s="571"/>
      <c r="T733" s="571"/>
      <c r="U733" s="571"/>
      <c r="V733" s="571"/>
      <c r="W733" s="571"/>
      <c r="X733" s="571"/>
      <c r="Y733" s="571"/>
      <c r="Z733" s="571"/>
      <c r="AA733" s="571"/>
      <c r="AB733" s="571"/>
      <c r="AC733" s="571"/>
      <c r="AD733" s="571"/>
      <c r="AE733" s="571"/>
      <c r="AF733" s="571"/>
      <c r="AG733" s="571"/>
      <c r="AH733" s="571"/>
      <c r="AI733" s="571"/>
      <c r="AJ733" s="571"/>
      <c r="AK733" s="571"/>
      <c r="AL733" s="571"/>
      <c r="AM733" s="571"/>
      <c r="AN733" s="571"/>
      <c r="AO733" s="571"/>
    </row>
    <row r="734">
      <c r="G734" s="571"/>
      <c r="H734" s="571"/>
      <c r="I734" s="571"/>
      <c r="J734" s="571"/>
      <c r="K734" s="571"/>
      <c r="L734" s="571"/>
      <c r="M734" s="571"/>
      <c r="N734" s="571"/>
      <c r="O734" s="571"/>
      <c r="P734" s="571"/>
      <c r="Q734" s="571"/>
      <c r="R734" s="571"/>
      <c r="S734" s="571"/>
      <c r="T734" s="571"/>
      <c r="U734" s="571"/>
      <c r="V734" s="571"/>
      <c r="W734" s="571"/>
      <c r="X734" s="571"/>
      <c r="Y734" s="571"/>
      <c r="Z734" s="571"/>
      <c r="AA734" s="571"/>
      <c r="AB734" s="571"/>
      <c r="AC734" s="571"/>
      <c r="AD734" s="571"/>
      <c r="AE734" s="571"/>
      <c r="AF734" s="571"/>
      <c r="AG734" s="571"/>
      <c r="AH734" s="571"/>
      <c r="AI734" s="571"/>
      <c r="AJ734" s="571"/>
      <c r="AK734" s="571"/>
      <c r="AL734" s="571"/>
      <c r="AM734" s="571"/>
      <c r="AN734" s="571"/>
      <c r="AO734" s="571"/>
    </row>
    <row r="735">
      <c r="G735" s="571"/>
      <c r="H735" s="571"/>
      <c r="I735" s="571"/>
      <c r="J735" s="571"/>
      <c r="K735" s="571"/>
      <c r="L735" s="571"/>
      <c r="M735" s="571"/>
      <c r="N735" s="571"/>
      <c r="O735" s="571"/>
      <c r="P735" s="571"/>
      <c r="Q735" s="571"/>
      <c r="R735" s="571"/>
      <c r="S735" s="571"/>
      <c r="T735" s="571"/>
      <c r="U735" s="571"/>
      <c r="V735" s="571"/>
      <c r="W735" s="571"/>
      <c r="X735" s="571"/>
      <c r="Y735" s="571"/>
      <c r="Z735" s="571"/>
      <c r="AA735" s="571"/>
      <c r="AB735" s="571"/>
      <c r="AC735" s="571"/>
      <c r="AD735" s="571"/>
      <c r="AE735" s="571"/>
      <c r="AF735" s="571"/>
      <c r="AG735" s="571"/>
      <c r="AH735" s="571"/>
      <c r="AI735" s="571"/>
      <c r="AJ735" s="571"/>
      <c r="AK735" s="571"/>
      <c r="AL735" s="571"/>
      <c r="AM735" s="571"/>
      <c r="AN735" s="571"/>
      <c r="AO735" s="571"/>
    </row>
    <row r="736">
      <c r="G736" s="571"/>
      <c r="H736" s="571"/>
      <c r="I736" s="571"/>
      <c r="J736" s="571"/>
      <c r="K736" s="571"/>
      <c r="L736" s="571"/>
      <c r="M736" s="571"/>
      <c r="N736" s="571"/>
      <c r="O736" s="571"/>
      <c r="P736" s="571"/>
      <c r="Q736" s="571"/>
      <c r="R736" s="571"/>
      <c r="S736" s="571"/>
      <c r="T736" s="571"/>
      <c r="U736" s="571"/>
      <c r="V736" s="571"/>
      <c r="W736" s="571"/>
      <c r="X736" s="571"/>
      <c r="Y736" s="571"/>
      <c r="Z736" s="571"/>
      <c r="AA736" s="571"/>
      <c r="AB736" s="571"/>
      <c r="AC736" s="571"/>
      <c r="AD736" s="571"/>
      <c r="AE736" s="571"/>
      <c r="AF736" s="571"/>
      <c r="AG736" s="571"/>
      <c r="AH736" s="571"/>
      <c r="AI736" s="571"/>
      <c r="AJ736" s="571"/>
      <c r="AK736" s="571"/>
      <c r="AL736" s="571"/>
      <c r="AM736" s="571"/>
      <c r="AN736" s="571"/>
      <c r="AO736" s="571"/>
    </row>
    <row r="737">
      <c r="G737" s="571"/>
      <c r="H737" s="571"/>
      <c r="I737" s="571"/>
      <c r="J737" s="571"/>
      <c r="K737" s="571"/>
      <c r="L737" s="571"/>
      <c r="M737" s="571"/>
      <c r="N737" s="571"/>
      <c r="O737" s="571"/>
      <c r="P737" s="571"/>
      <c r="Q737" s="571"/>
      <c r="R737" s="571"/>
      <c r="S737" s="571"/>
      <c r="T737" s="571"/>
      <c r="U737" s="571"/>
      <c r="V737" s="571"/>
      <c r="W737" s="571"/>
      <c r="X737" s="571"/>
      <c r="Y737" s="571"/>
      <c r="Z737" s="571"/>
      <c r="AA737" s="571"/>
      <c r="AB737" s="571"/>
      <c r="AC737" s="571"/>
      <c r="AD737" s="571"/>
      <c r="AE737" s="571"/>
      <c r="AF737" s="571"/>
      <c r="AG737" s="571"/>
      <c r="AH737" s="571"/>
      <c r="AI737" s="571"/>
      <c r="AJ737" s="571"/>
      <c r="AK737" s="571"/>
      <c r="AL737" s="571"/>
      <c r="AM737" s="571"/>
      <c r="AN737" s="571"/>
      <c r="AO737" s="571"/>
    </row>
    <row r="738">
      <c r="G738" s="571"/>
      <c r="H738" s="571"/>
      <c r="I738" s="571"/>
      <c r="J738" s="571"/>
      <c r="K738" s="571"/>
      <c r="L738" s="571"/>
      <c r="M738" s="571"/>
      <c r="N738" s="571"/>
      <c r="O738" s="571"/>
      <c r="P738" s="571"/>
      <c r="Q738" s="571"/>
      <c r="R738" s="571"/>
      <c r="S738" s="571"/>
      <c r="T738" s="571"/>
      <c r="U738" s="571"/>
      <c r="V738" s="571"/>
      <c r="W738" s="571"/>
      <c r="X738" s="571"/>
      <c r="Y738" s="571"/>
      <c r="Z738" s="571"/>
      <c r="AA738" s="571"/>
      <c r="AB738" s="571"/>
      <c r="AC738" s="571"/>
      <c r="AD738" s="571"/>
      <c r="AE738" s="571"/>
      <c r="AF738" s="571"/>
      <c r="AG738" s="571"/>
      <c r="AH738" s="571"/>
      <c r="AI738" s="571"/>
      <c r="AJ738" s="571"/>
      <c r="AK738" s="571"/>
      <c r="AL738" s="571"/>
      <c r="AM738" s="571"/>
      <c r="AN738" s="571"/>
      <c r="AO738" s="571"/>
    </row>
    <row r="739">
      <c r="G739" s="571"/>
      <c r="H739" s="571"/>
      <c r="I739" s="571"/>
      <c r="J739" s="571"/>
      <c r="K739" s="571"/>
      <c r="L739" s="571"/>
      <c r="M739" s="571"/>
      <c r="N739" s="571"/>
      <c r="O739" s="571"/>
      <c r="P739" s="571"/>
      <c r="Q739" s="571"/>
      <c r="R739" s="571"/>
      <c r="S739" s="571"/>
      <c r="T739" s="571"/>
      <c r="U739" s="571"/>
      <c r="V739" s="571"/>
      <c r="W739" s="571"/>
      <c r="X739" s="571"/>
      <c r="Y739" s="571"/>
      <c r="Z739" s="571"/>
      <c r="AA739" s="571"/>
      <c r="AB739" s="571"/>
      <c r="AC739" s="571"/>
      <c r="AD739" s="571"/>
      <c r="AE739" s="571"/>
      <c r="AF739" s="571"/>
      <c r="AG739" s="571"/>
      <c r="AH739" s="571"/>
      <c r="AI739" s="571"/>
      <c r="AJ739" s="571"/>
      <c r="AK739" s="571"/>
      <c r="AL739" s="571"/>
      <c r="AM739" s="571"/>
      <c r="AN739" s="571"/>
      <c r="AO739" s="571"/>
    </row>
    <row r="740">
      <c r="G740" s="571"/>
      <c r="H740" s="571"/>
      <c r="I740" s="571"/>
      <c r="J740" s="571"/>
      <c r="K740" s="571"/>
      <c r="L740" s="571"/>
      <c r="M740" s="571"/>
      <c r="N740" s="571"/>
      <c r="O740" s="571"/>
      <c r="P740" s="571"/>
      <c r="Q740" s="571"/>
      <c r="R740" s="571"/>
      <c r="S740" s="571"/>
      <c r="T740" s="571"/>
      <c r="U740" s="571"/>
      <c r="V740" s="571"/>
      <c r="W740" s="571"/>
      <c r="X740" s="571"/>
      <c r="Y740" s="571"/>
      <c r="Z740" s="571"/>
      <c r="AA740" s="571"/>
      <c r="AB740" s="571"/>
      <c r="AC740" s="571"/>
      <c r="AD740" s="571"/>
      <c r="AE740" s="571"/>
      <c r="AF740" s="571"/>
      <c r="AG740" s="571"/>
      <c r="AH740" s="571"/>
      <c r="AI740" s="571"/>
      <c r="AJ740" s="571"/>
      <c r="AK740" s="571"/>
      <c r="AL740" s="571"/>
      <c r="AM740" s="571"/>
      <c r="AN740" s="571"/>
      <c r="AO740" s="571"/>
    </row>
    <row r="741">
      <c r="G741" s="571"/>
      <c r="H741" s="571"/>
      <c r="I741" s="571"/>
      <c r="J741" s="571"/>
      <c r="K741" s="571"/>
      <c r="L741" s="571"/>
      <c r="M741" s="571"/>
      <c r="N741" s="571"/>
      <c r="O741" s="571"/>
      <c r="P741" s="571"/>
      <c r="Q741" s="571"/>
      <c r="R741" s="571"/>
      <c r="S741" s="571"/>
      <c r="T741" s="571"/>
      <c r="U741" s="571"/>
      <c r="V741" s="571"/>
      <c r="W741" s="571"/>
      <c r="X741" s="571"/>
      <c r="Y741" s="571"/>
      <c r="Z741" s="571"/>
      <c r="AA741" s="571"/>
      <c r="AB741" s="571"/>
      <c r="AC741" s="571"/>
      <c r="AD741" s="571"/>
      <c r="AE741" s="571"/>
      <c r="AF741" s="571"/>
      <c r="AG741" s="571"/>
      <c r="AH741" s="571"/>
      <c r="AI741" s="571"/>
      <c r="AJ741" s="571"/>
      <c r="AK741" s="571"/>
      <c r="AL741" s="571"/>
      <c r="AM741" s="571"/>
      <c r="AN741" s="571"/>
      <c r="AO741" s="571"/>
    </row>
    <row r="742">
      <c r="G742" s="571"/>
      <c r="H742" s="571"/>
      <c r="I742" s="571"/>
      <c r="J742" s="571"/>
      <c r="K742" s="571"/>
      <c r="L742" s="571"/>
      <c r="M742" s="571"/>
      <c r="N742" s="571"/>
      <c r="O742" s="571"/>
      <c r="P742" s="571"/>
      <c r="Q742" s="571"/>
      <c r="R742" s="571"/>
      <c r="S742" s="571"/>
      <c r="T742" s="571"/>
      <c r="U742" s="571"/>
      <c r="V742" s="571"/>
      <c r="W742" s="571"/>
      <c r="X742" s="571"/>
      <c r="Y742" s="571"/>
      <c r="Z742" s="571"/>
      <c r="AA742" s="571"/>
      <c r="AB742" s="571"/>
      <c r="AC742" s="571"/>
      <c r="AD742" s="571"/>
      <c r="AE742" s="571"/>
      <c r="AF742" s="571"/>
      <c r="AG742" s="571"/>
      <c r="AH742" s="571"/>
      <c r="AI742" s="571"/>
      <c r="AJ742" s="571"/>
      <c r="AK742" s="571"/>
      <c r="AL742" s="571"/>
      <c r="AM742" s="571"/>
      <c r="AN742" s="571"/>
      <c r="AO742" s="571"/>
    </row>
    <row r="743">
      <c r="G743" s="571"/>
      <c r="H743" s="571"/>
      <c r="I743" s="571"/>
      <c r="J743" s="571"/>
      <c r="K743" s="571"/>
      <c r="L743" s="571"/>
      <c r="M743" s="571"/>
      <c r="N743" s="571"/>
      <c r="O743" s="571"/>
      <c r="P743" s="571"/>
      <c r="Q743" s="571"/>
      <c r="R743" s="571"/>
      <c r="S743" s="571"/>
      <c r="T743" s="571"/>
      <c r="U743" s="571"/>
      <c r="V743" s="571"/>
      <c r="W743" s="571"/>
      <c r="X743" s="571"/>
      <c r="Y743" s="571"/>
      <c r="Z743" s="571"/>
      <c r="AA743" s="571"/>
      <c r="AB743" s="571"/>
      <c r="AC743" s="571"/>
      <c r="AD743" s="571"/>
      <c r="AE743" s="571"/>
      <c r="AF743" s="571"/>
      <c r="AG743" s="571"/>
      <c r="AH743" s="571"/>
      <c r="AI743" s="571"/>
      <c r="AJ743" s="571"/>
      <c r="AK743" s="571"/>
      <c r="AL743" s="571"/>
      <c r="AM743" s="571"/>
      <c r="AN743" s="571"/>
      <c r="AO743" s="571"/>
    </row>
    <row r="744">
      <c r="G744" s="571"/>
      <c r="H744" s="571"/>
      <c r="I744" s="571"/>
      <c r="J744" s="571"/>
      <c r="K744" s="571"/>
      <c r="L744" s="571"/>
      <c r="M744" s="571"/>
      <c r="N744" s="571"/>
      <c r="O744" s="571"/>
      <c r="P744" s="571"/>
      <c r="Q744" s="571"/>
      <c r="R744" s="571"/>
      <c r="S744" s="571"/>
      <c r="T744" s="571"/>
      <c r="U744" s="571"/>
      <c r="V744" s="571"/>
      <c r="W744" s="571"/>
      <c r="X744" s="571"/>
      <c r="Y744" s="571"/>
      <c r="Z744" s="571"/>
      <c r="AA744" s="571"/>
      <c r="AB744" s="571"/>
      <c r="AC744" s="571"/>
      <c r="AD744" s="571"/>
      <c r="AE744" s="571"/>
      <c r="AF744" s="571"/>
      <c r="AG744" s="571"/>
      <c r="AH744" s="571"/>
      <c r="AI744" s="571"/>
      <c r="AJ744" s="571"/>
      <c r="AK744" s="571"/>
      <c r="AL744" s="571"/>
      <c r="AM744" s="571"/>
      <c r="AN744" s="571"/>
      <c r="AO744" s="571"/>
    </row>
    <row r="745">
      <c r="G745" s="571"/>
      <c r="H745" s="571"/>
      <c r="I745" s="571"/>
      <c r="J745" s="571"/>
      <c r="K745" s="571"/>
      <c r="L745" s="571"/>
      <c r="M745" s="571"/>
      <c r="N745" s="571"/>
      <c r="O745" s="571"/>
      <c r="P745" s="571"/>
      <c r="Q745" s="571"/>
      <c r="R745" s="571"/>
      <c r="S745" s="571"/>
      <c r="T745" s="571"/>
      <c r="U745" s="571"/>
      <c r="V745" s="571"/>
      <c r="W745" s="571"/>
      <c r="X745" s="571"/>
      <c r="Y745" s="571"/>
      <c r="Z745" s="571"/>
      <c r="AA745" s="571"/>
      <c r="AB745" s="571"/>
      <c r="AC745" s="571"/>
      <c r="AD745" s="571"/>
      <c r="AE745" s="571"/>
      <c r="AF745" s="571"/>
      <c r="AG745" s="571"/>
      <c r="AH745" s="571"/>
      <c r="AI745" s="571"/>
      <c r="AJ745" s="571"/>
      <c r="AK745" s="571"/>
      <c r="AL745" s="571"/>
      <c r="AM745" s="571"/>
      <c r="AN745" s="571"/>
      <c r="AO745" s="571"/>
    </row>
    <row r="746">
      <c r="G746" s="571"/>
      <c r="H746" s="571"/>
      <c r="I746" s="571"/>
      <c r="J746" s="571"/>
      <c r="K746" s="571"/>
      <c r="L746" s="571"/>
      <c r="M746" s="571"/>
      <c r="N746" s="571"/>
      <c r="O746" s="571"/>
      <c r="P746" s="571"/>
      <c r="Q746" s="571"/>
      <c r="R746" s="571"/>
      <c r="S746" s="571"/>
      <c r="T746" s="571"/>
      <c r="U746" s="571"/>
      <c r="V746" s="571"/>
      <c r="W746" s="571"/>
      <c r="X746" s="571"/>
      <c r="Y746" s="571"/>
      <c r="Z746" s="571"/>
      <c r="AA746" s="571"/>
      <c r="AB746" s="571"/>
      <c r="AC746" s="571"/>
      <c r="AD746" s="571"/>
      <c r="AE746" s="571"/>
      <c r="AF746" s="571"/>
      <c r="AG746" s="571"/>
      <c r="AH746" s="571"/>
      <c r="AI746" s="571"/>
      <c r="AJ746" s="571"/>
      <c r="AK746" s="571"/>
      <c r="AL746" s="571"/>
      <c r="AM746" s="571"/>
      <c r="AN746" s="571"/>
      <c r="AO746" s="571"/>
    </row>
    <row r="747">
      <c r="G747" s="571"/>
      <c r="H747" s="571"/>
      <c r="I747" s="571"/>
      <c r="J747" s="571"/>
      <c r="K747" s="571"/>
      <c r="L747" s="571"/>
      <c r="M747" s="571"/>
      <c r="N747" s="571"/>
      <c r="O747" s="571"/>
      <c r="P747" s="571"/>
      <c r="Q747" s="571"/>
      <c r="R747" s="571"/>
      <c r="S747" s="571"/>
      <c r="T747" s="571"/>
      <c r="U747" s="571"/>
      <c r="V747" s="571"/>
      <c r="W747" s="571"/>
      <c r="X747" s="571"/>
      <c r="Y747" s="571"/>
      <c r="Z747" s="571"/>
      <c r="AA747" s="571"/>
      <c r="AB747" s="571"/>
      <c r="AC747" s="571"/>
      <c r="AD747" s="571"/>
      <c r="AE747" s="571"/>
      <c r="AF747" s="571"/>
      <c r="AG747" s="571"/>
      <c r="AH747" s="571"/>
      <c r="AI747" s="571"/>
      <c r="AJ747" s="571"/>
      <c r="AK747" s="571"/>
      <c r="AL747" s="571"/>
      <c r="AM747" s="571"/>
      <c r="AN747" s="571"/>
      <c r="AO747" s="571"/>
    </row>
    <row r="748">
      <c r="G748" s="571"/>
      <c r="H748" s="571"/>
      <c r="I748" s="571"/>
      <c r="J748" s="571"/>
      <c r="K748" s="571"/>
      <c r="L748" s="571"/>
      <c r="M748" s="571"/>
      <c r="N748" s="571"/>
      <c r="O748" s="571"/>
      <c r="P748" s="571"/>
      <c r="Q748" s="571"/>
      <c r="R748" s="571"/>
      <c r="S748" s="571"/>
      <c r="T748" s="571"/>
      <c r="U748" s="571"/>
      <c r="V748" s="571"/>
      <c r="W748" s="571"/>
      <c r="X748" s="571"/>
      <c r="Y748" s="571"/>
      <c r="Z748" s="571"/>
      <c r="AA748" s="571"/>
      <c r="AB748" s="571"/>
      <c r="AC748" s="571"/>
      <c r="AD748" s="571"/>
      <c r="AE748" s="571"/>
      <c r="AF748" s="571"/>
      <c r="AG748" s="571"/>
      <c r="AH748" s="571"/>
      <c r="AI748" s="571"/>
      <c r="AJ748" s="571"/>
      <c r="AK748" s="571"/>
      <c r="AL748" s="571"/>
      <c r="AM748" s="571"/>
      <c r="AN748" s="571"/>
      <c r="AO748" s="571"/>
    </row>
    <row r="749">
      <c r="G749" s="571"/>
      <c r="H749" s="571"/>
      <c r="I749" s="571"/>
      <c r="J749" s="571"/>
      <c r="K749" s="571"/>
      <c r="L749" s="571"/>
      <c r="M749" s="571"/>
      <c r="N749" s="571"/>
      <c r="O749" s="571"/>
      <c r="P749" s="571"/>
      <c r="Q749" s="571"/>
      <c r="R749" s="571"/>
      <c r="S749" s="571"/>
      <c r="T749" s="571"/>
      <c r="U749" s="571"/>
      <c r="V749" s="571"/>
      <c r="W749" s="571"/>
      <c r="X749" s="571"/>
      <c r="Y749" s="571"/>
      <c r="Z749" s="571"/>
      <c r="AA749" s="571"/>
      <c r="AB749" s="571"/>
      <c r="AC749" s="571"/>
      <c r="AD749" s="571"/>
      <c r="AE749" s="571"/>
      <c r="AF749" s="571"/>
      <c r="AG749" s="571"/>
      <c r="AH749" s="571"/>
      <c r="AI749" s="571"/>
      <c r="AJ749" s="571"/>
      <c r="AK749" s="571"/>
      <c r="AL749" s="571"/>
      <c r="AM749" s="571"/>
      <c r="AN749" s="571"/>
      <c r="AO749" s="571"/>
    </row>
    <row r="750">
      <c r="G750" s="571"/>
      <c r="H750" s="571"/>
      <c r="I750" s="571"/>
      <c r="J750" s="571"/>
      <c r="K750" s="571"/>
      <c r="L750" s="571"/>
      <c r="M750" s="571"/>
      <c r="N750" s="571"/>
      <c r="O750" s="571"/>
      <c r="P750" s="571"/>
      <c r="Q750" s="571"/>
      <c r="R750" s="571"/>
      <c r="S750" s="571"/>
      <c r="T750" s="571"/>
      <c r="U750" s="571"/>
      <c r="V750" s="571"/>
      <c r="W750" s="571"/>
      <c r="X750" s="571"/>
      <c r="Y750" s="571"/>
      <c r="Z750" s="571"/>
      <c r="AA750" s="571"/>
      <c r="AB750" s="571"/>
      <c r="AC750" s="571"/>
      <c r="AD750" s="571"/>
      <c r="AE750" s="571"/>
      <c r="AF750" s="571"/>
      <c r="AG750" s="571"/>
      <c r="AH750" s="571"/>
      <c r="AI750" s="571"/>
      <c r="AJ750" s="571"/>
      <c r="AK750" s="571"/>
      <c r="AL750" s="571"/>
      <c r="AM750" s="571"/>
      <c r="AN750" s="571"/>
      <c r="AO750" s="571"/>
    </row>
    <row r="751">
      <c r="G751" s="571"/>
      <c r="H751" s="571"/>
      <c r="I751" s="571"/>
      <c r="J751" s="571"/>
      <c r="K751" s="571"/>
      <c r="L751" s="571"/>
      <c r="M751" s="571"/>
      <c r="N751" s="571"/>
      <c r="O751" s="571"/>
      <c r="P751" s="571"/>
      <c r="Q751" s="571"/>
      <c r="R751" s="571"/>
      <c r="S751" s="571"/>
      <c r="T751" s="571"/>
      <c r="U751" s="571"/>
      <c r="V751" s="571"/>
      <c r="W751" s="571"/>
      <c r="X751" s="571"/>
      <c r="Y751" s="571"/>
      <c r="Z751" s="571"/>
      <c r="AA751" s="571"/>
      <c r="AB751" s="571"/>
      <c r="AC751" s="571"/>
      <c r="AD751" s="571"/>
      <c r="AE751" s="571"/>
      <c r="AF751" s="571"/>
      <c r="AG751" s="571"/>
      <c r="AH751" s="571"/>
      <c r="AI751" s="571"/>
      <c r="AJ751" s="571"/>
      <c r="AK751" s="571"/>
      <c r="AL751" s="571"/>
      <c r="AM751" s="571"/>
      <c r="AN751" s="571"/>
      <c r="AO751" s="571"/>
    </row>
    <row r="752">
      <c r="G752" s="571"/>
      <c r="H752" s="571"/>
      <c r="I752" s="571"/>
      <c r="J752" s="571"/>
      <c r="K752" s="571"/>
      <c r="L752" s="571"/>
      <c r="M752" s="571"/>
      <c r="N752" s="571"/>
      <c r="O752" s="571"/>
      <c r="P752" s="571"/>
      <c r="Q752" s="571"/>
      <c r="R752" s="571"/>
      <c r="S752" s="571"/>
      <c r="T752" s="571"/>
      <c r="U752" s="571"/>
      <c r="V752" s="571"/>
      <c r="W752" s="571"/>
      <c r="X752" s="571"/>
      <c r="Y752" s="571"/>
      <c r="Z752" s="571"/>
      <c r="AA752" s="571"/>
      <c r="AB752" s="571"/>
      <c r="AC752" s="571"/>
      <c r="AD752" s="571"/>
      <c r="AE752" s="571"/>
      <c r="AF752" s="571"/>
      <c r="AG752" s="571"/>
      <c r="AH752" s="571"/>
      <c r="AI752" s="571"/>
      <c r="AJ752" s="571"/>
      <c r="AK752" s="571"/>
      <c r="AL752" s="571"/>
      <c r="AM752" s="571"/>
      <c r="AN752" s="571"/>
      <c r="AO752" s="571"/>
    </row>
    <row r="753">
      <c r="G753" s="571"/>
      <c r="H753" s="571"/>
      <c r="I753" s="571"/>
      <c r="J753" s="571"/>
      <c r="K753" s="571"/>
      <c r="L753" s="571"/>
      <c r="M753" s="571"/>
      <c r="N753" s="571"/>
      <c r="O753" s="571"/>
      <c r="P753" s="571"/>
      <c r="Q753" s="571"/>
      <c r="R753" s="571"/>
      <c r="S753" s="571"/>
      <c r="T753" s="571"/>
      <c r="U753" s="571"/>
      <c r="V753" s="571"/>
      <c r="W753" s="571"/>
      <c r="X753" s="571"/>
      <c r="Y753" s="571"/>
      <c r="Z753" s="571"/>
      <c r="AA753" s="571"/>
      <c r="AB753" s="571"/>
      <c r="AC753" s="571"/>
      <c r="AD753" s="571"/>
      <c r="AE753" s="571"/>
      <c r="AF753" s="571"/>
      <c r="AG753" s="571"/>
      <c r="AH753" s="571"/>
      <c r="AI753" s="571"/>
      <c r="AJ753" s="571"/>
      <c r="AK753" s="571"/>
      <c r="AL753" s="571"/>
      <c r="AM753" s="571"/>
      <c r="AN753" s="571"/>
      <c r="AO753" s="571"/>
    </row>
    <row r="754">
      <c r="G754" s="571"/>
      <c r="H754" s="571"/>
      <c r="I754" s="571"/>
      <c r="J754" s="571"/>
      <c r="K754" s="571"/>
      <c r="L754" s="571"/>
      <c r="M754" s="571"/>
      <c r="N754" s="571"/>
      <c r="O754" s="571"/>
      <c r="P754" s="571"/>
      <c r="Q754" s="571"/>
      <c r="R754" s="571"/>
      <c r="S754" s="571"/>
      <c r="T754" s="571"/>
      <c r="U754" s="571"/>
      <c r="V754" s="571"/>
      <c r="W754" s="571"/>
      <c r="X754" s="571"/>
      <c r="Y754" s="571"/>
      <c r="Z754" s="571"/>
      <c r="AA754" s="571"/>
      <c r="AB754" s="571"/>
      <c r="AC754" s="571"/>
      <c r="AD754" s="571"/>
      <c r="AE754" s="571"/>
      <c r="AF754" s="571"/>
      <c r="AG754" s="571"/>
      <c r="AH754" s="571"/>
      <c r="AI754" s="571"/>
      <c r="AJ754" s="571"/>
      <c r="AK754" s="571"/>
      <c r="AL754" s="571"/>
      <c r="AM754" s="571"/>
      <c r="AN754" s="571"/>
      <c r="AO754" s="571"/>
    </row>
    <row r="755">
      <c r="G755" s="571"/>
      <c r="H755" s="571"/>
      <c r="I755" s="571"/>
      <c r="J755" s="571"/>
      <c r="K755" s="571"/>
      <c r="L755" s="571"/>
      <c r="M755" s="571"/>
      <c r="N755" s="571"/>
      <c r="O755" s="571"/>
      <c r="P755" s="571"/>
      <c r="Q755" s="571"/>
      <c r="R755" s="571"/>
      <c r="S755" s="571"/>
      <c r="T755" s="571"/>
      <c r="U755" s="571"/>
      <c r="V755" s="571"/>
      <c r="W755" s="571"/>
      <c r="X755" s="571"/>
      <c r="Y755" s="571"/>
      <c r="Z755" s="571"/>
      <c r="AA755" s="571"/>
      <c r="AB755" s="571"/>
      <c r="AC755" s="571"/>
      <c r="AD755" s="571"/>
      <c r="AE755" s="571"/>
      <c r="AF755" s="571"/>
      <c r="AG755" s="571"/>
      <c r="AH755" s="571"/>
      <c r="AI755" s="571"/>
      <c r="AJ755" s="571"/>
      <c r="AK755" s="571"/>
      <c r="AL755" s="571"/>
      <c r="AM755" s="571"/>
      <c r="AN755" s="571"/>
      <c r="AO755" s="571"/>
    </row>
    <row r="756">
      <c r="G756" s="571"/>
      <c r="H756" s="571"/>
      <c r="I756" s="571"/>
      <c r="J756" s="571"/>
      <c r="K756" s="571"/>
      <c r="L756" s="571"/>
      <c r="M756" s="571"/>
      <c r="N756" s="571"/>
      <c r="O756" s="571"/>
      <c r="P756" s="571"/>
      <c r="Q756" s="571"/>
      <c r="R756" s="571"/>
      <c r="S756" s="571"/>
      <c r="T756" s="571"/>
      <c r="U756" s="571"/>
      <c r="V756" s="571"/>
      <c r="W756" s="571"/>
      <c r="X756" s="571"/>
      <c r="Y756" s="571"/>
      <c r="Z756" s="571"/>
      <c r="AA756" s="571"/>
      <c r="AB756" s="571"/>
      <c r="AC756" s="571"/>
      <c r="AD756" s="571"/>
      <c r="AE756" s="571"/>
      <c r="AF756" s="571"/>
      <c r="AG756" s="571"/>
      <c r="AH756" s="571"/>
      <c r="AI756" s="571"/>
      <c r="AJ756" s="571"/>
      <c r="AK756" s="571"/>
      <c r="AL756" s="571"/>
      <c r="AM756" s="571"/>
      <c r="AN756" s="571"/>
      <c r="AO756" s="571"/>
    </row>
    <row r="757">
      <c r="G757" s="571"/>
      <c r="H757" s="571"/>
      <c r="I757" s="571"/>
      <c r="J757" s="571"/>
      <c r="K757" s="571"/>
      <c r="L757" s="571"/>
      <c r="M757" s="571"/>
      <c r="N757" s="571"/>
      <c r="O757" s="571"/>
      <c r="P757" s="571"/>
      <c r="Q757" s="571"/>
      <c r="R757" s="571"/>
      <c r="S757" s="571"/>
      <c r="T757" s="571"/>
      <c r="U757" s="571"/>
      <c r="V757" s="571"/>
      <c r="W757" s="571"/>
      <c r="X757" s="571"/>
      <c r="Y757" s="571"/>
      <c r="Z757" s="571"/>
      <c r="AA757" s="571"/>
      <c r="AB757" s="571"/>
      <c r="AC757" s="571"/>
      <c r="AD757" s="571"/>
      <c r="AE757" s="571"/>
      <c r="AF757" s="571"/>
      <c r="AG757" s="571"/>
      <c r="AH757" s="571"/>
      <c r="AI757" s="571"/>
      <c r="AJ757" s="571"/>
      <c r="AK757" s="571"/>
      <c r="AL757" s="571"/>
      <c r="AM757" s="571"/>
      <c r="AN757" s="571"/>
      <c r="AO757" s="571"/>
    </row>
    <row r="758">
      <c r="G758" s="571"/>
      <c r="H758" s="571"/>
      <c r="I758" s="571"/>
      <c r="J758" s="571"/>
      <c r="K758" s="571"/>
      <c r="L758" s="571"/>
      <c r="M758" s="571"/>
      <c r="N758" s="571"/>
      <c r="O758" s="571"/>
      <c r="P758" s="571"/>
      <c r="Q758" s="571"/>
      <c r="R758" s="571"/>
      <c r="S758" s="571"/>
      <c r="T758" s="571"/>
      <c r="U758" s="571"/>
      <c r="V758" s="571"/>
      <c r="W758" s="571"/>
      <c r="X758" s="571"/>
      <c r="Y758" s="571"/>
      <c r="Z758" s="571"/>
      <c r="AA758" s="571"/>
      <c r="AB758" s="571"/>
      <c r="AC758" s="571"/>
      <c r="AD758" s="571"/>
      <c r="AE758" s="571"/>
      <c r="AF758" s="571"/>
      <c r="AG758" s="571"/>
      <c r="AH758" s="571"/>
      <c r="AI758" s="571"/>
      <c r="AJ758" s="571"/>
      <c r="AK758" s="571"/>
      <c r="AL758" s="571"/>
      <c r="AM758" s="571"/>
      <c r="AN758" s="571"/>
      <c r="AO758" s="571"/>
    </row>
    <row r="759">
      <c r="G759" s="571"/>
      <c r="H759" s="571"/>
      <c r="I759" s="571"/>
      <c r="J759" s="571"/>
      <c r="K759" s="571"/>
      <c r="L759" s="571"/>
      <c r="M759" s="571"/>
      <c r="N759" s="571"/>
      <c r="O759" s="571"/>
      <c r="P759" s="571"/>
      <c r="Q759" s="571"/>
      <c r="R759" s="571"/>
      <c r="S759" s="571"/>
      <c r="T759" s="571"/>
      <c r="U759" s="571"/>
      <c r="V759" s="571"/>
      <c r="W759" s="571"/>
      <c r="X759" s="571"/>
      <c r="Y759" s="571"/>
      <c r="Z759" s="571"/>
      <c r="AA759" s="571"/>
      <c r="AB759" s="571"/>
      <c r="AC759" s="571"/>
      <c r="AD759" s="571"/>
      <c r="AE759" s="571"/>
      <c r="AF759" s="571"/>
      <c r="AG759" s="571"/>
      <c r="AH759" s="571"/>
      <c r="AI759" s="571"/>
      <c r="AJ759" s="571"/>
      <c r="AK759" s="571"/>
      <c r="AL759" s="571"/>
      <c r="AM759" s="571"/>
      <c r="AN759" s="571"/>
      <c r="AO759" s="571"/>
    </row>
    <row r="760">
      <c r="G760" s="571"/>
      <c r="H760" s="571"/>
      <c r="I760" s="571"/>
      <c r="J760" s="571"/>
      <c r="K760" s="571"/>
      <c r="L760" s="571"/>
      <c r="M760" s="571"/>
      <c r="N760" s="571"/>
      <c r="O760" s="571"/>
      <c r="P760" s="571"/>
      <c r="Q760" s="571"/>
      <c r="R760" s="571"/>
      <c r="S760" s="571"/>
      <c r="T760" s="571"/>
      <c r="U760" s="571"/>
      <c r="V760" s="571"/>
      <c r="W760" s="571"/>
      <c r="X760" s="571"/>
      <c r="Y760" s="571"/>
      <c r="Z760" s="571"/>
      <c r="AA760" s="571"/>
      <c r="AB760" s="571"/>
      <c r="AC760" s="571"/>
      <c r="AD760" s="571"/>
      <c r="AE760" s="571"/>
      <c r="AF760" s="571"/>
      <c r="AG760" s="571"/>
      <c r="AH760" s="571"/>
      <c r="AI760" s="571"/>
      <c r="AJ760" s="571"/>
      <c r="AK760" s="571"/>
      <c r="AL760" s="571"/>
      <c r="AM760" s="571"/>
      <c r="AN760" s="571"/>
      <c r="AO760" s="571"/>
    </row>
    <row r="761">
      <c r="G761" s="571"/>
      <c r="H761" s="571"/>
      <c r="I761" s="571"/>
      <c r="J761" s="571"/>
      <c r="K761" s="571"/>
      <c r="L761" s="571"/>
      <c r="M761" s="571"/>
      <c r="N761" s="571"/>
      <c r="O761" s="571"/>
      <c r="P761" s="571"/>
      <c r="Q761" s="571"/>
      <c r="R761" s="571"/>
      <c r="S761" s="571"/>
      <c r="T761" s="571"/>
      <c r="U761" s="571"/>
      <c r="V761" s="571"/>
      <c r="W761" s="571"/>
      <c r="X761" s="571"/>
      <c r="Y761" s="571"/>
      <c r="Z761" s="571"/>
      <c r="AA761" s="571"/>
      <c r="AB761" s="571"/>
      <c r="AC761" s="571"/>
      <c r="AD761" s="571"/>
      <c r="AE761" s="571"/>
      <c r="AF761" s="571"/>
      <c r="AG761" s="571"/>
      <c r="AH761" s="571"/>
      <c r="AI761" s="571"/>
      <c r="AJ761" s="571"/>
      <c r="AK761" s="571"/>
      <c r="AL761" s="571"/>
      <c r="AM761" s="571"/>
      <c r="AN761" s="571"/>
      <c r="AO761" s="571"/>
    </row>
    <row r="762">
      <c r="G762" s="571"/>
      <c r="H762" s="571"/>
      <c r="I762" s="571"/>
      <c r="J762" s="571"/>
      <c r="K762" s="571"/>
      <c r="L762" s="571"/>
      <c r="M762" s="571"/>
      <c r="N762" s="571"/>
      <c r="O762" s="571"/>
      <c r="P762" s="571"/>
      <c r="Q762" s="571"/>
      <c r="R762" s="571"/>
      <c r="S762" s="571"/>
      <c r="T762" s="571"/>
      <c r="U762" s="571"/>
      <c r="V762" s="571"/>
      <c r="W762" s="571"/>
      <c r="X762" s="571"/>
      <c r="Y762" s="571"/>
      <c r="Z762" s="571"/>
      <c r="AA762" s="571"/>
      <c r="AB762" s="571"/>
      <c r="AC762" s="571"/>
      <c r="AD762" s="571"/>
      <c r="AE762" s="571"/>
      <c r="AF762" s="571"/>
      <c r="AG762" s="571"/>
      <c r="AH762" s="571"/>
      <c r="AI762" s="571"/>
      <c r="AJ762" s="571"/>
      <c r="AK762" s="571"/>
      <c r="AL762" s="571"/>
      <c r="AM762" s="571"/>
      <c r="AN762" s="571"/>
      <c r="AO762" s="571"/>
    </row>
    <row r="763">
      <c r="G763" s="571"/>
      <c r="H763" s="571"/>
      <c r="I763" s="571"/>
      <c r="J763" s="571"/>
      <c r="K763" s="571"/>
      <c r="L763" s="571"/>
      <c r="M763" s="571"/>
      <c r="N763" s="571"/>
      <c r="O763" s="571"/>
      <c r="P763" s="571"/>
      <c r="Q763" s="571"/>
      <c r="R763" s="571"/>
      <c r="S763" s="571"/>
      <c r="T763" s="571"/>
      <c r="U763" s="571"/>
      <c r="V763" s="571"/>
      <c r="W763" s="571"/>
      <c r="X763" s="571"/>
      <c r="Y763" s="571"/>
      <c r="Z763" s="571"/>
      <c r="AA763" s="571"/>
      <c r="AB763" s="571"/>
      <c r="AC763" s="571"/>
      <c r="AD763" s="571"/>
      <c r="AE763" s="571"/>
      <c r="AF763" s="571"/>
      <c r="AG763" s="571"/>
      <c r="AH763" s="571"/>
      <c r="AI763" s="571"/>
      <c r="AJ763" s="571"/>
      <c r="AK763" s="571"/>
      <c r="AL763" s="571"/>
      <c r="AM763" s="571"/>
      <c r="AN763" s="571"/>
      <c r="AO763" s="571"/>
    </row>
    <row r="764">
      <c r="G764" s="571"/>
      <c r="H764" s="571"/>
      <c r="I764" s="571"/>
      <c r="J764" s="571"/>
      <c r="K764" s="571"/>
      <c r="L764" s="571"/>
      <c r="M764" s="571"/>
      <c r="N764" s="571"/>
      <c r="O764" s="571"/>
      <c r="P764" s="571"/>
      <c r="Q764" s="571"/>
      <c r="R764" s="571"/>
      <c r="S764" s="571"/>
      <c r="T764" s="571"/>
      <c r="U764" s="571"/>
      <c r="V764" s="571"/>
      <c r="W764" s="571"/>
      <c r="X764" s="571"/>
      <c r="Y764" s="571"/>
      <c r="Z764" s="571"/>
      <c r="AA764" s="571"/>
      <c r="AB764" s="571"/>
      <c r="AC764" s="571"/>
      <c r="AD764" s="571"/>
      <c r="AE764" s="571"/>
      <c r="AF764" s="571"/>
      <c r="AG764" s="571"/>
      <c r="AH764" s="571"/>
      <c r="AI764" s="571"/>
      <c r="AJ764" s="571"/>
      <c r="AK764" s="571"/>
      <c r="AL764" s="571"/>
      <c r="AM764" s="571"/>
      <c r="AN764" s="571"/>
      <c r="AO764" s="571"/>
    </row>
    <row r="765">
      <c r="G765" s="571"/>
      <c r="H765" s="571"/>
      <c r="I765" s="571"/>
      <c r="J765" s="571"/>
      <c r="K765" s="571"/>
      <c r="L765" s="571"/>
      <c r="M765" s="571"/>
      <c r="N765" s="571"/>
      <c r="O765" s="571"/>
      <c r="P765" s="571"/>
      <c r="Q765" s="571"/>
      <c r="R765" s="571"/>
      <c r="S765" s="571"/>
      <c r="T765" s="571"/>
      <c r="U765" s="571"/>
      <c r="V765" s="571"/>
      <c r="W765" s="571"/>
      <c r="X765" s="571"/>
      <c r="Y765" s="571"/>
      <c r="Z765" s="571"/>
      <c r="AA765" s="571"/>
      <c r="AB765" s="571"/>
      <c r="AC765" s="571"/>
      <c r="AD765" s="571"/>
      <c r="AE765" s="571"/>
      <c r="AF765" s="571"/>
      <c r="AG765" s="571"/>
      <c r="AH765" s="571"/>
      <c r="AI765" s="571"/>
      <c r="AJ765" s="571"/>
      <c r="AK765" s="571"/>
      <c r="AL765" s="571"/>
      <c r="AM765" s="571"/>
      <c r="AN765" s="571"/>
      <c r="AO765" s="571"/>
    </row>
    <row r="766">
      <c r="G766" s="571"/>
      <c r="H766" s="571"/>
      <c r="I766" s="571"/>
      <c r="J766" s="571"/>
      <c r="K766" s="571"/>
      <c r="L766" s="571"/>
      <c r="M766" s="571"/>
      <c r="N766" s="571"/>
      <c r="O766" s="571"/>
      <c r="P766" s="571"/>
      <c r="Q766" s="571"/>
      <c r="R766" s="571"/>
      <c r="S766" s="571"/>
      <c r="T766" s="571"/>
      <c r="U766" s="571"/>
      <c r="V766" s="571"/>
      <c r="W766" s="571"/>
      <c r="X766" s="571"/>
      <c r="Y766" s="571"/>
      <c r="Z766" s="571"/>
      <c r="AA766" s="571"/>
      <c r="AB766" s="571"/>
      <c r="AC766" s="571"/>
      <c r="AD766" s="571"/>
      <c r="AE766" s="571"/>
      <c r="AF766" s="571"/>
      <c r="AG766" s="571"/>
      <c r="AH766" s="571"/>
      <c r="AI766" s="571"/>
      <c r="AJ766" s="571"/>
      <c r="AK766" s="571"/>
      <c r="AL766" s="571"/>
      <c r="AM766" s="571"/>
      <c r="AN766" s="571"/>
      <c r="AO766" s="571"/>
    </row>
    <row r="767">
      <c r="G767" s="571"/>
      <c r="H767" s="571"/>
      <c r="I767" s="571"/>
      <c r="J767" s="571"/>
      <c r="K767" s="571"/>
      <c r="L767" s="571"/>
      <c r="M767" s="571"/>
      <c r="N767" s="571"/>
      <c r="O767" s="571"/>
      <c r="P767" s="571"/>
      <c r="Q767" s="571"/>
      <c r="R767" s="571"/>
      <c r="S767" s="571"/>
      <c r="T767" s="571"/>
      <c r="U767" s="571"/>
      <c r="V767" s="571"/>
      <c r="W767" s="571"/>
      <c r="X767" s="571"/>
      <c r="Y767" s="571"/>
      <c r="Z767" s="571"/>
      <c r="AA767" s="571"/>
      <c r="AB767" s="571"/>
      <c r="AC767" s="571"/>
      <c r="AD767" s="571"/>
      <c r="AE767" s="571"/>
      <c r="AF767" s="571"/>
      <c r="AG767" s="571"/>
      <c r="AH767" s="571"/>
      <c r="AI767" s="571"/>
      <c r="AJ767" s="571"/>
      <c r="AK767" s="571"/>
      <c r="AL767" s="571"/>
      <c r="AM767" s="571"/>
      <c r="AN767" s="571"/>
      <c r="AO767" s="571"/>
    </row>
    <row r="768">
      <c r="G768" s="571"/>
      <c r="H768" s="571"/>
      <c r="I768" s="571"/>
      <c r="J768" s="571"/>
      <c r="K768" s="571"/>
      <c r="L768" s="571"/>
      <c r="M768" s="571"/>
      <c r="N768" s="571"/>
      <c r="O768" s="571"/>
      <c r="P768" s="571"/>
      <c r="Q768" s="571"/>
      <c r="R768" s="571"/>
      <c r="S768" s="571"/>
      <c r="T768" s="571"/>
      <c r="U768" s="571"/>
      <c r="V768" s="571"/>
      <c r="W768" s="571"/>
      <c r="X768" s="571"/>
      <c r="Y768" s="571"/>
      <c r="Z768" s="571"/>
      <c r="AA768" s="571"/>
      <c r="AB768" s="571"/>
      <c r="AC768" s="571"/>
      <c r="AD768" s="571"/>
      <c r="AE768" s="571"/>
      <c r="AF768" s="571"/>
      <c r="AG768" s="571"/>
      <c r="AH768" s="571"/>
      <c r="AI768" s="571"/>
      <c r="AJ768" s="571"/>
      <c r="AK768" s="571"/>
      <c r="AL768" s="571"/>
      <c r="AM768" s="571"/>
      <c r="AN768" s="571"/>
      <c r="AO768" s="571"/>
    </row>
    <row r="769">
      <c r="G769" s="571"/>
      <c r="H769" s="571"/>
      <c r="I769" s="571"/>
      <c r="J769" s="571"/>
      <c r="K769" s="571"/>
      <c r="L769" s="571"/>
      <c r="M769" s="571"/>
      <c r="N769" s="571"/>
      <c r="O769" s="571"/>
      <c r="P769" s="571"/>
      <c r="Q769" s="571"/>
      <c r="R769" s="571"/>
      <c r="S769" s="571"/>
      <c r="T769" s="571"/>
      <c r="U769" s="571"/>
      <c r="V769" s="571"/>
      <c r="W769" s="571"/>
      <c r="X769" s="571"/>
      <c r="Y769" s="571"/>
      <c r="Z769" s="571"/>
      <c r="AA769" s="571"/>
      <c r="AB769" s="571"/>
      <c r="AC769" s="571"/>
      <c r="AD769" s="571"/>
      <c r="AE769" s="571"/>
      <c r="AF769" s="571"/>
      <c r="AG769" s="571"/>
      <c r="AH769" s="571"/>
      <c r="AI769" s="571"/>
      <c r="AJ769" s="571"/>
      <c r="AK769" s="571"/>
      <c r="AL769" s="571"/>
      <c r="AM769" s="571"/>
      <c r="AN769" s="571"/>
      <c r="AO769" s="571"/>
    </row>
    <row r="770">
      <c r="G770" s="571"/>
      <c r="H770" s="571"/>
      <c r="I770" s="571"/>
      <c r="J770" s="571"/>
      <c r="K770" s="571"/>
      <c r="L770" s="571"/>
      <c r="M770" s="571"/>
      <c r="N770" s="571"/>
      <c r="O770" s="571"/>
      <c r="P770" s="571"/>
      <c r="Q770" s="571"/>
      <c r="R770" s="571"/>
      <c r="S770" s="571"/>
      <c r="T770" s="571"/>
      <c r="U770" s="571"/>
      <c r="V770" s="571"/>
      <c r="W770" s="571"/>
      <c r="X770" s="571"/>
      <c r="Y770" s="571"/>
      <c r="Z770" s="571"/>
      <c r="AA770" s="571"/>
      <c r="AB770" s="571"/>
      <c r="AC770" s="571"/>
      <c r="AD770" s="571"/>
      <c r="AE770" s="571"/>
      <c r="AF770" s="571"/>
      <c r="AG770" s="571"/>
      <c r="AH770" s="571"/>
      <c r="AI770" s="571"/>
      <c r="AJ770" s="571"/>
      <c r="AK770" s="571"/>
      <c r="AL770" s="571"/>
      <c r="AM770" s="571"/>
      <c r="AN770" s="571"/>
      <c r="AO770" s="571"/>
    </row>
    <row r="771">
      <c r="G771" s="571"/>
      <c r="H771" s="571"/>
      <c r="I771" s="571"/>
      <c r="J771" s="571"/>
      <c r="K771" s="571"/>
      <c r="L771" s="571"/>
      <c r="M771" s="571"/>
      <c r="N771" s="571"/>
      <c r="O771" s="571"/>
      <c r="P771" s="571"/>
      <c r="Q771" s="571"/>
      <c r="R771" s="571"/>
      <c r="S771" s="571"/>
      <c r="T771" s="571"/>
      <c r="U771" s="571"/>
      <c r="V771" s="571"/>
      <c r="W771" s="571"/>
      <c r="X771" s="571"/>
      <c r="Y771" s="571"/>
      <c r="Z771" s="571"/>
      <c r="AA771" s="571"/>
      <c r="AB771" s="571"/>
      <c r="AC771" s="571"/>
      <c r="AD771" s="571"/>
      <c r="AE771" s="571"/>
      <c r="AF771" s="571"/>
      <c r="AG771" s="571"/>
      <c r="AH771" s="571"/>
      <c r="AI771" s="571"/>
      <c r="AJ771" s="571"/>
      <c r="AK771" s="571"/>
      <c r="AL771" s="571"/>
      <c r="AM771" s="571"/>
      <c r="AN771" s="571"/>
      <c r="AO771" s="571"/>
    </row>
    <row r="772">
      <c r="G772" s="571"/>
      <c r="H772" s="571"/>
      <c r="I772" s="571"/>
      <c r="J772" s="571"/>
      <c r="K772" s="571"/>
      <c r="L772" s="571"/>
      <c r="M772" s="571"/>
      <c r="N772" s="571"/>
      <c r="O772" s="571"/>
      <c r="P772" s="571"/>
      <c r="Q772" s="571"/>
      <c r="R772" s="571"/>
      <c r="S772" s="571"/>
      <c r="T772" s="571"/>
      <c r="U772" s="571"/>
      <c r="V772" s="571"/>
      <c r="W772" s="571"/>
      <c r="X772" s="571"/>
      <c r="Y772" s="571"/>
      <c r="Z772" s="571"/>
      <c r="AA772" s="571"/>
      <c r="AB772" s="571"/>
      <c r="AC772" s="571"/>
      <c r="AD772" s="571"/>
      <c r="AE772" s="571"/>
      <c r="AF772" s="571"/>
      <c r="AG772" s="571"/>
      <c r="AH772" s="571"/>
      <c r="AI772" s="571"/>
      <c r="AJ772" s="571"/>
      <c r="AK772" s="571"/>
      <c r="AL772" s="571"/>
      <c r="AM772" s="571"/>
      <c r="AN772" s="571"/>
      <c r="AO772" s="571"/>
    </row>
    <row r="773">
      <c r="G773" s="571"/>
      <c r="H773" s="571"/>
      <c r="I773" s="571"/>
      <c r="J773" s="571"/>
      <c r="K773" s="571"/>
      <c r="L773" s="571"/>
      <c r="M773" s="571"/>
      <c r="N773" s="571"/>
      <c r="O773" s="571"/>
      <c r="P773" s="571"/>
      <c r="Q773" s="571"/>
      <c r="R773" s="571"/>
      <c r="S773" s="571"/>
      <c r="T773" s="571"/>
      <c r="U773" s="571"/>
      <c r="V773" s="571"/>
      <c r="W773" s="571"/>
      <c r="X773" s="571"/>
      <c r="Y773" s="571"/>
      <c r="Z773" s="571"/>
      <c r="AA773" s="571"/>
      <c r="AB773" s="571"/>
      <c r="AC773" s="571"/>
      <c r="AD773" s="571"/>
      <c r="AE773" s="571"/>
      <c r="AF773" s="571"/>
      <c r="AG773" s="571"/>
      <c r="AH773" s="571"/>
      <c r="AI773" s="571"/>
      <c r="AJ773" s="571"/>
      <c r="AK773" s="571"/>
      <c r="AL773" s="571"/>
      <c r="AM773" s="571"/>
      <c r="AN773" s="571"/>
      <c r="AO773" s="571"/>
    </row>
    <row r="774">
      <c r="G774" s="571"/>
      <c r="H774" s="571"/>
      <c r="I774" s="571"/>
      <c r="J774" s="571"/>
      <c r="K774" s="571"/>
      <c r="L774" s="571"/>
      <c r="M774" s="571"/>
      <c r="N774" s="571"/>
      <c r="O774" s="571"/>
      <c r="P774" s="571"/>
      <c r="Q774" s="571"/>
      <c r="R774" s="571"/>
      <c r="S774" s="571"/>
      <c r="T774" s="571"/>
      <c r="U774" s="571"/>
      <c r="V774" s="571"/>
      <c r="W774" s="571"/>
      <c r="X774" s="571"/>
      <c r="Y774" s="571"/>
      <c r="Z774" s="571"/>
      <c r="AA774" s="571"/>
      <c r="AB774" s="571"/>
      <c r="AC774" s="571"/>
      <c r="AD774" s="571"/>
      <c r="AE774" s="571"/>
      <c r="AF774" s="571"/>
      <c r="AG774" s="571"/>
      <c r="AH774" s="571"/>
      <c r="AI774" s="571"/>
      <c r="AJ774" s="571"/>
      <c r="AK774" s="571"/>
      <c r="AL774" s="571"/>
      <c r="AM774" s="571"/>
      <c r="AN774" s="571"/>
      <c r="AO774" s="571"/>
    </row>
    <row r="775">
      <c r="G775" s="571"/>
      <c r="H775" s="571"/>
      <c r="I775" s="571"/>
      <c r="J775" s="571"/>
      <c r="K775" s="571"/>
      <c r="L775" s="571"/>
      <c r="M775" s="571"/>
      <c r="N775" s="571"/>
      <c r="O775" s="571"/>
      <c r="P775" s="571"/>
      <c r="Q775" s="571"/>
      <c r="R775" s="571"/>
      <c r="S775" s="571"/>
      <c r="T775" s="571"/>
      <c r="U775" s="571"/>
      <c r="V775" s="571"/>
      <c r="W775" s="571"/>
      <c r="X775" s="571"/>
      <c r="Y775" s="571"/>
      <c r="Z775" s="571"/>
      <c r="AA775" s="571"/>
      <c r="AB775" s="571"/>
      <c r="AC775" s="571"/>
      <c r="AD775" s="571"/>
      <c r="AE775" s="571"/>
      <c r="AF775" s="571"/>
      <c r="AG775" s="571"/>
      <c r="AH775" s="571"/>
      <c r="AI775" s="571"/>
      <c r="AJ775" s="571"/>
      <c r="AK775" s="571"/>
      <c r="AL775" s="571"/>
      <c r="AM775" s="571"/>
      <c r="AN775" s="571"/>
      <c r="AO775" s="571"/>
    </row>
    <row r="776">
      <c r="G776" s="571"/>
      <c r="H776" s="571"/>
      <c r="I776" s="571"/>
      <c r="J776" s="571"/>
      <c r="K776" s="571"/>
      <c r="L776" s="571"/>
      <c r="M776" s="571"/>
      <c r="N776" s="571"/>
      <c r="O776" s="571"/>
      <c r="P776" s="571"/>
      <c r="Q776" s="571"/>
      <c r="R776" s="571"/>
      <c r="S776" s="571"/>
      <c r="T776" s="571"/>
      <c r="U776" s="571"/>
      <c r="V776" s="571"/>
      <c r="W776" s="571"/>
      <c r="X776" s="571"/>
      <c r="Y776" s="571"/>
      <c r="Z776" s="571"/>
      <c r="AA776" s="571"/>
      <c r="AB776" s="571"/>
      <c r="AC776" s="571"/>
      <c r="AD776" s="571"/>
      <c r="AE776" s="571"/>
      <c r="AF776" s="571"/>
      <c r="AG776" s="571"/>
      <c r="AH776" s="571"/>
      <c r="AI776" s="571"/>
      <c r="AJ776" s="571"/>
      <c r="AK776" s="571"/>
      <c r="AL776" s="571"/>
      <c r="AM776" s="571"/>
      <c r="AN776" s="571"/>
      <c r="AO776" s="571"/>
    </row>
    <row r="777">
      <c r="G777" s="571"/>
      <c r="H777" s="571"/>
      <c r="I777" s="571"/>
      <c r="J777" s="571"/>
      <c r="K777" s="571"/>
      <c r="L777" s="571"/>
      <c r="M777" s="571"/>
      <c r="N777" s="571"/>
      <c r="O777" s="571"/>
      <c r="P777" s="571"/>
      <c r="Q777" s="571"/>
      <c r="R777" s="571"/>
      <c r="S777" s="571"/>
      <c r="T777" s="571"/>
      <c r="U777" s="571"/>
      <c r="V777" s="571"/>
      <c r="W777" s="571"/>
      <c r="X777" s="571"/>
      <c r="Y777" s="571"/>
      <c r="Z777" s="571"/>
      <c r="AA777" s="571"/>
      <c r="AB777" s="571"/>
      <c r="AC777" s="571"/>
      <c r="AD777" s="571"/>
      <c r="AE777" s="571"/>
      <c r="AF777" s="571"/>
      <c r="AG777" s="571"/>
      <c r="AH777" s="571"/>
      <c r="AI777" s="571"/>
      <c r="AJ777" s="571"/>
      <c r="AK777" s="571"/>
      <c r="AL777" s="571"/>
      <c r="AM777" s="571"/>
      <c r="AN777" s="571"/>
      <c r="AO777" s="571"/>
    </row>
    <row r="778">
      <c r="G778" s="571"/>
      <c r="H778" s="571"/>
      <c r="I778" s="571"/>
      <c r="J778" s="571"/>
      <c r="K778" s="571"/>
      <c r="L778" s="571"/>
      <c r="M778" s="571"/>
      <c r="N778" s="571"/>
      <c r="O778" s="571"/>
      <c r="P778" s="571"/>
      <c r="Q778" s="571"/>
      <c r="R778" s="571"/>
      <c r="S778" s="571"/>
      <c r="T778" s="571"/>
      <c r="U778" s="571"/>
      <c r="V778" s="571"/>
      <c r="W778" s="571"/>
      <c r="X778" s="571"/>
      <c r="Y778" s="571"/>
      <c r="Z778" s="571"/>
      <c r="AA778" s="571"/>
      <c r="AB778" s="571"/>
      <c r="AC778" s="571"/>
      <c r="AD778" s="571"/>
      <c r="AE778" s="571"/>
      <c r="AF778" s="571"/>
      <c r="AG778" s="571"/>
      <c r="AH778" s="571"/>
      <c r="AI778" s="571"/>
      <c r="AJ778" s="571"/>
      <c r="AK778" s="571"/>
      <c r="AL778" s="571"/>
      <c r="AM778" s="571"/>
      <c r="AN778" s="571"/>
      <c r="AO778" s="571"/>
    </row>
    <row r="779">
      <c r="G779" s="571"/>
      <c r="H779" s="571"/>
      <c r="I779" s="571"/>
      <c r="J779" s="571"/>
      <c r="K779" s="571"/>
      <c r="L779" s="571"/>
      <c r="M779" s="571"/>
      <c r="N779" s="571"/>
      <c r="O779" s="571"/>
      <c r="P779" s="571"/>
      <c r="Q779" s="571"/>
      <c r="R779" s="571"/>
      <c r="S779" s="571"/>
      <c r="T779" s="571"/>
      <c r="U779" s="571"/>
      <c r="V779" s="571"/>
      <c r="W779" s="571"/>
      <c r="X779" s="571"/>
      <c r="Y779" s="571"/>
      <c r="Z779" s="571"/>
      <c r="AA779" s="571"/>
      <c r="AB779" s="571"/>
      <c r="AC779" s="571"/>
      <c r="AD779" s="571"/>
      <c r="AE779" s="571"/>
      <c r="AF779" s="571"/>
      <c r="AG779" s="571"/>
      <c r="AH779" s="571"/>
      <c r="AI779" s="571"/>
      <c r="AJ779" s="571"/>
      <c r="AK779" s="571"/>
      <c r="AL779" s="571"/>
      <c r="AM779" s="571"/>
      <c r="AN779" s="571"/>
      <c r="AO779" s="571"/>
    </row>
    <row r="780">
      <c r="G780" s="571"/>
      <c r="H780" s="571"/>
      <c r="I780" s="571"/>
      <c r="J780" s="571"/>
      <c r="K780" s="571"/>
      <c r="L780" s="571"/>
      <c r="M780" s="571"/>
      <c r="N780" s="571"/>
      <c r="O780" s="571"/>
      <c r="P780" s="571"/>
      <c r="Q780" s="571"/>
      <c r="R780" s="571"/>
      <c r="S780" s="571"/>
      <c r="T780" s="571"/>
      <c r="U780" s="571"/>
      <c r="V780" s="571"/>
      <c r="W780" s="571"/>
      <c r="X780" s="571"/>
      <c r="Y780" s="571"/>
      <c r="Z780" s="571"/>
      <c r="AA780" s="571"/>
      <c r="AB780" s="571"/>
      <c r="AC780" s="571"/>
      <c r="AD780" s="571"/>
      <c r="AE780" s="571"/>
      <c r="AF780" s="571"/>
      <c r="AG780" s="571"/>
      <c r="AH780" s="571"/>
      <c r="AI780" s="571"/>
      <c r="AJ780" s="571"/>
      <c r="AK780" s="571"/>
      <c r="AL780" s="571"/>
      <c r="AM780" s="571"/>
      <c r="AN780" s="571"/>
      <c r="AO780" s="571"/>
    </row>
    <row r="781">
      <c r="G781" s="571"/>
      <c r="H781" s="571"/>
      <c r="I781" s="571"/>
      <c r="J781" s="571"/>
      <c r="K781" s="571"/>
      <c r="L781" s="571"/>
      <c r="M781" s="571"/>
      <c r="N781" s="571"/>
      <c r="O781" s="571"/>
      <c r="P781" s="571"/>
      <c r="Q781" s="571"/>
      <c r="R781" s="571"/>
      <c r="S781" s="571"/>
      <c r="T781" s="571"/>
      <c r="U781" s="571"/>
      <c r="V781" s="571"/>
      <c r="W781" s="571"/>
      <c r="X781" s="571"/>
      <c r="Y781" s="571"/>
      <c r="Z781" s="571"/>
      <c r="AA781" s="571"/>
      <c r="AB781" s="571"/>
      <c r="AC781" s="571"/>
      <c r="AD781" s="571"/>
      <c r="AE781" s="571"/>
      <c r="AF781" s="571"/>
      <c r="AG781" s="571"/>
      <c r="AH781" s="571"/>
      <c r="AI781" s="571"/>
      <c r="AJ781" s="571"/>
      <c r="AK781" s="571"/>
      <c r="AL781" s="571"/>
      <c r="AM781" s="571"/>
      <c r="AN781" s="571"/>
      <c r="AO781" s="571"/>
    </row>
    <row r="782">
      <c r="G782" s="571"/>
      <c r="H782" s="571"/>
      <c r="I782" s="571"/>
      <c r="J782" s="571"/>
      <c r="K782" s="571"/>
      <c r="L782" s="571"/>
      <c r="M782" s="571"/>
      <c r="N782" s="571"/>
      <c r="O782" s="571"/>
      <c r="P782" s="571"/>
      <c r="Q782" s="571"/>
      <c r="R782" s="571"/>
      <c r="S782" s="571"/>
      <c r="T782" s="571"/>
      <c r="U782" s="571"/>
      <c r="V782" s="571"/>
      <c r="W782" s="571"/>
      <c r="X782" s="571"/>
      <c r="Y782" s="571"/>
      <c r="Z782" s="571"/>
      <c r="AA782" s="571"/>
      <c r="AB782" s="571"/>
      <c r="AC782" s="571"/>
      <c r="AD782" s="571"/>
      <c r="AE782" s="571"/>
      <c r="AF782" s="571"/>
      <c r="AG782" s="571"/>
      <c r="AH782" s="571"/>
      <c r="AI782" s="571"/>
      <c r="AJ782" s="571"/>
      <c r="AK782" s="571"/>
      <c r="AL782" s="571"/>
      <c r="AM782" s="571"/>
      <c r="AN782" s="571"/>
      <c r="AO782" s="571"/>
    </row>
    <row r="783">
      <c r="G783" s="571"/>
      <c r="H783" s="571"/>
      <c r="I783" s="571"/>
      <c r="J783" s="571"/>
      <c r="K783" s="571"/>
      <c r="L783" s="571"/>
      <c r="M783" s="571"/>
      <c r="N783" s="571"/>
      <c r="O783" s="571"/>
      <c r="P783" s="571"/>
      <c r="Q783" s="571"/>
      <c r="R783" s="571"/>
      <c r="S783" s="571"/>
      <c r="T783" s="571"/>
      <c r="U783" s="571"/>
      <c r="V783" s="571"/>
      <c r="W783" s="571"/>
      <c r="X783" s="571"/>
      <c r="Y783" s="571"/>
      <c r="Z783" s="571"/>
      <c r="AA783" s="571"/>
      <c r="AB783" s="571"/>
      <c r="AC783" s="571"/>
      <c r="AD783" s="571"/>
      <c r="AE783" s="571"/>
      <c r="AF783" s="571"/>
      <c r="AG783" s="571"/>
      <c r="AH783" s="571"/>
      <c r="AI783" s="571"/>
      <c r="AJ783" s="571"/>
      <c r="AK783" s="571"/>
      <c r="AL783" s="571"/>
      <c r="AM783" s="571"/>
      <c r="AN783" s="571"/>
      <c r="AO783" s="571"/>
    </row>
    <row r="784">
      <c r="G784" s="571"/>
      <c r="H784" s="571"/>
      <c r="I784" s="571"/>
      <c r="J784" s="571"/>
      <c r="K784" s="571"/>
      <c r="L784" s="571"/>
      <c r="M784" s="571"/>
      <c r="N784" s="571"/>
      <c r="O784" s="571"/>
      <c r="P784" s="571"/>
      <c r="Q784" s="571"/>
      <c r="R784" s="571"/>
      <c r="S784" s="571"/>
      <c r="T784" s="571"/>
      <c r="U784" s="571"/>
      <c r="V784" s="571"/>
      <c r="W784" s="571"/>
      <c r="X784" s="571"/>
      <c r="Y784" s="571"/>
      <c r="Z784" s="571"/>
      <c r="AA784" s="571"/>
      <c r="AB784" s="571"/>
      <c r="AC784" s="571"/>
      <c r="AD784" s="571"/>
      <c r="AE784" s="571"/>
      <c r="AF784" s="571"/>
      <c r="AG784" s="571"/>
      <c r="AH784" s="571"/>
      <c r="AI784" s="571"/>
      <c r="AJ784" s="571"/>
      <c r="AK784" s="571"/>
      <c r="AL784" s="571"/>
      <c r="AM784" s="571"/>
      <c r="AN784" s="571"/>
      <c r="AO784" s="571"/>
    </row>
    <row r="785">
      <c r="G785" s="571"/>
      <c r="H785" s="571"/>
      <c r="I785" s="571"/>
      <c r="J785" s="571"/>
      <c r="K785" s="571"/>
      <c r="L785" s="571"/>
      <c r="M785" s="571"/>
      <c r="N785" s="571"/>
      <c r="O785" s="571"/>
      <c r="P785" s="571"/>
      <c r="Q785" s="571"/>
      <c r="R785" s="571"/>
      <c r="S785" s="571"/>
      <c r="T785" s="571"/>
      <c r="U785" s="571"/>
      <c r="V785" s="571"/>
      <c r="W785" s="571"/>
      <c r="X785" s="571"/>
      <c r="Y785" s="571"/>
      <c r="Z785" s="571"/>
      <c r="AA785" s="571"/>
      <c r="AB785" s="571"/>
      <c r="AC785" s="571"/>
      <c r="AD785" s="571"/>
      <c r="AE785" s="571"/>
      <c r="AF785" s="571"/>
      <c r="AG785" s="571"/>
      <c r="AH785" s="571"/>
      <c r="AI785" s="571"/>
      <c r="AJ785" s="571"/>
      <c r="AK785" s="571"/>
      <c r="AL785" s="571"/>
      <c r="AM785" s="571"/>
      <c r="AN785" s="571"/>
      <c r="AO785" s="571"/>
    </row>
    <row r="786">
      <c r="G786" s="571"/>
      <c r="H786" s="571"/>
      <c r="I786" s="571"/>
      <c r="J786" s="571"/>
      <c r="K786" s="571"/>
      <c r="L786" s="571"/>
      <c r="M786" s="571"/>
      <c r="N786" s="571"/>
      <c r="O786" s="571"/>
      <c r="P786" s="571"/>
      <c r="Q786" s="571"/>
      <c r="R786" s="571"/>
      <c r="S786" s="571"/>
      <c r="T786" s="571"/>
      <c r="U786" s="571"/>
      <c r="V786" s="571"/>
      <c r="W786" s="571"/>
      <c r="X786" s="571"/>
      <c r="Y786" s="571"/>
      <c r="Z786" s="571"/>
      <c r="AA786" s="571"/>
      <c r="AB786" s="571"/>
      <c r="AC786" s="571"/>
      <c r="AD786" s="571"/>
      <c r="AE786" s="571"/>
      <c r="AF786" s="571"/>
      <c r="AG786" s="571"/>
      <c r="AH786" s="571"/>
      <c r="AI786" s="571"/>
      <c r="AJ786" s="571"/>
      <c r="AK786" s="571"/>
      <c r="AL786" s="571"/>
      <c r="AM786" s="571"/>
      <c r="AN786" s="571"/>
      <c r="AO786" s="571"/>
    </row>
    <row r="787">
      <c r="G787" s="571"/>
      <c r="H787" s="571"/>
      <c r="I787" s="571"/>
      <c r="J787" s="571"/>
      <c r="K787" s="571"/>
      <c r="L787" s="571"/>
      <c r="M787" s="571"/>
      <c r="N787" s="571"/>
      <c r="O787" s="571"/>
      <c r="P787" s="571"/>
      <c r="Q787" s="571"/>
      <c r="R787" s="571"/>
      <c r="S787" s="571"/>
      <c r="T787" s="571"/>
      <c r="U787" s="571"/>
      <c r="V787" s="571"/>
      <c r="W787" s="571"/>
      <c r="X787" s="571"/>
      <c r="Y787" s="571"/>
      <c r="Z787" s="571"/>
      <c r="AA787" s="571"/>
      <c r="AB787" s="571"/>
      <c r="AC787" s="571"/>
      <c r="AD787" s="571"/>
      <c r="AE787" s="571"/>
      <c r="AF787" s="571"/>
      <c r="AG787" s="571"/>
      <c r="AH787" s="571"/>
      <c r="AI787" s="571"/>
      <c r="AJ787" s="571"/>
      <c r="AK787" s="571"/>
      <c r="AL787" s="571"/>
      <c r="AM787" s="571"/>
      <c r="AN787" s="571"/>
      <c r="AO787" s="571"/>
    </row>
    <row r="788">
      <c r="G788" s="571"/>
      <c r="H788" s="571"/>
      <c r="I788" s="571"/>
      <c r="J788" s="571"/>
      <c r="K788" s="571"/>
      <c r="L788" s="571"/>
      <c r="M788" s="571"/>
      <c r="N788" s="571"/>
      <c r="O788" s="571"/>
      <c r="P788" s="571"/>
      <c r="Q788" s="571"/>
      <c r="R788" s="571"/>
      <c r="S788" s="571"/>
      <c r="T788" s="571"/>
      <c r="U788" s="571"/>
      <c r="V788" s="571"/>
      <c r="W788" s="571"/>
      <c r="X788" s="571"/>
      <c r="Y788" s="571"/>
      <c r="Z788" s="571"/>
      <c r="AA788" s="571"/>
      <c r="AB788" s="571"/>
      <c r="AC788" s="571"/>
      <c r="AD788" s="571"/>
      <c r="AE788" s="571"/>
      <c r="AF788" s="571"/>
      <c r="AG788" s="571"/>
      <c r="AH788" s="571"/>
      <c r="AI788" s="571"/>
      <c r="AJ788" s="571"/>
      <c r="AK788" s="571"/>
      <c r="AL788" s="571"/>
      <c r="AM788" s="571"/>
      <c r="AN788" s="571"/>
      <c r="AO788" s="571"/>
    </row>
    <row r="789">
      <c r="G789" s="571"/>
      <c r="H789" s="571"/>
      <c r="I789" s="571"/>
      <c r="J789" s="571"/>
      <c r="K789" s="571"/>
      <c r="L789" s="571"/>
      <c r="M789" s="571"/>
      <c r="N789" s="571"/>
      <c r="O789" s="571"/>
      <c r="P789" s="571"/>
      <c r="Q789" s="571"/>
      <c r="R789" s="571"/>
      <c r="S789" s="571"/>
      <c r="T789" s="571"/>
      <c r="U789" s="571"/>
      <c r="V789" s="571"/>
      <c r="W789" s="571"/>
      <c r="X789" s="571"/>
      <c r="Y789" s="571"/>
      <c r="Z789" s="571"/>
      <c r="AA789" s="571"/>
      <c r="AB789" s="571"/>
      <c r="AC789" s="571"/>
      <c r="AD789" s="571"/>
      <c r="AE789" s="571"/>
      <c r="AF789" s="571"/>
      <c r="AG789" s="571"/>
      <c r="AH789" s="571"/>
      <c r="AI789" s="571"/>
      <c r="AJ789" s="571"/>
      <c r="AK789" s="571"/>
      <c r="AL789" s="571"/>
      <c r="AM789" s="571"/>
      <c r="AN789" s="571"/>
      <c r="AO789" s="571"/>
    </row>
    <row r="790">
      <c r="G790" s="571"/>
      <c r="H790" s="571"/>
      <c r="I790" s="571"/>
      <c r="J790" s="571"/>
      <c r="K790" s="571"/>
      <c r="L790" s="571"/>
      <c r="M790" s="571"/>
      <c r="N790" s="571"/>
      <c r="O790" s="571"/>
      <c r="P790" s="571"/>
      <c r="Q790" s="571"/>
      <c r="R790" s="571"/>
      <c r="S790" s="571"/>
      <c r="T790" s="571"/>
      <c r="U790" s="571"/>
      <c r="V790" s="571"/>
      <c r="W790" s="571"/>
      <c r="X790" s="571"/>
      <c r="Y790" s="571"/>
      <c r="Z790" s="571"/>
      <c r="AA790" s="571"/>
      <c r="AB790" s="571"/>
      <c r="AC790" s="571"/>
      <c r="AD790" s="571"/>
      <c r="AE790" s="571"/>
      <c r="AF790" s="571"/>
      <c r="AG790" s="571"/>
      <c r="AH790" s="571"/>
      <c r="AI790" s="571"/>
      <c r="AJ790" s="571"/>
      <c r="AK790" s="571"/>
      <c r="AL790" s="571"/>
      <c r="AM790" s="571"/>
      <c r="AN790" s="571"/>
      <c r="AO790" s="571"/>
    </row>
    <row r="791">
      <c r="G791" s="571"/>
      <c r="H791" s="571"/>
      <c r="I791" s="571"/>
      <c r="J791" s="571"/>
      <c r="K791" s="571"/>
      <c r="L791" s="571"/>
      <c r="M791" s="571"/>
      <c r="N791" s="571"/>
      <c r="O791" s="571"/>
      <c r="P791" s="571"/>
      <c r="Q791" s="571"/>
      <c r="R791" s="571"/>
      <c r="S791" s="571"/>
      <c r="T791" s="571"/>
      <c r="U791" s="571"/>
      <c r="V791" s="571"/>
      <c r="W791" s="571"/>
      <c r="X791" s="571"/>
      <c r="Y791" s="571"/>
      <c r="Z791" s="571"/>
      <c r="AA791" s="571"/>
      <c r="AB791" s="571"/>
      <c r="AC791" s="571"/>
      <c r="AD791" s="571"/>
      <c r="AE791" s="571"/>
      <c r="AF791" s="571"/>
      <c r="AG791" s="571"/>
      <c r="AH791" s="571"/>
      <c r="AI791" s="571"/>
      <c r="AJ791" s="571"/>
      <c r="AK791" s="571"/>
      <c r="AL791" s="571"/>
      <c r="AM791" s="571"/>
      <c r="AN791" s="571"/>
      <c r="AO791" s="571"/>
    </row>
    <row r="792">
      <c r="G792" s="571"/>
      <c r="H792" s="571"/>
      <c r="I792" s="571"/>
      <c r="J792" s="571"/>
      <c r="K792" s="571"/>
      <c r="L792" s="571"/>
      <c r="M792" s="571"/>
      <c r="N792" s="571"/>
      <c r="O792" s="571"/>
      <c r="P792" s="571"/>
      <c r="Q792" s="571"/>
      <c r="R792" s="571"/>
      <c r="S792" s="571"/>
      <c r="T792" s="571"/>
      <c r="U792" s="571"/>
      <c r="V792" s="571"/>
      <c r="W792" s="571"/>
      <c r="X792" s="571"/>
      <c r="Y792" s="571"/>
      <c r="Z792" s="571"/>
      <c r="AA792" s="571"/>
      <c r="AB792" s="571"/>
      <c r="AC792" s="571"/>
      <c r="AD792" s="571"/>
      <c r="AE792" s="571"/>
      <c r="AF792" s="571"/>
      <c r="AG792" s="571"/>
      <c r="AH792" s="571"/>
      <c r="AI792" s="571"/>
      <c r="AJ792" s="571"/>
      <c r="AK792" s="571"/>
      <c r="AL792" s="571"/>
      <c r="AM792" s="571"/>
      <c r="AN792" s="571"/>
      <c r="AO792" s="571"/>
    </row>
    <row r="793">
      <c r="G793" s="571"/>
      <c r="H793" s="571"/>
      <c r="I793" s="571"/>
      <c r="J793" s="571"/>
      <c r="K793" s="571"/>
      <c r="L793" s="571"/>
      <c r="M793" s="571"/>
      <c r="N793" s="571"/>
      <c r="O793" s="571"/>
      <c r="P793" s="571"/>
      <c r="Q793" s="571"/>
      <c r="R793" s="571"/>
      <c r="S793" s="571"/>
      <c r="T793" s="571"/>
      <c r="U793" s="571"/>
      <c r="V793" s="571"/>
      <c r="W793" s="571"/>
      <c r="X793" s="571"/>
      <c r="Y793" s="571"/>
      <c r="Z793" s="571"/>
      <c r="AA793" s="571"/>
      <c r="AB793" s="571"/>
      <c r="AC793" s="571"/>
      <c r="AD793" s="571"/>
      <c r="AE793" s="571"/>
      <c r="AF793" s="571"/>
      <c r="AG793" s="571"/>
      <c r="AH793" s="571"/>
      <c r="AI793" s="571"/>
      <c r="AJ793" s="571"/>
      <c r="AK793" s="571"/>
      <c r="AL793" s="571"/>
      <c r="AM793" s="571"/>
      <c r="AN793" s="571"/>
      <c r="AO793" s="571"/>
    </row>
    <row r="794">
      <c r="G794" s="571"/>
      <c r="H794" s="571"/>
      <c r="I794" s="571"/>
      <c r="J794" s="571"/>
      <c r="K794" s="571"/>
      <c r="L794" s="571"/>
      <c r="M794" s="571"/>
      <c r="N794" s="571"/>
      <c r="O794" s="571"/>
      <c r="P794" s="571"/>
      <c r="Q794" s="571"/>
      <c r="R794" s="571"/>
      <c r="S794" s="571"/>
      <c r="T794" s="571"/>
      <c r="U794" s="571"/>
      <c r="V794" s="571"/>
      <c r="W794" s="571"/>
      <c r="X794" s="571"/>
      <c r="Y794" s="571"/>
      <c r="Z794" s="571"/>
      <c r="AA794" s="571"/>
      <c r="AB794" s="571"/>
      <c r="AC794" s="571"/>
      <c r="AD794" s="571"/>
      <c r="AE794" s="571"/>
      <c r="AF794" s="571"/>
      <c r="AG794" s="571"/>
      <c r="AH794" s="571"/>
      <c r="AI794" s="571"/>
      <c r="AJ794" s="571"/>
      <c r="AK794" s="571"/>
      <c r="AL794" s="571"/>
      <c r="AM794" s="571"/>
      <c r="AN794" s="571"/>
      <c r="AO794" s="571"/>
    </row>
    <row r="795">
      <c r="G795" s="571"/>
      <c r="H795" s="571"/>
      <c r="I795" s="571"/>
      <c r="J795" s="571"/>
      <c r="K795" s="571"/>
      <c r="L795" s="571"/>
      <c r="M795" s="571"/>
      <c r="N795" s="571"/>
      <c r="O795" s="571"/>
      <c r="P795" s="571"/>
      <c r="Q795" s="571"/>
      <c r="R795" s="571"/>
      <c r="S795" s="571"/>
      <c r="T795" s="571"/>
      <c r="U795" s="571"/>
      <c r="V795" s="571"/>
      <c r="W795" s="571"/>
      <c r="X795" s="571"/>
      <c r="Y795" s="571"/>
      <c r="Z795" s="571"/>
      <c r="AA795" s="571"/>
      <c r="AB795" s="571"/>
      <c r="AC795" s="571"/>
      <c r="AD795" s="571"/>
      <c r="AE795" s="571"/>
      <c r="AF795" s="571"/>
      <c r="AG795" s="571"/>
      <c r="AH795" s="571"/>
      <c r="AI795" s="571"/>
      <c r="AJ795" s="571"/>
      <c r="AK795" s="571"/>
      <c r="AL795" s="571"/>
      <c r="AM795" s="571"/>
      <c r="AN795" s="571"/>
      <c r="AO795" s="571"/>
    </row>
    <row r="796">
      <c r="G796" s="571"/>
      <c r="H796" s="571"/>
      <c r="I796" s="571"/>
      <c r="J796" s="571"/>
      <c r="K796" s="571"/>
      <c r="L796" s="571"/>
      <c r="M796" s="571"/>
      <c r="N796" s="571"/>
      <c r="O796" s="571"/>
      <c r="P796" s="571"/>
      <c r="Q796" s="571"/>
      <c r="R796" s="571"/>
      <c r="S796" s="571"/>
      <c r="T796" s="571"/>
      <c r="U796" s="571"/>
      <c r="V796" s="571"/>
      <c r="W796" s="571"/>
      <c r="X796" s="571"/>
      <c r="Y796" s="571"/>
      <c r="Z796" s="571"/>
      <c r="AA796" s="571"/>
      <c r="AB796" s="571"/>
      <c r="AC796" s="571"/>
      <c r="AD796" s="571"/>
      <c r="AE796" s="571"/>
      <c r="AF796" s="571"/>
      <c r="AG796" s="571"/>
      <c r="AH796" s="571"/>
      <c r="AI796" s="571"/>
      <c r="AJ796" s="571"/>
      <c r="AK796" s="571"/>
      <c r="AL796" s="571"/>
      <c r="AM796" s="571"/>
      <c r="AN796" s="571"/>
      <c r="AO796" s="571"/>
    </row>
    <row r="797">
      <c r="G797" s="571"/>
      <c r="H797" s="571"/>
      <c r="I797" s="571"/>
      <c r="J797" s="571"/>
      <c r="K797" s="571"/>
      <c r="L797" s="571"/>
      <c r="M797" s="571"/>
      <c r="N797" s="571"/>
      <c r="O797" s="571"/>
      <c r="P797" s="571"/>
      <c r="Q797" s="571"/>
      <c r="R797" s="571"/>
      <c r="S797" s="571"/>
      <c r="T797" s="571"/>
      <c r="U797" s="571"/>
      <c r="V797" s="571"/>
      <c r="W797" s="571"/>
      <c r="X797" s="571"/>
      <c r="Y797" s="571"/>
      <c r="Z797" s="571"/>
      <c r="AA797" s="571"/>
      <c r="AB797" s="571"/>
      <c r="AC797" s="571"/>
      <c r="AD797" s="571"/>
      <c r="AE797" s="571"/>
      <c r="AF797" s="571"/>
      <c r="AG797" s="571"/>
      <c r="AH797" s="571"/>
      <c r="AI797" s="571"/>
      <c r="AJ797" s="571"/>
      <c r="AK797" s="571"/>
      <c r="AL797" s="571"/>
      <c r="AM797" s="571"/>
      <c r="AN797" s="571"/>
      <c r="AO797" s="571"/>
    </row>
    <row r="798">
      <c r="G798" s="571"/>
      <c r="H798" s="571"/>
      <c r="I798" s="571"/>
      <c r="J798" s="571"/>
      <c r="K798" s="571"/>
      <c r="L798" s="571"/>
      <c r="M798" s="571"/>
      <c r="N798" s="571"/>
      <c r="O798" s="571"/>
      <c r="P798" s="571"/>
      <c r="Q798" s="571"/>
      <c r="R798" s="571"/>
      <c r="S798" s="571"/>
      <c r="T798" s="571"/>
      <c r="U798" s="571"/>
      <c r="V798" s="571"/>
      <c r="W798" s="571"/>
      <c r="X798" s="571"/>
      <c r="Y798" s="571"/>
      <c r="Z798" s="571"/>
      <c r="AA798" s="571"/>
      <c r="AB798" s="571"/>
      <c r="AC798" s="571"/>
      <c r="AD798" s="571"/>
      <c r="AE798" s="571"/>
      <c r="AF798" s="571"/>
      <c r="AG798" s="571"/>
      <c r="AH798" s="571"/>
      <c r="AI798" s="571"/>
      <c r="AJ798" s="571"/>
      <c r="AK798" s="571"/>
      <c r="AL798" s="571"/>
      <c r="AM798" s="571"/>
      <c r="AN798" s="571"/>
      <c r="AO798" s="571"/>
    </row>
    <row r="799">
      <c r="G799" s="571"/>
      <c r="H799" s="571"/>
      <c r="I799" s="571"/>
      <c r="J799" s="571"/>
      <c r="K799" s="571"/>
      <c r="L799" s="571"/>
      <c r="M799" s="571"/>
      <c r="N799" s="571"/>
      <c r="O799" s="571"/>
      <c r="P799" s="571"/>
      <c r="Q799" s="571"/>
      <c r="R799" s="571"/>
      <c r="S799" s="571"/>
      <c r="T799" s="571"/>
      <c r="U799" s="571"/>
      <c r="V799" s="571"/>
      <c r="W799" s="571"/>
      <c r="X799" s="571"/>
      <c r="Y799" s="571"/>
      <c r="Z799" s="571"/>
      <c r="AA799" s="571"/>
      <c r="AB799" s="571"/>
      <c r="AC799" s="571"/>
      <c r="AD799" s="571"/>
      <c r="AE799" s="571"/>
      <c r="AF799" s="571"/>
      <c r="AG799" s="571"/>
      <c r="AH799" s="571"/>
      <c r="AI799" s="571"/>
      <c r="AJ799" s="571"/>
      <c r="AK799" s="571"/>
      <c r="AL799" s="571"/>
      <c r="AM799" s="571"/>
      <c r="AN799" s="571"/>
      <c r="AO799" s="571"/>
    </row>
    <row r="800">
      <c r="G800" s="571"/>
      <c r="H800" s="571"/>
      <c r="I800" s="571"/>
      <c r="J800" s="571"/>
      <c r="K800" s="571"/>
      <c r="L800" s="571"/>
      <c r="M800" s="571"/>
      <c r="N800" s="571"/>
      <c r="O800" s="571"/>
      <c r="P800" s="571"/>
      <c r="Q800" s="571"/>
      <c r="R800" s="571"/>
      <c r="S800" s="571"/>
      <c r="T800" s="571"/>
      <c r="U800" s="571"/>
      <c r="V800" s="571"/>
      <c r="W800" s="571"/>
      <c r="X800" s="571"/>
      <c r="Y800" s="571"/>
      <c r="Z800" s="571"/>
      <c r="AA800" s="571"/>
      <c r="AB800" s="571"/>
      <c r="AC800" s="571"/>
      <c r="AD800" s="571"/>
      <c r="AE800" s="571"/>
      <c r="AF800" s="571"/>
      <c r="AG800" s="571"/>
      <c r="AH800" s="571"/>
      <c r="AI800" s="571"/>
      <c r="AJ800" s="571"/>
      <c r="AK800" s="571"/>
      <c r="AL800" s="571"/>
      <c r="AM800" s="571"/>
      <c r="AN800" s="571"/>
      <c r="AO800" s="571"/>
    </row>
    <row r="801">
      <c r="G801" s="571"/>
      <c r="H801" s="571"/>
      <c r="I801" s="571"/>
      <c r="J801" s="571"/>
      <c r="K801" s="571"/>
      <c r="L801" s="571"/>
      <c r="M801" s="571"/>
      <c r="N801" s="571"/>
      <c r="O801" s="571"/>
      <c r="P801" s="571"/>
      <c r="Q801" s="571"/>
      <c r="R801" s="571"/>
      <c r="S801" s="571"/>
      <c r="T801" s="571"/>
      <c r="U801" s="571"/>
      <c r="V801" s="571"/>
      <c r="W801" s="571"/>
      <c r="X801" s="571"/>
      <c r="Y801" s="571"/>
      <c r="Z801" s="571"/>
      <c r="AA801" s="571"/>
      <c r="AB801" s="571"/>
      <c r="AC801" s="571"/>
      <c r="AD801" s="571"/>
      <c r="AE801" s="571"/>
      <c r="AF801" s="571"/>
      <c r="AG801" s="571"/>
      <c r="AH801" s="571"/>
      <c r="AI801" s="571"/>
      <c r="AJ801" s="571"/>
      <c r="AK801" s="571"/>
      <c r="AL801" s="571"/>
      <c r="AM801" s="571"/>
      <c r="AN801" s="571"/>
      <c r="AO801" s="571"/>
    </row>
    <row r="802">
      <c r="G802" s="571"/>
      <c r="H802" s="571"/>
      <c r="I802" s="571"/>
      <c r="J802" s="571"/>
      <c r="K802" s="571"/>
      <c r="L802" s="571"/>
      <c r="M802" s="571"/>
      <c r="N802" s="571"/>
      <c r="O802" s="571"/>
      <c r="P802" s="571"/>
      <c r="Q802" s="571"/>
      <c r="R802" s="571"/>
      <c r="S802" s="571"/>
      <c r="T802" s="571"/>
      <c r="U802" s="571"/>
      <c r="V802" s="571"/>
      <c r="W802" s="571"/>
      <c r="X802" s="571"/>
      <c r="Y802" s="571"/>
      <c r="Z802" s="571"/>
      <c r="AA802" s="571"/>
      <c r="AB802" s="571"/>
      <c r="AC802" s="571"/>
      <c r="AD802" s="571"/>
      <c r="AE802" s="571"/>
      <c r="AF802" s="571"/>
      <c r="AG802" s="571"/>
      <c r="AH802" s="571"/>
      <c r="AI802" s="571"/>
      <c r="AJ802" s="571"/>
      <c r="AK802" s="571"/>
      <c r="AL802" s="571"/>
      <c r="AM802" s="571"/>
      <c r="AN802" s="571"/>
      <c r="AO802" s="571"/>
    </row>
    <row r="803">
      <c r="G803" s="571"/>
      <c r="H803" s="571"/>
      <c r="I803" s="571"/>
      <c r="J803" s="571"/>
      <c r="K803" s="571"/>
      <c r="L803" s="571"/>
      <c r="M803" s="571"/>
      <c r="N803" s="571"/>
      <c r="O803" s="571"/>
      <c r="P803" s="571"/>
      <c r="Q803" s="571"/>
      <c r="R803" s="571"/>
      <c r="S803" s="571"/>
      <c r="T803" s="571"/>
      <c r="U803" s="571"/>
      <c r="V803" s="571"/>
      <c r="W803" s="571"/>
      <c r="X803" s="571"/>
      <c r="Y803" s="571"/>
      <c r="Z803" s="571"/>
      <c r="AA803" s="571"/>
      <c r="AB803" s="571"/>
      <c r="AC803" s="571"/>
      <c r="AD803" s="571"/>
      <c r="AE803" s="571"/>
      <c r="AF803" s="571"/>
      <c r="AG803" s="571"/>
      <c r="AH803" s="571"/>
      <c r="AI803" s="571"/>
      <c r="AJ803" s="571"/>
      <c r="AK803" s="571"/>
      <c r="AL803" s="571"/>
      <c r="AM803" s="571"/>
      <c r="AN803" s="571"/>
      <c r="AO803" s="571"/>
    </row>
    <row r="804">
      <c r="G804" s="571"/>
      <c r="H804" s="571"/>
      <c r="I804" s="571"/>
      <c r="J804" s="571"/>
      <c r="K804" s="571"/>
      <c r="L804" s="571"/>
      <c r="M804" s="571"/>
      <c r="N804" s="571"/>
      <c r="O804" s="571"/>
      <c r="P804" s="571"/>
      <c r="Q804" s="571"/>
      <c r="R804" s="571"/>
      <c r="S804" s="571"/>
      <c r="T804" s="571"/>
      <c r="U804" s="571"/>
      <c r="V804" s="571"/>
      <c r="W804" s="571"/>
      <c r="X804" s="571"/>
      <c r="Y804" s="571"/>
      <c r="Z804" s="571"/>
      <c r="AA804" s="571"/>
      <c r="AB804" s="571"/>
      <c r="AC804" s="571"/>
      <c r="AD804" s="571"/>
      <c r="AE804" s="571"/>
      <c r="AF804" s="571"/>
      <c r="AG804" s="571"/>
      <c r="AH804" s="571"/>
      <c r="AI804" s="571"/>
      <c r="AJ804" s="571"/>
      <c r="AK804" s="571"/>
      <c r="AL804" s="571"/>
      <c r="AM804" s="571"/>
      <c r="AN804" s="571"/>
      <c r="AO804" s="571"/>
    </row>
    <row r="805">
      <c r="G805" s="571"/>
      <c r="H805" s="571"/>
      <c r="I805" s="571"/>
      <c r="J805" s="571"/>
      <c r="K805" s="571"/>
      <c r="L805" s="571"/>
      <c r="M805" s="571"/>
      <c r="N805" s="571"/>
      <c r="O805" s="571"/>
      <c r="P805" s="571"/>
      <c r="Q805" s="571"/>
      <c r="R805" s="571"/>
      <c r="S805" s="571"/>
      <c r="T805" s="571"/>
      <c r="U805" s="571"/>
      <c r="V805" s="571"/>
      <c r="W805" s="571"/>
      <c r="X805" s="571"/>
      <c r="Y805" s="571"/>
      <c r="Z805" s="571"/>
      <c r="AA805" s="571"/>
      <c r="AB805" s="571"/>
      <c r="AC805" s="571"/>
      <c r="AD805" s="571"/>
      <c r="AE805" s="571"/>
      <c r="AF805" s="571"/>
      <c r="AG805" s="571"/>
      <c r="AH805" s="571"/>
      <c r="AI805" s="571"/>
      <c r="AJ805" s="571"/>
      <c r="AK805" s="571"/>
      <c r="AL805" s="571"/>
      <c r="AM805" s="571"/>
      <c r="AN805" s="571"/>
      <c r="AO805" s="571"/>
    </row>
    <row r="806">
      <c r="G806" s="571"/>
      <c r="H806" s="571"/>
      <c r="I806" s="571"/>
      <c r="J806" s="571"/>
      <c r="K806" s="571"/>
      <c r="L806" s="571"/>
      <c r="M806" s="571"/>
      <c r="N806" s="571"/>
      <c r="O806" s="571"/>
      <c r="P806" s="571"/>
      <c r="Q806" s="571"/>
      <c r="R806" s="571"/>
      <c r="S806" s="571"/>
      <c r="T806" s="571"/>
      <c r="U806" s="571"/>
      <c r="V806" s="571"/>
      <c r="W806" s="571"/>
      <c r="X806" s="571"/>
      <c r="Y806" s="571"/>
      <c r="Z806" s="571"/>
      <c r="AA806" s="571"/>
      <c r="AB806" s="571"/>
      <c r="AC806" s="571"/>
      <c r="AD806" s="571"/>
      <c r="AE806" s="571"/>
      <c r="AF806" s="571"/>
      <c r="AG806" s="571"/>
      <c r="AH806" s="571"/>
      <c r="AI806" s="571"/>
      <c r="AJ806" s="571"/>
      <c r="AK806" s="571"/>
      <c r="AL806" s="571"/>
      <c r="AM806" s="571"/>
      <c r="AN806" s="571"/>
      <c r="AO806" s="571"/>
    </row>
    <row r="807">
      <c r="G807" s="571"/>
      <c r="H807" s="571"/>
      <c r="I807" s="571"/>
      <c r="J807" s="571"/>
      <c r="K807" s="571"/>
      <c r="L807" s="571"/>
      <c r="M807" s="571"/>
      <c r="N807" s="571"/>
      <c r="O807" s="571"/>
      <c r="P807" s="571"/>
      <c r="Q807" s="571"/>
      <c r="R807" s="571"/>
      <c r="S807" s="571"/>
      <c r="T807" s="571"/>
      <c r="U807" s="571"/>
      <c r="V807" s="571"/>
      <c r="W807" s="571"/>
      <c r="X807" s="571"/>
      <c r="Y807" s="571"/>
      <c r="Z807" s="571"/>
      <c r="AA807" s="571"/>
      <c r="AB807" s="571"/>
      <c r="AC807" s="571"/>
      <c r="AD807" s="571"/>
      <c r="AE807" s="571"/>
      <c r="AF807" s="571"/>
      <c r="AG807" s="571"/>
      <c r="AH807" s="571"/>
      <c r="AI807" s="571"/>
      <c r="AJ807" s="571"/>
      <c r="AK807" s="571"/>
      <c r="AL807" s="571"/>
      <c r="AM807" s="571"/>
      <c r="AN807" s="571"/>
      <c r="AO807" s="571"/>
    </row>
    <row r="808">
      <c r="G808" s="571"/>
      <c r="H808" s="571"/>
      <c r="I808" s="571"/>
      <c r="J808" s="571"/>
      <c r="K808" s="571"/>
      <c r="L808" s="571"/>
      <c r="M808" s="571"/>
      <c r="N808" s="571"/>
      <c r="O808" s="571"/>
      <c r="P808" s="571"/>
      <c r="Q808" s="571"/>
      <c r="R808" s="571"/>
      <c r="S808" s="571"/>
      <c r="T808" s="571"/>
      <c r="U808" s="571"/>
      <c r="V808" s="571"/>
      <c r="W808" s="571"/>
      <c r="X808" s="571"/>
      <c r="Y808" s="571"/>
      <c r="Z808" s="571"/>
      <c r="AA808" s="571"/>
      <c r="AB808" s="571"/>
      <c r="AC808" s="571"/>
      <c r="AD808" s="571"/>
      <c r="AE808" s="571"/>
      <c r="AF808" s="571"/>
      <c r="AG808" s="571"/>
      <c r="AH808" s="571"/>
      <c r="AI808" s="571"/>
      <c r="AJ808" s="571"/>
      <c r="AK808" s="571"/>
      <c r="AL808" s="571"/>
      <c r="AM808" s="571"/>
      <c r="AN808" s="571"/>
      <c r="AO808" s="571"/>
    </row>
    <row r="809">
      <c r="G809" s="571"/>
      <c r="H809" s="571"/>
      <c r="I809" s="571"/>
      <c r="J809" s="571"/>
      <c r="K809" s="571"/>
      <c r="L809" s="571"/>
      <c r="M809" s="571"/>
      <c r="N809" s="571"/>
      <c r="O809" s="571"/>
      <c r="P809" s="571"/>
      <c r="Q809" s="571"/>
      <c r="R809" s="571"/>
      <c r="S809" s="571"/>
      <c r="T809" s="571"/>
      <c r="U809" s="571"/>
      <c r="V809" s="571"/>
      <c r="W809" s="571"/>
      <c r="X809" s="571"/>
      <c r="Y809" s="571"/>
      <c r="Z809" s="571"/>
      <c r="AA809" s="571"/>
      <c r="AB809" s="571"/>
      <c r="AC809" s="571"/>
      <c r="AD809" s="571"/>
      <c r="AE809" s="571"/>
      <c r="AF809" s="571"/>
      <c r="AG809" s="571"/>
      <c r="AH809" s="571"/>
      <c r="AI809" s="571"/>
      <c r="AJ809" s="571"/>
      <c r="AK809" s="571"/>
      <c r="AL809" s="571"/>
      <c r="AM809" s="571"/>
      <c r="AN809" s="571"/>
      <c r="AO809" s="571"/>
    </row>
    <row r="810">
      <c r="G810" s="571"/>
      <c r="H810" s="571"/>
      <c r="I810" s="571"/>
      <c r="J810" s="571"/>
      <c r="K810" s="571"/>
      <c r="L810" s="571"/>
      <c r="M810" s="571"/>
      <c r="N810" s="571"/>
      <c r="O810" s="571"/>
      <c r="P810" s="571"/>
      <c r="Q810" s="571"/>
      <c r="R810" s="571"/>
      <c r="S810" s="571"/>
      <c r="T810" s="571"/>
      <c r="U810" s="571"/>
      <c r="V810" s="571"/>
      <c r="W810" s="571"/>
      <c r="X810" s="571"/>
      <c r="Y810" s="571"/>
      <c r="Z810" s="571"/>
      <c r="AA810" s="571"/>
      <c r="AB810" s="571"/>
      <c r="AC810" s="571"/>
      <c r="AD810" s="571"/>
      <c r="AE810" s="571"/>
      <c r="AF810" s="571"/>
      <c r="AG810" s="571"/>
      <c r="AH810" s="571"/>
      <c r="AI810" s="571"/>
      <c r="AJ810" s="571"/>
      <c r="AK810" s="571"/>
      <c r="AL810" s="571"/>
      <c r="AM810" s="571"/>
      <c r="AN810" s="571"/>
      <c r="AO810" s="571"/>
    </row>
    <row r="811">
      <c r="G811" s="571"/>
      <c r="H811" s="571"/>
      <c r="I811" s="571"/>
      <c r="J811" s="571"/>
      <c r="K811" s="571"/>
      <c r="L811" s="571"/>
      <c r="M811" s="571"/>
      <c r="N811" s="571"/>
      <c r="O811" s="571"/>
      <c r="P811" s="571"/>
      <c r="Q811" s="571"/>
      <c r="R811" s="571"/>
      <c r="S811" s="571"/>
      <c r="T811" s="571"/>
      <c r="U811" s="571"/>
      <c r="V811" s="571"/>
      <c r="W811" s="571"/>
      <c r="X811" s="571"/>
      <c r="Y811" s="571"/>
      <c r="Z811" s="571"/>
      <c r="AA811" s="571"/>
      <c r="AB811" s="571"/>
      <c r="AC811" s="571"/>
      <c r="AD811" s="571"/>
      <c r="AE811" s="571"/>
      <c r="AF811" s="571"/>
      <c r="AG811" s="571"/>
      <c r="AH811" s="571"/>
      <c r="AI811" s="571"/>
      <c r="AJ811" s="571"/>
      <c r="AK811" s="571"/>
      <c r="AL811" s="571"/>
      <c r="AM811" s="571"/>
      <c r="AN811" s="571"/>
      <c r="AO811" s="571"/>
    </row>
    <row r="812">
      <c r="G812" s="571"/>
      <c r="H812" s="571"/>
      <c r="I812" s="571"/>
      <c r="J812" s="571"/>
      <c r="K812" s="571"/>
      <c r="L812" s="571"/>
      <c r="M812" s="571"/>
      <c r="N812" s="571"/>
      <c r="O812" s="571"/>
      <c r="P812" s="571"/>
      <c r="Q812" s="571"/>
      <c r="R812" s="571"/>
      <c r="S812" s="571"/>
      <c r="T812" s="571"/>
      <c r="U812" s="571"/>
      <c r="V812" s="571"/>
      <c r="W812" s="571"/>
      <c r="X812" s="571"/>
      <c r="Y812" s="571"/>
      <c r="Z812" s="571"/>
      <c r="AA812" s="571"/>
      <c r="AB812" s="571"/>
      <c r="AC812" s="571"/>
      <c r="AD812" s="571"/>
      <c r="AE812" s="571"/>
      <c r="AF812" s="571"/>
      <c r="AG812" s="571"/>
      <c r="AH812" s="571"/>
      <c r="AI812" s="571"/>
      <c r="AJ812" s="571"/>
      <c r="AK812" s="571"/>
      <c r="AL812" s="571"/>
      <c r="AM812" s="571"/>
      <c r="AN812" s="571"/>
      <c r="AO812" s="571"/>
    </row>
    <row r="813">
      <c r="G813" s="571"/>
      <c r="H813" s="571"/>
      <c r="I813" s="571"/>
      <c r="J813" s="571"/>
      <c r="K813" s="571"/>
      <c r="L813" s="571"/>
      <c r="M813" s="571"/>
      <c r="N813" s="571"/>
      <c r="O813" s="571"/>
      <c r="P813" s="571"/>
      <c r="Q813" s="571"/>
      <c r="R813" s="571"/>
      <c r="S813" s="571"/>
      <c r="T813" s="571"/>
      <c r="U813" s="571"/>
      <c r="V813" s="571"/>
      <c r="W813" s="571"/>
      <c r="X813" s="571"/>
      <c r="Y813" s="571"/>
      <c r="Z813" s="571"/>
      <c r="AA813" s="571"/>
      <c r="AB813" s="571"/>
      <c r="AC813" s="571"/>
      <c r="AD813" s="571"/>
      <c r="AE813" s="571"/>
      <c r="AF813" s="571"/>
      <c r="AG813" s="571"/>
      <c r="AH813" s="571"/>
      <c r="AI813" s="571"/>
      <c r="AJ813" s="571"/>
      <c r="AK813" s="571"/>
      <c r="AL813" s="571"/>
      <c r="AM813" s="571"/>
      <c r="AN813" s="571"/>
      <c r="AO813" s="571"/>
    </row>
    <row r="814">
      <c r="G814" s="571"/>
      <c r="H814" s="571"/>
      <c r="I814" s="571"/>
      <c r="J814" s="571"/>
      <c r="K814" s="571"/>
      <c r="L814" s="571"/>
      <c r="M814" s="571"/>
      <c r="N814" s="571"/>
      <c r="O814" s="571"/>
      <c r="P814" s="571"/>
      <c r="Q814" s="571"/>
      <c r="R814" s="571"/>
      <c r="S814" s="571"/>
      <c r="T814" s="571"/>
      <c r="U814" s="571"/>
      <c r="V814" s="571"/>
      <c r="W814" s="571"/>
      <c r="X814" s="571"/>
      <c r="Y814" s="571"/>
      <c r="Z814" s="571"/>
      <c r="AA814" s="571"/>
      <c r="AB814" s="571"/>
      <c r="AC814" s="571"/>
      <c r="AD814" s="571"/>
      <c r="AE814" s="571"/>
      <c r="AF814" s="571"/>
      <c r="AG814" s="571"/>
      <c r="AH814" s="571"/>
      <c r="AI814" s="571"/>
      <c r="AJ814" s="571"/>
      <c r="AK814" s="571"/>
      <c r="AL814" s="571"/>
      <c r="AM814" s="571"/>
      <c r="AN814" s="571"/>
      <c r="AO814" s="571"/>
    </row>
    <row r="815">
      <c r="G815" s="571"/>
      <c r="H815" s="571"/>
      <c r="I815" s="571"/>
      <c r="J815" s="571"/>
      <c r="K815" s="571"/>
      <c r="L815" s="571"/>
      <c r="M815" s="571"/>
      <c r="N815" s="571"/>
      <c r="O815" s="571"/>
      <c r="P815" s="571"/>
      <c r="Q815" s="571"/>
      <c r="R815" s="571"/>
      <c r="S815" s="571"/>
      <c r="T815" s="571"/>
      <c r="U815" s="571"/>
      <c r="V815" s="571"/>
      <c r="W815" s="571"/>
      <c r="X815" s="571"/>
      <c r="Y815" s="571"/>
      <c r="Z815" s="571"/>
      <c r="AA815" s="571"/>
      <c r="AB815" s="571"/>
      <c r="AC815" s="571"/>
      <c r="AD815" s="571"/>
      <c r="AE815" s="571"/>
      <c r="AF815" s="571"/>
      <c r="AG815" s="571"/>
      <c r="AH815" s="571"/>
      <c r="AI815" s="571"/>
      <c r="AJ815" s="571"/>
      <c r="AK815" s="571"/>
      <c r="AL815" s="571"/>
      <c r="AM815" s="571"/>
      <c r="AN815" s="571"/>
      <c r="AO815" s="571"/>
    </row>
    <row r="816">
      <c r="G816" s="571"/>
      <c r="H816" s="571"/>
      <c r="I816" s="571"/>
      <c r="J816" s="571"/>
      <c r="K816" s="571"/>
      <c r="L816" s="571"/>
      <c r="M816" s="571"/>
      <c r="N816" s="571"/>
      <c r="O816" s="571"/>
      <c r="P816" s="571"/>
      <c r="Q816" s="571"/>
      <c r="R816" s="571"/>
      <c r="S816" s="571"/>
      <c r="T816" s="571"/>
      <c r="U816" s="571"/>
      <c r="V816" s="571"/>
      <c r="W816" s="571"/>
      <c r="X816" s="571"/>
      <c r="Y816" s="571"/>
      <c r="Z816" s="571"/>
      <c r="AA816" s="571"/>
      <c r="AB816" s="571"/>
      <c r="AC816" s="571"/>
      <c r="AD816" s="571"/>
      <c r="AE816" s="571"/>
      <c r="AF816" s="571"/>
      <c r="AG816" s="571"/>
      <c r="AH816" s="571"/>
      <c r="AI816" s="571"/>
      <c r="AJ816" s="571"/>
      <c r="AK816" s="571"/>
      <c r="AL816" s="571"/>
      <c r="AM816" s="571"/>
      <c r="AN816" s="571"/>
      <c r="AO816" s="571"/>
    </row>
    <row r="817">
      <c r="G817" s="571"/>
      <c r="H817" s="571"/>
      <c r="I817" s="571"/>
      <c r="J817" s="571"/>
      <c r="K817" s="571"/>
      <c r="L817" s="571"/>
      <c r="M817" s="571"/>
      <c r="N817" s="571"/>
      <c r="O817" s="571"/>
      <c r="P817" s="571"/>
      <c r="Q817" s="571"/>
      <c r="R817" s="571"/>
      <c r="S817" s="571"/>
      <c r="T817" s="571"/>
      <c r="U817" s="571"/>
      <c r="V817" s="571"/>
      <c r="W817" s="571"/>
      <c r="X817" s="571"/>
      <c r="Y817" s="571"/>
      <c r="Z817" s="571"/>
      <c r="AA817" s="571"/>
      <c r="AB817" s="571"/>
      <c r="AC817" s="571"/>
      <c r="AD817" s="571"/>
      <c r="AE817" s="571"/>
      <c r="AF817" s="571"/>
      <c r="AG817" s="571"/>
      <c r="AH817" s="571"/>
      <c r="AI817" s="571"/>
      <c r="AJ817" s="571"/>
      <c r="AK817" s="571"/>
      <c r="AL817" s="571"/>
      <c r="AM817" s="571"/>
      <c r="AN817" s="571"/>
      <c r="AO817" s="571"/>
    </row>
    <row r="818">
      <c r="G818" s="571"/>
      <c r="H818" s="571"/>
      <c r="I818" s="571"/>
      <c r="J818" s="571"/>
      <c r="K818" s="571"/>
      <c r="L818" s="571"/>
      <c r="M818" s="571"/>
      <c r="N818" s="571"/>
      <c r="O818" s="571"/>
      <c r="P818" s="571"/>
      <c r="Q818" s="571"/>
      <c r="R818" s="571"/>
      <c r="S818" s="571"/>
      <c r="T818" s="571"/>
      <c r="U818" s="571"/>
      <c r="V818" s="571"/>
      <c r="W818" s="571"/>
      <c r="X818" s="571"/>
      <c r="Y818" s="571"/>
      <c r="Z818" s="571"/>
      <c r="AA818" s="571"/>
      <c r="AB818" s="571"/>
      <c r="AC818" s="571"/>
      <c r="AD818" s="571"/>
      <c r="AE818" s="571"/>
      <c r="AF818" s="571"/>
      <c r="AG818" s="571"/>
      <c r="AH818" s="571"/>
      <c r="AI818" s="571"/>
      <c r="AJ818" s="571"/>
      <c r="AK818" s="571"/>
      <c r="AL818" s="571"/>
      <c r="AM818" s="571"/>
      <c r="AN818" s="571"/>
      <c r="AO818" s="571"/>
    </row>
    <row r="819">
      <c r="G819" s="571"/>
      <c r="H819" s="571"/>
      <c r="I819" s="571"/>
      <c r="J819" s="571"/>
      <c r="K819" s="571"/>
      <c r="L819" s="571"/>
      <c r="M819" s="571"/>
      <c r="N819" s="571"/>
      <c r="O819" s="571"/>
      <c r="P819" s="571"/>
      <c r="Q819" s="571"/>
      <c r="R819" s="571"/>
      <c r="S819" s="571"/>
      <c r="T819" s="571"/>
      <c r="U819" s="571"/>
      <c r="V819" s="571"/>
      <c r="W819" s="571"/>
      <c r="X819" s="571"/>
      <c r="Y819" s="571"/>
      <c r="Z819" s="571"/>
      <c r="AA819" s="571"/>
      <c r="AB819" s="571"/>
      <c r="AC819" s="571"/>
      <c r="AD819" s="571"/>
      <c r="AE819" s="571"/>
      <c r="AF819" s="571"/>
      <c r="AG819" s="571"/>
      <c r="AH819" s="571"/>
      <c r="AI819" s="571"/>
      <c r="AJ819" s="571"/>
      <c r="AK819" s="571"/>
      <c r="AL819" s="571"/>
      <c r="AM819" s="571"/>
      <c r="AN819" s="571"/>
      <c r="AO819" s="571"/>
    </row>
    <row r="820">
      <c r="G820" s="571"/>
      <c r="H820" s="571"/>
      <c r="I820" s="571"/>
      <c r="J820" s="571"/>
      <c r="K820" s="571"/>
      <c r="L820" s="571"/>
      <c r="M820" s="571"/>
      <c r="N820" s="571"/>
      <c r="O820" s="571"/>
      <c r="P820" s="571"/>
      <c r="Q820" s="571"/>
      <c r="R820" s="571"/>
      <c r="S820" s="571"/>
      <c r="T820" s="571"/>
      <c r="U820" s="571"/>
      <c r="V820" s="571"/>
      <c r="W820" s="571"/>
      <c r="X820" s="571"/>
      <c r="Y820" s="571"/>
      <c r="Z820" s="571"/>
      <c r="AA820" s="571"/>
      <c r="AB820" s="571"/>
      <c r="AC820" s="571"/>
      <c r="AD820" s="571"/>
      <c r="AE820" s="571"/>
      <c r="AF820" s="571"/>
      <c r="AG820" s="571"/>
      <c r="AH820" s="571"/>
      <c r="AI820" s="571"/>
      <c r="AJ820" s="571"/>
      <c r="AK820" s="571"/>
      <c r="AL820" s="571"/>
      <c r="AM820" s="571"/>
      <c r="AN820" s="571"/>
      <c r="AO820" s="571"/>
    </row>
    <row r="821">
      <c r="G821" s="571"/>
      <c r="H821" s="571"/>
      <c r="I821" s="571"/>
      <c r="J821" s="571"/>
      <c r="K821" s="571"/>
      <c r="L821" s="571"/>
      <c r="M821" s="571"/>
      <c r="N821" s="571"/>
      <c r="O821" s="571"/>
      <c r="P821" s="571"/>
      <c r="Q821" s="571"/>
      <c r="R821" s="571"/>
      <c r="S821" s="571"/>
      <c r="T821" s="571"/>
      <c r="U821" s="571"/>
      <c r="V821" s="571"/>
      <c r="W821" s="571"/>
      <c r="X821" s="571"/>
      <c r="Y821" s="571"/>
      <c r="Z821" s="571"/>
      <c r="AA821" s="571"/>
      <c r="AB821" s="571"/>
      <c r="AC821" s="571"/>
      <c r="AD821" s="571"/>
      <c r="AE821" s="571"/>
      <c r="AF821" s="571"/>
      <c r="AG821" s="571"/>
      <c r="AH821" s="571"/>
      <c r="AI821" s="571"/>
      <c r="AJ821" s="571"/>
      <c r="AK821" s="571"/>
      <c r="AL821" s="571"/>
      <c r="AM821" s="571"/>
      <c r="AN821" s="571"/>
      <c r="AO821" s="571"/>
    </row>
    <row r="822">
      <c r="G822" s="571"/>
      <c r="H822" s="571"/>
      <c r="I822" s="571"/>
      <c r="J822" s="571"/>
      <c r="K822" s="571"/>
      <c r="L822" s="571"/>
      <c r="M822" s="571"/>
      <c r="N822" s="571"/>
      <c r="O822" s="571"/>
      <c r="P822" s="571"/>
      <c r="Q822" s="571"/>
      <c r="R822" s="571"/>
      <c r="S822" s="571"/>
      <c r="T822" s="571"/>
      <c r="U822" s="571"/>
      <c r="V822" s="571"/>
      <c r="W822" s="571"/>
      <c r="X822" s="571"/>
      <c r="Y822" s="571"/>
      <c r="Z822" s="571"/>
      <c r="AA822" s="571"/>
      <c r="AB822" s="571"/>
      <c r="AC822" s="571"/>
      <c r="AD822" s="571"/>
      <c r="AE822" s="571"/>
      <c r="AF822" s="571"/>
      <c r="AG822" s="571"/>
      <c r="AH822" s="571"/>
      <c r="AI822" s="571"/>
      <c r="AJ822" s="571"/>
      <c r="AK822" s="571"/>
      <c r="AL822" s="571"/>
      <c r="AM822" s="571"/>
      <c r="AN822" s="571"/>
      <c r="AO822" s="571"/>
    </row>
    <row r="823">
      <c r="G823" s="571"/>
      <c r="H823" s="571"/>
      <c r="I823" s="571"/>
      <c r="J823" s="571"/>
      <c r="K823" s="571"/>
      <c r="L823" s="571"/>
      <c r="M823" s="571"/>
      <c r="N823" s="571"/>
      <c r="O823" s="571"/>
      <c r="P823" s="571"/>
      <c r="Q823" s="571"/>
      <c r="R823" s="571"/>
      <c r="S823" s="571"/>
      <c r="T823" s="571"/>
      <c r="U823" s="571"/>
      <c r="V823" s="571"/>
      <c r="W823" s="571"/>
      <c r="X823" s="571"/>
      <c r="Y823" s="571"/>
      <c r="Z823" s="571"/>
      <c r="AA823" s="571"/>
      <c r="AB823" s="571"/>
      <c r="AC823" s="571"/>
      <c r="AD823" s="571"/>
      <c r="AE823" s="571"/>
      <c r="AF823" s="571"/>
      <c r="AG823" s="571"/>
      <c r="AH823" s="571"/>
      <c r="AI823" s="571"/>
      <c r="AJ823" s="571"/>
      <c r="AK823" s="571"/>
      <c r="AL823" s="571"/>
      <c r="AM823" s="571"/>
      <c r="AN823" s="571"/>
      <c r="AO823" s="571"/>
    </row>
    <row r="824">
      <c r="G824" s="571"/>
      <c r="H824" s="571"/>
      <c r="I824" s="571"/>
      <c r="J824" s="571"/>
      <c r="K824" s="571"/>
      <c r="L824" s="571"/>
      <c r="M824" s="571"/>
      <c r="N824" s="571"/>
      <c r="O824" s="571"/>
      <c r="P824" s="571"/>
      <c r="Q824" s="571"/>
      <c r="R824" s="571"/>
      <c r="S824" s="571"/>
      <c r="T824" s="571"/>
      <c r="U824" s="571"/>
      <c r="V824" s="571"/>
      <c r="W824" s="571"/>
      <c r="X824" s="571"/>
      <c r="Y824" s="571"/>
      <c r="Z824" s="571"/>
      <c r="AA824" s="571"/>
      <c r="AB824" s="571"/>
      <c r="AC824" s="571"/>
      <c r="AD824" s="571"/>
      <c r="AE824" s="571"/>
      <c r="AF824" s="571"/>
      <c r="AG824" s="571"/>
      <c r="AH824" s="571"/>
      <c r="AI824" s="571"/>
      <c r="AJ824" s="571"/>
      <c r="AK824" s="571"/>
      <c r="AL824" s="571"/>
      <c r="AM824" s="571"/>
      <c r="AN824" s="571"/>
      <c r="AO824" s="571"/>
    </row>
    <row r="825">
      <c r="G825" s="571"/>
      <c r="H825" s="571"/>
      <c r="I825" s="571"/>
      <c r="J825" s="571"/>
      <c r="K825" s="571"/>
      <c r="L825" s="571"/>
      <c r="M825" s="571"/>
      <c r="N825" s="571"/>
      <c r="O825" s="571"/>
      <c r="P825" s="571"/>
      <c r="Q825" s="571"/>
      <c r="R825" s="571"/>
      <c r="S825" s="571"/>
      <c r="T825" s="571"/>
      <c r="U825" s="571"/>
      <c r="V825" s="571"/>
      <c r="W825" s="571"/>
      <c r="X825" s="571"/>
      <c r="Y825" s="571"/>
      <c r="Z825" s="571"/>
      <c r="AA825" s="571"/>
      <c r="AB825" s="571"/>
      <c r="AC825" s="571"/>
      <c r="AD825" s="571"/>
      <c r="AE825" s="571"/>
      <c r="AF825" s="571"/>
      <c r="AG825" s="571"/>
      <c r="AH825" s="571"/>
      <c r="AI825" s="571"/>
      <c r="AJ825" s="571"/>
      <c r="AK825" s="571"/>
      <c r="AL825" s="571"/>
      <c r="AM825" s="571"/>
      <c r="AN825" s="571"/>
      <c r="AO825" s="571"/>
    </row>
    <row r="826">
      <c r="G826" s="571"/>
      <c r="H826" s="571"/>
      <c r="I826" s="571"/>
      <c r="J826" s="571"/>
      <c r="K826" s="571"/>
      <c r="L826" s="571"/>
      <c r="M826" s="571"/>
      <c r="N826" s="571"/>
      <c r="O826" s="571"/>
      <c r="P826" s="571"/>
      <c r="Q826" s="571"/>
      <c r="R826" s="571"/>
      <c r="S826" s="571"/>
      <c r="T826" s="571"/>
      <c r="U826" s="571"/>
      <c r="V826" s="571"/>
      <c r="W826" s="571"/>
      <c r="X826" s="571"/>
      <c r="Y826" s="571"/>
      <c r="Z826" s="571"/>
      <c r="AA826" s="571"/>
      <c r="AB826" s="571"/>
      <c r="AC826" s="571"/>
      <c r="AD826" s="571"/>
      <c r="AE826" s="571"/>
      <c r="AF826" s="571"/>
      <c r="AG826" s="571"/>
      <c r="AH826" s="571"/>
      <c r="AI826" s="571"/>
      <c r="AJ826" s="571"/>
      <c r="AK826" s="571"/>
      <c r="AL826" s="571"/>
      <c r="AM826" s="571"/>
      <c r="AN826" s="571"/>
      <c r="AO826" s="571"/>
    </row>
    <row r="827">
      <c r="G827" s="571"/>
      <c r="H827" s="571"/>
      <c r="I827" s="571"/>
      <c r="J827" s="571"/>
      <c r="K827" s="571"/>
      <c r="L827" s="571"/>
      <c r="M827" s="571"/>
      <c r="N827" s="571"/>
      <c r="O827" s="571"/>
      <c r="P827" s="571"/>
      <c r="Q827" s="571"/>
      <c r="R827" s="571"/>
      <c r="S827" s="571"/>
      <c r="T827" s="571"/>
      <c r="U827" s="571"/>
      <c r="V827" s="571"/>
      <c r="W827" s="571"/>
      <c r="X827" s="571"/>
      <c r="Y827" s="571"/>
      <c r="Z827" s="571"/>
      <c r="AA827" s="571"/>
      <c r="AB827" s="571"/>
      <c r="AC827" s="571"/>
      <c r="AD827" s="571"/>
      <c r="AE827" s="571"/>
      <c r="AF827" s="571"/>
      <c r="AG827" s="571"/>
      <c r="AH827" s="571"/>
      <c r="AI827" s="571"/>
      <c r="AJ827" s="571"/>
      <c r="AK827" s="571"/>
      <c r="AL827" s="571"/>
      <c r="AM827" s="571"/>
      <c r="AN827" s="571"/>
      <c r="AO827" s="571"/>
    </row>
    <row r="828">
      <c r="G828" s="571"/>
      <c r="H828" s="571"/>
      <c r="I828" s="571"/>
      <c r="J828" s="571"/>
      <c r="K828" s="571"/>
      <c r="L828" s="571"/>
      <c r="M828" s="571"/>
      <c r="N828" s="571"/>
      <c r="O828" s="571"/>
      <c r="P828" s="571"/>
      <c r="Q828" s="571"/>
      <c r="R828" s="571"/>
      <c r="S828" s="571"/>
      <c r="T828" s="571"/>
      <c r="U828" s="571"/>
      <c r="V828" s="571"/>
      <c r="W828" s="571"/>
      <c r="X828" s="571"/>
      <c r="Y828" s="571"/>
      <c r="Z828" s="571"/>
      <c r="AA828" s="571"/>
      <c r="AB828" s="571"/>
      <c r="AC828" s="571"/>
      <c r="AD828" s="571"/>
      <c r="AE828" s="571"/>
      <c r="AF828" s="571"/>
      <c r="AG828" s="571"/>
      <c r="AH828" s="571"/>
      <c r="AI828" s="571"/>
      <c r="AJ828" s="571"/>
      <c r="AK828" s="571"/>
      <c r="AL828" s="571"/>
      <c r="AM828" s="571"/>
      <c r="AN828" s="571"/>
      <c r="AO828" s="571"/>
    </row>
    <row r="829">
      <c r="G829" s="571"/>
      <c r="H829" s="571"/>
      <c r="I829" s="571"/>
      <c r="J829" s="571"/>
      <c r="K829" s="571"/>
      <c r="L829" s="571"/>
      <c r="M829" s="571"/>
      <c r="N829" s="571"/>
      <c r="O829" s="571"/>
      <c r="P829" s="571"/>
      <c r="Q829" s="571"/>
      <c r="R829" s="571"/>
      <c r="S829" s="571"/>
      <c r="T829" s="571"/>
      <c r="U829" s="571"/>
      <c r="V829" s="571"/>
      <c r="W829" s="571"/>
      <c r="X829" s="571"/>
      <c r="Y829" s="571"/>
      <c r="Z829" s="571"/>
      <c r="AA829" s="571"/>
      <c r="AB829" s="571"/>
      <c r="AC829" s="571"/>
      <c r="AD829" s="571"/>
      <c r="AE829" s="571"/>
      <c r="AF829" s="571"/>
      <c r="AG829" s="571"/>
      <c r="AH829" s="571"/>
      <c r="AI829" s="571"/>
      <c r="AJ829" s="571"/>
      <c r="AK829" s="571"/>
      <c r="AL829" s="571"/>
      <c r="AM829" s="571"/>
      <c r="AN829" s="571"/>
      <c r="AO829" s="571"/>
    </row>
    <row r="830">
      <c r="G830" s="571"/>
      <c r="H830" s="571"/>
      <c r="I830" s="571"/>
      <c r="J830" s="571"/>
      <c r="K830" s="571"/>
      <c r="L830" s="571"/>
      <c r="M830" s="571"/>
      <c r="N830" s="571"/>
      <c r="O830" s="571"/>
      <c r="P830" s="571"/>
      <c r="Q830" s="571"/>
      <c r="R830" s="571"/>
      <c r="S830" s="571"/>
      <c r="T830" s="571"/>
      <c r="U830" s="571"/>
      <c r="V830" s="571"/>
      <c r="W830" s="571"/>
      <c r="X830" s="571"/>
      <c r="Y830" s="571"/>
      <c r="Z830" s="571"/>
      <c r="AA830" s="571"/>
      <c r="AB830" s="571"/>
      <c r="AC830" s="571"/>
      <c r="AD830" s="571"/>
      <c r="AE830" s="571"/>
      <c r="AF830" s="571"/>
      <c r="AG830" s="571"/>
      <c r="AH830" s="571"/>
      <c r="AI830" s="571"/>
      <c r="AJ830" s="571"/>
      <c r="AK830" s="571"/>
      <c r="AL830" s="571"/>
      <c r="AM830" s="571"/>
      <c r="AN830" s="571"/>
      <c r="AO830" s="571"/>
    </row>
    <row r="831">
      <c r="G831" s="571"/>
      <c r="H831" s="571"/>
      <c r="I831" s="571"/>
      <c r="J831" s="571"/>
      <c r="K831" s="571"/>
      <c r="L831" s="571"/>
      <c r="M831" s="571"/>
      <c r="N831" s="571"/>
      <c r="O831" s="571"/>
      <c r="P831" s="571"/>
      <c r="Q831" s="571"/>
      <c r="R831" s="571"/>
      <c r="S831" s="571"/>
      <c r="T831" s="571"/>
      <c r="U831" s="571"/>
      <c r="V831" s="571"/>
      <c r="W831" s="571"/>
      <c r="X831" s="571"/>
      <c r="Y831" s="571"/>
      <c r="Z831" s="571"/>
      <c r="AA831" s="571"/>
      <c r="AB831" s="571"/>
      <c r="AC831" s="571"/>
      <c r="AD831" s="571"/>
      <c r="AE831" s="571"/>
      <c r="AF831" s="571"/>
      <c r="AG831" s="571"/>
      <c r="AH831" s="571"/>
      <c r="AI831" s="571"/>
      <c r="AJ831" s="571"/>
      <c r="AK831" s="571"/>
      <c r="AL831" s="571"/>
      <c r="AM831" s="571"/>
      <c r="AN831" s="571"/>
      <c r="AO831" s="571"/>
    </row>
    <row r="832">
      <c r="G832" s="571"/>
      <c r="H832" s="571"/>
      <c r="I832" s="571"/>
      <c r="J832" s="571"/>
      <c r="K832" s="571"/>
      <c r="L832" s="571"/>
      <c r="M832" s="571"/>
      <c r="N832" s="571"/>
      <c r="O832" s="571"/>
      <c r="P832" s="571"/>
      <c r="Q832" s="571"/>
      <c r="R832" s="571"/>
      <c r="S832" s="571"/>
      <c r="T832" s="571"/>
      <c r="U832" s="571"/>
      <c r="V832" s="571"/>
      <c r="W832" s="571"/>
      <c r="X832" s="571"/>
      <c r="Y832" s="571"/>
      <c r="Z832" s="571"/>
      <c r="AA832" s="571"/>
      <c r="AB832" s="571"/>
      <c r="AC832" s="571"/>
      <c r="AD832" s="571"/>
      <c r="AE832" s="571"/>
      <c r="AF832" s="571"/>
      <c r="AG832" s="571"/>
      <c r="AH832" s="571"/>
      <c r="AI832" s="571"/>
      <c r="AJ832" s="571"/>
      <c r="AK832" s="571"/>
      <c r="AL832" s="571"/>
      <c r="AM832" s="571"/>
      <c r="AN832" s="571"/>
      <c r="AO832" s="571"/>
    </row>
    <row r="833">
      <c r="G833" s="571"/>
      <c r="H833" s="571"/>
      <c r="I833" s="571"/>
      <c r="J833" s="571"/>
      <c r="K833" s="571"/>
      <c r="L833" s="571"/>
      <c r="M833" s="571"/>
      <c r="N833" s="571"/>
      <c r="O833" s="571"/>
      <c r="P833" s="571"/>
      <c r="Q833" s="571"/>
      <c r="R833" s="571"/>
      <c r="S833" s="571"/>
      <c r="T833" s="571"/>
      <c r="U833" s="571"/>
      <c r="V833" s="571"/>
      <c r="W833" s="571"/>
      <c r="X833" s="571"/>
      <c r="Y833" s="571"/>
      <c r="Z833" s="571"/>
      <c r="AA833" s="571"/>
      <c r="AB833" s="571"/>
      <c r="AC833" s="571"/>
      <c r="AD833" s="571"/>
      <c r="AE833" s="571"/>
      <c r="AF833" s="571"/>
      <c r="AG833" s="571"/>
      <c r="AH833" s="571"/>
      <c r="AI833" s="571"/>
      <c r="AJ833" s="571"/>
      <c r="AK833" s="571"/>
      <c r="AL833" s="571"/>
      <c r="AM833" s="571"/>
      <c r="AN833" s="571"/>
      <c r="AO833" s="571"/>
    </row>
    <row r="834">
      <c r="G834" s="571"/>
      <c r="H834" s="571"/>
      <c r="I834" s="571"/>
      <c r="J834" s="571"/>
      <c r="K834" s="571"/>
      <c r="L834" s="571"/>
      <c r="M834" s="571"/>
      <c r="N834" s="571"/>
      <c r="O834" s="571"/>
      <c r="P834" s="571"/>
      <c r="Q834" s="571"/>
      <c r="R834" s="571"/>
      <c r="S834" s="571"/>
      <c r="T834" s="571"/>
      <c r="U834" s="571"/>
      <c r="V834" s="571"/>
      <c r="W834" s="571"/>
      <c r="X834" s="571"/>
      <c r="Y834" s="571"/>
      <c r="Z834" s="571"/>
      <c r="AA834" s="571"/>
      <c r="AB834" s="571"/>
      <c r="AC834" s="571"/>
      <c r="AD834" s="571"/>
      <c r="AE834" s="571"/>
      <c r="AF834" s="571"/>
      <c r="AG834" s="571"/>
      <c r="AH834" s="571"/>
      <c r="AI834" s="571"/>
      <c r="AJ834" s="571"/>
      <c r="AK834" s="571"/>
      <c r="AL834" s="571"/>
      <c r="AM834" s="571"/>
      <c r="AN834" s="571"/>
      <c r="AO834" s="571"/>
    </row>
    <row r="835">
      <c r="G835" s="571"/>
      <c r="H835" s="571"/>
      <c r="I835" s="571"/>
      <c r="J835" s="571"/>
      <c r="K835" s="571"/>
      <c r="L835" s="571"/>
      <c r="M835" s="571"/>
      <c r="N835" s="571"/>
      <c r="O835" s="571"/>
      <c r="P835" s="571"/>
      <c r="Q835" s="571"/>
      <c r="R835" s="571"/>
      <c r="S835" s="571"/>
      <c r="T835" s="571"/>
      <c r="U835" s="571"/>
      <c r="V835" s="571"/>
      <c r="W835" s="571"/>
      <c r="X835" s="571"/>
      <c r="Y835" s="571"/>
      <c r="Z835" s="571"/>
      <c r="AA835" s="571"/>
      <c r="AB835" s="571"/>
      <c r="AC835" s="571"/>
      <c r="AD835" s="571"/>
      <c r="AE835" s="571"/>
      <c r="AF835" s="571"/>
      <c r="AG835" s="571"/>
      <c r="AH835" s="571"/>
      <c r="AI835" s="571"/>
      <c r="AJ835" s="571"/>
      <c r="AK835" s="571"/>
      <c r="AL835" s="571"/>
      <c r="AM835" s="571"/>
      <c r="AN835" s="571"/>
      <c r="AO835" s="571"/>
    </row>
    <row r="836">
      <c r="G836" s="571"/>
      <c r="H836" s="571"/>
      <c r="I836" s="571"/>
      <c r="J836" s="571"/>
      <c r="K836" s="571"/>
      <c r="L836" s="571"/>
      <c r="M836" s="571"/>
      <c r="N836" s="571"/>
      <c r="O836" s="571"/>
      <c r="P836" s="571"/>
      <c r="Q836" s="571"/>
      <c r="R836" s="571"/>
      <c r="S836" s="571"/>
      <c r="T836" s="571"/>
      <c r="U836" s="571"/>
      <c r="V836" s="571"/>
      <c r="W836" s="571"/>
      <c r="X836" s="571"/>
      <c r="Y836" s="571"/>
      <c r="Z836" s="571"/>
      <c r="AA836" s="571"/>
      <c r="AB836" s="571"/>
      <c r="AC836" s="571"/>
      <c r="AD836" s="571"/>
      <c r="AE836" s="571"/>
      <c r="AF836" s="571"/>
      <c r="AG836" s="571"/>
      <c r="AH836" s="571"/>
      <c r="AI836" s="571"/>
      <c r="AJ836" s="571"/>
      <c r="AK836" s="571"/>
      <c r="AL836" s="571"/>
      <c r="AM836" s="571"/>
      <c r="AN836" s="571"/>
      <c r="AO836" s="571"/>
    </row>
    <row r="837">
      <c r="G837" s="571"/>
      <c r="H837" s="571"/>
      <c r="I837" s="571"/>
      <c r="J837" s="571"/>
      <c r="K837" s="571"/>
      <c r="L837" s="571"/>
      <c r="M837" s="571"/>
      <c r="N837" s="571"/>
      <c r="O837" s="571"/>
      <c r="P837" s="571"/>
      <c r="Q837" s="571"/>
      <c r="R837" s="571"/>
      <c r="S837" s="571"/>
      <c r="T837" s="571"/>
      <c r="U837" s="571"/>
      <c r="V837" s="571"/>
      <c r="W837" s="571"/>
      <c r="X837" s="571"/>
      <c r="Y837" s="571"/>
      <c r="Z837" s="571"/>
      <c r="AA837" s="571"/>
      <c r="AB837" s="571"/>
      <c r="AC837" s="571"/>
      <c r="AD837" s="571"/>
      <c r="AE837" s="571"/>
      <c r="AF837" s="571"/>
      <c r="AG837" s="571"/>
      <c r="AH837" s="571"/>
      <c r="AI837" s="571"/>
      <c r="AJ837" s="571"/>
      <c r="AK837" s="571"/>
      <c r="AL837" s="571"/>
      <c r="AM837" s="571"/>
      <c r="AN837" s="571"/>
      <c r="AO837" s="571"/>
    </row>
    <row r="838">
      <c r="G838" s="571"/>
      <c r="H838" s="571"/>
      <c r="I838" s="571"/>
      <c r="J838" s="571"/>
      <c r="K838" s="571"/>
      <c r="L838" s="571"/>
      <c r="M838" s="571"/>
      <c r="N838" s="571"/>
      <c r="O838" s="571"/>
      <c r="P838" s="571"/>
      <c r="Q838" s="571"/>
      <c r="R838" s="571"/>
      <c r="S838" s="571"/>
      <c r="T838" s="571"/>
      <c r="U838" s="571"/>
      <c r="V838" s="571"/>
      <c r="W838" s="571"/>
      <c r="X838" s="571"/>
      <c r="Y838" s="571"/>
      <c r="Z838" s="571"/>
      <c r="AA838" s="571"/>
      <c r="AB838" s="571"/>
      <c r="AC838" s="571"/>
      <c r="AD838" s="571"/>
      <c r="AE838" s="571"/>
      <c r="AF838" s="571"/>
      <c r="AG838" s="571"/>
      <c r="AH838" s="571"/>
      <c r="AI838" s="571"/>
      <c r="AJ838" s="571"/>
      <c r="AK838" s="571"/>
      <c r="AL838" s="571"/>
      <c r="AM838" s="571"/>
      <c r="AN838" s="571"/>
      <c r="AO838" s="571"/>
    </row>
    <row r="839">
      <c r="G839" s="571"/>
      <c r="H839" s="571"/>
      <c r="I839" s="571"/>
      <c r="J839" s="571"/>
      <c r="K839" s="571"/>
      <c r="L839" s="571"/>
      <c r="M839" s="571"/>
      <c r="N839" s="571"/>
      <c r="O839" s="571"/>
      <c r="P839" s="571"/>
      <c r="Q839" s="571"/>
      <c r="R839" s="571"/>
      <c r="S839" s="571"/>
      <c r="T839" s="571"/>
      <c r="U839" s="571"/>
      <c r="V839" s="571"/>
      <c r="W839" s="571"/>
      <c r="X839" s="571"/>
      <c r="Y839" s="571"/>
      <c r="Z839" s="571"/>
      <c r="AA839" s="571"/>
      <c r="AB839" s="571"/>
      <c r="AC839" s="571"/>
      <c r="AD839" s="571"/>
      <c r="AE839" s="571"/>
      <c r="AF839" s="571"/>
      <c r="AG839" s="571"/>
      <c r="AH839" s="571"/>
      <c r="AI839" s="571"/>
      <c r="AJ839" s="571"/>
      <c r="AK839" s="571"/>
      <c r="AL839" s="571"/>
      <c r="AM839" s="571"/>
      <c r="AN839" s="571"/>
      <c r="AO839" s="571"/>
    </row>
    <row r="840">
      <c r="G840" s="571"/>
      <c r="H840" s="571"/>
      <c r="I840" s="571"/>
      <c r="J840" s="571"/>
      <c r="K840" s="571"/>
      <c r="L840" s="571"/>
      <c r="M840" s="571"/>
      <c r="N840" s="571"/>
      <c r="O840" s="571"/>
      <c r="P840" s="571"/>
      <c r="Q840" s="571"/>
      <c r="R840" s="571"/>
      <c r="S840" s="571"/>
      <c r="T840" s="571"/>
      <c r="U840" s="571"/>
      <c r="V840" s="571"/>
      <c r="W840" s="571"/>
      <c r="X840" s="571"/>
      <c r="Y840" s="571"/>
      <c r="Z840" s="571"/>
      <c r="AA840" s="571"/>
      <c r="AB840" s="571"/>
      <c r="AC840" s="571"/>
      <c r="AD840" s="571"/>
      <c r="AE840" s="571"/>
      <c r="AF840" s="571"/>
      <c r="AG840" s="571"/>
      <c r="AH840" s="571"/>
      <c r="AI840" s="571"/>
      <c r="AJ840" s="571"/>
      <c r="AK840" s="571"/>
      <c r="AL840" s="571"/>
      <c r="AM840" s="571"/>
      <c r="AN840" s="571"/>
      <c r="AO840" s="571"/>
    </row>
    <row r="841">
      <c r="G841" s="571"/>
      <c r="H841" s="571"/>
      <c r="I841" s="571"/>
      <c r="J841" s="571"/>
      <c r="K841" s="571"/>
      <c r="L841" s="571"/>
      <c r="M841" s="571"/>
      <c r="N841" s="571"/>
      <c r="O841" s="571"/>
      <c r="P841" s="571"/>
      <c r="Q841" s="571"/>
      <c r="R841" s="571"/>
      <c r="S841" s="571"/>
      <c r="T841" s="571"/>
      <c r="U841" s="571"/>
      <c r="V841" s="571"/>
      <c r="W841" s="571"/>
      <c r="X841" s="571"/>
      <c r="Y841" s="571"/>
      <c r="Z841" s="571"/>
      <c r="AA841" s="571"/>
      <c r="AB841" s="571"/>
      <c r="AC841" s="571"/>
      <c r="AD841" s="571"/>
      <c r="AE841" s="571"/>
      <c r="AF841" s="571"/>
      <c r="AG841" s="571"/>
      <c r="AH841" s="571"/>
      <c r="AI841" s="571"/>
      <c r="AJ841" s="571"/>
      <c r="AK841" s="571"/>
      <c r="AL841" s="571"/>
      <c r="AM841" s="571"/>
      <c r="AN841" s="571"/>
      <c r="AO841" s="571"/>
    </row>
    <row r="842">
      <c r="G842" s="571"/>
      <c r="H842" s="571"/>
      <c r="I842" s="571"/>
      <c r="J842" s="571"/>
      <c r="K842" s="571"/>
      <c r="L842" s="571"/>
      <c r="M842" s="571"/>
      <c r="N842" s="571"/>
      <c r="O842" s="571"/>
      <c r="P842" s="571"/>
      <c r="Q842" s="571"/>
      <c r="R842" s="571"/>
      <c r="S842" s="571"/>
      <c r="T842" s="571"/>
      <c r="U842" s="571"/>
      <c r="V842" s="571"/>
      <c r="W842" s="571"/>
      <c r="X842" s="571"/>
      <c r="Y842" s="571"/>
      <c r="Z842" s="571"/>
      <c r="AA842" s="571"/>
      <c r="AB842" s="571"/>
      <c r="AC842" s="571"/>
      <c r="AD842" s="571"/>
      <c r="AE842" s="571"/>
      <c r="AF842" s="571"/>
      <c r="AG842" s="571"/>
      <c r="AH842" s="571"/>
      <c r="AI842" s="571"/>
      <c r="AJ842" s="571"/>
      <c r="AK842" s="571"/>
      <c r="AL842" s="571"/>
      <c r="AM842" s="571"/>
      <c r="AN842" s="571"/>
      <c r="AO842" s="571"/>
    </row>
    <row r="843">
      <c r="G843" s="571"/>
      <c r="H843" s="571"/>
      <c r="I843" s="571"/>
      <c r="J843" s="571"/>
      <c r="K843" s="571"/>
      <c r="L843" s="571"/>
      <c r="M843" s="571"/>
      <c r="N843" s="571"/>
      <c r="O843" s="571"/>
      <c r="P843" s="571"/>
      <c r="Q843" s="571"/>
      <c r="R843" s="571"/>
      <c r="S843" s="571"/>
      <c r="T843" s="571"/>
      <c r="U843" s="571"/>
      <c r="V843" s="571"/>
      <c r="W843" s="571"/>
      <c r="X843" s="571"/>
      <c r="Y843" s="571"/>
      <c r="Z843" s="571"/>
      <c r="AA843" s="571"/>
      <c r="AB843" s="571"/>
      <c r="AC843" s="571"/>
      <c r="AD843" s="571"/>
      <c r="AE843" s="571"/>
      <c r="AF843" s="571"/>
      <c r="AG843" s="571"/>
      <c r="AH843" s="571"/>
      <c r="AI843" s="571"/>
      <c r="AJ843" s="571"/>
      <c r="AK843" s="571"/>
      <c r="AL843" s="571"/>
      <c r="AM843" s="571"/>
      <c r="AN843" s="571"/>
      <c r="AO843" s="571"/>
    </row>
    <row r="844">
      <c r="G844" s="571"/>
      <c r="H844" s="571"/>
      <c r="I844" s="571"/>
      <c r="J844" s="571"/>
      <c r="K844" s="571"/>
      <c r="L844" s="571"/>
      <c r="M844" s="571"/>
      <c r="N844" s="571"/>
      <c r="O844" s="571"/>
      <c r="P844" s="571"/>
      <c r="Q844" s="571"/>
      <c r="R844" s="571"/>
      <c r="S844" s="571"/>
      <c r="T844" s="571"/>
      <c r="U844" s="571"/>
      <c r="V844" s="571"/>
      <c r="W844" s="571"/>
      <c r="X844" s="571"/>
      <c r="Y844" s="571"/>
      <c r="Z844" s="571"/>
      <c r="AA844" s="571"/>
      <c r="AB844" s="571"/>
      <c r="AC844" s="571"/>
      <c r="AD844" s="571"/>
      <c r="AE844" s="571"/>
      <c r="AF844" s="571"/>
      <c r="AG844" s="571"/>
      <c r="AH844" s="571"/>
      <c r="AI844" s="571"/>
      <c r="AJ844" s="571"/>
      <c r="AK844" s="571"/>
      <c r="AL844" s="571"/>
      <c r="AM844" s="571"/>
      <c r="AN844" s="571"/>
      <c r="AO844" s="571"/>
    </row>
    <row r="845">
      <c r="G845" s="571"/>
      <c r="H845" s="571"/>
      <c r="I845" s="571"/>
      <c r="J845" s="571"/>
      <c r="K845" s="571"/>
      <c r="L845" s="571"/>
      <c r="M845" s="571"/>
      <c r="N845" s="571"/>
      <c r="O845" s="571"/>
      <c r="P845" s="571"/>
      <c r="Q845" s="571"/>
      <c r="R845" s="571"/>
      <c r="S845" s="571"/>
      <c r="T845" s="571"/>
      <c r="U845" s="571"/>
      <c r="V845" s="571"/>
      <c r="W845" s="571"/>
      <c r="X845" s="571"/>
      <c r="Y845" s="571"/>
      <c r="Z845" s="571"/>
      <c r="AA845" s="571"/>
      <c r="AB845" s="571"/>
      <c r="AC845" s="571"/>
      <c r="AD845" s="571"/>
      <c r="AE845" s="571"/>
      <c r="AF845" s="571"/>
      <c r="AG845" s="571"/>
      <c r="AH845" s="571"/>
      <c r="AI845" s="571"/>
      <c r="AJ845" s="571"/>
      <c r="AK845" s="571"/>
      <c r="AL845" s="571"/>
      <c r="AM845" s="571"/>
      <c r="AN845" s="571"/>
      <c r="AO845" s="571"/>
    </row>
    <row r="846">
      <c r="G846" s="571"/>
      <c r="H846" s="571"/>
      <c r="I846" s="571"/>
      <c r="J846" s="571"/>
      <c r="K846" s="571"/>
      <c r="L846" s="571"/>
      <c r="M846" s="571"/>
      <c r="N846" s="571"/>
      <c r="O846" s="571"/>
      <c r="P846" s="571"/>
      <c r="Q846" s="571"/>
      <c r="R846" s="571"/>
      <c r="S846" s="571"/>
      <c r="T846" s="571"/>
      <c r="U846" s="571"/>
      <c r="V846" s="571"/>
      <c r="W846" s="571"/>
      <c r="X846" s="571"/>
      <c r="Y846" s="571"/>
      <c r="Z846" s="571"/>
      <c r="AA846" s="571"/>
      <c r="AB846" s="571"/>
      <c r="AC846" s="571"/>
      <c r="AD846" s="571"/>
      <c r="AE846" s="571"/>
      <c r="AF846" s="571"/>
      <c r="AG846" s="571"/>
      <c r="AH846" s="571"/>
      <c r="AI846" s="571"/>
      <c r="AJ846" s="571"/>
      <c r="AK846" s="571"/>
      <c r="AL846" s="571"/>
      <c r="AM846" s="571"/>
      <c r="AN846" s="571"/>
      <c r="AO846" s="571"/>
    </row>
    <row r="847">
      <c r="G847" s="571"/>
      <c r="H847" s="571"/>
      <c r="I847" s="571"/>
      <c r="J847" s="571"/>
      <c r="K847" s="571"/>
      <c r="L847" s="571"/>
      <c r="M847" s="571"/>
      <c r="N847" s="571"/>
      <c r="O847" s="571"/>
      <c r="P847" s="571"/>
      <c r="Q847" s="571"/>
      <c r="R847" s="571"/>
      <c r="S847" s="571"/>
      <c r="T847" s="571"/>
      <c r="U847" s="571"/>
      <c r="V847" s="571"/>
      <c r="W847" s="571"/>
      <c r="X847" s="571"/>
      <c r="Y847" s="571"/>
      <c r="Z847" s="571"/>
      <c r="AA847" s="571"/>
      <c r="AB847" s="571"/>
      <c r="AC847" s="571"/>
      <c r="AD847" s="571"/>
      <c r="AE847" s="571"/>
      <c r="AF847" s="571"/>
      <c r="AG847" s="571"/>
      <c r="AH847" s="571"/>
      <c r="AI847" s="571"/>
      <c r="AJ847" s="571"/>
      <c r="AK847" s="571"/>
      <c r="AL847" s="571"/>
      <c r="AM847" s="571"/>
      <c r="AN847" s="571"/>
      <c r="AO847" s="571"/>
    </row>
    <row r="848">
      <c r="G848" s="571"/>
      <c r="H848" s="571"/>
      <c r="I848" s="571"/>
      <c r="J848" s="571"/>
      <c r="K848" s="571"/>
      <c r="L848" s="571"/>
      <c r="M848" s="571"/>
      <c r="N848" s="571"/>
      <c r="O848" s="571"/>
      <c r="P848" s="571"/>
      <c r="Q848" s="571"/>
      <c r="R848" s="571"/>
      <c r="S848" s="571"/>
      <c r="T848" s="571"/>
      <c r="U848" s="571"/>
      <c r="V848" s="571"/>
      <c r="W848" s="571"/>
      <c r="X848" s="571"/>
      <c r="Y848" s="571"/>
      <c r="Z848" s="571"/>
      <c r="AA848" s="571"/>
      <c r="AB848" s="571"/>
      <c r="AC848" s="571"/>
      <c r="AD848" s="571"/>
      <c r="AE848" s="571"/>
      <c r="AF848" s="571"/>
      <c r="AG848" s="571"/>
      <c r="AH848" s="571"/>
      <c r="AI848" s="571"/>
      <c r="AJ848" s="571"/>
      <c r="AK848" s="571"/>
      <c r="AL848" s="571"/>
      <c r="AM848" s="571"/>
      <c r="AN848" s="571"/>
      <c r="AO848" s="571"/>
    </row>
    <row r="849">
      <c r="G849" s="571"/>
      <c r="H849" s="571"/>
      <c r="I849" s="571"/>
      <c r="J849" s="571"/>
      <c r="K849" s="571"/>
      <c r="L849" s="571"/>
      <c r="M849" s="571"/>
      <c r="N849" s="571"/>
      <c r="O849" s="571"/>
      <c r="P849" s="571"/>
      <c r="Q849" s="571"/>
      <c r="R849" s="571"/>
      <c r="S849" s="571"/>
      <c r="T849" s="571"/>
      <c r="U849" s="571"/>
      <c r="V849" s="571"/>
      <c r="W849" s="571"/>
      <c r="X849" s="571"/>
      <c r="Y849" s="571"/>
      <c r="Z849" s="571"/>
      <c r="AA849" s="571"/>
      <c r="AB849" s="571"/>
      <c r="AC849" s="571"/>
      <c r="AD849" s="571"/>
      <c r="AE849" s="571"/>
      <c r="AF849" s="571"/>
      <c r="AG849" s="571"/>
      <c r="AH849" s="571"/>
      <c r="AI849" s="571"/>
      <c r="AJ849" s="571"/>
      <c r="AK849" s="571"/>
      <c r="AL849" s="571"/>
      <c r="AM849" s="571"/>
      <c r="AN849" s="571"/>
      <c r="AO849" s="571"/>
    </row>
    <row r="850">
      <c r="G850" s="571"/>
      <c r="H850" s="571"/>
      <c r="I850" s="571"/>
      <c r="J850" s="571"/>
      <c r="K850" s="571"/>
      <c r="L850" s="571"/>
      <c r="M850" s="571"/>
      <c r="N850" s="571"/>
      <c r="O850" s="571"/>
      <c r="P850" s="571"/>
      <c r="Q850" s="571"/>
      <c r="R850" s="571"/>
      <c r="S850" s="571"/>
      <c r="T850" s="571"/>
      <c r="U850" s="571"/>
      <c r="V850" s="571"/>
      <c r="W850" s="571"/>
      <c r="X850" s="571"/>
      <c r="Y850" s="571"/>
      <c r="Z850" s="571"/>
      <c r="AA850" s="571"/>
      <c r="AB850" s="571"/>
      <c r="AC850" s="571"/>
      <c r="AD850" s="571"/>
      <c r="AE850" s="571"/>
      <c r="AF850" s="571"/>
      <c r="AG850" s="571"/>
      <c r="AH850" s="571"/>
      <c r="AI850" s="571"/>
      <c r="AJ850" s="571"/>
      <c r="AK850" s="571"/>
      <c r="AL850" s="571"/>
      <c r="AM850" s="571"/>
      <c r="AN850" s="571"/>
      <c r="AO850" s="571"/>
    </row>
    <row r="851">
      <c r="G851" s="571"/>
      <c r="H851" s="571"/>
      <c r="I851" s="571"/>
      <c r="J851" s="571"/>
      <c r="K851" s="571"/>
      <c r="L851" s="571"/>
      <c r="M851" s="571"/>
      <c r="N851" s="571"/>
      <c r="O851" s="571"/>
      <c r="P851" s="571"/>
      <c r="Q851" s="571"/>
      <c r="R851" s="571"/>
      <c r="S851" s="571"/>
      <c r="T851" s="571"/>
      <c r="U851" s="571"/>
      <c r="V851" s="571"/>
      <c r="W851" s="571"/>
      <c r="X851" s="571"/>
      <c r="Y851" s="571"/>
      <c r="Z851" s="571"/>
      <c r="AA851" s="571"/>
      <c r="AB851" s="571"/>
      <c r="AC851" s="571"/>
      <c r="AD851" s="571"/>
      <c r="AE851" s="571"/>
      <c r="AF851" s="571"/>
      <c r="AG851" s="571"/>
      <c r="AH851" s="571"/>
      <c r="AI851" s="571"/>
      <c r="AJ851" s="571"/>
      <c r="AK851" s="571"/>
      <c r="AL851" s="571"/>
      <c r="AM851" s="571"/>
      <c r="AN851" s="571"/>
      <c r="AO851" s="571"/>
    </row>
    <row r="852">
      <c r="G852" s="571"/>
      <c r="H852" s="571"/>
      <c r="I852" s="571"/>
      <c r="J852" s="571"/>
      <c r="K852" s="571"/>
      <c r="L852" s="571"/>
      <c r="M852" s="571"/>
      <c r="N852" s="571"/>
      <c r="O852" s="571"/>
      <c r="P852" s="571"/>
      <c r="Q852" s="571"/>
      <c r="R852" s="571"/>
      <c r="S852" s="571"/>
      <c r="T852" s="571"/>
      <c r="U852" s="571"/>
      <c r="V852" s="571"/>
      <c r="W852" s="571"/>
      <c r="X852" s="571"/>
      <c r="Y852" s="571"/>
      <c r="Z852" s="571"/>
      <c r="AA852" s="571"/>
      <c r="AB852" s="571"/>
      <c r="AC852" s="571"/>
      <c r="AD852" s="571"/>
      <c r="AE852" s="571"/>
      <c r="AF852" s="571"/>
      <c r="AG852" s="571"/>
      <c r="AH852" s="571"/>
      <c r="AI852" s="571"/>
      <c r="AJ852" s="571"/>
      <c r="AK852" s="571"/>
      <c r="AL852" s="571"/>
      <c r="AM852" s="571"/>
      <c r="AN852" s="571"/>
      <c r="AO852" s="571"/>
    </row>
    <row r="853">
      <c r="G853" s="571"/>
      <c r="H853" s="571"/>
      <c r="I853" s="571"/>
      <c r="J853" s="571"/>
      <c r="K853" s="571"/>
      <c r="L853" s="571"/>
      <c r="M853" s="571"/>
      <c r="N853" s="571"/>
      <c r="O853" s="571"/>
      <c r="P853" s="571"/>
      <c r="Q853" s="571"/>
      <c r="R853" s="571"/>
      <c r="S853" s="571"/>
      <c r="T853" s="571"/>
      <c r="U853" s="571"/>
      <c r="V853" s="571"/>
      <c r="W853" s="571"/>
      <c r="X853" s="571"/>
      <c r="Y853" s="571"/>
      <c r="Z853" s="571"/>
      <c r="AA853" s="571"/>
      <c r="AB853" s="571"/>
      <c r="AC853" s="571"/>
      <c r="AD853" s="571"/>
      <c r="AE853" s="571"/>
      <c r="AF853" s="571"/>
      <c r="AG853" s="571"/>
      <c r="AH853" s="571"/>
      <c r="AI853" s="571"/>
      <c r="AJ853" s="571"/>
      <c r="AK853" s="571"/>
      <c r="AL853" s="571"/>
      <c r="AM853" s="571"/>
      <c r="AN853" s="571"/>
      <c r="AO853" s="571"/>
    </row>
    <row r="854">
      <c r="G854" s="571"/>
      <c r="H854" s="571"/>
      <c r="I854" s="571"/>
      <c r="J854" s="571"/>
      <c r="K854" s="571"/>
      <c r="L854" s="571"/>
      <c r="M854" s="571"/>
      <c r="N854" s="571"/>
      <c r="O854" s="571"/>
      <c r="P854" s="571"/>
      <c r="Q854" s="571"/>
      <c r="R854" s="571"/>
      <c r="S854" s="571"/>
      <c r="T854" s="571"/>
      <c r="U854" s="571"/>
      <c r="V854" s="571"/>
      <c r="W854" s="571"/>
      <c r="X854" s="571"/>
      <c r="Y854" s="571"/>
      <c r="Z854" s="571"/>
      <c r="AA854" s="571"/>
      <c r="AB854" s="571"/>
      <c r="AC854" s="571"/>
      <c r="AD854" s="571"/>
      <c r="AE854" s="571"/>
      <c r="AF854" s="571"/>
      <c r="AG854" s="571"/>
      <c r="AH854" s="571"/>
      <c r="AI854" s="571"/>
      <c r="AJ854" s="571"/>
      <c r="AK854" s="571"/>
      <c r="AL854" s="571"/>
      <c r="AM854" s="571"/>
      <c r="AN854" s="571"/>
      <c r="AO854" s="571"/>
    </row>
    <row r="855">
      <c r="G855" s="571"/>
      <c r="H855" s="571"/>
      <c r="I855" s="571"/>
      <c r="J855" s="571"/>
      <c r="K855" s="571"/>
      <c r="L855" s="571"/>
      <c r="M855" s="571"/>
      <c r="N855" s="571"/>
      <c r="O855" s="571"/>
      <c r="P855" s="571"/>
      <c r="Q855" s="571"/>
      <c r="R855" s="571"/>
      <c r="S855" s="571"/>
      <c r="T855" s="571"/>
      <c r="U855" s="571"/>
      <c r="V855" s="571"/>
      <c r="W855" s="571"/>
      <c r="X855" s="571"/>
      <c r="Y855" s="571"/>
      <c r="Z855" s="571"/>
      <c r="AA855" s="571"/>
      <c r="AB855" s="571"/>
      <c r="AC855" s="571"/>
      <c r="AD855" s="571"/>
      <c r="AE855" s="571"/>
      <c r="AF855" s="571"/>
      <c r="AG855" s="571"/>
      <c r="AH855" s="571"/>
      <c r="AI855" s="571"/>
      <c r="AJ855" s="571"/>
      <c r="AK855" s="571"/>
      <c r="AL855" s="571"/>
      <c r="AM855" s="571"/>
      <c r="AN855" s="571"/>
      <c r="AO855" s="571"/>
    </row>
    <row r="856">
      <c r="G856" s="571"/>
      <c r="H856" s="571"/>
      <c r="I856" s="571"/>
      <c r="J856" s="571"/>
      <c r="K856" s="571"/>
      <c r="L856" s="571"/>
      <c r="M856" s="571"/>
      <c r="N856" s="571"/>
      <c r="O856" s="571"/>
      <c r="P856" s="571"/>
      <c r="Q856" s="571"/>
      <c r="R856" s="571"/>
      <c r="S856" s="571"/>
      <c r="T856" s="571"/>
      <c r="U856" s="571"/>
      <c r="V856" s="571"/>
      <c r="W856" s="571"/>
      <c r="X856" s="571"/>
      <c r="Y856" s="571"/>
      <c r="Z856" s="571"/>
      <c r="AA856" s="571"/>
      <c r="AB856" s="571"/>
      <c r="AC856" s="571"/>
      <c r="AD856" s="571"/>
      <c r="AE856" s="571"/>
      <c r="AF856" s="571"/>
      <c r="AG856" s="571"/>
      <c r="AH856" s="571"/>
      <c r="AI856" s="571"/>
      <c r="AJ856" s="571"/>
      <c r="AK856" s="571"/>
      <c r="AL856" s="571"/>
      <c r="AM856" s="571"/>
      <c r="AN856" s="571"/>
      <c r="AO856" s="571"/>
    </row>
    <row r="857">
      <c r="G857" s="571"/>
      <c r="H857" s="571"/>
      <c r="I857" s="571"/>
      <c r="J857" s="571"/>
      <c r="K857" s="571"/>
      <c r="L857" s="571"/>
      <c r="M857" s="571"/>
      <c r="N857" s="571"/>
      <c r="O857" s="571"/>
      <c r="P857" s="571"/>
      <c r="Q857" s="571"/>
      <c r="R857" s="571"/>
      <c r="S857" s="571"/>
      <c r="T857" s="571"/>
      <c r="U857" s="571"/>
      <c r="V857" s="571"/>
      <c r="W857" s="571"/>
      <c r="X857" s="571"/>
      <c r="Y857" s="571"/>
      <c r="Z857" s="571"/>
      <c r="AA857" s="571"/>
      <c r="AB857" s="571"/>
      <c r="AC857" s="571"/>
      <c r="AD857" s="571"/>
      <c r="AE857" s="571"/>
      <c r="AF857" s="571"/>
      <c r="AG857" s="571"/>
      <c r="AH857" s="571"/>
      <c r="AI857" s="571"/>
      <c r="AJ857" s="571"/>
      <c r="AK857" s="571"/>
      <c r="AL857" s="571"/>
      <c r="AM857" s="571"/>
      <c r="AN857" s="571"/>
      <c r="AO857" s="571"/>
    </row>
    <row r="858">
      <c r="G858" s="571"/>
      <c r="H858" s="571"/>
      <c r="I858" s="571"/>
      <c r="J858" s="571"/>
      <c r="K858" s="571"/>
      <c r="L858" s="571"/>
      <c r="M858" s="571"/>
      <c r="N858" s="571"/>
      <c r="O858" s="571"/>
      <c r="P858" s="571"/>
      <c r="Q858" s="571"/>
      <c r="R858" s="571"/>
      <c r="S858" s="571"/>
      <c r="T858" s="571"/>
      <c r="U858" s="571"/>
      <c r="V858" s="571"/>
      <c r="W858" s="571"/>
      <c r="X858" s="571"/>
      <c r="Y858" s="571"/>
      <c r="Z858" s="571"/>
      <c r="AA858" s="571"/>
      <c r="AB858" s="571"/>
      <c r="AC858" s="571"/>
      <c r="AD858" s="571"/>
      <c r="AE858" s="571"/>
      <c r="AF858" s="571"/>
      <c r="AG858" s="571"/>
      <c r="AH858" s="571"/>
      <c r="AI858" s="571"/>
      <c r="AJ858" s="571"/>
      <c r="AK858" s="571"/>
      <c r="AL858" s="571"/>
      <c r="AM858" s="571"/>
      <c r="AN858" s="571"/>
      <c r="AO858" s="571"/>
    </row>
    <row r="859">
      <c r="G859" s="571"/>
      <c r="H859" s="571"/>
      <c r="I859" s="571"/>
      <c r="J859" s="571"/>
      <c r="K859" s="571"/>
      <c r="L859" s="571"/>
      <c r="M859" s="571"/>
      <c r="N859" s="571"/>
      <c r="O859" s="571"/>
      <c r="P859" s="571"/>
      <c r="Q859" s="571"/>
      <c r="R859" s="571"/>
      <c r="S859" s="571"/>
      <c r="T859" s="571"/>
      <c r="U859" s="571"/>
      <c r="V859" s="571"/>
      <c r="W859" s="571"/>
      <c r="X859" s="571"/>
      <c r="Y859" s="571"/>
      <c r="Z859" s="571"/>
      <c r="AA859" s="571"/>
      <c r="AB859" s="571"/>
      <c r="AC859" s="571"/>
      <c r="AD859" s="571"/>
      <c r="AE859" s="571"/>
      <c r="AF859" s="571"/>
      <c r="AG859" s="571"/>
      <c r="AH859" s="571"/>
      <c r="AI859" s="571"/>
      <c r="AJ859" s="571"/>
      <c r="AK859" s="571"/>
      <c r="AL859" s="571"/>
      <c r="AM859" s="571"/>
      <c r="AN859" s="571"/>
      <c r="AO859" s="571"/>
    </row>
    <row r="860">
      <c r="G860" s="571"/>
      <c r="H860" s="571"/>
      <c r="I860" s="571"/>
      <c r="J860" s="571"/>
      <c r="K860" s="571"/>
      <c r="L860" s="571"/>
      <c r="M860" s="571"/>
      <c r="N860" s="571"/>
      <c r="O860" s="571"/>
      <c r="P860" s="571"/>
      <c r="Q860" s="571"/>
      <c r="R860" s="571"/>
      <c r="S860" s="571"/>
      <c r="T860" s="571"/>
      <c r="U860" s="571"/>
      <c r="V860" s="571"/>
      <c r="W860" s="571"/>
      <c r="X860" s="571"/>
      <c r="Y860" s="571"/>
      <c r="Z860" s="571"/>
      <c r="AA860" s="571"/>
      <c r="AB860" s="571"/>
      <c r="AC860" s="571"/>
      <c r="AD860" s="571"/>
      <c r="AE860" s="571"/>
      <c r="AF860" s="571"/>
      <c r="AG860" s="571"/>
      <c r="AH860" s="571"/>
      <c r="AI860" s="571"/>
      <c r="AJ860" s="571"/>
      <c r="AK860" s="571"/>
      <c r="AL860" s="571"/>
      <c r="AM860" s="571"/>
      <c r="AN860" s="571"/>
      <c r="AO860" s="571"/>
    </row>
    <row r="861">
      <c r="G861" s="571"/>
      <c r="H861" s="571"/>
      <c r="I861" s="571"/>
      <c r="J861" s="571"/>
      <c r="K861" s="571"/>
      <c r="L861" s="571"/>
      <c r="M861" s="571"/>
      <c r="N861" s="571"/>
      <c r="O861" s="571"/>
      <c r="P861" s="571"/>
      <c r="Q861" s="571"/>
      <c r="R861" s="571"/>
      <c r="S861" s="571"/>
      <c r="T861" s="571"/>
      <c r="U861" s="571"/>
      <c r="V861" s="571"/>
      <c r="W861" s="571"/>
      <c r="X861" s="571"/>
      <c r="Y861" s="571"/>
      <c r="Z861" s="571"/>
      <c r="AA861" s="571"/>
      <c r="AB861" s="571"/>
      <c r="AC861" s="571"/>
      <c r="AD861" s="571"/>
      <c r="AE861" s="571"/>
      <c r="AF861" s="571"/>
      <c r="AG861" s="571"/>
      <c r="AH861" s="571"/>
      <c r="AI861" s="571"/>
      <c r="AJ861" s="571"/>
      <c r="AK861" s="571"/>
      <c r="AL861" s="571"/>
      <c r="AM861" s="571"/>
      <c r="AN861" s="571"/>
      <c r="AO861" s="571"/>
    </row>
    <row r="862">
      <c r="G862" s="571"/>
      <c r="H862" s="571"/>
      <c r="I862" s="571"/>
      <c r="J862" s="571"/>
      <c r="K862" s="571"/>
      <c r="L862" s="571"/>
      <c r="M862" s="571"/>
      <c r="N862" s="571"/>
      <c r="O862" s="571"/>
      <c r="P862" s="571"/>
      <c r="Q862" s="571"/>
      <c r="R862" s="571"/>
      <c r="S862" s="571"/>
      <c r="T862" s="571"/>
      <c r="U862" s="571"/>
      <c r="V862" s="571"/>
      <c r="W862" s="571"/>
      <c r="X862" s="571"/>
      <c r="Y862" s="571"/>
      <c r="Z862" s="571"/>
      <c r="AA862" s="571"/>
      <c r="AB862" s="571"/>
      <c r="AC862" s="571"/>
      <c r="AD862" s="571"/>
      <c r="AE862" s="571"/>
      <c r="AF862" s="571"/>
      <c r="AG862" s="571"/>
      <c r="AH862" s="571"/>
      <c r="AI862" s="571"/>
      <c r="AJ862" s="571"/>
      <c r="AK862" s="571"/>
      <c r="AL862" s="571"/>
      <c r="AM862" s="571"/>
      <c r="AN862" s="571"/>
      <c r="AO862" s="571"/>
    </row>
    <row r="863">
      <c r="G863" s="571"/>
      <c r="H863" s="571"/>
      <c r="I863" s="571"/>
      <c r="J863" s="571"/>
      <c r="K863" s="571"/>
      <c r="L863" s="571"/>
      <c r="M863" s="571"/>
      <c r="N863" s="571"/>
      <c r="O863" s="571"/>
      <c r="P863" s="571"/>
      <c r="Q863" s="571"/>
      <c r="R863" s="571"/>
      <c r="S863" s="571"/>
      <c r="T863" s="571"/>
      <c r="U863" s="571"/>
      <c r="V863" s="571"/>
      <c r="W863" s="571"/>
      <c r="X863" s="571"/>
      <c r="Y863" s="571"/>
      <c r="Z863" s="571"/>
      <c r="AA863" s="571"/>
      <c r="AB863" s="571"/>
      <c r="AC863" s="571"/>
      <c r="AD863" s="571"/>
      <c r="AE863" s="571"/>
      <c r="AF863" s="571"/>
      <c r="AG863" s="571"/>
      <c r="AH863" s="571"/>
      <c r="AI863" s="571"/>
      <c r="AJ863" s="571"/>
      <c r="AK863" s="571"/>
      <c r="AL863" s="571"/>
      <c r="AM863" s="571"/>
      <c r="AN863" s="571"/>
      <c r="AO863" s="571"/>
    </row>
    <row r="864">
      <c r="G864" s="571"/>
      <c r="H864" s="571"/>
      <c r="I864" s="571"/>
      <c r="J864" s="571"/>
      <c r="K864" s="571"/>
      <c r="L864" s="571"/>
      <c r="M864" s="571"/>
      <c r="N864" s="571"/>
      <c r="O864" s="571"/>
      <c r="P864" s="571"/>
      <c r="Q864" s="571"/>
      <c r="R864" s="571"/>
      <c r="S864" s="571"/>
      <c r="T864" s="571"/>
      <c r="U864" s="571"/>
      <c r="V864" s="571"/>
      <c r="W864" s="571"/>
      <c r="X864" s="571"/>
      <c r="Y864" s="571"/>
      <c r="Z864" s="571"/>
      <c r="AA864" s="571"/>
      <c r="AB864" s="571"/>
      <c r="AC864" s="571"/>
      <c r="AD864" s="571"/>
      <c r="AE864" s="571"/>
      <c r="AF864" s="571"/>
      <c r="AG864" s="571"/>
      <c r="AH864" s="571"/>
      <c r="AI864" s="571"/>
      <c r="AJ864" s="571"/>
      <c r="AK864" s="571"/>
      <c r="AL864" s="571"/>
      <c r="AM864" s="571"/>
      <c r="AN864" s="571"/>
      <c r="AO864" s="571"/>
    </row>
    <row r="865">
      <c r="G865" s="571"/>
      <c r="H865" s="571"/>
      <c r="I865" s="571"/>
      <c r="J865" s="571"/>
      <c r="K865" s="571"/>
      <c r="L865" s="571"/>
      <c r="M865" s="571"/>
      <c r="N865" s="571"/>
      <c r="O865" s="571"/>
      <c r="P865" s="571"/>
      <c r="Q865" s="571"/>
      <c r="R865" s="571"/>
      <c r="S865" s="571"/>
      <c r="T865" s="571"/>
      <c r="U865" s="571"/>
      <c r="V865" s="571"/>
      <c r="W865" s="571"/>
      <c r="X865" s="571"/>
      <c r="Y865" s="571"/>
      <c r="Z865" s="571"/>
      <c r="AA865" s="571"/>
      <c r="AB865" s="571"/>
      <c r="AC865" s="571"/>
      <c r="AD865" s="571"/>
      <c r="AE865" s="571"/>
      <c r="AF865" s="571"/>
      <c r="AG865" s="571"/>
      <c r="AH865" s="571"/>
      <c r="AI865" s="571"/>
      <c r="AJ865" s="571"/>
      <c r="AK865" s="571"/>
      <c r="AL865" s="571"/>
      <c r="AM865" s="571"/>
      <c r="AN865" s="571"/>
      <c r="AO865" s="571"/>
    </row>
    <row r="866">
      <c r="G866" s="571"/>
      <c r="H866" s="571"/>
      <c r="I866" s="571"/>
      <c r="J866" s="571"/>
      <c r="K866" s="571"/>
      <c r="L866" s="571"/>
      <c r="M866" s="571"/>
      <c r="N866" s="571"/>
      <c r="O866" s="571"/>
      <c r="P866" s="571"/>
      <c r="Q866" s="571"/>
      <c r="R866" s="571"/>
      <c r="S866" s="571"/>
      <c r="T866" s="571"/>
      <c r="U866" s="571"/>
      <c r="V866" s="571"/>
      <c r="W866" s="571"/>
      <c r="X866" s="571"/>
      <c r="Y866" s="571"/>
      <c r="Z866" s="571"/>
      <c r="AA866" s="571"/>
      <c r="AB866" s="571"/>
      <c r="AC866" s="571"/>
      <c r="AD866" s="571"/>
      <c r="AE866" s="571"/>
      <c r="AF866" s="571"/>
      <c r="AG866" s="571"/>
      <c r="AH866" s="571"/>
      <c r="AI866" s="571"/>
      <c r="AJ866" s="571"/>
      <c r="AK866" s="571"/>
      <c r="AL866" s="571"/>
      <c r="AM866" s="571"/>
      <c r="AN866" s="571"/>
      <c r="AO866" s="571"/>
    </row>
    <row r="867">
      <c r="G867" s="571"/>
      <c r="H867" s="571"/>
      <c r="I867" s="571"/>
      <c r="J867" s="571"/>
      <c r="K867" s="571"/>
      <c r="L867" s="571"/>
      <c r="M867" s="571"/>
      <c r="N867" s="571"/>
      <c r="O867" s="571"/>
      <c r="P867" s="571"/>
      <c r="Q867" s="571"/>
      <c r="R867" s="571"/>
      <c r="S867" s="571"/>
      <c r="T867" s="571"/>
      <c r="U867" s="571"/>
      <c r="V867" s="571"/>
      <c r="W867" s="571"/>
      <c r="X867" s="571"/>
      <c r="Y867" s="571"/>
      <c r="Z867" s="571"/>
      <c r="AA867" s="571"/>
      <c r="AB867" s="571"/>
      <c r="AC867" s="571"/>
      <c r="AD867" s="571"/>
      <c r="AE867" s="571"/>
      <c r="AF867" s="571"/>
      <c r="AG867" s="571"/>
      <c r="AH867" s="571"/>
      <c r="AI867" s="571"/>
      <c r="AJ867" s="571"/>
      <c r="AK867" s="571"/>
      <c r="AL867" s="571"/>
      <c r="AM867" s="571"/>
      <c r="AN867" s="571"/>
      <c r="AO867" s="571"/>
    </row>
    <row r="868">
      <c r="G868" s="571"/>
      <c r="H868" s="571"/>
      <c r="I868" s="571"/>
      <c r="J868" s="571"/>
      <c r="K868" s="571"/>
      <c r="L868" s="571"/>
      <c r="M868" s="571"/>
      <c r="N868" s="571"/>
      <c r="O868" s="571"/>
      <c r="P868" s="571"/>
      <c r="Q868" s="571"/>
      <c r="R868" s="571"/>
      <c r="S868" s="571"/>
      <c r="T868" s="571"/>
      <c r="U868" s="571"/>
      <c r="V868" s="571"/>
      <c r="W868" s="571"/>
      <c r="X868" s="571"/>
      <c r="Y868" s="571"/>
      <c r="Z868" s="571"/>
      <c r="AA868" s="571"/>
      <c r="AB868" s="571"/>
      <c r="AC868" s="571"/>
      <c r="AD868" s="571"/>
      <c r="AE868" s="571"/>
      <c r="AF868" s="571"/>
      <c r="AG868" s="571"/>
      <c r="AH868" s="571"/>
      <c r="AI868" s="571"/>
      <c r="AJ868" s="571"/>
      <c r="AK868" s="571"/>
      <c r="AL868" s="571"/>
      <c r="AM868" s="571"/>
      <c r="AN868" s="571"/>
      <c r="AO868" s="571"/>
    </row>
    <row r="869">
      <c r="G869" s="571"/>
      <c r="H869" s="571"/>
      <c r="I869" s="571"/>
      <c r="J869" s="571"/>
      <c r="K869" s="571"/>
      <c r="L869" s="571"/>
      <c r="M869" s="571"/>
      <c r="N869" s="571"/>
      <c r="O869" s="571"/>
      <c r="P869" s="571"/>
      <c r="Q869" s="571"/>
      <c r="R869" s="571"/>
      <c r="S869" s="571"/>
      <c r="T869" s="571"/>
      <c r="U869" s="571"/>
      <c r="V869" s="571"/>
      <c r="W869" s="571"/>
      <c r="X869" s="571"/>
      <c r="Y869" s="571"/>
      <c r="Z869" s="571"/>
      <c r="AA869" s="571"/>
      <c r="AB869" s="571"/>
      <c r="AC869" s="571"/>
      <c r="AD869" s="571"/>
      <c r="AE869" s="571"/>
      <c r="AF869" s="571"/>
      <c r="AG869" s="571"/>
      <c r="AH869" s="571"/>
      <c r="AI869" s="571"/>
      <c r="AJ869" s="571"/>
      <c r="AK869" s="571"/>
      <c r="AL869" s="571"/>
      <c r="AM869" s="571"/>
      <c r="AN869" s="571"/>
      <c r="AO869" s="571"/>
    </row>
    <row r="870">
      <c r="G870" s="571"/>
      <c r="H870" s="571"/>
      <c r="I870" s="571"/>
      <c r="J870" s="571"/>
      <c r="K870" s="571"/>
      <c r="L870" s="571"/>
      <c r="M870" s="571"/>
      <c r="N870" s="571"/>
      <c r="O870" s="571"/>
      <c r="P870" s="571"/>
      <c r="Q870" s="571"/>
      <c r="R870" s="571"/>
      <c r="S870" s="571"/>
      <c r="T870" s="571"/>
      <c r="U870" s="571"/>
      <c r="V870" s="571"/>
      <c r="W870" s="571"/>
      <c r="X870" s="571"/>
      <c r="Y870" s="571"/>
      <c r="Z870" s="571"/>
      <c r="AA870" s="571"/>
      <c r="AB870" s="571"/>
      <c r="AC870" s="571"/>
      <c r="AD870" s="571"/>
      <c r="AE870" s="571"/>
      <c r="AF870" s="571"/>
      <c r="AG870" s="571"/>
      <c r="AH870" s="571"/>
      <c r="AI870" s="571"/>
      <c r="AJ870" s="571"/>
      <c r="AK870" s="571"/>
      <c r="AL870" s="571"/>
      <c r="AM870" s="571"/>
      <c r="AN870" s="571"/>
      <c r="AO870" s="571"/>
    </row>
    <row r="871">
      <c r="G871" s="571"/>
      <c r="H871" s="571"/>
      <c r="I871" s="571"/>
      <c r="J871" s="571"/>
      <c r="K871" s="571"/>
      <c r="L871" s="571"/>
      <c r="M871" s="571"/>
      <c r="N871" s="571"/>
      <c r="O871" s="571"/>
      <c r="P871" s="571"/>
      <c r="Q871" s="571"/>
      <c r="R871" s="571"/>
      <c r="S871" s="571"/>
      <c r="T871" s="571"/>
      <c r="U871" s="571"/>
      <c r="V871" s="571"/>
      <c r="W871" s="571"/>
      <c r="X871" s="571"/>
      <c r="Y871" s="571"/>
      <c r="Z871" s="571"/>
      <c r="AA871" s="571"/>
      <c r="AB871" s="571"/>
      <c r="AC871" s="571"/>
      <c r="AD871" s="571"/>
      <c r="AE871" s="571"/>
      <c r="AF871" s="571"/>
      <c r="AG871" s="571"/>
      <c r="AH871" s="571"/>
      <c r="AI871" s="571"/>
      <c r="AJ871" s="571"/>
      <c r="AK871" s="571"/>
      <c r="AL871" s="571"/>
      <c r="AM871" s="571"/>
      <c r="AN871" s="571"/>
      <c r="AO871" s="571"/>
    </row>
    <row r="872">
      <c r="G872" s="571"/>
      <c r="H872" s="571"/>
      <c r="I872" s="571"/>
      <c r="J872" s="571"/>
      <c r="K872" s="571"/>
      <c r="L872" s="571"/>
      <c r="M872" s="571"/>
      <c r="N872" s="571"/>
      <c r="O872" s="571"/>
      <c r="P872" s="571"/>
      <c r="Q872" s="571"/>
      <c r="R872" s="571"/>
      <c r="S872" s="571"/>
      <c r="T872" s="571"/>
      <c r="U872" s="571"/>
      <c r="V872" s="571"/>
      <c r="W872" s="571"/>
      <c r="X872" s="571"/>
      <c r="Y872" s="571"/>
      <c r="Z872" s="571"/>
      <c r="AA872" s="571"/>
      <c r="AB872" s="571"/>
      <c r="AC872" s="571"/>
      <c r="AD872" s="571"/>
      <c r="AE872" s="571"/>
      <c r="AF872" s="571"/>
      <c r="AG872" s="571"/>
      <c r="AH872" s="571"/>
      <c r="AI872" s="571"/>
      <c r="AJ872" s="571"/>
      <c r="AK872" s="571"/>
      <c r="AL872" s="571"/>
      <c r="AM872" s="571"/>
      <c r="AN872" s="571"/>
      <c r="AO872" s="571"/>
    </row>
    <row r="873">
      <c r="G873" s="571"/>
      <c r="H873" s="571"/>
      <c r="I873" s="571"/>
      <c r="J873" s="571"/>
      <c r="K873" s="571"/>
      <c r="L873" s="571"/>
      <c r="M873" s="571"/>
      <c r="N873" s="571"/>
      <c r="O873" s="571"/>
      <c r="P873" s="571"/>
      <c r="Q873" s="571"/>
      <c r="R873" s="571"/>
      <c r="S873" s="571"/>
      <c r="T873" s="571"/>
      <c r="U873" s="571"/>
      <c r="V873" s="571"/>
      <c r="W873" s="571"/>
      <c r="X873" s="571"/>
      <c r="Y873" s="571"/>
      <c r="Z873" s="571"/>
      <c r="AA873" s="571"/>
      <c r="AB873" s="571"/>
      <c r="AC873" s="571"/>
      <c r="AD873" s="571"/>
      <c r="AE873" s="571"/>
      <c r="AF873" s="571"/>
      <c r="AG873" s="571"/>
      <c r="AH873" s="571"/>
      <c r="AI873" s="571"/>
      <c r="AJ873" s="571"/>
      <c r="AK873" s="571"/>
      <c r="AL873" s="571"/>
      <c r="AM873" s="571"/>
      <c r="AN873" s="571"/>
      <c r="AO873" s="571"/>
    </row>
    <row r="874">
      <c r="G874" s="571"/>
      <c r="H874" s="571"/>
      <c r="I874" s="571"/>
      <c r="J874" s="571"/>
      <c r="K874" s="571"/>
      <c r="L874" s="571"/>
      <c r="M874" s="571"/>
      <c r="N874" s="571"/>
      <c r="O874" s="571"/>
      <c r="P874" s="571"/>
      <c r="Q874" s="571"/>
      <c r="R874" s="571"/>
      <c r="S874" s="571"/>
      <c r="T874" s="571"/>
      <c r="U874" s="571"/>
      <c r="V874" s="571"/>
      <c r="W874" s="571"/>
      <c r="X874" s="571"/>
      <c r="Y874" s="571"/>
      <c r="Z874" s="571"/>
      <c r="AA874" s="571"/>
      <c r="AB874" s="571"/>
      <c r="AC874" s="571"/>
      <c r="AD874" s="571"/>
      <c r="AE874" s="571"/>
      <c r="AF874" s="571"/>
      <c r="AG874" s="571"/>
      <c r="AH874" s="571"/>
      <c r="AI874" s="571"/>
      <c r="AJ874" s="571"/>
      <c r="AK874" s="571"/>
      <c r="AL874" s="571"/>
      <c r="AM874" s="571"/>
      <c r="AN874" s="571"/>
      <c r="AO874" s="571"/>
    </row>
    <row r="875">
      <c r="G875" s="571"/>
      <c r="H875" s="571"/>
      <c r="I875" s="571"/>
      <c r="J875" s="571"/>
      <c r="K875" s="571"/>
      <c r="L875" s="571"/>
      <c r="M875" s="571"/>
      <c r="N875" s="571"/>
      <c r="O875" s="571"/>
      <c r="P875" s="571"/>
      <c r="Q875" s="571"/>
      <c r="R875" s="571"/>
      <c r="S875" s="571"/>
      <c r="T875" s="571"/>
      <c r="U875" s="571"/>
      <c r="V875" s="571"/>
      <c r="W875" s="571"/>
      <c r="X875" s="571"/>
      <c r="Y875" s="571"/>
      <c r="Z875" s="571"/>
      <c r="AA875" s="571"/>
      <c r="AB875" s="571"/>
      <c r="AC875" s="571"/>
      <c r="AD875" s="571"/>
      <c r="AE875" s="571"/>
      <c r="AF875" s="571"/>
      <c r="AG875" s="571"/>
      <c r="AH875" s="571"/>
      <c r="AI875" s="571"/>
      <c r="AJ875" s="571"/>
      <c r="AK875" s="571"/>
      <c r="AL875" s="571"/>
      <c r="AM875" s="571"/>
      <c r="AN875" s="571"/>
      <c r="AO875" s="571"/>
    </row>
    <row r="876">
      <c r="G876" s="571"/>
      <c r="H876" s="571"/>
      <c r="I876" s="571"/>
      <c r="J876" s="571"/>
      <c r="K876" s="571"/>
      <c r="L876" s="571"/>
      <c r="M876" s="571"/>
      <c r="N876" s="571"/>
      <c r="O876" s="571"/>
      <c r="P876" s="571"/>
      <c r="Q876" s="571"/>
      <c r="R876" s="571"/>
      <c r="S876" s="571"/>
      <c r="T876" s="571"/>
      <c r="U876" s="571"/>
      <c r="V876" s="571"/>
      <c r="W876" s="571"/>
      <c r="X876" s="571"/>
      <c r="Y876" s="571"/>
      <c r="Z876" s="571"/>
      <c r="AA876" s="571"/>
      <c r="AB876" s="571"/>
      <c r="AC876" s="571"/>
      <c r="AD876" s="571"/>
      <c r="AE876" s="571"/>
      <c r="AF876" s="571"/>
      <c r="AG876" s="571"/>
      <c r="AH876" s="571"/>
      <c r="AI876" s="571"/>
      <c r="AJ876" s="571"/>
      <c r="AK876" s="571"/>
      <c r="AL876" s="571"/>
      <c r="AM876" s="571"/>
      <c r="AN876" s="571"/>
      <c r="AO876" s="571"/>
    </row>
    <row r="877">
      <c r="G877" s="571"/>
      <c r="H877" s="571"/>
      <c r="I877" s="571"/>
      <c r="J877" s="571"/>
      <c r="K877" s="571"/>
      <c r="L877" s="571"/>
      <c r="M877" s="571"/>
      <c r="N877" s="571"/>
      <c r="O877" s="571"/>
      <c r="P877" s="571"/>
      <c r="Q877" s="571"/>
      <c r="R877" s="571"/>
      <c r="S877" s="571"/>
      <c r="T877" s="571"/>
      <c r="U877" s="571"/>
      <c r="V877" s="571"/>
      <c r="W877" s="571"/>
      <c r="X877" s="571"/>
      <c r="Y877" s="571"/>
      <c r="Z877" s="571"/>
      <c r="AA877" s="571"/>
      <c r="AB877" s="571"/>
      <c r="AC877" s="571"/>
      <c r="AD877" s="571"/>
      <c r="AE877" s="571"/>
      <c r="AF877" s="571"/>
      <c r="AG877" s="571"/>
      <c r="AH877" s="571"/>
      <c r="AI877" s="571"/>
      <c r="AJ877" s="571"/>
      <c r="AK877" s="571"/>
      <c r="AL877" s="571"/>
      <c r="AM877" s="571"/>
      <c r="AN877" s="571"/>
      <c r="AO877" s="571"/>
    </row>
    <row r="878">
      <c r="G878" s="571"/>
      <c r="H878" s="571"/>
      <c r="I878" s="571"/>
      <c r="J878" s="571"/>
      <c r="K878" s="571"/>
      <c r="L878" s="571"/>
      <c r="M878" s="571"/>
      <c r="N878" s="571"/>
      <c r="O878" s="571"/>
      <c r="P878" s="571"/>
      <c r="Q878" s="571"/>
      <c r="R878" s="571"/>
      <c r="S878" s="571"/>
      <c r="T878" s="571"/>
      <c r="U878" s="571"/>
      <c r="V878" s="571"/>
      <c r="W878" s="571"/>
      <c r="X878" s="571"/>
      <c r="Y878" s="571"/>
      <c r="Z878" s="571"/>
      <c r="AA878" s="571"/>
      <c r="AB878" s="571"/>
      <c r="AC878" s="571"/>
      <c r="AD878" s="571"/>
      <c r="AE878" s="571"/>
      <c r="AF878" s="571"/>
      <c r="AG878" s="571"/>
      <c r="AH878" s="571"/>
      <c r="AI878" s="571"/>
      <c r="AJ878" s="571"/>
      <c r="AK878" s="571"/>
      <c r="AL878" s="571"/>
      <c r="AM878" s="571"/>
      <c r="AN878" s="571"/>
      <c r="AO878" s="571"/>
    </row>
    <row r="879">
      <c r="G879" s="571"/>
      <c r="H879" s="571"/>
      <c r="I879" s="571"/>
      <c r="J879" s="571"/>
      <c r="K879" s="571"/>
      <c r="L879" s="571"/>
      <c r="M879" s="571"/>
      <c r="N879" s="571"/>
      <c r="O879" s="571"/>
      <c r="P879" s="571"/>
      <c r="Q879" s="571"/>
      <c r="R879" s="571"/>
      <c r="S879" s="571"/>
      <c r="T879" s="571"/>
      <c r="U879" s="571"/>
      <c r="V879" s="571"/>
      <c r="W879" s="571"/>
      <c r="X879" s="571"/>
      <c r="Y879" s="571"/>
      <c r="Z879" s="571"/>
      <c r="AA879" s="571"/>
      <c r="AB879" s="571"/>
      <c r="AC879" s="571"/>
      <c r="AD879" s="571"/>
      <c r="AE879" s="571"/>
      <c r="AF879" s="571"/>
      <c r="AG879" s="571"/>
      <c r="AH879" s="571"/>
      <c r="AI879" s="571"/>
      <c r="AJ879" s="571"/>
      <c r="AK879" s="571"/>
      <c r="AL879" s="571"/>
      <c r="AM879" s="571"/>
      <c r="AN879" s="571"/>
      <c r="AO879" s="571"/>
    </row>
    <row r="880">
      <c r="G880" s="571"/>
      <c r="H880" s="571"/>
      <c r="I880" s="571"/>
      <c r="J880" s="571"/>
      <c r="K880" s="571"/>
      <c r="L880" s="571"/>
      <c r="M880" s="571"/>
      <c r="N880" s="571"/>
      <c r="O880" s="571"/>
      <c r="P880" s="571"/>
      <c r="Q880" s="571"/>
      <c r="R880" s="571"/>
      <c r="S880" s="571"/>
      <c r="T880" s="571"/>
      <c r="U880" s="571"/>
      <c r="V880" s="571"/>
      <c r="W880" s="571"/>
      <c r="X880" s="571"/>
      <c r="Y880" s="571"/>
      <c r="Z880" s="571"/>
      <c r="AA880" s="571"/>
      <c r="AB880" s="571"/>
      <c r="AC880" s="571"/>
      <c r="AD880" s="571"/>
      <c r="AE880" s="571"/>
      <c r="AF880" s="571"/>
      <c r="AG880" s="571"/>
      <c r="AH880" s="571"/>
      <c r="AI880" s="571"/>
      <c r="AJ880" s="571"/>
      <c r="AK880" s="571"/>
      <c r="AL880" s="571"/>
      <c r="AM880" s="571"/>
      <c r="AN880" s="571"/>
      <c r="AO880" s="571"/>
    </row>
    <row r="881">
      <c r="G881" s="571"/>
      <c r="H881" s="571"/>
      <c r="I881" s="571"/>
      <c r="J881" s="571"/>
      <c r="K881" s="571"/>
      <c r="L881" s="571"/>
      <c r="M881" s="571"/>
      <c r="N881" s="571"/>
      <c r="O881" s="571"/>
      <c r="P881" s="571"/>
      <c r="Q881" s="571"/>
      <c r="R881" s="571"/>
      <c r="S881" s="571"/>
      <c r="T881" s="571"/>
      <c r="U881" s="571"/>
      <c r="V881" s="571"/>
      <c r="W881" s="571"/>
      <c r="X881" s="571"/>
      <c r="Y881" s="571"/>
      <c r="Z881" s="571"/>
      <c r="AA881" s="571"/>
      <c r="AB881" s="571"/>
      <c r="AC881" s="571"/>
      <c r="AD881" s="571"/>
      <c r="AE881" s="571"/>
      <c r="AF881" s="571"/>
      <c r="AG881" s="571"/>
      <c r="AH881" s="571"/>
      <c r="AI881" s="571"/>
      <c r="AJ881" s="571"/>
      <c r="AK881" s="571"/>
      <c r="AL881" s="571"/>
      <c r="AM881" s="571"/>
      <c r="AN881" s="571"/>
      <c r="AO881" s="571"/>
    </row>
    <row r="882">
      <c r="G882" s="571"/>
      <c r="H882" s="571"/>
      <c r="I882" s="571"/>
      <c r="J882" s="571"/>
      <c r="K882" s="571"/>
      <c r="L882" s="571"/>
      <c r="M882" s="571"/>
      <c r="N882" s="571"/>
      <c r="O882" s="571"/>
      <c r="P882" s="571"/>
      <c r="Q882" s="571"/>
      <c r="R882" s="571"/>
      <c r="S882" s="571"/>
      <c r="T882" s="571"/>
      <c r="U882" s="571"/>
      <c r="V882" s="571"/>
      <c r="W882" s="571"/>
      <c r="X882" s="571"/>
      <c r="Y882" s="571"/>
      <c r="Z882" s="571"/>
      <c r="AA882" s="571"/>
      <c r="AB882" s="571"/>
      <c r="AC882" s="571"/>
      <c r="AD882" s="571"/>
      <c r="AE882" s="571"/>
      <c r="AF882" s="571"/>
      <c r="AG882" s="571"/>
      <c r="AH882" s="571"/>
      <c r="AI882" s="571"/>
      <c r="AJ882" s="571"/>
      <c r="AK882" s="571"/>
      <c r="AL882" s="571"/>
      <c r="AM882" s="571"/>
      <c r="AN882" s="571"/>
      <c r="AO882" s="571"/>
    </row>
    <row r="883">
      <c r="G883" s="571"/>
      <c r="H883" s="571"/>
      <c r="I883" s="571"/>
      <c r="J883" s="571"/>
      <c r="K883" s="571"/>
      <c r="L883" s="571"/>
      <c r="M883" s="571"/>
      <c r="N883" s="571"/>
      <c r="O883" s="571"/>
      <c r="P883" s="571"/>
      <c r="Q883" s="571"/>
      <c r="R883" s="571"/>
      <c r="S883" s="571"/>
      <c r="T883" s="571"/>
      <c r="U883" s="571"/>
      <c r="V883" s="571"/>
      <c r="W883" s="571"/>
      <c r="X883" s="571"/>
      <c r="Y883" s="571"/>
      <c r="Z883" s="571"/>
      <c r="AA883" s="571"/>
      <c r="AB883" s="571"/>
      <c r="AC883" s="571"/>
      <c r="AD883" s="571"/>
      <c r="AE883" s="571"/>
      <c r="AF883" s="571"/>
      <c r="AG883" s="571"/>
      <c r="AH883" s="571"/>
      <c r="AI883" s="571"/>
      <c r="AJ883" s="571"/>
      <c r="AK883" s="571"/>
      <c r="AL883" s="571"/>
      <c r="AM883" s="571"/>
      <c r="AN883" s="571"/>
      <c r="AO883" s="571"/>
    </row>
    <row r="884">
      <c r="G884" s="571"/>
      <c r="H884" s="571"/>
      <c r="I884" s="571"/>
      <c r="J884" s="571"/>
      <c r="K884" s="571"/>
      <c r="L884" s="571"/>
      <c r="M884" s="571"/>
      <c r="N884" s="571"/>
      <c r="O884" s="571"/>
      <c r="P884" s="571"/>
      <c r="Q884" s="571"/>
      <c r="R884" s="571"/>
      <c r="S884" s="571"/>
      <c r="T884" s="571"/>
      <c r="U884" s="571"/>
      <c r="V884" s="571"/>
      <c r="W884" s="571"/>
      <c r="X884" s="571"/>
      <c r="Y884" s="571"/>
      <c r="Z884" s="571"/>
      <c r="AA884" s="571"/>
      <c r="AB884" s="571"/>
      <c r="AC884" s="571"/>
      <c r="AD884" s="571"/>
      <c r="AE884" s="571"/>
      <c r="AF884" s="571"/>
      <c r="AG884" s="571"/>
      <c r="AH884" s="571"/>
      <c r="AI884" s="571"/>
      <c r="AJ884" s="571"/>
      <c r="AK884" s="571"/>
      <c r="AL884" s="571"/>
      <c r="AM884" s="571"/>
      <c r="AN884" s="571"/>
      <c r="AO884" s="571"/>
    </row>
    <row r="885">
      <c r="G885" s="571"/>
      <c r="H885" s="571"/>
      <c r="I885" s="571"/>
      <c r="J885" s="571"/>
      <c r="K885" s="571"/>
      <c r="L885" s="571"/>
      <c r="M885" s="571"/>
      <c r="N885" s="571"/>
      <c r="O885" s="571"/>
      <c r="P885" s="571"/>
      <c r="Q885" s="571"/>
      <c r="R885" s="571"/>
      <c r="S885" s="571"/>
      <c r="T885" s="571"/>
      <c r="U885" s="571"/>
      <c r="V885" s="571"/>
      <c r="W885" s="571"/>
      <c r="X885" s="571"/>
      <c r="Y885" s="571"/>
      <c r="Z885" s="571"/>
      <c r="AA885" s="571"/>
      <c r="AB885" s="571"/>
      <c r="AC885" s="571"/>
      <c r="AD885" s="571"/>
      <c r="AE885" s="571"/>
      <c r="AF885" s="571"/>
      <c r="AG885" s="571"/>
      <c r="AH885" s="571"/>
      <c r="AI885" s="571"/>
      <c r="AJ885" s="571"/>
      <c r="AK885" s="571"/>
      <c r="AL885" s="571"/>
      <c r="AM885" s="571"/>
      <c r="AN885" s="571"/>
      <c r="AO885" s="571"/>
    </row>
    <row r="886">
      <c r="G886" s="571"/>
      <c r="H886" s="571"/>
      <c r="I886" s="571"/>
      <c r="J886" s="571"/>
      <c r="K886" s="571"/>
      <c r="L886" s="571"/>
      <c r="M886" s="571"/>
      <c r="N886" s="571"/>
      <c r="O886" s="571"/>
      <c r="P886" s="571"/>
      <c r="Q886" s="571"/>
      <c r="R886" s="571"/>
      <c r="S886" s="571"/>
      <c r="T886" s="571"/>
      <c r="U886" s="571"/>
      <c r="V886" s="571"/>
      <c r="W886" s="571"/>
      <c r="X886" s="571"/>
      <c r="Y886" s="571"/>
      <c r="Z886" s="571"/>
      <c r="AA886" s="571"/>
      <c r="AB886" s="571"/>
      <c r="AC886" s="571"/>
      <c r="AD886" s="571"/>
      <c r="AE886" s="571"/>
      <c r="AF886" s="571"/>
      <c r="AG886" s="571"/>
      <c r="AH886" s="571"/>
      <c r="AI886" s="571"/>
      <c r="AJ886" s="571"/>
      <c r="AK886" s="571"/>
      <c r="AL886" s="571"/>
      <c r="AM886" s="571"/>
      <c r="AN886" s="571"/>
      <c r="AO886" s="571"/>
    </row>
    <row r="887">
      <c r="G887" s="571"/>
      <c r="H887" s="571"/>
      <c r="I887" s="571"/>
      <c r="J887" s="571"/>
      <c r="K887" s="571"/>
      <c r="L887" s="571"/>
      <c r="M887" s="571"/>
      <c r="N887" s="571"/>
      <c r="O887" s="571"/>
      <c r="P887" s="571"/>
      <c r="Q887" s="571"/>
      <c r="R887" s="571"/>
      <c r="S887" s="571"/>
      <c r="T887" s="571"/>
      <c r="U887" s="571"/>
      <c r="V887" s="571"/>
      <c r="W887" s="571"/>
      <c r="X887" s="571"/>
      <c r="Y887" s="571"/>
      <c r="Z887" s="571"/>
      <c r="AA887" s="571"/>
      <c r="AB887" s="571"/>
      <c r="AC887" s="571"/>
      <c r="AD887" s="571"/>
      <c r="AE887" s="571"/>
      <c r="AF887" s="571"/>
      <c r="AG887" s="571"/>
      <c r="AH887" s="571"/>
      <c r="AI887" s="571"/>
      <c r="AJ887" s="571"/>
      <c r="AK887" s="571"/>
      <c r="AL887" s="571"/>
      <c r="AM887" s="571"/>
      <c r="AN887" s="571"/>
      <c r="AO887" s="571"/>
    </row>
    <row r="888">
      <c r="G888" s="571"/>
      <c r="H888" s="571"/>
      <c r="I888" s="571"/>
      <c r="J888" s="571"/>
      <c r="K888" s="571"/>
      <c r="L888" s="571"/>
      <c r="M888" s="571"/>
      <c r="N888" s="571"/>
      <c r="O888" s="571"/>
      <c r="P888" s="571"/>
      <c r="Q888" s="571"/>
      <c r="R888" s="571"/>
      <c r="S888" s="571"/>
      <c r="T888" s="571"/>
      <c r="U888" s="571"/>
      <c r="V888" s="571"/>
      <c r="W888" s="571"/>
      <c r="X888" s="571"/>
      <c r="Y888" s="571"/>
      <c r="Z888" s="571"/>
      <c r="AA888" s="571"/>
      <c r="AB888" s="571"/>
      <c r="AC888" s="571"/>
      <c r="AD888" s="571"/>
      <c r="AE888" s="571"/>
      <c r="AF888" s="571"/>
      <c r="AG888" s="571"/>
      <c r="AH888" s="571"/>
      <c r="AI888" s="571"/>
      <c r="AJ888" s="571"/>
      <c r="AK888" s="571"/>
      <c r="AL888" s="571"/>
      <c r="AM888" s="571"/>
      <c r="AN888" s="571"/>
      <c r="AO888" s="571"/>
    </row>
    <row r="889">
      <c r="G889" s="571"/>
      <c r="H889" s="571"/>
      <c r="I889" s="571"/>
      <c r="J889" s="571"/>
      <c r="K889" s="571"/>
      <c r="L889" s="571"/>
      <c r="M889" s="571"/>
      <c r="N889" s="571"/>
      <c r="O889" s="571"/>
      <c r="P889" s="571"/>
      <c r="Q889" s="571"/>
      <c r="R889" s="571"/>
      <c r="S889" s="571"/>
      <c r="T889" s="571"/>
      <c r="U889" s="571"/>
      <c r="V889" s="571"/>
      <c r="W889" s="571"/>
      <c r="X889" s="571"/>
      <c r="Y889" s="571"/>
      <c r="Z889" s="571"/>
      <c r="AA889" s="571"/>
      <c r="AB889" s="571"/>
      <c r="AC889" s="571"/>
      <c r="AD889" s="571"/>
      <c r="AE889" s="571"/>
      <c r="AF889" s="571"/>
      <c r="AG889" s="571"/>
      <c r="AH889" s="571"/>
      <c r="AI889" s="571"/>
      <c r="AJ889" s="571"/>
      <c r="AK889" s="571"/>
      <c r="AL889" s="571"/>
      <c r="AM889" s="571"/>
      <c r="AN889" s="571"/>
      <c r="AO889" s="571"/>
    </row>
    <row r="890">
      <c r="G890" s="571"/>
      <c r="H890" s="571"/>
      <c r="I890" s="571"/>
      <c r="J890" s="571"/>
      <c r="K890" s="571"/>
      <c r="L890" s="571"/>
      <c r="M890" s="571"/>
      <c r="N890" s="571"/>
      <c r="O890" s="571"/>
      <c r="P890" s="571"/>
      <c r="Q890" s="571"/>
      <c r="R890" s="571"/>
      <c r="S890" s="571"/>
      <c r="T890" s="571"/>
      <c r="U890" s="571"/>
      <c r="V890" s="571"/>
      <c r="W890" s="571"/>
      <c r="X890" s="571"/>
      <c r="Y890" s="571"/>
      <c r="Z890" s="571"/>
      <c r="AA890" s="571"/>
      <c r="AB890" s="571"/>
      <c r="AC890" s="571"/>
      <c r="AD890" s="571"/>
      <c r="AE890" s="571"/>
      <c r="AF890" s="571"/>
      <c r="AG890" s="571"/>
      <c r="AH890" s="571"/>
      <c r="AI890" s="571"/>
      <c r="AJ890" s="571"/>
      <c r="AK890" s="571"/>
      <c r="AL890" s="571"/>
      <c r="AM890" s="571"/>
      <c r="AN890" s="571"/>
      <c r="AO890" s="571"/>
    </row>
    <row r="891">
      <c r="G891" s="571"/>
      <c r="H891" s="571"/>
      <c r="I891" s="571"/>
      <c r="J891" s="571"/>
      <c r="K891" s="571"/>
      <c r="L891" s="571"/>
      <c r="M891" s="571"/>
      <c r="N891" s="571"/>
      <c r="O891" s="571"/>
      <c r="P891" s="571"/>
      <c r="Q891" s="571"/>
      <c r="R891" s="571"/>
      <c r="S891" s="571"/>
      <c r="T891" s="571"/>
      <c r="U891" s="571"/>
      <c r="V891" s="571"/>
      <c r="W891" s="571"/>
      <c r="X891" s="571"/>
      <c r="Y891" s="571"/>
      <c r="Z891" s="571"/>
      <c r="AA891" s="571"/>
      <c r="AB891" s="571"/>
      <c r="AC891" s="571"/>
      <c r="AD891" s="571"/>
      <c r="AE891" s="571"/>
      <c r="AF891" s="571"/>
      <c r="AG891" s="571"/>
      <c r="AH891" s="571"/>
      <c r="AI891" s="571"/>
      <c r="AJ891" s="571"/>
      <c r="AK891" s="571"/>
      <c r="AL891" s="571"/>
      <c r="AM891" s="571"/>
      <c r="AN891" s="571"/>
      <c r="AO891" s="571"/>
    </row>
    <row r="892">
      <c r="G892" s="571"/>
      <c r="H892" s="571"/>
      <c r="I892" s="571"/>
      <c r="J892" s="571"/>
      <c r="K892" s="571"/>
      <c r="L892" s="571"/>
      <c r="M892" s="571"/>
      <c r="N892" s="571"/>
      <c r="O892" s="571"/>
      <c r="P892" s="571"/>
      <c r="Q892" s="571"/>
      <c r="R892" s="571"/>
      <c r="S892" s="571"/>
      <c r="T892" s="571"/>
      <c r="U892" s="571"/>
      <c r="V892" s="571"/>
      <c r="W892" s="571"/>
      <c r="X892" s="571"/>
      <c r="Y892" s="571"/>
      <c r="Z892" s="571"/>
      <c r="AA892" s="571"/>
      <c r="AB892" s="571"/>
      <c r="AC892" s="571"/>
      <c r="AD892" s="571"/>
      <c r="AE892" s="571"/>
      <c r="AF892" s="571"/>
      <c r="AG892" s="571"/>
      <c r="AH892" s="571"/>
      <c r="AI892" s="571"/>
      <c r="AJ892" s="571"/>
      <c r="AK892" s="571"/>
      <c r="AL892" s="571"/>
      <c r="AM892" s="571"/>
      <c r="AN892" s="571"/>
      <c r="AO892" s="571"/>
    </row>
    <row r="893">
      <c r="G893" s="571"/>
      <c r="H893" s="571"/>
      <c r="I893" s="571"/>
      <c r="J893" s="571"/>
      <c r="K893" s="571"/>
      <c r="L893" s="571"/>
      <c r="M893" s="571"/>
      <c r="N893" s="571"/>
      <c r="O893" s="571"/>
      <c r="P893" s="571"/>
      <c r="Q893" s="571"/>
      <c r="R893" s="571"/>
      <c r="S893" s="571"/>
      <c r="T893" s="571"/>
      <c r="U893" s="571"/>
      <c r="V893" s="571"/>
      <c r="W893" s="571"/>
      <c r="X893" s="571"/>
      <c r="Y893" s="571"/>
      <c r="Z893" s="571"/>
      <c r="AA893" s="571"/>
      <c r="AB893" s="571"/>
      <c r="AC893" s="571"/>
      <c r="AD893" s="571"/>
      <c r="AE893" s="571"/>
      <c r="AF893" s="571"/>
      <c r="AG893" s="571"/>
      <c r="AH893" s="571"/>
      <c r="AI893" s="571"/>
      <c r="AJ893" s="571"/>
      <c r="AK893" s="571"/>
      <c r="AL893" s="571"/>
      <c r="AM893" s="571"/>
      <c r="AN893" s="571"/>
      <c r="AO893" s="571"/>
    </row>
    <row r="894">
      <c r="G894" s="571"/>
      <c r="H894" s="571"/>
      <c r="I894" s="571"/>
      <c r="J894" s="571"/>
      <c r="K894" s="571"/>
      <c r="L894" s="571"/>
      <c r="M894" s="571"/>
      <c r="N894" s="571"/>
      <c r="O894" s="571"/>
      <c r="P894" s="571"/>
      <c r="Q894" s="571"/>
      <c r="R894" s="571"/>
      <c r="S894" s="571"/>
      <c r="T894" s="571"/>
      <c r="U894" s="571"/>
      <c r="V894" s="571"/>
      <c r="W894" s="571"/>
      <c r="X894" s="571"/>
      <c r="Y894" s="571"/>
      <c r="Z894" s="571"/>
      <c r="AA894" s="571"/>
      <c r="AB894" s="571"/>
      <c r="AC894" s="571"/>
      <c r="AD894" s="571"/>
      <c r="AE894" s="571"/>
      <c r="AF894" s="571"/>
      <c r="AG894" s="571"/>
      <c r="AH894" s="571"/>
      <c r="AI894" s="571"/>
      <c r="AJ894" s="571"/>
      <c r="AK894" s="571"/>
      <c r="AL894" s="571"/>
      <c r="AM894" s="571"/>
      <c r="AN894" s="571"/>
      <c r="AO894" s="571"/>
    </row>
    <row r="895">
      <c r="G895" s="571"/>
      <c r="H895" s="571"/>
      <c r="I895" s="571"/>
      <c r="J895" s="571"/>
      <c r="K895" s="571"/>
      <c r="L895" s="571"/>
      <c r="M895" s="571"/>
      <c r="N895" s="571"/>
      <c r="O895" s="571"/>
      <c r="P895" s="571"/>
      <c r="Q895" s="571"/>
      <c r="R895" s="571"/>
      <c r="S895" s="571"/>
      <c r="T895" s="571"/>
      <c r="U895" s="571"/>
      <c r="V895" s="571"/>
      <c r="W895" s="571"/>
      <c r="X895" s="571"/>
      <c r="Y895" s="571"/>
      <c r="Z895" s="571"/>
      <c r="AA895" s="571"/>
      <c r="AB895" s="571"/>
      <c r="AC895" s="571"/>
      <c r="AD895" s="571"/>
      <c r="AE895" s="571"/>
      <c r="AF895" s="571"/>
      <c r="AG895" s="571"/>
      <c r="AH895" s="571"/>
      <c r="AI895" s="571"/>
      <c r="AJ895" s="571"/>
      <c r="AK895" s="571"/>
      <c r="AL895" s="571"/>
      <c r="AM895" s="571"/>
      <c r="AN895" s="571"/>
      <c r="AO895" s="571"/>
    </row>
    <row r="896">
      <c r="G896" s="571"/>
      <c r="H896" s="571"/>
      <c r="I896" s="571"/>
      <c r="J896" s="571"/>
      <c r="K896" s="571"/>
      <c r="L896" s="571"/>
      <c r="M896" s="571"/>
      <c r="N896" s="571"/>
      <c r="O896" s="571"/>
      <c r="P896" s="571"/>
      <c r="Q896" s="571"/>
      <c r="R896" s="571"/>
      <c r="S896" s="571"/>
      <c r="T896" s="571"/>
      <c r="U896" s="571"/>
      <c r="V896" s="571"/>
      <c r="W896" s="571"/>
      <c r="X896" s="571"/>
      <c r="Y896" s="571"/>
      <c r="Z896" s="571"/>
      <c r="AA896" s="571"/>
      <c r="AB896" s="571"/>
      <c r="AC896" s="571"/>
      <c r="AD896" s="571"/>
      <c r="AE896" s="571"/>
      <c r="AF896" s="571"/>
      <c r="AG896" s="571"/>
      <c r="AH896" s="571"/>
      <c r="AI896" s="571"/>
      <c r="AJ896" s="571"/>
      <c r="AK896" s="571"/>
      <c r="AL896" s="571"/>
      <c r="AM896" s="571"/>
      <c r="AN896" s="571"/>
      <c r="AO896" s="571"/>
    </row>
    <row r="897">
      <c r="G897" s="571"/>
      <c r="H897" s="571"/>
      <c r="I897" s="571"/>
      <c r="J897" s="571"/>
      <c r="K897" s="571"/>
      <c r="L897" s="571"/>
      <c r="M897" s="571"/>
      <c r="N897" s="571"/>
      <c r="O897" s="571"/>
      <c r="P897" s="571"/>
      <c r="Q897" s="571"/>
      <c r="R897" s="571"/>
      <c r="S897" s="571"/>
      <c r="T897" s="571"/>
      <c r="U897" s="571"/>
      <c r="V897" s="571"/>
      <c r="W897" s="571"/>
      <c r="X897" s="571"/>
      <c r="Y897" s="571"/>
      <c r="Z897" s="571"/>
      <c r="AA897" s="571"/>
      <c r="AB897" s="571"/>
      <c r="AC897" s="571"/>
      <c r="AD897" s="571"/>
      <c r="AE897" s="571"/>
      <c r="AF897" s="571"/>
      <c r="AG897" s="571"/>
      <c r="AH897" s="571"/>
      <c r="AI897" s="571"/>
      <c r="AJ897" s="571"/>
      <c r="AK897" s="571"/>
      <c r="AL897" s="571"/>
      <c r="AM897" s="571"/>
      <c r="AN897" s="571"/>
      <c r="AO897" s="571"/>
    </row>
    <row r="898">
      <c r="G898" s="571"/>
      <c r="H898" s="571"/>
      <c r="I898" s="571"/>
      <c r="J898" s="571"/>
      <c r="K898" s="571"/>
      <c r="L898" s="571"/>
      <c r="M898" s="571"/>
      <c r="N898" s="571"/>
      <c r="O898" s="571"/>
      <c r="P898" s="571"/>
      <c r="Q898" s="571"/>
      <c r="R898" s="571"/>
      <c r="S898" s="571"/>
      <c r="T898" s="571"/>
      <c r="U898" s="571"/>
      <c r="V898" s="571"/>
      <c r="W898" s="571"/>
      <c r="X898" s="571"/>
      <c r="Y898" s="571"/>
      <c r="Z898" s="571"/>
      <c r="AA898" s="571"/>
      <c r="AB898" s="571"/>
      <c r="AC898" s="571"/>
      <c r="AD898" s="571"/>
      <c r="AE898" s="571"/>
      <c r="AF898" s="571"/>
      <c r="AG898" s="571"/>
      <c r="AH898" s="571"/>
      <c r="AI898" s="571"/>
      <c r="AJ898" s="571"/>
      <c r="AK898" s="571"/>
      <c r="AL898" s="571"/>
      <c r="AM898" s="571"/>
      <c r="AN898" s="571"/>
      <c r="AO898" s="571"/>
    </row>
    <row r="899">
      <c r="G899" s="571"/>
      <c r="H899" s="571"/>
      <c r="I899" s="571"/>
      <c r="J899" s="571"/>
      <c r="K899" s="571"/>
      <c r="L899" s="571"/>
      <c r="M899" s="571"/>
      <c r="N899" s="571"/>
      <c r="O899" s="571"/>
      <c r="P899" s="571"/>
      <c r="Q899" s="571"/>
      <c r="R899" s="571"/>
      <c r="S899" s="571"/>
      <c r="T899" s="571"/>
      <c r="U899" s="571"/>
      <c r="V899" s="571"/>
      <c r="W899" s="571"/>
      <c r="X899" s="571"/>
      <c r="Y899" s="571"/>
      <c r="Z899" s="571"/>
      <c r="AA899" s="571"/>
      <c r="AB899" s="571"/>
      <c r="AC899" s="571"/>
      <c r="AD899" s="571"/>
      <c r="AE899" s="571"/>
      <c r="AF899" s="571"/>
      <c r="AG899" s="571"/>
      <c r="AH899" s="571"/>
      <c r="AI899" s="571"/>
      <c r="AJ899" s="571"/>
      <c r="AK899" s="571"/>
      <c r="AL899" s="571"/>
      <c r="AM899" s="571"/>
      <c r="AN899" s="571"/>
      <c r="AO899" s="571"/>
    </row>
    <row r="900">
      <c r="G900" s="571"/>
      <c r="H900" s="571"/>
      <c r="I900" s="571"/>
      <c r="J900" s="571"/>
      <c r="K900" s="571"/>
      <c r="L900" s="571"/>
      <c r="M900" s="571"/>
      <c r="N900" s="571"/>
      <c r="O900" s="571"/>
      <c r="P900" s="571"/>
      <c r="Q900" s="571"/>
      <c r="R900" s="571"/>
      <c r="S900" s="571"/>
      <c r="T900" s="571"/>
      <c r="U900" s="571"/>
      <c r="V900" s="571"/>
      <c r="W900" s="571"/>
      <c r="X900" s="571"/>
      <c r="Y900" s="571"/>
      <c r="Z900" s="571"/>
      <c r="AA900" s="571"/>
      <c r="AB900" s="571"/>
      <c r="AC900" s="571"/>
      <c r="AD900" s="571"/>
      <c r="AE900" s="571"/>
      <c r="AF900" s="571"/>
      <c r="AG900" s="571"/>
      <c r="AH900" s="571"/>
      <c r="AI900" s="571"/>
      <c r="AJ900" s="571"/>
      <c r="AK900" s="571"/>
      <c r="AL900" s="571"/>
      <c r="AM900" s="571"/>
      <c r="AN900" s="571"/>
      <c r="AO900" s="571"/>
    </row>
    <row r="901">
      <c r="G901" s="571"/>
      <c r="H901" s="571"/>
      <c r="I901" s="571"/>
      <c r="J901" s="571"/>
      <c r="K901" s="571"/>
      <c r="L901" s="571"/>
      <c r="M901" s="571"/>
      <c r="N901" s="571"/>
      <c r="O901" s="571"/>
      <c r="P901" s="571"/>
      <c r="Q901" s="571"/>
      <c r="R901" s="571"/>
      <c r="S901" s="571"/>
      <c r="T901" s="571"/>
      <c r="U901" s="571"/>
      <c r="V901" s="571"/>
      <c r="W901" s="571"/>
      <c r="X901" s="571"/>
      <c r="Y901" s="571"/>
      <c r="Z901" s="571"/>
      <c r="AA901" s="571"/>
      <c r="AB901" s="571"/>
      <c r="AC901" s="571"/>
      <c r="AD901" s="571"/>
      <c r="AE901" s="571"/>
      <c r="AF901" s="571"/>
      <c r="AG901" s="571"/>
      <c r="AH901" s="571"/>
      <c r="AI901" s="571"/>
      <c r="AJ901" s="571"/>
      <c r="AK901" s="571"/>
      <c r="AL901" s="571"/>
      <c r="AM901" s="571"/>
      <c r="AN901" s="571"/>
      <c r="AO901" s="571"/>
    </row>
    <row r="902">
      <c r="G902" s="571"/>
      <c r="H902" s="571"/>
      <c r="I902" s="571"/>
      <c r="J902" s="571"/>
      <c r="K902" s="571"/>
      <c r="L902" s="571"/>
      <c r="M902" s="571"/>
      <c r="N902" s="571"/>
      <c r="O902" s="571"/>
      <c r="P902" s="571"/>
      <c r="Q902" s="571"/>
      <c r="R902" s="571"/>
      <c r="S902" s="571"/>
      <c r="T902" s="571"/>
      <c r="U902" s="571"/>
      <c r="V902" s="571"/>
      <c r="W902" s="571"/>
      <c r="X902" s="571"/>
      <c r="Y902" s="571"/>
      <c r="Z902" s="571"/>
      <c r="AA902" s="571"/>
      <c r="AB902" s="571"/>
      <c r="AC902" s="571"/>
      <c r="AD902" s="571"/>
      <c r="AE902" s="571"/>
      <c r="AF902" s="571"/>
      <c r="AG902" s="571"/>
      <c r="AH902" s="571"/>
      <c r="AI902" s="571"/>
      <c r="AJ902" s="571"/>
      <c r="AK902" s="571"/>
      <c r="AL902" s="571"/>
      <c r="AM902" s="571"/>
      <c r="AN902" s="571"/>
      <c r="AO902" s="571"/>
    </row>
    <row r="903">
      <c r="G903" s="571"/>
      <c r="H903" s="571"/>
      <c r="I903" s="571"/>
      <c r="J903" s="571"/>
      <c r="K903" s="571"/>
      <c r="L903" s="571"/>
      <c r="M903" s="571"/>
      <c r="N903" s="571"/>
      <c r="O903" s="571"/>
      <c r="P903" s="571"/>
      <c r="Q903" s="571"/>
      <c r="R903" s="571"/>
      <c r="S903" s="571"/>
      <c r="T903" s="571"/>
      <c r="U903" s="571"/>
      <c r="V903" s="571"/>
      <c r="W903" s="571"/>
      <c r="X903" s="571"/>
      <c r="Y903" s="571"/>
      <c r="Z903" s="571"/>
      <c r="AA903" s="571"/>
      <c r="AB903" s="571"/>
      <c r="AC903" s="571"/>
      <c r="AD903" s="571"/>
      <c r="AE903" s="571"/>
      <c r="AF903" s="571"/>
      <c r="AG903" s="571"/>
      <c r="AH903" s="571"/>
      <c r="AI903" s="571"/>
      <c r="AJ903" s="571"/>
      <c r="AK903" s="571"/>
      <c r="AL903" s="571"/>
      <c r="AM903" s="571"/>
      <c r="AN903" s="571"/>
      <c r="AO903" s="571"/>
    </row>
    <row r="904">
      <c r="G904" s="571"/>
      <c r="H904" s="571"/>
      <c r="I904" s="571"/>
      <c r="J904" s="571"/>
      <c r="K904" s="571"/>
      <c r="L904" s="571"/>
      <c r="M904" s="571"/>
      <c r="N904" s="571"/>
      <c r="O904" s="571"/>
      <c r="P904" s="571"/>
      <c r="Q904" s="571"/>
      <c r="R904" s="571"/>
      <c r="S904" s="571"/>
      <c r="T904" s="571"/>
      <c r="U904" s="571"/>
      <c r="V904" s="571"/>
      <c r="W904" s="571"/>
      <c r="X904" s="571"/>
      <c r="Y904" s="571"/>
      <c r="Z904" s="571"/>
      <c r="AA904" s="571"/>
      <c r="AB904" s="571"/>
      <c r="AC904" s="571"/>
      <c r="AD904" s="571"/>
      <c r="AE904" s="571"/>
      <c r="AF904" s="571"/>
      <c r="AG904" s="571"/>
      <c r="AH904" s="571"/>
      <c r="AI904" s="571"/>
      <c r="AJ904" s="571"/>
      <c r="AK904" s="571"/>
      <c r="AL904" s="571"/>
      <c r="AM904" s="571"/>
      <c r="AN904" s="571"/>
      <c r="AO904" s="571"/>
    </row>
    <row r="905">
      <c r="G905" s="571"/>
      <c r="H905" s="571"/>
      <c r="I905" s="571"/>
      <c r="J905" s="571"/>
      <c r="K905" s="571"/>
      <c r="L905" s="571"/>
      <c r="M905" s="571"/>
      <c r="N905" s="571"/>
      <c r="O905" s="571"/>
      <c r="P905" s="571"/>
      <c r="Q905" s="571"/>
      <c r="R905" s="571"/>
      <c r="S905" s="571"/>
      <c r="T905" s="571"/>
      <c r="U905" s="571"/>
      <c r="V905" s="571"/>
      <c r="W905" s="571"/>
      <c r="X905" s="571"/>
      <c r="Y905" s="571"/>
      <c r="Z905" s="571"/>
      <c r="AA905" s="571"/>
      <c r="AB905" s="571"/>
      <c r="AC905" s="571"/>
      <c r="AD905" s="571"/>
      <c r="AE905" s="571"/>
      <c r="AF905" s="571"/>
      <c r="AG905" s="571"/>
      <c r="AH905" s="571"/>
      <c r="AI905" s="571"/>
      <c r="AJ905" s="571"/>
      <c r="AK905" s="571"/>
      <c r="AL905" s="571"/>
      <c r="AM905" s="571"/>
      <c r="AN905" s="571"/>
      <c r="AO905" s="571"/>
    </row>
    <row r="906">
      <c r="G906" s="571"/>
      <c r="H906" s="571"/>
      <c r="I906" s="571"/>
      <c r="J906" s="571"/>
      <c r="K906" s="571"/>
      <c r="L906" s="571"/>
      <c r="M906" s="571"/>
      <c r="N906" s="571"/>
      <c r="O906" s="571"/>
      <c r="P906" s="571"/>
      <c r="Q906" s="571"/>
      <c r="R906" s="571"/>
      <c r="S906" s="571"/>
      <c r="T906" s="571"/>
      <c r="U906" s="571"/>
      <c r="V906" s="571"/>
      <c r="W906" s="571"/>
      <c r="X906" s="571"/>
      <c r="Y906" s="571"/>
      <c r="Z906" s="571"/>
      <c r="AA906" s="571"/>
      <c r="AB906" s="571"/>
      <c r="AC906" s="571"/>
      <c r="AD906" s="571"/>
      <c r="AE906" s="571"/>
      <c r="AF906" s="571"/>
      <c r="AG906" s="571"/>
      <c r="AH906" s="571"/>
      <c r="AI906" s="571"/>
      <c r="AJ906" s="571"/>
      <c r="AK906" s="571"/>
      <c r="AL906" s="571"/>
      <c r="AM906" s="571"/>
      <c r="AN906" s="571"/>
      <c r="AO906" s="571"/>
    </row>
    <row r="907">
      <c r="G907" s="571"/>
      <c r="H907" s="571"/>
      <c r="I907" s="571"/>
      <c r="J907" s="571"/>
      <c r="K907" s="571"/>
      <c r="L907" s="571"/>
      <c r="M907" s="571"/>
      <c r="N907" s="571"/>
      <c r="O907" s="571"/>
      <c r="P907" s="571"/>
      <c r="Q907" s="571"/>
      <c r="R907" s="571"/>
      <c r="S907" s="571"/>
      <c r="T907" s="571"/>
      <c r="U907" s="571"/>
      <c r="V907" s="571"/>
      <c r="W907" s="571"/>
      <c r="X907" s="571"/>
      <c r="Y907" s="571"/>
      <c r="Z907" s="571"/>
      <c r="AA907" s="571"/>
      <c r="AB907" s="571"/>
      <c r="AC907" s="571"/>
      <c r="AD907" s="571"/>
      <c r="AE907" s="571"/>
      <c r="AF907" s="571"/>
      <c r="AG907" s="571"/>
      <c r="AH907" s="571"/>
      <c r="AI907" s="571"/>
      <c r="AJ907" s="571"/>
      <c r="AK907" s="571"/>
      <c r="AL907" s="571"/>
      <c r="AM907" s="571"/>
      <c r="AN907" s="571"/>
      <c r="AO907" s="571"/>
    </row>
    <row r="908">
      <c r="G908" s="571"/>
      <c r="H908" s="571"/>
      <c r="I908" s="571"/>
      <c r="J908" s="571"/>
      <c r="K908" s="571"/>
      <c r="L908" s="571"/>
      <c r="M908" s="571"/>
      <c r="N908" s="571"/>
      <c r="O908" s="571"/>
      <c r="P908" s="571"/>
      <c r="Q908" s="571"/>
      <c r="R908" s="571"/>
      <c r="S908" s="571"/>
      <c r="T908" s="571"/>
      <c r="U908" s="571"/>
      <c r="V908" s="571"/>
      <c r="W908" s="571"/>
      <c r="X908" s="571"/>
      <c r="Y908" s="571"/>
      <c r="Z908" s="571"/>
      <c r="AA908" s="571"/>
      <c r="AB908" s="571"/>
      <c r="AC908" s="571"/>
      <c r="AD908" s="571"/>
      <c r="AE908" s="571"/>
      <c r="AF908" s="571"/>
      <c r="AG908" s="571"/>
      <c r="AH908" s="571"/>
      <c r="AI908" s="571"/>
      <c r="AJ908" s="571"/>
      <c r="AK908" s="571"/>
      <c r="AL908" s="571"/>
      <c r="AM908" s="571"/>
      <c r="AN908" s="571"/>
      <c r="AO908" s="571"/>
    </row>
    <row r="909">
      <c r="G909" s="571"/>
      <c r="H909" s="571"/>
      <c r="I909" s="571"/>
      <c r="J909" s="571"/>
      <c r="K909" s="571"/>
      <c r="L909" s="571"/>
      <c r="M909" s="571"/>
      <c r="N909" s="571"/>
      <c r="O909" s="571"/>
      <c r="P909" s="571"/>
      <c r="Q909" s="571"/>
      <c r="R909" s="571"/>
      <c r="S909" s="571"/>
      <c r="T909" s="571"/>
      <c r="U909" s="571"/>
      <c r="V909" s="571"/>
      <c r="W909" s="571"/>
      <c r="X909" s="571"/>
      <c r="Y909" s="571"/>
      <c r="Z909" s="571"/>
      <c r="AA909" s="571"/>
      <c r="AB909" s="571"/>
      <c r="AC909" s="571"/>
      <c r="AD909" s="571"/>
      <c r="AE909" s="571"/>
      <c r="AF909" s="571"/>
      <c r="AG909" s="571"/>
      <c r="AH909" s="571"/>
      <c r="AI909" s="571"/>
      <c r="AJ909" s="571"/>
      <c r="AK909" s="571"/>
      <c r="AL909" s="571"/>
      <c r="AM909" s="571"/>
      <c r="AN909" s="571"/>
      <c r="AO909" s="571"/>
    </row>
    <row r="910">
      <c r="G910" s="571"/>
      <c r="H910" s="571"/>
      <c r="I910" s="571"/>
      <c r="J910" s="571"/>
      <c r="K910" s="571"/>
      <c r="L910" s="571"/>
      <c r="M910" s="571"/>
      <c r="N910" s="571"/>
      <c r="O910" s="571"/>
      <c r="P910" s="571"/>
      <c r="Q910" s="571"/>
      <c r="R910" s="571"/>
      <c r="S910" s="571"/>
      <c r="T910" s="571"/>
      <c r="U910" s="571"/>
      <c r="V910" s="571"/>
      <c r="W910" s="571"/>
      <c r="X910" s="571"/>
      <c r="Y910" s="571"/>
      <c r="Z910" s="571"/>
      <c r="AA910" s="571"/>
      <c r="AB910" s="571"/>
      <c r="AC910" s="571"/>
      <c r="AD910" s="571"/>
      <c r="AE910" s="571"/>
      <c r="AF910" s="571"/>
      <c r="AG910" s="571"/>
      <c r="AH910" s="571"/>
      <c r="AI910" s="571"/>
      <c r="AJ910" s="571"/>
      <c r="AK910" s="571"/>
      <c r="AL910" s="571"/>
      <c r="AM910" s="571"/>
      <c r="AN910" s="571"/>
      <c r="AO910" s="571"/>
    </row>
    <row r="911">
      <c r="G911" s="571"/>
      <c r="H911" s="571"/>
      <c r="I911" s="571"/>
      <c r="J911" s="571"/>
      <c r="K911" s="571"/>
      <c r="L911" s="571"/>
      <c r="M911" s="571"/>
      <c r="N911" s="571"/>
      <c r="O911" s="571"/>
      <c r="P911" s="571"/>
      <c r="Q911" s="571"/>
      <c r="R911" s="571"/>
      <c r="S911" s="571"/>
      <c r="T911" s="571"/>
      <c r="U911" s="571"/>
      <c r="V911" s="571"/>
      <c r="W911" s="571"/>
      <c r="X911" s="571"/>
      <c r="Y911" s="571"/>
      <c r="Z911" s="571"/>
      <c r="AA911" s="571"/>
      <c r="AB911" s="571"/>
      <c r="AC911" s="571"/>
      <c r="AD911" s="571"/>
      <c r="AE911" s="571"/>
      <c r="AF911" s="571"/>
      <c r="AG911" s="571"/>
      <c r="AH911" s="571"/>
      <c r="AI911" s="571"/>
      <c r="AJ911" s="571"/>
      <c r="AK911" s="571"/>
      <c r="AL911" s="571"/>
      <c r="AM911" s="571"/>
      <c r="AN911" s="571"/>
      <c r="AO911" s="571"/>
    </row>
    <row r="912">
      <c r="G912" s="571"/>
      <c r="H912" s="571"/>
      <c r="I912" s="571"/>
      <c r="J912" s="571"/>
      <c r="K912" s="571"/>
      <c r="L912" s="571"/>
      <c r="M912" s="571"/>
      <c r="N912" s="571"/>
      <c r="O912" s="571"/>
      <c r="P912" s="571"/>
      <c r="Q912" s="571"/>
      <c r="R912" s="571"/>
      <c r="S912" s="571"/>
      <c r="T912" s="571"/>
      <c r="U912" s="571"/>
      <c r="V912" s="571"/>
      <c r="W912" s="571"/>
      <c r="X912" s="571"/>
      <c r="Y912" s="571"/>
      <c r="Z912" s="571"/>
      <c r="AA912" s="571"/>
      <c r="AB912" s="571"/>
      <c r="AC912" s="571"/>
      <c r="AD912" s="571"/>
      <c r="AE912" s="571"/>
      <c r="AF912" s="571"/>
      <c r="AG912" s="571"/>
      <c r="AH912" s="571"/>
      <c r="AI912" s="571"/>
      <c r="AJ912" s="571"/>
      <c r="AK912" s="571"/>
      <c r="AL912" s="571"/>
      <c r="AM912" s="571"/>
      <c r="AN912" s="571"/>
      <c r="AO912" s="571"/>
    </row>
    <row r="913">
      <c r="G913" s="571"/>
      <c r="H913" s="571"/>
      <c r="I913" s="571"/>
      <c r="J913" s="571"/>
      <c r="K913" s="571"/>
      <c r="L913" s="571"/>
      <c r="M913" s="571"/>
      <c r="N913" s="571"/>
      <c r="O913" s="571"/>
      <c r="P913" s="571"/>
      <c r="Q913" s="571"/>
      <c r="R913" s="571"/>
      <c r="S913" s="571"/>
      <c r="T913" s="571"/>
      <c r="U913" s="571"/>
      <c r="V913" s="571"/>
      <c r="W913" s="571"/>
      <c r="X913" s="571"/>
      <c r="Y913" s="571"/>
      <c r="Z913" s="571"/>
      <c r="AA913" s="571"/>
      <c r="AB913" s="571"/>
      <c r="AC913" s="571"/>
      <c r="AD913" s="571"/>
      <c r="AE913" s="571"/>
      <c r="AF913" s="571"/>
      <c r="AG913" s="571"/>
      <c r="AH913" s="571"/>
      <c r="AI913" s="571"/>
      <c r="AJ913" s="571"/>
      <c r="AK913" s="571"/>
      <c r="AL913" s="571"/>
      <c r="AM913" s="571"/>
      <c r="AN913" s="571"/>
      <c r="AO913" s="571"/>
    </row>
    <row r="914">
      <c r="G914" s="571"/>
      <c r="H914" s="571"/>
      <c r="I914" s="571"/>
      <c r="J914" s="571"/>
      <c r="K914" s="571"/>
      <c r="L914" s="571"/>
      <c r="M914" s="571"/>
      <c r="N914" s="571"/>
      <c r="O914" s="571"/>
      <c r="P914" s="571"/>
      <c r="Q914" s="571"/>
      <c r="R914" s="571"/>
      <c r="S914" s="571"/>
      <c r="T914" s="571"/>
      <c r="U914" s="571"/>
      <c r="V914" s="571"/>
      <c r="W914" s="571"/>
      <c r="X914" s="571"/>
      <c r="Y914" s="571"/>
      <c r="Z914" s="571"/>
      <c r="AA914" s="571"/>
      <c r="AB914" s="571"/>
      <c r="AC914" s="571"/>
      <c r="AD914" s="571"/>
      <c r="AE914" s="571"/>
      <c r="AF914" s="571"/>
      <c r="AG914" s="571"/>
      <c r="AH914" s="571"/>
      <c r="AI914" s="571"/>
      <c r="AJ914" s="571"/>
      <c r="AK914" s="571"/>
      <c r="AL914" s="571"/>
      <c r="AM914" s="571"/>
      <c r="AN914" s="571"/>
      <c r="AO914" s="571"/>
    </row>
    <row r="915">
      <c r="G915" s="571"/>
      <c r="H915" s="571"/>
      <c r="I915" s="571"/>
      <c r="J915" s="571"/>
      <c r="K915" s="571"/>
      <c r="L915" s="571"/>
      <c r="M915" s="571"/>
      <c r="N915" s="571"/>
      <c r="O915" s="571"/>
      <c r="P915" s="571"/>
      <c r="Q915" s="571"/>
      <c r="R915" s="571"/>
      <c r="S915" s="571"/>
      <c r="T915" s="571"/>
      <c r="U915" s="571"/>
      <c r="V915" s="571"/>
      <c r="W915" s="571"/>
      <c r="X915" s="571"/>
      <c r="Y915" s="571"/>
      <c r="Z915" s="571"/>
      <c r="AA915" s="571"/>
      <c r="AB915" s="571"/>
      <c r="AC915" s="571"/>
      <c r="AD915" s="571"/>
      <c r="AE915" s="571"/>
      <c r="AF915" s="571"/>
      <c r="AG915" s="571"/>
      <c r="AH915" s="571"/>
      <c r="AI915" s="571"/>
      <c r="AJ915" s="571"/>
      <c r="AK915" s="571"/>
      <c r="AL915" s="571"/>
      <c r="AM915" s="571"/>
      <c r="AN915" s="571"/>
      <c r="AO915" s="571"/>
    </row>
    <row r="916">
      <c r="G916" s="571"/>
      <c r="H916" s="571"/>
      <c r="I916" s="571"/>
      <c r="J916" s="571"/>
      <c r="K916" s="571"/>
      <c r="L916" s="571"/>
      <c r="M916" s="571"/>
      <c r="N916" s="571"/>
      <c r="O916" s="571"/>
      <c r="P916" s="571"/>
      <c r="Q916" s="571"/>
      <c r="R916" s="571"/>
      <c r="S916" s="571"/>
      <c r="T916" s="571"/>
      <c r="U916" s="571"/>
      <c r="V916" s="571"/>
      <c r="W916" s="571"/>
      <c r="X916" s="571"/>
      <c r="Y916" s="571"/>
      <c r="Z916" s="571"/>
      <c r="AA916" s="571"/>
      <c r="AB916" s="571"/>
      <c r="AC916" s="571"/>
      <c r="AD916" s="571"/>
      <c r="AE916" s="571"/>
      <c r="AF916" s="571"/>
      <c r="AG916" s="571"/>
      <c r="AH916" s="571"/>
      <c r="AI916" s="571"/>
      <c r="AJ916" s="571"/>
      <c r="AK916" s="571"/>
      <c r="AL916" s="571"/>
      <c r="AM916" s="571"/>
      <c r="AN916" s="571"/>
      <c r="AO916" s="571"/>
    </row>
    <row r="917">
      <c r="G917" s="571"/>
      <c r="H917" s="571"/>
      <c r="I917" s="571"/>
      <c r="J917" s="571"/>
      <c r="K917" s="571"/>
      <c r="L917" s="571"/>
      <c r="M917" s="571"/>
      <c r="N917" s="571"/>
      <c r="O917" s="571"/>
      <c r="P917" s="571"/>
      <c r="Q917" s="571"/>
      <c r="R917" s="571"/>
      <c r="S917" s="571"/>
      <c r="T917" s="571"/>
      <c r="U917" s="571"/>
      <c r="V917" s="571"/>
      <c r="W917" s="571"/>
      <c r="X917" s="571"/>
      <c r="Y917" s="571"/>
      <c r="Z917" s="571"/>
      <c r="AA917" s="571"/>
      <c r="AB917" s="571"/>
      <c r="AC917" s="571"/>
      <c r="AD917" s="571"/>
      <c r="AE917" s="571"/>
      <c r="AF917" s="571"/>
      <c r="AG917" s="571"/>
      <c r="AH917" s="571"/>
      <c r="AI917" s="571"/>
      <c r="AJ917" s="571"/>
      <c r="AK917" s="571"/>
      <c r="AL917" s="571"/>
      <c r="AM917" s="571"/>
      <c r="AN917" s="571"/>
      <c r="AO917" s="571"/>
    </row>
    <row r="918">
      <c r="G918" s="571"/>
      <c r="H918" s="571"/>
      <c r="I918" s="571"/>
      <c r="J918" s="571"/>
      <c r="K918" s="571"/>
      <c r="L918" s="571"/>
      <c r="M918" s="571"/>
      <c r="N918" s="571"/>
      <c r="O918" s="571"/>
      <c r="P918" s="571"/>
      <c r="Q918" s="571"/>
      <c r="R918" s="571"/>
      <c r="S918" s="571"/>
      <c r="T918" s="571"/>
      <c r="U918" s="571"/>
      <c r="V918" s="571"/>
      <c r="W918" s="571"/>
      <c r="X918" s="571"/>
      <c r="Y918" s="571"/>
      <c r="Z918" s="571"/>
      <c r="AA918" s="571"/>
      <c r="AB918" s="571"/>
      <c r="AC918" s="571"/>
      <c r="AD918" s="571"/>
      <c r="AE918" s="571"/>
      <c r="AF918" s="571"/>
      <c r="AG918" s="571"/>
      <c r="AH918" s="571"/>
      <c r="AI918" s="571"/>
      <c r="AJ918" s="571"/>
      <c r="AK918" s="571"/>
      <c r="AL918" s="571"/>
      <c r="AM918" s="571"/>
      <c r="AN918" s="571"/>
      <c r="AO918" s="571"/>
    </row>
    <row r="919">
      <c r="G919" s="571"/>
      <c r="H919" s="571"/>
      <c r="I919" s="571"/>
      <c r="J919" s="571"/>
      <c r="K919" s="571"/>
      <c r="L919" s="571"/>
      <c r="M919" s="571"/>
      <c r="N919" s="571"/>
      <c r="O919" s="571"/>
      <c r="P919" s="571"/>
      <c r="Q919" s="571"/>
      <c r="R919" s="571"/>
      <c r="S919" s="571"/>
      <c r="T919" s="571"/>
      <c r="U919" s="571"/>
      <c r="V919" s="571"/>
      <c r="W919" s="571"/>
      <c r="X919" s="571"/>
      <c r="Y919" s="571"/>
      <c r="Z919" s="571"/>
      <c r="AA919" s="571"/>
      <c r="AB919" s="571"/>
      <c r="AC919" s="571"/>
      <c r="AD919" s="571"/>
      <c r="AE919" s="571"/>
      <c r="AF919" s="571"/>
      <c r="AG919" s="571"/>
      <c r="AH919" s="571"/>
      <c r="AI919" s="571"/>
      <c r="AJ919" s="571"/>
      <c r="AK919" s="571"/>
      <c r="AL919" s="571"/>
      <c r="AM919" s="571"/>
      <c r="AN919" s="571"/>
      <c r="AO919" s="571"/>
    </row>
    <row r="920">
      <c r="G920" s="571"/>
      <c r="H920" s="571"/>
      <c r="I920" s="571"/>
      <c r="J920" s="571"/>
      <c r="K920" s="571"/>
      <c r="L920" s="571"/>
      <c r="M920" s="571"/>
      <c r="N920" s="571"/>
      <c r="O920" s="571"/>
      <c r="P920" s="571"/>
      <c r="Q920" s="571"/>
      <c r="R920" s="571"/>
      <c r="S920" s="571"/>
      <c r="T920" s="571"/>
      <c r="U920" s="571"/>
      <c r="V920" s="571"/>
      <c r="W920" s="571"/>
      <c r="X920" s="571"/>
      <c r="Y920" s="571"/>
      <c r="Z920" s="571"/>
      <c r="AA920" s="571"/>
      <c r="AB920" s="571"/>
      <c r="AC920" s="571"/>
      <c r="AD920" s="571"/>
      <c r="AE920" s="571"/>
      <c r="AF920" s="571"/>
      <c r="AG920" s="571"/>
      <c r="AH920" s="571"/>
      <c r="AI920" s="571"/>
      <c r="AJ920" s="571"/>
      <c r="AK920" s="571"/>
      <c r="AL920" s="571"/>
      <c r="AM920" s="571"/>
      <c r="AN920" s="571"/>
      <c r="AO920" s="571"/>
    </row>
    <row r="921">
      <c r="G921" s="571"/>
      <c r="H921" s="571"/>
      <c r="I921" s="571"/>
      <c r="J921" s="571"/>
      <c r="K921" s="571"/>
      <c r="L921" s="571"/>
      <c r="M921" s="571"/>
      <c r="N921" s="571"/>
      <c r="O921" s="571"/>
      <c r="P921" s="571"/>
      <c r="Q921" s="571"/>
      <c r="R921" s="571"/>
      <c r="S921" s="571"/>
      <c r="T921" s="571"/>
      <c r="U921" s="571"/>
      <c r="V921" s="571"/>
      <c r="W921" s="571"/>
      <c r="X921" s="571"/>
      <c r="Y921" s="571"/>
      <c r="Z921" s="571"/>
      <c r="AA921" s="571"/>
      <c r="AB921" s="571"/>
      <c r="AC921" s="571"/>
      <c r="AD921" s="571"/>
      <c r="AE921" s="571"/>
      <c r="AF921" s="571"/>
      <c r="AG921" s="571"/>
      <c r="AH921" s="571"/>
      <c r="AI921" s="571"/>
      <c r="AJ921" s="571"/>
      <c r="AK921" s="571"/>
      <c r="AL921" s="571"/>
      <c r="AM921" s="571"/>
      <c r="AN921" s="571"/>
      <c r="AO921" s="571"/>
    </row>
    <row r="922">
      <c r="G922" s="571"/>
      <c r="H922" s="571"/>
      <c r="I922" s="571"/>
      <c r="J922" s="571"/>
      <c r="K922" s="571"/>
      <c r="L922" s="571"/>
      <c r="M922" s="571"/>
      <c r="N922" s="571"/>
      <c r="O922" s="571"/>
      <c r="P922" s="571"/>
      <c r="Q922" s="571"/>
      <c r="R922" s="571"/>
      <c r="S922" s="571"/>
      <c r="T922" s="571"/>
      <c r="U922" s="571"/>
      <c r="V922" s="571"/>
      <c r="W922" s="571"/>
      <c r="X922" s="571"/>
      <c r="Y922" s="571"/>
      <c r="Z922" s="571"/>
      <c r="AA922" s="571"/>
      <c r="AB922" s="571"/>
      <c r="AC922" s="571"/>
      <c r="AD922" s="571"/>
      <c r="AE922" s="571"/>
      <c r="AF922" s="571"/>
      <c r="AG922" s="571"/>
      <c r="AH922" s="571"/>
      <c r="AI922" s="571"/>
      <c r="AJ922" s="571"/>
      <c r="AK922" s="571"/>
      <c r="AL922" s="571"/>
      <c r="AM922" s="571"/>
      <c r="AN922" s="571"/>
      <c r="AO922" s="571"/>
    </row>
    <row r="923">
      <c r="G923" s="571"/>
      <c r="H923" s="571"/>
      <c r="I923" s="571"/>
      <c r="J923" s="571"/>
      <c r="K923" s="571"/>
      <c r="L923" s="571"/>
      <c r="M923" s="571"/>
      <c r="N923" s="571"/>
      <c r="O923" s="571"/>
      <c r="P923" s="571"/>
      <c r="Q923" s="571"/>
      <c r="R923" s="571"/>
      <c r="S923" s="571"/>
      <c r="T923" s="571"/>
      <c r="U923" s="571"/>
      <c r="V923" s="571"/>
      <c r="W923" s="571"/>
      <c r="X923" s="571"/>
      <c r="Y923" s="571"/>
      <c r="Z923" s="571"/>
      <c r="AA923" s="571"/>
      <c r="AB923" s="571"/>
      <c r="AC923" s="571"/>
      <c r="AD923" s="571"/>
      <c r="AE923" s="571"/>
      <c r="AF923" s="571"/>
      <c r="AG923" s="571"/>
      <c r="AH923" s="571"/>
      <c r="AI923" s="571"/>
      <c r="AJ923" s="571"/>
      <c r="AK923" s="571"/>
      <c r="AL923" s="571"/>
      <c r="AM923" s="571"/>
      <c r="AN923" s="571"/>
      <c r="AO923" s="571"/>
    </row>
    <row r="924">
      <c r="G924" s="571"/>
      <c r="H924" s="571"/>
      <c r="I924" s="571"/>
      <c r="J924" s="571"/>
      <c r="K924" s="571"/>
      <c r="L924" s="571"/>
      <c r="M924" s="571"/>
      <c r="N924" s="571"/>
      <c r="O924" s="571"/>
      <c r="P924" s="571"/>
      <c r="Q924" s="571"/>
      <c r="R924" s="571"/>
      <c r="S924" s="571"/>
      <c r="T924" s="571"/>
      <c r="U924" s="571"/>
      <c r="V924" s="571"/>
      <c r="W924" s="571"/>
      <c r="X924" s="571"/>
      <c r="Y924" s="571"/>
      <c r="Z924" s="571"/>
      <c r="AA924" s="571"/>
      <c r="AB924" s="571"/>
      <c r="AC924" s="571"/>
      <c r="AD924" s="571"/>
      <c r="AE924" s="571"/>
      <c r="AF924" s="571"/>
      <c r="AG924" s="571"/>
      <c r="AH924" s="571"/>
      <c r="AI924" s="571"/>
      <c r="AJ924" s="571"/>
      <c r="AK924" s="571"/>
      <c r="AL924" s="571"/>
      <c r="AM924" s="571"/>
      <c r="AN924" s="571"/>
      <c r="AO924" s="571"/>
    </row>
    <row r="925">
      <c r="G925" s="571"/>
      <c r="H925" s="571"/>
      <c r="I925" s="571"/>
      <c r="J925" s="571"/>
      <c r="K925" s="571"/>
      <c r="L925" s="571"/>
      <c r="M925" s="571"/>
      <c r="N925" s="571"/>
      <c r="O925" s="571"/>
      <c r="P925" s="571"/>
      <c r="Q925" s="571"/>
      <c r="R925" s="571"/>
      <c r="S925" s="571"/>
      <c r="T925" s="571"/>
      <c r="U925" s="571"/>
      <c r="V925" s="571"/>
      <c r="W925" s="571"/>
      <c r="X925" s="571"/>
      <c r="Y925" s="571"/>
      <c r="Z925" s="571"/>
      <c r="AA925" s="571"/>
      <c r="AB925" s="571"/>
      <c r="AC925" s="571"/>
      <c r="AD925" s="571"/>
      <c r="AE925" s="571"/>
      <c r="AF925" s="571"/>
      <c r="AG925" s="571"/>
      <c r="AH925" s="571"/>
      <c r="AI925" s="571"/>
      <c r="AJ925" s="571"/>
      <c r="AK925" s="571"/>
      <c r="AL925" s="571"/>
      <c r="AM925" s="571"/>
      <c r="AN925" s="571"/>
      <c r="AO925" s="571"/>
    </row>
    <row r="926">
      <c r="G926" s="571"/>
      <c r="H926" s="571"/>
      <c r="I926" s="571"/>
      <c r="J926" s="571"/>
      <c r="K926" s="571"/>
      <c r="L926" s="571"/>
      <c r="M926" s="571"/>
      <c r="N926" s="571"/>
      <c r="O926" s="571"/>
      <c r="P926" s="571"/>
      <c r="Q926" s="571"/>
      <c r="R926" s="571"/>
      <c r="S926" s="571"/>
      <c r="T926" s="571"/>
      <c r="U926" s="571"/>
      <c r="V926" s="571"/>
      <c r="W926" s="571"/>
      <c r="X926" s="571"/>
      <c r="Y926" s="571"/>
      <c r="Z926" s="571"/>
      <c r="AA926" s="571"/>
      <c r="AB926" s="571"/>
      <c r="AC926" s="571"/>
      <c r="AD926" s="571"/>
      <c r="AE926" s="571"/>
      <c r="AF926" s="571"/>
      <c r="AG926" s="571"/>
      <c r="AH926" s="571"/>
      <c r="AI926" s="571"/>
      <c r="AJ926" s="571"/>
      <c r="AK926" s="571"/>
      <c r="AL926" s="571"/>
      <c r="AM926" s="571"/>
      <c r="AN926" s="571"/>
      <c r="AO926" s="571"/>
    </row>
    <row r="927">
      <c r="G927" s="571"/>
      <c r="H927" s="571"/>
      <c r="I927" s="571"/>
      <c r="J927" s="571"/>
      <c r="K927" s="571"/>
      <c r="L927" s="571"/>
      <c r="M927" s="571"/>
      <c r="N927" s="571"/>
      <c r="O927" s="571"/>
      <c r="P927" s="571"/>
      <c r="Q927" s="571"/>
      <c r="R927" s="571"/>
      <c r="S927" s="571"/>
      <c r="T927" s="571"/>
      <c r="U927" s="571"/>
      <c r="V927" s="571"/>
      <c r="W927" s="571"/>
      <c r="X927" s="571"/>
      <c r="Y927" s="571"/>
      <c r="Z927" s="571"/>
      <c r="AA927" s="571"/>
      <c r="AB927" s="571"/>
      <c r="AC927" s="571"/>
      <c r="AD927" s="571"/>
      <c r="AE927" s="571"/>
      <c r="AF927" s="571"/>
      <c r="AG927" s="571"/>
      <c r="AH927" s="571"/>
      <c r="AI927" s="571"/>
      <c r="AJ927" s="571"/>
      <c r="AK927" s="571"/>
      <c r="AL927" s="571"/>
      <c r="AM927" s="571"/>
      <c r="AN927" s="571"/>
      <c r="AO927" s="571"/>
    </row>
    <row r="928">
      <c r="G928" s="571"/>
      <c r="H928" s="571"/>
      <c r="I928" s="571"/>
      <c r="J928" s="571"/>
      <c r="K928" s="571"/>
      <c r="L928" s="571"/>
      <c r="M928" s="571"/>
      <c r="N928" s="571"/>
      <c r="O928" s="571"/>
      <c r="P928" s="571"/>
      <c r="Q928" s="571"/>
      <c r="R928" s="571"/>
      <c r="S928" s="571"/>
      <c r="T928" s="571"/>
      <c r="U928" s="571"/>
      <c r="V928" s="571"/>
      <c r="W928" s="571"/>
      <c r="X928" s="571"/>
      <c r="Y928" s="571"/>
      <c r="Z928" s="571"/>
      <c r="AA928" s="571"/>
      <c r="AB928" s="571"/>
      <c r="AC928" s="571"/>
      <c r="AD928" s="571"/>
      <c r="AE928" s="571"/>
      <c r="AF928" s="571"/>
      <c r="AG928" s="571"/>
      <c r="AH928" s="571"/>
      <c r="AI928" s="571"/>
      <c r="AJ928" s="571"/>
      <c r="AK928" s="571"/>
      <c r="AL928" s="571"/>
      <c r="AM928" s="571"/>
      <c r="AN928" s="571"/>
      <c r="AO928" s="571"/>
    </row>
    <row r="929">
      <c r="G929" s="571"/>
      <c r="H929" s="571"/>
      <c r="I929" s="571"/>
      <c r="J929" s="571"/>
      <c r="K929" s="571"/>
      <c r="L929" s="571"/>
      <c r="M929" s="571"/>
      <c r="N929" s="571"/>
      <c r="O929" s="571"/>
      <c r="P929" s="571"/>
      <c r="Q929" s="571"/>
      <c r="R929" s="571"/>
      <c r="S929" s="571"/>
      <c r="T929" s="571"/>
      <c r="U929" s="571"/>
      <c r="V929" s="571"/>
      <c r="W929" s="571"/>
      <c r="X929" s="571"/>
      <c r="Y929" s="571"/>
      <c r="Z929" s="571"/>
      <c r="AA929" s="571"/>
      <c r="AB929" s="571"/>
      <c r="AC929" s="571"/>
      <c r="AD929" s="571"/>
      <c r="AE929" s="571"/>
      <c r="AF929" s="571"/>
      <c r="AG929" s="571"/>
      <c r="AH929" s="571"/>
      <c r="AI929" s="571"/>
      <c r="AJ929" s="571"/>
      <c r="AK929" s="571"/>
      <c r="AL929" s="571"/>
      <c r="AM929" s="571"/>
      <c r="AN929" s="571"/>
      <c r="AO929" s="571"/>
    </row>
    <row r="930">
      <c r="G930" s="571"/>
      <c r="H930" s="571"/>
      <c r="I930" s="571"/>
      <c r="J930" s="571"/>
      <c r="K930" s="571"/>
      <c r="L930" s="571"/>
      <c r="M930" s="571"/>
      <c r="N930" s="571"/>
      <c r="O930" s="571"/>
      <c r="P930" s="571"/>
      <c r="Q930" s="571"/>
      <c r="R930" s="571"/>
      <c r="S930" s="571"/>
      <c r="T930" s="571"/>
      <c r="U930" s="571"/>
      <c r="V930" s="571"/>
      <c r="W930" s="571"/>
      <c r="X930" s="571"/>
      <c r="Y930" s="571"/>
      <c r="Z930" s="571"/>
      <c r="AA930" s="571"/>
      <c r="AB930" s="571"/>
      <c r="AC930" s="571"/>
      <c r="AD930" s="571"/>
      <c r="AE930" s="571"/>
      <c r="AF930" s="571"/>
      <c r="AG930" s="571"/>
      <c r="AH930" s="571"/>
      <c r="AI930" s="571"/>
      <c r="AJ930" s="571"/>
      <c r="AK930" s="571"/>
      <c r="AL930" s="571"/>
      <c r="AM930" s="571"/>
      <c r="AN930" s="571"/>
      <c r="AO930" s="571"/>
    </row>
    <row r="931">
      <c r="G931" s="571"/>
      <c r="H931" s="571"/>
      <c r="I931" s="571"/>
      <c r="J931" s="571"/>
      <c r="K931" s="571"/>
      <c r="L931" s="571"/>
      <c r="M931" s="571"/>
      <c r="N931" s="571"/>
      <c r="O931" s="571"/>
      <c r="P931" s="571"/>
      <c r="Q931" s="571"/>
      <c r="R931" s="571"/>
      <c r="S931" s="571"/>
      <c r="T931" s="571"/>
      <c r="U931" s="571"/>
      <c r="V931" s="571"/>
      <c r="W931" s="571"/>
      <c r="X931" s="571"/>
      <c r="Y931" s="571"/>
      <c r="Z931" s="571"/>
      <c r="AA931" s="571"/>
      <c r="AB931" s="571"/>
      <c r="AC931" s="571"/>
      <c r="AD931" s="571"/>
      <c r="AE931" s="571"/>
      <c r="AF931" s="571"/>
      <c r="AG931" s="571"/>
      <c r="AH931" s="571"/>
      <c r="AI931" s="571"/>
      <c r="AJ931" s="571"/>
      <c r="AK931" s="571"/>
      <c r="AL931" s="571"/>
      <c r="AM931" s="571"/>
      <c r="AN931" s="571"/>
      <c r="AO931" s="571"/>
    </row>
    <row r="932">
      <c r="G932" s="571"/>
      <c r="H932" s="571"/>
      <c r="I932" s="571"/>
      <c r="J932" s="571"/>
      <c r="K932" s="571"/>
      <c r="L932" s="571"/>
      <c r="M932" s="571"/>
      <c r="N932" s="571"/>
      <c r="O932" s="571"/>
      <c r="P932" s="571"/>
      <c r="Q932" s="571"/>
      <c r="R932" s="571"/>
      <c r="S932" s="571"/>
      <c r="T932" s="571"/>
      <c r="U932" s="571"/>
      <c r="V932" s="571"/>
      <c r="W932" s="571"/>
      <c r="X932" s="571"/>
      <c r="Y932" s="571"/>
      <c r="Z932" s="571"/>
      <c r="AA932" s="571"/>
      <c r="AB932" s="571"/>
      <c r="AC932" s="571"/>
      <c r="AD932" s="571"/>
      <c r="AE932" s="571"/>
      <c r="AF932" s="571"/>
      <c r="AG932" s="571"/>
      <c r="AH932" s="571"/>
      <c r="AI932" s="571"/>
      <c r="AJ932" s="571"/>
      <c r="AK932" s="571"/>
      <c r="AL932" s="571"/>
      <c r="AM932" s="571"/>
      <c r="AN932" s="571"/>
      <c r="AO932" s="571"/>
    </row>
    <row r="933">
      <c r="G933" s="571"/>
      <c r="H933" s="571"/>
      <c r="I933" s="571"/>
      <c r="J933" s="571"/>
      <c r="K933" s="571"/>
      <c r="L933" s="571"/>
      <c r="M933" s="571"/>
      <c r="N933" s="571"/>
      <c r="O933" s="571"/>
      <c r="P933" s="571"/>
      <c r="Q933" s="571"/>
      <c r="R933" s="571"/>
      <c r="S933" s="571"/>
      <c r="T933" s="571"/>
      <c r="U933" s="571"/>
      <c r="V933" s="571"/>
      <c r="W933" s="571"/>
      <c r="X933" s="571"/>
      <c r="Y933" s="571"/>
      <c r="Z933" s="571"/>
      <c r="AA933" s="571"/>
      <c r="AB933" s="571"/>
      <c r="AC933" s="571"/>
      <c r="AD933" s="571"/>
      <c r="AE933" s="571"/>
      <c r="AF933" s="571"/>
      <c r="AG933" s="571"/>
      <c r="AH933" s="571"/>
      <c r="AI933" s="571"/>
      <c r="AJ933" s="571"/>
      <c r="AK933" s="571"/>
      <c r="AL933" s="571"/>
      <c r="AM933" s="571"/>
      <c r="AN933" s="571"/>
      <c r="AO933" s="571"/>
    </row>
    <row r="934">
      <c r="G934" s="571"/>
      <c r="H934" s="571"/>
      <c r="I934" s="571"/>
      <c r="J934" s="571"/>
      <c r="K934" s="571"/>
      <c r="L934" s="571"/>
      <c r="M934" s="571"/>
      <c r="N934" s="571"/>
      <c r="O934" s="571"/>
      <c r="P934" s="571"/>
      <c r="Q934" s="571"/>
      <c r="R934" s="571"/>
      <c r="S934" s="571"/>
      <c r="T934" s="571"/>
      <c r="U934" s="571"/>
      <c r="V934" s="571"/>
      <c r="W934" s="571"/>
      <c r="X934" s="571"/>
      <c r="Y934" s="571"/>
      <c r="Z934" s="571"/>
      <c r="AA934" s="571"/>
      <c r="AB934" s="571"/>
      <c r="AC934" s="571"/>
      <c r="AD934" s="571"/>
      <c r="AE934" s="571"/>
      <c r="AF934" s="571"/>
      <c r="AG934" s="571"/>
      <c r="AH934" s="571"/>
      <c r="AI934" s="571"/>
      <c r="AJ934" s="571"/>
      <c r="AK934" s="571"/>
      <c r="AL934" s="571"/>
      <c r="AM934" s="571"/>
      <c r="AN934" s="571"/>
      <c r="AO934" s="571"/>
    </row>
    <row r="935">
      <c r="G935" s="571"/>
      <c r="H935" s="571"/>
      <c r="I935" s="571"/>
      <c r="J935" s="571"/>
      <c r="K935" s="571"/>
      <c r="L935" s="571"/>
      <c r="M935" s="571"/>
      <c r="N935" s="571"/>
      <c r="O935" s="571"/>
      <c r="P935" s="571"/>
      <c r="Q935" s="571"/>
      <c r="R935" s="571"/>
      <c r="S935" s="571"/>
      <c r="T935" s="571"/>
      <c r="U935" s="571"/>
      <c r="V935" s="571"/>
      <c r="W935" s="571"/>
      <c r="X935" s="571"/>
      <c r="Y935" s="571"/>
      <c r="Z935" s="571"/>
      <c r="AA935" s="571"/>
      <c r="AB935" s="571"/>
      <c r="AC935" s="571"/>
      <c r="AD935" s="571"/>
      <c r="AE935" s="571"/>
      <c r="AF935" s="571"/>
      <c r="AG935" s="571"/>
      <c r="AH935" s="571"/>
      <c r="AI935" s="571"/>
      <c r="AJ935" s="571"/>
      <c r="AK935" s="571"/>
      <c r="AL935" s="571"/>
      <c r="AM935" s="571"/>
      <c r="AN935" s="571"/>
      <c r="AO935" s="571"/>
    </row>
    <row r="936">
      <c r="G936" s="571"/>
      <c r="H936" s="571"/>
      <c r="I936" s="571"/>
      <c r="J936" s="571"/>
      <c r="K936" s="571"/>
      <c r="L936" s="571"/>
      <c r="M936" s="571"/>
      <c r="N936" s="571"/>
      <c r="O936" s="571"/>
      <c r="P936" s="571"/>
      <c r="Q936" s="571"/>
      <c r="R936" s="571"/>
      <c r="S936" s="571"/>
      <c r="T936" s="571"/>
      <c r="U936" s="571"/>
      <c r="V936" s="571"/>
      <c r="W936" s="571"/>
      <c r="X936" s="571"/>
      <c r="Y936" s="571"/>
      <c r="Z936" s="571"/>
      <c r="AA936" s="571"/>
      <c r="AB936" s="571"/>
      <c r="AC936" s="571"/>
      <c r="AD936" s="571"/>
      <c r="AE936" s="571"/>
      <c r="AF936" s="571"/>
      <c r="AG936" s="571"/>
      <c r="AH936" s="571"/>
      <c r="AI936" s="571"/>
      <c r="AJ936" s="571"/>
      <c r="AK936" s="571"/>
      <c r="AL936" s="571"/>
      <c r="AM936" s="571"/>
      <c r="AN936" s="571"/>
      <c r="AO936" s="571"/>
    </row>
    <row r="937">
      <c r="G937" s="571"/>
      <c r="H937" s="571"/>
      <c r="I937" s="571"/>
      <c r="J937" s="571"/>
      <c r="K937" s="571"/>
      <c r="L937" s="571"/>
      <c r="M937" s="571"/>
      <c r="N937" s="571"/>
      <c r="O937" s="571"/>
      <c r="P937" s="571"/>
      <c r="Q937" s="571"/>
      <c r="R937" s="571"/>
      <c r="S937" s="571"/>
      <c r="T937" s="571"/>
      <c r="U937" s="571"/>
      <c r="V937" s="571"/>
      <c r="W937" s="571"/>
      <c r="X937" s="571"/>
      <c r="Y937" s="571"/>
      <c r="Z937" s="571"/>
      <c r="AA937" s="571"/>
      <c r="AB937" s="571"/>
      <c r="AC937" s="571"/>
      <c r="AD937" s="571"/>
      <c r="AE937" s="571"/>
      <c r="AF937" s="571"/>
      <c r="AG937" s="571"/>
      <c r="AH937" s="571"/>
      <c r="AI937" s="571"/>
      <c r="AJ937" s="571"/>
      <c r="AK937" s="571"/>
      <c r="AL937" s="571"/>
      <c r="AM937" s="571"/>
      <c r="AN937" s="571"/>
      <c r="AO937" s="571"/>
    </row>
    <row r="938">
      <c r="G938" s="571"/>
      <c r="H938" s="571"/>
      <c r="I938" s="571"/>
      <c r="J938" s="571"/>
      <c r="K938" s="571"/>
      <c r="L938" s="571"/>
      <c r="M938" s="571"/>
      <c r="N938" s="571"/>
      <c r="O938" s="571"/>
      <c r="P938" s="571"/>
      <c r="Q938" s="571"/>
      <c r="R938" s="571"/>
      <c r="S938" s="571"/>
      <c r="T938" s="571"/>
      <c r="U938" s="571"/>
      <c r="V938" s="571"/>
      <c r="W938" s="571"/>
      <c r="X938" s="571"/>
      <c r="Y938" s="571"/>
      <c r="Z938" s="571"/>
      <c r="AA938" s="571"/>
      <c r="AB938" s="571"/>
      <c r="AC938" s="571"/>
      <c r="AD938" s="571"/>
      <c r="AE938" s="571"/>
      <c r="AF938" s="571"/>
      <c r="AG938" s="571"/>
      <c r="AH938" s="571"/>
      <c r="AI938" s="571"/>
      <c r="AJ938" s="571"/>
      <c r="AK938" s="571"/>
      <c r="AL938" s="571"/>
      <c r="AM938" s="571"/>
      <c r="AN938" s="571"/>
      <c r="AO938" s="571"/>
    </row>
    <row r="939">
      <c r="G939" s="571"/>
      <c r="H939" s="571"/>
      <c r="I939" s="571"/>
      <c r="J939" s="571"/>
      <c r="K939" s="571"/>
      <c r="L939" s="571"/>
      <c r="M939" s="571"/>
      <c r="N939" s="571"/>
      <c r="O939" s="571"/>
      <c r="P939" s="571"/>
      <c r="Q939" s="571"/>
      <c r="R939" s="571"/>
      <c r="S939" s="571"/>
      <c r="T939" s="571"/>
      <c r="U939" s="571"/>
      <c r="V939" s="571"/>
      <c r="W939" s="571"/>
      <c r="X939" s="571"/>
      <c r="Y939" s="571"/>
      <c r="Z939" s="571"/>
      <c r="AA939" s="571"/>
      <c r="AB939" s="571"/>
      <c r="AC939" s="571"/>
      <c r="AD939" s="571"/>
      <c r="AE939" s="571"/>
      <c r="AF939" s="571"/>
      <c r="AG939" s="571"/>
      <c r="AH939" s="571"/>
      <c r="AI939" s="571"/>
      <c r="AJ939" s="571"/>
      <c r="AK939" s="571"/>
      <c r="AL939" s="571"/>
      <c r="AM939" s="571"/>
      <c r="AN939" s="571"/>
      <c r="AO939" s="571"/>
    </row>
    <row r="940">
      <c r="G940" s="571"/>
      <c r="H940" s="571"/>
      <c r="I940" s="571"/>
      <c r="J940" s="571"/>
      <c r="K940" s="571"/>
      <c r="L940" s="571"/>
      <c r="M940" s="571"/>
      <c r="N940" s="571"/>
      <c r="O940" s="571"/>
      <c r="P940" s="571"/>
      <c r="Q940" s="571"/>
      <c r="R940" s="571"/>
      <c r="S940" s="571"/>
      <c r="T940" s="571"/>
      <c r="U940" s="571"/>
      <c r="V940" s="571"/>
      <c r="W940" s="571"/>
      <c r="X940" s="571"/>
      <c r="Y940" s="571"/>
      <c r="Z940" s="571"/>
      <c r="AA940" s="571"/>
      <c r="AB940" s="571"/>
      <c r="AC940" s="571"/>
      <c r="AD940" s="571"/>
      <c r="AE940" s="571"/>
      <c r="AF940" s="571"/>
      <c r="AG940" s="571"/>
      <c r="AH940" s="571"/>
      <c r="AI940" s="571"/>
      <c r="AJ940" s="571"/>
      <c r="AK940" s="571"/>
      <c r="AL940" s="571"/>
      <c r="AM940" s="571"/>
      <c r="AN940" s="571"/>
      <c r="AO940" s="571"/>
    </row>
    <row r="941">
      <c r="G941" s="571"/>
      <c r="H941" s="571"/>
      <c r="I941" s="571"/>
      <c r="J941" s="571"/>
      <c r="K941" s="571"/>
      <c r="L941" s="571"/>
      <c r="M941" s="571"/>
      <c r="N941" s="571"/>
      <c r="O941" s="571"/>
      <c r="P941" s="571"/>
      <c r="Q941" s="571"/>
      <c r="R941" s="571"/>
      <c r="S941" s="571"/>
      <c r="T941" s="571"/>
      <c r="U941" s="571"/>
      <c r="V941" s="571"/>
      <c r="W941" s="571"/>
      <c r="X941" s="571"/>
      <c r="Y941" s="571"/>
      <c r="Z941" s="571"/>
      <c r="AA941" s="571"/>
      <c r="AB941" s="571"/>
      <c r="AC941" s="571"/>
      <c r="AD941" s="571"/>
      <c r="AE941" s="571"/>
      <c r="AF941" s="571"/>
      <c r="AG941" s="571"/>
      <c r="AH941" s="571"/>
      <c r="AI941" s="571"/>
      <c r="AJ941" s="571"/>
      <c r="AK941" s="571"/>
      <c r="AL941" s="571"/>
      <c r="AM941" s="571"/>
      <c r="AN941" s="571"/>
      <c r="AO941" s="571"/>
    </row>
    <row r="942">
      <c r="G942" s="571"/>
      <c r="H942" s="571"/>
      <c r="I942" s="571"/>
      <c r="J942" s="571"/>
      <c r="K942" s="571"/>
      <c r="L942" s="571"/>
      <c r="M942" s="571"/>
      <c r="N942" s="571"/>
      <c r="O942" s="571"/>
      <c r="P942" s="571"/>
      <c r="Q942" s="571"/>
      <c r="R942" s="571"/>
      <c r="S942" s="571"/>
      <c r="T942" s="571"/>
      <c r="U942" s="571"/>
      <c r="V942" s="571"/>
      <c r="W942" s="571"/>
      <c r="X942" s="571"/>
      <c r="Y942" s="571"/>
      <c r="Z942" s="571"/>
      <c r="AA942" s="571"/>
      <c r="AB942" s="571"/>
      <c r="AC942" s="571"/>
      <c r="AD942" s="571"/>
      <c r="AE942" s="571"/>
      <c r="AF942" s="571"/>
      <c r="AG942" s="571"/>
      <c r="AH942" s="571"/>
      <c r="AI942" s="571"/>
      <c r="AJ942" s="571"/>
      <c r="AK942" s="571"/>
      <c r="AL942" s="571"/>
      <c r="AM942" s="571"/>
      <c r="AN942" s="571"/>
      <c r="AO942" s="571"/>
    </row>
    <row r="943">
      <c r="G943" s="571"/>
      <c r="H943" s="571"/>
      <c r="I943" s="571"/>
      <c r="J943" s="571"/>
      <c r="K943" s="571"/>
      <c r="L943" s="571"/>
      <c r="M943" s="571"/>
      <c r="N943" s="571"/>
      <c r="O943" s="571"/>
      <c r="P943" s="571"/>
      <c r="Q943" s="571"/>
      <c r="R943" s="571"/>
      <c r="S943" s="571"/>
      <c r="T943" s="571"/>
      <c r="U943" s="571"/>
      <c r="V943" s="571"/>
      <c r="W943" s="571"/>
      <c r="X943" s="571"/>
      <c r="Y943" s="571"/>
      <c r="Z943" s="571"/>
      <c r="AA943" s="571"/>
      <c r="AB943" s="571"/>
      <c r="AC943" s="571"/>
      <c r="AD943" s="571"/>
      <c r="AE943" s="571"/>
      <c r="AF943" s="571"/>
      <c r="AG943" s="571"/>
      <c r="AH943" s="571"/>
      <c r="AI943" s="571"/>
      <c r="AJ943" s="571"/>
      <c r="AK943" s="571"/>
      <c r="AL943" s="571"/>
      <c r="AM943" s="571"/>
      <c r="AN943" s="571"/>
      <c r="AO943" s="571"/>
    </row>
    <row r="944">
      <c r="G944" s="571"/>
      <c r="H944" s="571"/>
      <c r="I944" s="571"/>
      <c r="J944" s="571"/>
      <c r="K944" s="571"/>
      <c r="L944" s="571"/>
      <c r="M944" s="571"/>
      <c r="N944" s="571"/>
      <c r="O944" s="571"/>
      <c r="P944" s="571"/>
      <c r="Q944" s="571"/>
      <c r="R944" s="571"/>
      <c r="S944" s="571"/>
      <c r="T944" s="571"/>
      <c r="U944" s="571"/>
      <c r="V944" s="571"/>
      <c r="W944" s="571"/>
      <c r="X944" s="571"/>
      <c r="Y944" s="571"/>
      <c r="Z944" s="571"/>
      <c r="AA944" s="571"/>
      <c r="AB944" s="571"/>
      <c r="AC944" s="571"/>
      <c r="AD944" s="571"/>
      <c r="AE944" s="571"/>
      <c r="AF944" s="571"/>
      <c r="AG944" s="571"/>
      <c r="AH944" s="571"/>
      <c r="AI944" s="571"/>
      <c r="AJ944" s="571"/>
      <c r="AK944" s="571"/>
      <c r="AL944" s="571"/>
      <c r="AM944" s="571"/>
      <c r="AN944" s="571"/>
      <c r="AO944" s="571"/>
    </row>
    <row r="945">
      <c r="G945" s="571"/>
      <c r="H945" s="571"/>
      <c r="I945" s="571"/>
      <c r="J945" s="571"/>
      <c r="K945" s="571"/>
      <c r="L945" s="571"/>
      <c r="M945" s="571"/>
      <c r="N945" s="571"/>
      <c r="O945" s="571"/>
      <c r="P945" s="571"/>
      <c r="Q945" s="571"/>
      <c r="R945" s="571"/>
      <c r="S945" s="571"/>
      <c r="T945" s="571"/>
      <c r="U945" s="571"/>
      <c r="V945" s="571"/>
      <c r="W945" s="571"/>
      <c r="X945" s="571"/>
      <c r="Y945" s="571"/>
      <c r="Z945" s="571"/>
      <c r="AA945" s="571"/>
      <c r="AB945" s="571"/>
      <c r="AC945" s="571"/>
      <c r="AD945" s="571"/>
      <c r="AE945" s="571"/>
      <c r="AF945" s="571"/>
      <c r="AG945" s="571"/>
      <c r="AH945" s="571"/>
      <c r="AI945" s="571"/>
      <c r="AJ945" s="571"/>
      <c r="AK945" s="571"/>
      <c r="AL945" s="571"/>
      <c r="AM945" s="571"/>
      <c r="AN945" s="571"/>
      <c r="AO945" s="571"/>
    </row>
    <row r="946">
      <c r="G946" s="571"/>
      <c r="H946" s="571"/>
      <c r="I946" s="571"/>
      <c r="J946" s="571"/>
      <c r="K946" s="571"/>
      <c r="L946" s="571"/>
      <c r="M946" s="571"/>
      <c r="N946" s="571"/>
      <c r="O946" s="571"/>
      <c r="P946" s="571"/>
      <c r="Q946" s="571"/>
      <c r="R946" s="571"/>
      <c r="S946" s="571"/>
      <c r="T946" s="571"/>
      <c r="U946" s="571"/>
      <c r="V946" s="571"/>
      <c r="W946" s="571"/>
      <c r="X946" s="571"/>
      <c r="Y946" s="571"/>
      <c r="Z946" s="571"/>
      <c r="AA946" s="571"/>
      <c r="AB946" s="571"/>
      <c r="AC946" s="571"/>
      <c r="AD946" s="571"/>
      <c r="AE946" s="571"/>
      <c r="AF946" s="571"/>
      <c r="AG946" s="571"/>
      <c r="AH946" s="571"/>
      <c r="AI946" s="571"/>
      <c r="AJ946" s="571"/>
      <c r="AK946" s="571"/>
      <c r="AL946" s="571"/>
      <c r="AM946" s="571"/>
      <c r="AN946" s="571"/>
      <c r="AO946" s="571"/>
    </row>
    <row r="947">
      <c r="G947" s="571"/>
      <c r="H947" s="571"/>
      <c r="I947" s="571"/>
      <c r="J947" s="571"/>
      <c r="K947" s="571"/>
      <c r="L947" s="571"/>
      <c r="M947" s="571"/>
      <c r="N947" s="571"/>
      <c r="O947" s="571"/>
      <c r="P947" s="571"/>
      <c r="Q947" s="571"/>
      <c r="R947" s="571"/>
      <c r="S947" s="571"/>
      <c r="T947" s="571"/>
      <c r="U947" s="571"/>
      <c r="V947" s="571"/>
      <c r="W947" s="571"/>
      <c r="X947" s="571"/>
      <c r="Y947" s="571"/>
      <c r="Z947" s="571"/>
      <c r="AA947" s="571"/>
      <c r="AB947" s="571"/>
      <c r="AC947" s="571"/>
      <c r="AD947" s="571"/>
      <c r="AE947" s="571"/>
      <c r="AF947" s="571"/>
      <c r="AG947" s="571"/>
      <c r="AH947" s="571"/>
      <c r="AI947" s="571"/>
      <c r="AJ947" s="571"/>
      <c r="AK947" s="571"/>
      <c r="AL947" s="571"/>
      <c r="AM947" s="571"/>
      <c r="AN947" s="571"/>
      <c r="AO947" s="571"/>
    </row>
    <row r="948">
      <c r="G948" s="571"/>
      <c r="H948" s="571"/>
      <c r="I948" s="571"/>
      <c r="J948" s="571"/>
      <c r="K948" s="571"/>
      <c r="L948" s="571"/>
      <c r="M948" s="571"/>
      <c r="N948" s="571"/>
      <c r="O948" s="571"/>
      <c r="P948" s="571"/>
      <c r="Q948" s="571"/>
      <c r="R948" s="571"/>
      <c r="S948" s="571"/>
      <c r="T948" s="571"/>
      <c r="U948" s="571"/>
      <c r="V948" s="571"/>
      <c r="W948" s="571"/>
      <c r="X948" s="571"/>
      <c r="Y948" s="571"/>
      <c r="Z948" s="571"/>
      <c r="AA948" s="571"/>
      <c r="AB948" s="571"/>
      <c r="AC948" s="571"/>
      <c r="AD948" s="571"/>
      <c r="AE948" s="571"/>
      <c r="AF948" s="571"/>
      <c r="AG948" s="571"/>
      <c r="AH948" s="571"/>
      <c r="AI948" s="571"/>
      <c r="AJ948" s="571"/>
      <c r="AK948" s="571"/>
      <c r="AL948" s="571"/>
      <c r="AM948" s="571"/>
      <c r="AN948" s="571"/>
      <c r="AO948" s="571"/>
    </row>
    <row r="949">
      <c r="G949" s="571"/>
      <c r="H949" s="571"/>
      <c r="I949" s="571"/>
      <c r="J949" s="571"/>
      <c r="K949" s="571"/>
      <c r="L949" s="571"/>
      <c r="M949" s="571"/>
      <c r="N949" s="571"/>
      <c r="O949" s="571"/>
      <c r="P949" s="571"/>
      <c r="Q949" s="571"/>
      <c r="R949" s="571"/>
      <c r="S949" s="571"/>
      <c r="T949" s="571"/>
      <c r="U949" s="571"/>
      <c r="V949" s="571"/>
      <c r="W949" s="571"/>
      <c r="X949" s="571"/>
      <c r="Y949" s="571"/>
      <c r="Z949" s="571"/>
      <c r="AA949" s="571"/>
      <c r="AB949" s="571"/>
      <c r="AC949" s="571"/>
      <c r="AD949" s="571"/>
      <c r="AE949" s="571"/>
      <c r="AF949" s="571"/>
      <c r="AG949" s="571"/>
      <c r="AH949" s="571"/>
      <c r="AI949" s="571"/>
      <c r="AJ949" s="571"/>
      <c r="AK949" s="571"/>
      <c r="AL949" s="571"/>
      <c r="AM949" s="571"/>
      <c r="AN949" s="571"/>
      <c r="AO949" s="571"/>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