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 - Data" sheetId="1" r:id="rId5"/>
    <sheet state="visible" name="Overview" sheetId="2" r:id="rId6"/>
    <sheet state="visible" name="PP - Results %" sheetId="3" r:id="rId7"/>
    <sheet state="visible" name="PP - Data (YEARLY)" sheetId="4" r:id="rId8"/>
    <sheet state="visible" name="Where did you hear about Bird B" sheetId="5" r:id="rId9"/>
    <sheet state="visible" name="Where on FacebookInstagram have" sheetId="6" r:id="rId10"/>
    <sheet state="visible" name="Demographic Qs" sheetId="7" r:id="rId11"/>
    <sheet state="visible" name="Other Qs" sheetId="8" r:id="rId12"/>
    <sheet state="visible" name="New vs. Existing Costumers" sheetId="9" r:id="rId13"/>
  </sheets>
  <definedNames>
    <definedName name="zsupermetrics_ru0GDtbZzDLHQOQtJJ6K08MvUDyyp7">#REF!</definedName>
    <definedName name="zsupermetrics_lx4cNai7gT6tH4j08ZRkI21Qlpjioi">#REF!</definedName>
    <definedName name="rdataslayer_d70e473bcafe40a3aa834ce157fb2ba3">#REF!</definedName>
    <definedName name="zsupermetrics_refreshAll">#REF!</definedName>
    <definedName name="zsupermetrics_8xojRjNDjo2jWHGDWjFEhflhyIq3Hq">#REF!</definedName>
    <definedName name="zsupermetrics_FEamnpN5FsVYF0RtUTXAwunZ388Tkc">#REF!</definedName>
    <definedName name="zsupermetrics_n3GtLgiKpTmd2pYmQNMuq6TPD0qE0b">#REF!</definedName>
    <definedName name="rdataslayer_3753ddf3234e496aa261974a0222e193">#REF!</definedName>
    <definedName name="zsupermetrics_refreshAllSilent">#REF!</definedName>
    <definedName name="zsupermetrics_BioPyGBzcBsy60UCQmPcTuFReEmghI">#REF!</definedName>
    <definedName name="zsupermetrics_qWp7V908pNEYMtfv8QZvSTeDnBAHOU">#REF!</definedName>
    <definedName name="zsupermetrics_Mgms9p0QzysYvrIhnsKACeVBVxfIEO">#REF!</definedName>
    <definedName name="zsupermetrics_forceRefresh">#REF!</definedName>
    <definedName name="zsupermetrics_wbYMmT0YL9bAN0yhimW0ziPFnia9Dx">#REF!</definedName>
    <definedName name="zsupermetrics_iNpyVy90bWCI0yUaFQpxOtzWMa6sW4">#REF!</definedName>
    <definedName name="zsupermetrics_9i4W4hgd80uRpQLMeX0eRnESN8gjyv">#REF!</definedName>
    <definedName name="zsupermetrics_5bmwtOpHUbSYmDMeuCPkrxaojTprPP">#REF!</definedName>
    <definedName name="rdataslayer_42b112e4e4be4305bb4c1be75e2dd549">#REF!</definedName>
    <definedName name="zsupermetrics_SGBxROnInO9rFyh3H7j2Lldx0Bdc5v">#REF!</definedName>
    <definedName name="zsupermetrics_pxuhRTEmIU93xSgKclyxajD0fCZ6rF">#REF!</definedName>
    <definedName name="rdataslayer_4a0f150f4f2f4e4f85c890c75b7a1fa4">#REF!</definedName>
    <definedName name="rdataslayer_adf57e64065742daa5b4161161b1c3ca">#REF!</definedName>
    <definedName name="zsupermetrics_HgZqhorObHOtZHuyJjpmyYaEPoYntx">#REF!</definedName>
    <definedName name="zsupermetrics_NugLlrQxlKiqhxQae8EFpITBm1pLCj">#REF!</definedName>
    <definedName name="zsupermetrics_xwoIpANxRm908eDp5oKTwQpEI8gvD4">#REF!</definedName>
    <definedName name="zsupermetrics_YsFuuYtr8vOdNXCCPiFJIO38NP4b2T">#REF!</definedName>
    <definedName name="zsupermetrics_DQl8lUbpTRu3fayaJJi7lVfOGKjNU4">#REF!</definedName>
    <definedName name="zsupermetrics_YVuzfmsfdurz7Ldl84Rfns8oka6LsS">#REF!</definedName>
    <definedName name="zsupermetrics_4VkB7ij7WO0JjKBEgvjB2GHjSy2Egm">#REF!</definedName>
  </definedNames>
  <calcPr/>
</workbook>
</file>

<file path=xl/sharedStrings.xml><?xml version="1.0" encoding="utf-8"?>
<sst xmlns="http://schemas.openxmlformats.org/spreadsheetml/2006/main" count="518" uniqueCount="55">
  <si>
    <t>Post-purchase Survey</t>
  </si>
  <si>
    <t>Total</t>
  </si>
  <si>
    <t>%</t>
  </si>
  <si>
    <t>DTC Orders (wo renewals)</t>
  </si>
  <si>
    <t>Response rate (%)</t>
  </si>
  <si>
    <t>All Customers</t>
  </si>
  <si>
    <t>Where did you hear about Bird Buddy?</t>
  </si>
  <si>
    <t>Facebook / Instagram</t>
  </si>
  <si>
    <t>Friends / Family</t>
  </si>
  <si>
    <t>% Where did you hear about Bird Buddy?</t>
  </si>
  <si>
    <t>Google, Yahoo, Bing</t>
  </si>
  <si>
    <t>Pinterest</t>
  </si>
  <si>
    <t>TikTok</t>
  </si>
  <si>
    <t>TV / Radio</t>
  </si>
  <si>
    <t>Blog / Article</t>
  </si>
  <si>
    <t>Google / Youtube</t>
  </si>
  <si>
    <t>Reddit</t>
  </si>
  <si>
    <t>Yahoo / Bing</t>
  </si>
  <si>
    <t>Total submissions:</t>
  </si>
  <si>
    <t>Where on Facebook/Instagram have you heard about Bird Buddy?</t>
  </si>
  <si>
    <t>I saw an ad</t>
  </si>
  <si>
    <t>I saw a post about Bird Buddy on my friend's feed</t>
  </si>
  <si>
    <t>I saw an organic post from Bird Buddy</t>
  </si>
  <si>
    <t>% Where on Facebook/Instagram have you heard about Bird Buddy?</t>
  </si>
  <si>
    <t>Who is this for?</t>
  </si>
  <si>
    <t>Just me</t>
  </si>
  <si>
    <t>My parents</t>
  </si>
  <si>
    <t>Spouse</t>
  </si>
  <si>
    <t>I will use with my family</t>
  </si>
  <si>
    <t>% Who is this for?</t>
  </si>
  <si>
    <t>Did you buy this for your household?</t>
  </si>
  <si>
    <t>Yes</t>
  </si>
  <si>
    <t>No</t>
  </si>
  <si>
    <t>% Did you buy this for your household?</t>
  </si>
  <si>
    <t>Did you buy this as a gift?</t>
  </si>
  <si>
    <t>% Did you buy this as a gift?</t>
  </si>
  <si>
    <t>Are you a new or existing customer?</t>
  </si>
  <si>
    <t>New customer</t>
  </si>
  <si>
    <t>Existing customer</t>
  </si>
  <si>
    <t>% Are you a new or existing customer?</t>
  </si>
  <si>
    <t>Will Bird Buddy be the first bird feeder in your yard?</t>
  </si>
  <si>
    <t>% Will Bird Buddy be the first bird feeder in your yard?</t>
  </si>
  <si>
    <t>How old are you?</t>
  </si>
  <si>
    <t>18-24</t>
  </si>
  <si>
    <t>25-34</t>
  </si>
  <si>
    <t>35-44</t>
  </si>
  <si>
    <t>45-54</t>
  </si>
  <si>
    <t>55-64</t>
  </si>
  <si>
    <t>65+</t>
  </si>
  <si>
    <t>What is your gender?</t>
  </si>
  <si>
    <t>Male</t>
  </si>
  <si>
    <t>Female</t>
  </si>
  <si>
    <t>New Customers</t>
  </si>
  <si>
    <t>Google, Youtube</t>
  </si>
  <si>
    <t>Existing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</si>
</sst>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yyyy"/>
    <numFmt numFmtId="165" formatCode="M/d/yyyy"/>
  </numFmts>
  <fonts count="26">
    <font>
      <sz val="10.0"/>
      <color rgb="FF000000"/>
      <name val="Arial"/>
      <scheme val="minor"/>
    </font>
    <font>
      <b/>
      <color rgb="FF0000FF"/>
      <name val="Arial"/>
      <scheme val="minor"/>
    </font>
    <font>
      <b/>
      <sz val="13.0"/>
      <color rgb="FF0000FF"/>
      <name val="Unbounded"/>
    </font>
    <font>
      <b/>
      <color rgb="FFFFFFFF"/>
      <name val="Arial"/>
      <scheme val="minor"/>
    </font>
    <font>
      <b/>
      <color rgb="FFFFFFFF"/>
      <name val="Arial"/>
    </font>
    <font>
      <color rgb="FF0000FF"/>
      <name val="Arial"/>
      <scheme val="minor"/>
    </font>
    <font>
      <b/>
      <color rgb="FF000000"/>
      <name val="Arial"/>
    </font>
    <font>
      <color theme="1"/>
      <name val="Arial"/>
    </font>
    <font>
      <b/>
      <color rgb="FF0000FF"/>
      <name val="Arial"/>
    </font>
    <font>
      <b/>
      <color theme="1"/>
      <name val="Arial"/>
    </font>
    <font>
      <b/>
      <sz val="20.0"/>
      <color rgb="FF434343"/>
      <name val="Unbounded"/>
    </font>
    <font>
      <b/>
      <color theme="1"/>
      <name val="Arial"/>
      <scheme val="minor"/>
    </font>
    <font>
      <color theme="1"/>
      <name val="Arial"/>
      <scheme val="minor"/>
    </font>
    <font>
      <b/>
      <color rgb="FFD9D9D9"/>
      <name val="Arial"/>
    </font>
    <font>
      <color rgb="FFD9D9D9"/>
      <name val="Arial"/>
    </font>
    <font>
      <b/>
      <color rgb="FFCFE2F3"/>
      <name val="Arial"/>
      <scheme val="minor"/>
    </font>
    <font>
      <b/>
      <color rgb="FFEFEFEF"/>
      <name val="Arial"/>
      <scheme val="minor"/>
    </font>
    <font>
      <color rgb="FF000000"/>
      <name val="Arial"/>
      <scheme val="minor"/>
    </font>
    <font>
      <color rgb="FF000000"/>
      <name val="Arial"/>
    </font>
    <font>
      <b/>
      <color rgb="FFB7B7B7"/>
      <name val="Arial"/>
      <scheme val="minor"/>
    </font>
    <font>
      <b/>
      <color rgb="FFB7B7B7"/>
      <name val="Arial"/>
    </font>
    <font>
      <b/>
      <sz val="20.0"/>
      <color rgb="FFFFFFFF"/>
      <name val="Unbounded"/>
    </font>
    <font>
      <i/>
      <sz val="8.0"/>
      <color rgb="FFEFEFEF"/>
      <name val="Arial"/>
      <scheme val="minor"/>
    </font>
    <font>
      <b/>
      <color rgb="FFEFEFEF"/>
      <name val="Arial"/>
    </font>
    <font>
      <color rgb="FFD9D9D9"/>
      <name val="Arial"/>
      <scheme val="minor"/>
    </font>
    <font>
      <b/>
      <color theme="1"/>
      <name val="Unbounded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EFEFEF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4" fontId="3" numFmtId="0" xfId="0" applyAlignment="1" applyFill="1" applyFont="1">
      <alignment horizontal="center" readingOrder="0"/>
    </xf>
    <xf borderId="1" fillId="4" fontId="4" numFmtId="0" xfId="0" applyAlignment="1" applyBorder="1" applyFont="1">
      <alignment horizontal="right" readingOrder="0" vertical="bottom"/>
    </xf>
    <xf borderId="0" fillId="2" fontId="5" numFmtId="0" xfId="0" applyFont="1"/>
    <xf borderId="2" fillId="5" fontId="6" numFmtId="0" xfId="0" applyAlignment="1" applyBorder="1" applyFill="1" applyFont="1">
      <alignment horizontal="center" readingOrder="0" vertical="bottom"/>
    </xf>
    <xf borderId="3" fillId="5" fontId="6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readingOrder="0" vertical="bottom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horizontal="center" readingOrder="0" vertical="bottom"/>
    </xf>
    <xf borderId="1" fillId="4" fontId="4" numFmtId="164" xfId="0" applyAlignment="1" applyBorder="1" applyFont="1" applyNumberFormat="1">
      <alignment horizontal="right" readingOrder="0" vertical="bottom"/>
    </xf>
    <xf borderId="0" fillId="2" fontId="7" numFmtId="0" xfId="0" applyAlignment="1" applyFont="1">
      <alignment vertical="bottom"/>
    </xf>
    <xf borderId="4" fillId="2" fontId="7" numFmtId="10" xfId="0" applyAlignment="1" applyBorder="1" applyFont="1" applyNumberFormat="1">
      <alignment vertical="bottom"/>
    </xf>
    <xf borderId="4" fillId="2" fontId="9" numFmtId="0" xfId="0" applyAlignment="1" applyBorder="1" applyFont="1">
      <alignment readingOrder="0" vertical="bottom"/>
    </xf>
    <xf borderId="0" fillId="2" fontId="9" numFmtId="10" xfId="0" applyAlignment="1" applyFont="1" applyNumberFormat="1">
      <alignment readingOrder="0" vertical="bottom"/>
    </xf>
    <xf borderId="0" fillId="6" fontId="10" numFmtId="0" xfId="0" applyAlignment="1" applyFill="1" applyFont="1">
      <alignment horizontal="center"/>
    </xf>
    <xf borderId="0" fillId="6" fontId="7" numFmtId="0" xfId="0" applyAlignment="1" applyFont="1">
      <alignment vertical="bottom"/>
    </xf>
    <xf borderId="4" fillId="5" fontId="7" numFmtId="10" xfId="0" applyAlignment="1" applyBorder="1" applyFont="1" applyNumberFormat="1">
      <alignment vertical="bottom"/>
    </xf>
    <xf borderId="5" fillId="7" fontId="4" numFmtId="0" xfId="0" applyAlignment="1" applyBorder="1" applyFill="1" applyFont="1">
      <alignment horizontal="center" vertical="bottom"/>
    </xf>
    <xf borderId="5" fillId="7" fontId="7" numFmtId="165" xfId="0" applyAlignment="1" applyBorder="1" applyFont="1" applyNumberFormat="1">
      <alignment vertical="bottom"/>
    </xf>
    <xf borderId="2" fillId="5" fontId="7" numFmtId="10" xfId="0" applyAlignment="1" applyBorder="1" applyFont="1" applyNumberFormat="1">
      <alignment vertical="bottom"/>
    </xf>
    <xf borderId="6" fillId="5" fontId="7" numFmtId="10" xfId="0" applyAlignment="1" applyBorder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2" fontId="7" numFmtId="0" xfId="0" applyAlignment="1" applyFont="1">
      <alignment horizontal="right" readingOrder="0" vertical="bottom"/>
    </xf>
    <xf borderId="0" fillId="2" fontId="7" numFmtId="3" xfId="0" applyAlignment="1" applyFont="1" applyNumberFormat="1">
      <alignment readingOrder="0" vertical="bottom"/>
    </xf>
    <xf borderId="0" fillId="2" fontId="7" numFmtId="0" xfId="0" applyAlignment="1" applyFont="1">
      <alignment vertical="bottom"/>
    </xf>
    <xf borderId="7" fillId="5" fontId="7" numFmtId="3" xfId="0" applyAlignment="1" applyBorder="1" applyFont="1" applyNumberFormat="1">
      <alignment horizontal="center" vertical="bottom"/>
    </xf>
    <xf borderId="4" fillId="2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0" fillId="6" fontId="4" numFmtId="0" xfId="0" applyAlignment="1" applyFont="1">
      <alignment horizontal="center" vertical="bottom"/>
    </xf>
    <xf borderId="0" fillId="6" fontId="7" numFmtId="165" xfId="0" applyAlignment="1" applyFont="1" applyNumberFormat="1">
      <alignment vertical="bottom"/>
    </xf>
    <xf borderId="0" fillId="8" fontId="7" numFmtId="3" xfId="0" applyAlignment="1" applyFill="1" applyFont="1" applyNumberFormat="1">
      <alignment readingOrder="0" vertical="bottom"/>
    </xf>
    <xf borderId="7" fillId="5" fontId="7" numFmtId="10" xfId="0" applyAlignment="1" applyBorder="1" applyFont="1" applyNumberFormat="1">
      <alignment vertical="bottom"/>
    </xf>
    <xf borderId="4" fillId="9" fontId="7" numFmtId="0" xfId="0" applyAlignment="1" applyBorder="1" applyFill="1" applyFont="1">
      <alignment readingOrder="0" vertical="bottom"/>
    </xf>
    <xf borderId="0" fillId="9" fontId="7" numFmtId="10" xfId="0" applyAlignment="1" applyFont="1" applyNumberFormat="1">
      <alignment vertical="bottom"/>
    </xf>
    <xf borderId="0" fillId="6" fontId="7" numFmtId="0" xfId="0" applyAlignment="1" applyFont="1">
      <alignment readingOrder="0" vertical="bottom"/>
    </xf>
    <xf borderId="0" fillId="6" fontId="7" numFmtId="0" xfId="0" applyAlignment="1" applyFont="1">
      <alignment vertical="bottom"/>
    </xf>
    <xf borderId="0" fillId="8" fontId="7" numFmtId="0" xfId="0" applyAlignment="1" applyFont="1">
      <alignment horizontal="right" readingOrder="0" vertical="bottom"/>
    </xf>
    <xf borderId="0" fillId="10" fontId="9" numFmtId="0" xfId="0" applyAlignment="1" applyFill="1" applyFont="1">
      <alignment horizontal="center" vertical="bottom"/>
    </xf>
    <xf borderId="0" fillId="10" fontId="9" numFmtId="3" xfId="0" applyAlignment="1" applyFont="1" applyNumberFormat="1">
      <alignment horizontal="center" vertical="bottom"/>
    </xf>
    <xf borderId="2" fillId="11" fontId="9" numFmtId="3" xfId="0" applyAlignment="1" applyBorder="1" applyFill="1" applyFont="1" applyNumberFormat="1">
      <alignment horizontal="center" vertical="bottom"/>
    </xf>
    <xf borderId="2" fillId="11" fontId="9" numFmtId="10" xfId="0" applyAlignment="1" applyBorder="1" applyFont="1" applyNumberFormat="1">
      <alignment horizontal="center" vertical="bottom"/>
    </xf>
    <xf borderId="0" fillId="3" fontId="7" numFmtId="10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9" fontId="7" numFmtId="0" xfId="0" applyAlignment="1" applyFont="1">
      <alignment readingOrder="0" vertical="bottom"/>
    </xf>
    <xf borderId="0" fillId="0" fontId="7" numFmtId="3" xfId="0" applyAlignment="1" applyFont="1" applyNumberFormat="1">
      <alignment vertical="bottom"/>
    </xf>
    <xf borderId="0" fillId="8" fontId="7" numFmtId="10" xfId="0" applyAlignment="1" applyFont="1" applyNumberFormat="1">
      <alignment vertical="bottom"/>
    </xf>
    <xf borderId="0" fillId="5" fontId="7" numFmtId="10" xfId="0" applyAlignment="1" applyFont="1" applyNumberFormat="1">
      <alignment vertical="bottom"/>
    </xf>
    <xf borderId="1" fillId="9" fontId="7" numFmtId="0" xfId="0" applyAlignment="1" applyBorder="1" applyFont="1">
      <alignment readingOrder="0" vertical="bottom"/>
    </xf>
    <xf borderId="1" fillId="8" fontId="7" numFmtId="10" xfId="0" applyAlignment="1" applyBorder="1" applyFont="1" applyNumberFormat="1">
      <alignment vertical="bottom"/>
    </xf>
    <xf borderId="1" fillId="9" fontId="7" numFmtId="10" xfId="0" applyAlignment="1" applyBorder="1" applyFont="1" applyNumberFormat="1">
      <alignment vertical="bottom"/>
    </xf>
    <xf borderId="8" fillId="5" fontId="7" numFmtId="10" xfId="0" applyAlignment="1" applyBorder="1" applyFont="1" applyNumberFormat="1">
      <alignment vertical="bottom"/>
    </xf>
    <xf borderId="1" fillId="5" fontId="7" numFmtId="10" xfId="0" applyAlignment="1" applyBorder="1" applyFont="1" applyNumberFormat="1">
      <alignment vertical="bottom"/>
    </xf>
    <xf borderId="5" fillId="7" fontId="3" numFmtId="0" xfId="0" applyAlignment="1" applyBorder="1" applyFont="1">
      <alignment horizontal="center" readingOrder="0"/>
    </xf>
    <xf borderId="5" fillId="7" fontId="4" numFmtId="165" xfId="0" applyAlignment="1" applyBorder="1" applyFont="1" applyNumberFormat="1">
      <alignment horizontal="right" readingOrder="0" vertical="bottom"/>
    </xf>
    <xf borderId="2" fillId="5" fontId="11" numFmtId="10" xfId="0" applyAlignment="1" applyBorder="1" applyFont="1" applyNumberFormat="1">
      <alignment horizontal="center"/>
    </xf>
    <xf borderId="6" fillId="5" fontId="11" numFmtId="10" xfId="0" applyAlignment="1" applyBorder="1" applyFont="1" applyNumberFormat="1">
      <alignment horizontal="center"/>
    </xf>
    <xf borderId="4" fillId="0" fontId="12" numFmtId="0" xfId="0" applyAlignment="1" applyBorder="1" applyFont="1">
      <alignment readingOrder="0"/>
    </xf>
    <xf borderId="0" fillId="2" fontId="7" numFmtId="3" xfId="0" applyAlignment="1" applyFont="1" applyNumberFormat="1">
      <alignment horizontal="center" readingOrder="0" vertical="bottom"/>
    </xf>
    <xf borderId="0" fillId="2" fontId="7" numFmtId="3" xfId="0" applyAlignment="1" applyFont="1" applyNumberFormat="1">
      <alignment horizontal="right" readingOrder="0" vertical="bottom"/>
    </xf>
    <xf borderId="7" fillId="5" fontId="12" numFmtId="3" xfId="0" applyAlignment="1" applyBorder="1" applyFont="1" applyNumberFormat="1">
      <alignment horizontal="center" readingOrder="0"/>
    </xf>
    <xf borderId="4" fillId="5" fontId="12" numFmtId="10" xfId="0" applyAlignment="1" applyBorder="1" applyFont="1" applyNumberFormat="1">
      <alignment horizontal="center" readingOrder="0"/>
    </xf>
    <xf borderId="4" fillId="12" fontId="12" numFmtId="0" xfId="0" applyAlignment="1" applyBorder="1" applyFill="1" applyFont="1">
      <alignment readingOrder="0"/>
    </xf>
    <xf borderId="0" fillId="2" fontId="12" numFmtId="3" xfId="0" applyAlignment="1" applyFont="1" applyNumberFormat="1">
      <alignment horizontal="center" readingOrder="0"/>
    </xf>
    <xf borderId="0" fillId="12" fontId="12" numFmtId="0" xfId="0" applyAlignment="1" applyFont="1">
      <alignment readingOrder="0"/>
    </xf>
    <xf borderId="0" fillId="7" fontId="11" numFmtId="0" xfId="0" applyAlignment="1" applyFont="1">
      <alignment horizontal="center" readingOrder="0"/>
    </xf>
    <xf borderId="0" fillId="7" fontId="11" numFmtId="3" xfId="0" applyAlignment="1" applyFont="1" applyNumberFormat="1">
      <alignment horizontal="center" readingOrder="0"/>
    </xf>
    <xf borderId="9" fillId="7" fontId="11" numFmtId="3" xfId="0" applyAlignment="1" applyBorder="1" applyFont="1" applyNumberFormat="1">
      <alignment horizontal="center" readingOrder="0"/>
    </xf>
    <xf borderId="9" fillId="7" fontId="11" numFmtId="10" xfId="0" applyAlignment="1" applyBorder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0" fillId="6" fontId="13" numFmtId="165" xfId="0" applyAlignment="1" applyFont="1" applyNumberFormat="1">
      <alignment horizontal="right" readingOrder="0" vertical="bottom"/>
    </xf>
    <xf borderId="0" fillId="8" fontId="7" numFmtId="3" xfId="0" applyAlignment="1" applyFont="1" applyNumberFormat="1">
      <alignment vertical="bottom"/>
    </xf>
    <xf borderId="0" fillId="6" fontId="14" numFmtId="10" xfId="0" applyAlignment="1" applyFont="1" applyNumberFormat="1">
      <alignment vertical="bottom"/>
    </xf>
    <xf borderId="9" fillId="5" fontId="12" numFmtId="0" xfId="0" applyAlignment="1" applyBorder="1" applyFont="1">
      <alignment horizontal="center"/>
    </xf>
    <xf borderId="9" fillId="5" fontId="11" numFmtId="10" xfId="0" applyAlignment="1" applyBorder="1" applyFont="1" applyNumberFormat="1">
      <alignment horizontal="center"/>
    </xf>
    <xf borderId="4" fillId="9" fontId="12" numFmtId="0" xfId="0" applyAlignment="1" applyBorder="1" applyFont="1">
      <alignment readingOrder="0"/>
    </xf>
    <xf borderId="0" fillId="9" fontId="11" numFmtId="10" xfId="0" applyAlignment="1" applyFont="1" applyNumberFormat="1">
      <alignment horizontal="center"/>
    </xf>
    <xf borderId="0" fillId="9" fontId="15" numFmtId="0" xfId="0" applyAlignment="1" applyFont="1">
      <alignment horizontal="center" readingOrder="0"/>
    </xf>
    <xf borderId="7" fillId="5" fontId="11" numFmtId="10" xfId="0" applyAlignment="1" applyBorder="1" applyFont="1" applyNumberFormat="1">
      <alignment horizontal="center"/>
    </xf>
    <xf borderId="4" fillId="5" fontId="11" numFmtId="10" xfId="0" applyAlignment="1" applyBorder="1" applyFont="1" applyNumberFormat="1">
      <alignment horizontal="center"/>
    </xf>
    <xf borderId="4" fillId="5" fontId="12" numFmtId="0" xfId="0" applyAlignment="1" applyBorder="1" applyFont="1">
      <alignment horizontal="center"/>
    </xf>
    <xf borderId="0" fillId="9" fontId="12" numFmtId="0" xfId="0" applyAlignment="1" applyFont="1">
      <alignment readingOrder="0"/>
    </xf>
    <xf borderId="0" fillId="7" fontId="3" numFmtId="0" xfId="0" applyAlignment="1" applyFont="1">
      <alignment horizontal="center" readingOrder="0"/>
    </xf>
    <xf borderId="0" fillId="7" fontId="4" numFmtId="165" xfId="0" applyAlignment="1" applyFont="1" applyNumberFormat="1">
      <alignment horizontal="right" readingOrder="0" vertical="bottom"/>
    </xf>
    <xf borderId="8" fillId="5" fontId="11" numFmtId="10" xfId="0" applyAlignment="1" applyBorder="1" applyFont="1" applyNumberFormat="1">
      <alignment horizontal="center"/>
    </xf>
    <xf borderId="3" fillId="5" fontId="11" numFmtId="10" xfId="0" applyAlignment="1" applyBorder="1" applyFont="1" applyNumberFormat="1">
      <alignment horizontal="center"/>
    </xf>
    <xf borderId="0" fillId="0" fontId="12" numFmtId="0" xfId="0" applyAlignment="1" applyFont="1">
      <alignment readingOrder="0"/>
    </xf>
    <xf borderId="0" fillId="8" fontId="7" numFmtId="3" xfId="0" applyAlignment="1" applyFont="1" applyNumberFormat="1">
      <alignment horizontal="center" readingOrder="0" vertical="bottom"/>
    </xf>
    <xf borderId="0" fillId="0" fontId="12" numFmtId="3" xfId="0" applyAlignment="1" applyFont="1" applyNumberFormat="1">
      <alignment horizontal="right" readingOrder="0"/>
    </xf>
    <xf borderId="0" fillId="8" fontId="12" numFmtId="3" xfId="0" applyAlignment="1" applyFont="1" applyNumberFormat="1">
      <alignment horizontal="center" readingOrder="0"/>
    </xf>
    <xf borderId="0" fillId="10" fontId="11" numFmtId="0" xfId="0" applyAlignment="1" applyFont="1">
      <alignment horizontal="center" readingOrder="0"/>
    </xf>
    <xf borderId="0" fillId="8" fontId="11" numFmtId="3" xfId="0" applyAlignment="1" applyFont="1" applyNumberFormat="1">
      <alignment horizontal="center" readingOrder="0"/>
    </xf>
    <xf borderId="0" fillId="10" fontId="11" numFmtId="3" xfId="0" applyAlignment="1" applyFont="1" applyNumberFormat="1">
      <alignment horizontal="center" readingOrder="0"/>
    </xf>
    <xf borderId="2" fillId="11" fontId="11" numFmtId="3" xfId="0" applyAlignment="1" applyBorder="1" applyFont="1" applyNumberFormat="1">
      <alignment horizontal="center" readingOrder="0"/>
    </xf>
    <xf borderId="2" fillId="11" fontId="11" numFmtId="10" xfId="0" applyAlignment="1" applyBorder="1" applyFont="1" applyNumberFormat="1">
      <alignment horizontal="center" readingOrder="0"/>
    </xf>
    <xf borderId="0" fillId="8" fontId="4" numFmtId="165" xfId="0" applyAlignment="1" applyFont="1" applyNumberFormat="1">
      <alignment horizontal="right" readingOrder="0" vertical="bottom"/>
    </xf>
    <xf borderId="0" fillId="6" fontId="4" numFmtId="165" xfId="0" applyAlignment="1" applyFont="1" applyNumberFormat="1">
      <alignment horizontal="right" readingOrder="0" vertical="bottom"/>
    </xf>
    <xf borderId="0" fillId="8" fontId="11" numFmtId="10" xfId="0" applyAlignment="1" applyFont="1" applyNumberFormat="1">
      <alignment horizontal="center"/>
    </xf>
    <xf borderId="0" fillId="8" fontId="16" numFmtId="0" xfId="0" applyAlignment="1" applyFont="1">
      <alignment horizontal="center" readingOrder="0"/>
    </xf>
    <xf borderId="4" fillId="0" fontId="17" numFmtId="0" xfId="0" applyAlignment="1" applyBorder="1" applyFont="1">
      <alignment readingOrder="0"/>
    </xf>
    <xf borderId="0" fillId="8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right" readingOrder="0" vertical="bottom"/>
    </xf>
    <xf borderId="0" fillId="0" fontId="18" numFmtId="3" xfId="0" applyAlignment="1" applyFont="1" applyNumberFormat="1">
      <alignment horizontal="right" readingOrder="0" vertical="bottom"/>
    </xf>
    <xf borderId="7" fillId="5" fontId="17" numFmtId="3" xfId="0" applyAlignment="1" applyBorder="1" applyFont="1" applyNumberFormat="1">
      <alignment horizontal="center" readingOrder="0"/>
    </xf>
    <xf borderId="4" fillId="12" fontId="17" numFmtId="0" xfId="0" applyAlignment="1" applyBorder="1" applyFont="1">
      <alignment readingOrder="0"/>
    </xf>
    <xf borderId="0" fillId="8" fontId="19" numFmtId="0" xfId="0" applyAlignment="1" applyFont="1">
      <alignment horizontal="center" readingOrder="0"/>
    </xf>
    <xf borderId="0" fillId="8" fontId="19" numFmtId="3" xfId="0" applyAlignment="1" applyFont="1" applyNumberFormat="1">
      <alignment horizontal="center" readingOrder="0"/>
    </xf>
    <xf borderId="6" fillId="8" fontId="19" numFmtId="3" xfId="0" applyAlignment="1" applyBorder="1" applyFont="1" applyNumberFormat="1">
      <alignment horizontal="center" readingOrder="0"/>
    </xf>
    <xf borderId="2" fillId="8" fontId="19" numFmtId="10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1" numFmtId="3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2" fillId="8" fontId="19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10" fillId="8" fontId="19" numFmtId="0" xfId="0" applyAlignment="1" applyBorder="1" applyFont="1">
      <alignment horizontal="center" readingOrder="0"/>
    </xf>
    <xf borderId="10" fillId="8" fontId="19" numFmtId="3" xfId="0" applyAlignment="1" applyBorder="1" applyFont="1" applyNumberFormat="1">
      <alignment horizontal="center" readingOrder="0"/>
    </xf>
    <xf borderId="0" fillId="0" fontId="4" numFmtId="165" xfId="0" applyAlignment="1" applyFont="1" applyNumberFormat="1">
      <alignment horizontal="right" readingOrder="0" vertical="bottom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4" fillId="0" fontId="7" numFmtId="0" xfId="0" applyAlignment="1" applyBorder="1" applyFont="1">
      <alignment vertical="bottom"/>
    </xf>
    <xf borderId="0" fillId="8" fontId="20" numFmtId="0" xfId="0" applyAlignment="1" applyFont="1">
      <alignment horizontal="center" vertical="bottom"/>
    </xf>
    <xf borderId="0" fillId="6" fontId="4" numFmtId="0" xfId="0" applyAlignment="1" applyFont="1">
      <alignment horizontal="center" vertical="bottom"/>
    </xf>
    <xf borderId="4" fillId="9" fontId="7" numFmtId="0" xfId="0" applyAlignment="1" applyBorder="1" applyFont="1">
      <alignment vertical="bottom"/>
    </xf>
    <xf borderId="0" fillId="8" fontId="16" numFmtId="0" xfId="0" applyAlignment="1" applyFont="1">
      <alignment horizontal="center"/>
    </xf>
    <xf borderId="10" fillId="8" fontId="20" numFmtId="0" xfId="0" applyAlignment="1" applyBorder="1" applyFont="1">
      <alignment horizontal="center" vertical="bottom"/>
    </xf>
    <xf borderId="0" fillId="9" fontId="7" numFmtId="0" xfId="0" applyAlignment="1" applyFont="1">
      <alignment vertical="bottom"/>
    </xf>
    <xf borderId="0" fillId="6" fontId="10" numFmtId="0" xfId="0" applyAlignment="1" applyFont="1">
      <alignment horizontal="center" readingOrder="0" vertical="center"/>
    </xf>
    <xf borderId="0" fillId="6" fontId="12" numFmtId="0" xfId="0" applyAlignment="1" applyFont="1">
      <alignment horizontal="center"/>
    </xf>
    <xf borderId="0" fillId="9" fontId="7" numFmtId="10" xfId="0" applyAlignment="1" applyFont="1" applyNumberFormat="1">
      <alignment readingOrder="0" vertical="bottom"/>
    </xf>
    <xf borderId="4" fillId="0" fontId="12" numFmtId="0" xfId="0" applyAlignment="1" applyBorder="1" applyFont="1">
      <alignment readingOrder="0"/>
    </xf>
    <xf borderId="0" fillId="8" fontId="12" numFmtId="0" xfId="0" applyAlignment="1" applyFont="1">
      <alignment horizontal="center" readingOrder="0"/>
    </xf>
    <xf borderId="4" fillId="9" fontId="12" numFmtId="0" xfId="0" applyAlignment="1" applyBorder="1" applyFont="1">
      <alignment readingOrder="0"/>
    </xf>
    <xf borderId="1" fillId="9" fontId="12" numFmtId="0" xfId="0" applyAlignment="1" applyBorder="1" applyFont="1">
      <alignment readingOrder="0"/>
    </xf>
    <xf borderId="1" fillId="8" fontId="11" numFmtId="10" xfId="0" applyAlignment="1" applyBorder="1" applyFont="1" applyNumberFormat="1">
      <alignment horizontal="center"/>
    </xf>
    <xf borderId="1" fillId="5" fontId="11" numFmtId="10" xfId="0" applyAlignment="1" applyBorder="1" applyFont="1" applyNumberFormat="1">
      <alignment horizontal="center"/>
    </xf>
    <xf borderId="11" fillId="0" fontId="21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/>
    </xf>
    <xf borderId="6" fillId="0" fontId="11" numFmtId="10" xfId="0" applyAlignment="1" applyBorder="1" applyFont="1" applyNumberFormat="1">
      <alignment horizontal="center"/>
    </xf>
    <xf borderId="0" fillId="5" fontId="11" numFmtId="10" xfId="0" applyAlignment="1" applyFont="1" applyNumberFormat="1">
      <alignment horizontal="center"/>
    </xf>
    <xf borderId="0" fillId="0" fontId="12" numFmtId="3" xfId="0" applyAlignment="1" applyFont="1" applyNumberFormat="1">
      <alignment horizontal="center" readingOrder="0"/>
    </xf>
    <xf borderId="0" fillId="0" fontId="22" numFmtId="10" xfId="0" applyFont="1" applyNumberFormat="1"/>
    <xf borderId="0" fillId="0" fontId="18" numFmtId="0" xfId="0" applyAlignment="1" applyFont="1">
      <alignment horizontal="center" readingOrder="0" vertical="bottom"/>
    </xf>
    <xf borderId="0" fillId="0" fontId="18" numFmtId="3" xfId="0" applyAlignment="1" applyFont="1" applyNumberFormat="1">
      <alignment horizontal="center" readingOrder="0" vertical="bottom"/>
    </xf>
    <xf borderId="0" fillId="8" fontId="23" numFmtId="165" xfId="0" applyAlignment="1" applyFont="1" applyNumberFormat="1">
      <alignment horizontal="right" readingOrder="0" vertical="bottom"/>
    </xf>
    <xf borderId="0" fillId="8" fontId="16" numFmtId="0" xfId="0" applyAlignment="1" applyFont="1">
      <alignment horizontal="center" readingOrder="0"/>
    </xf>
    <xf borderId="0" fillId="0" fontId="24" numFmtId="10" xfId="0" applyFont="1" applyNumberFormat="1"/>
    <xf borderId="0" fillId="0" fontId="24" numFmtId="0" xfId="0" applyFont="1"/>
    <xf borderId="0" fillId="0" fontId="11" numFmtId="0" xfId="0" applyFont="1"/>
    <xf borderId="0" fillId="0" fontId="25" numFmtId="0" xfId="0" applyFont="1"/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Facebook / Instagram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%'!$A$6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%'!$B$6:$BQ$6</c:f>
              <c:numCache/>
            </c:numRef>
          </c:val>
          <c:smooth val="0"/>
        </c:ser>
        <c:axId val="864521746"/>
        <c:axId val="2024060441"/>
      </c:lineChart>
      <c:catAx>
        <c:axId val="86452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060441"/>
      </c:catAx>
      <c:valAx>
        <c:axId val="2024060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521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Friends / Family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%'!$A$7</c:f>
            </c:strRef>
          </c:tx>
          <c:spPr>
            <a:ln cmpd="sng" w="19050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%'!$B$7:$BQ$7</c:f>
              <c:numCache/>
            </c:numRef>
          </c:val>
          <c:smooth val="0"/>
        </c:ser>
        <c:axId val="1330429286"/>
        <c:axId val="2044820940"/>
      </c:lineChart>
      <c:catAx>
        <c:axId val="1330429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820940"/>
      </c:catAx>
      <c:valAx>
        <c:axId val="2044820940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429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Google, Yahoo, Bing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%'!$A$8</c:f>
            </c:strRef>
          </c:tx>
          <c:spPr>
            <a:ln cmpd="sng" w="19050">
              <a:solidFill>
                <a:srgbClr val="FBBC04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%'!$B$8:$BQ$8</c:f>
              <c:numCache/>
            </c:numRef>
          </c:val>
          <c:smooth val="0"/>
        </c:ser>
        <c:axId val="1065128841"/>
        <c:axId val="1550563821"/>
      </c:lineChart>
      <c:catAx>
        <c:axId val="1065128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563821"/>
      </c:catAx>
      <c:valAx>
        <c:axId val="1550563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128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Pinterest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%'!$A$9</c:f>
            </c:strRef>
          </c:tx>
          <c:spPr>
            <a:ln cmpd="sng" w="19050">
              <a:solidFill>
                <a:srgbClr val="34A853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%'!$B$9:$BQ$9</c:f>
              <c:numCache/>
            </c:numRef>
          </c:val>
          <c:smooth val="0"/>
        </c:ser>
        <c:axId val="954671309"/>
        <c:axId val="1808966224"/>
      </c:lineChart>
      <c:catAx>
        <c:axId val="954671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966224"/>
      </c:catAx>
      <c:valAx>
        <c:axId val="1808966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671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TikTok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%'!$A$10</c:f>
            </c:strRef>
          </c:tx>
          <c:spPr>
            <a:ln cmpd="sng" w="19050">
              <a:solidFill>
                <a:srgbClr val="FF6D01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%'!$B$10:$BQ$10</c:f>
              <c:numCache/>
            </c:numRef>
          </c:val>
          <c:smooth val="0"/>
        </c:ser>
        <c:axId val="1818904450"/>
        <c:axId val="619726880"/>
      </c:lineChart>
      <c:catAx>
        <c:axId val="181890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726880"/>
      </c:catAx>
      <c:valAx>
        <c:axId val="619726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904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TV / Radio</a:t>
            </a:r>
          </a:p>
        </c:rich>
      </c:tx>
      <c:layout>
        <c:manualLayout>
          <c:xMode val="edge"/>
          <c:yMode val="edge"/>
          <c:x val="0.012480294272201787"/>
          <c:y val="0.0576142131979695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%'!$A$11</c:f>
            </c:strRef>
          </c:tx>
          <c:spPr>
            <a:ln cmpd="sng" w="19050">
              <a:solidFill>
                <a:srgbClr val="46BDC6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%'!$B$11:$BQ$11</c:f>
              <c:numCache/>
            </c:numRef>
          </c:val>
          <c:smooth val="0"/>
        </c:ser>
        <c:axId val="1833216550"/>
        <c:axId val="965504219"/>
      </c:lineChart>
      <c:catAx>
        <c:axId val="1833216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504219"/>
      </c:catAx>
      <c:valAx>
        <c:axId val="965504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216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Blog / Article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%'!$A$12</c:f>
            </c:strRef>
          </c:tx>
          <c:spPr>
            <a:ln cmpd="sng" w="19050">
              <a:solidFill>
                <a:srgbClr val="7BAAF7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%'!$B$12:$BQ$12</c:f>
              <c:numCache/>
            </c:numRef>
          </c:val>
          <c:smooth val="0"/>
        </c:ser>
        <c:axId val="1723851084"/>
        <c:axId val="1642178656"/>
      </c:lineChart>
      <c:catAx>
        <c:axId val="1723851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178656"/>
      </c:catAx>
      <c:valAx>
        <c:axId val="1642178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851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Google / Youtube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%'!$A$13</c:f>
            </c:strRef>
          </c:tx>
          <c:spPr>
            <a:ln cmpd="sng" w="19050">
              <a:solidFill>
                <a:srgbClr val="F07B72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%'!$B$13:$BQ$13</c:f>
              <c:numCache/>
            </c:numRef>
          </c:val>
          <c:smooth val="0"/>
        </c:ser>
        <c:axId val="1190271047"/>
        <c:axId val="2089697417"/>
      </c:lineChart>
      <c:catAx>
        <c:axId val="1190271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697417"/>
      </c:catAx>
      <c:valAx>
        <c:axId val="2089697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271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Reddit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%'!$A$14</c:f>
            </c:strRef>
          </c:tx>
          <c:spPr>
            <a:ln cmpd="sng" w="19050">
              <a:solidFill>
                <a:srgbClr val="FCD04F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%'!$B$14:$BQ$14</c:f>
              <c:numCache/>
            </c:numRef>
          </c:val>
          <c:smooth val="0"/>
        </c:ser>
        <c:axId val="474286497"/>
        <c:axId val="567370209"/>
      </c:lineChart>
      <c:catAx>
        <c:axId val="474286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370209"/>
      </c:catAx>
      <c:valAx>
        <c:axId val="567370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286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Where did you hear about Bird Buddy: Yahoo / Bing</a:t>
            </a:r>
          </a:p>
        </c:rich>
      </c:tx>
      <c:layout>
        <c:manualLayout>
          <c:xMode val="edge"/>
          <c:yMode val="edge"/>
          <c:x val="0.012480294272201787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'PP - Results %'!$A$15</c:f>
            </c:strRef>
          </c:tx>
          <c:spPr>
            <a:ln cmpd="sng" w="19050">
              <a:solidFill>
                <a:srgbClr val="71C287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3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'PP - Results %'!$B$2:$BH$2</c:f>
            </c:strRef>
          </c:cat>
          <c:val>
            <c:numRef>
              <c:f>'PP - Results %'!$B$15:$BQ$15</c:f>
              <c:numCache/>
            </c:numRef>
          </c:val>
          <c:smooth val="0"/>
        </c:ser>
        <c:axId val="655635410"/>
        <c:axId val="639935912"/>
      </c:lineChart>
      <c:catAx>
        <c:axId val="655635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935912"/>
      </c:catAx>
      <c:valAx>
        <c:axId val="639935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635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Chart29.png"/><Relationship Id="rId10" Type="http://schemas.openxmlformats.org/officeDocument/2006/relationships/image" Target="../media/Chart28.png"/><Relationship Id="rId13" Type="http://schemas.openxmlformats.org/officeDocument/2006/relationships/image" Target="../media/Chart31.png"/><Relationship Id="rId12" Type="http://schemas.openxmlformats.org/officeDocument/2006/relationships/image" Target="../media/Chart30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4.png"/><Relationship Id="rId4" Type="http://schemas.openxmlformats.org/officeDocument/2006/relationships/image" Target="../media/Chart5.png"/><Relationship Id="rId9" Type="http://schemas.openxmlformats.org/officeDocument/2006/relationships/image" Target="../media/Chart26.png"/><Relationship Id="rId15" Type="http://schemas.openxmlformats.org/officeDocument/2006/relationships/image" Target="../media/Chart36.png"/><Relationship Id="rId14" Type="http://schemas.openxmlformats.org/officeDocument/2006/relationships/image" Target="../media/Chart34.png"/><Relationship Id="rId17" Type="http://schemas.openxmlformats.org/officeDocument/2006/relationships/image" Target="../media/Chart39.png"/><Relationship Id="rId16" Type="http://schemas.openxmlformats.org/officeDocument/2006/relationships/image" Target="../media/Chart37.png"/><Relationship Id="rId5" Type="http://schemas.openxmlformats.org/officeDocument/2006/relationships/image" Target="../media/Chart6.png"/><Relationship Id="rId19" Type="http://schemas.openxmlformats.org/officeDocument/2006/relationships/image" Target="../media/Chart44.png"/><Relationship Id="rId6" Type="http://schemas.openxmlformats.org/officeDocument/2006/relationships/image" Target="../media/Chart7.png"/><Relationship Id="rId18" Type="http://schemas.openxmlformats.org/officeDocument/2006/relationships/image" Target="../media/Chart41.png"/><Relationship Id="rId7" Type="http://schemas.openxmlformats.org/officeDocument/2006/relationships/image" Target="../media/Chart8.png"/><Relationship Id="rId8" Type="http://schemas.openxmlformats.org/officeDocument/2006/relationships/image" Target="../media/Chart24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0.xml"/><Relationship Id="rId10" Type="http://schemas.openxmlformats.org/officeDocument/2006/relationships/chart" Target="../charts/chart9.xml"/><Relationship Id="rId12" Type="http://schemas.openxmlformats.org/officeDocument/2006/relationships/image" Target="../media/Chart22.png"/><Relationship Id="rId1" Type="http://schemas.openxmlformats.org/officeDocument/2006/relationships/image" Target="../media/Chart3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1.png"/><Relationship Id="rId3" Type="http://schemas.openxmlformats.org/officeDocument/2006/relationships/image" Target="../media/Chart23.png"/><Relationship Id="rId4" Type="http://schemas.openxmlformats.org/officeDocument/2006/relationships/image" Target="../media/Chart25.png"/><Relationship Id="rId5" Type="http://schemas.openxmlformats.org/officeDocument/2006/relationships/image" Target="../media/Chart3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Chart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2.png"/><Relationship Id="rId2" Type="http://schemas.openxmlformats.org/officeDocument/2006/relationships/image" Target="../media/Chart38.png"/><Relationship Id="rId3" Type="http://schemas.openxmlformats.org/officeDocument/2006/relationships/image" Target="../media/Chart43.png"/><Relationship Id="rId4" Type="http://schemas.openxmlformats.org/officeDocument/2006/relationships/image" Target="../media/Chart46.png"/><Relationship Id="rId5" Type="http://schemas.openxmlformats.org/officeDocument/2006/relationships/image" Target="../media/Chart4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5.png"/><Relationship Id="rId2" Type="http://schemas.openxmlformats.org/officeDocument/2006/relationships/image" Target="../media/Chart40.png"/><Relationship Id="rId3" Type="http://schemas.openxmlformats.org/officeDocument/2006/relationships/image" Target="../media/Chart42.png"/><Relationship Id="rId4" Type="http://schemas.openxmlformats.org/officeDocument/2006/relationships/image" Target="../media/Chart45.png"/><Relationship Id="rId5" Type="http://schemas.openxmlformats.org/officeDocument/2006/relationships/image" Target="../media/Chart47.png"/><Relationship Id="rId6" Type="http://schemas.openxmlformats.org/officeDocument/2006/relationships/image" Target="../media/Chart49.png"/><Relationship Id="rId7" Type="http://schemas.openxmlformats.org/officeDocument/2006/relationships/image" Target="../media/Chart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33925" cy="3267075"/>
    <xdr:pic>
      <xdr:nvPicPr>
        <xdr:cNvPr id="20223301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866775</xdr:colOff>
      <xdr:row>0</xdr:row>
      <xdr:rowOff>0</xdr:rowOff>
    </xdr:from>
    <xdr:ext cx="4733925" cy="3267075"/>
    <xdr:pic>
      <xdr:nvPicPr>
        <xdr:cNvPr id="14974263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771525</xdr:colOff>
      <xdr:row>0</xdr:row>
      <xdr:rowOff>0</xdr:rowOff>
    </xdr:from>
    <xdr:ext cx="4733925" cy="3267075"/>
    <xdr:pic>
      <xdr:nvPicPr>
        <xdr:cNvPr id="201262515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9525</xdr:rowOff>
    </xdr:from>
    <xdr:ext cx="4733925" cy="3267075"/>
    <xdr:pic>
      <xdr:nvPicPr>
        <xdr:cNvPr id="34786698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866775</xdr:colOff>
      <xdr:row>16</xdr:row>
      <xdr:rowOff>9525</xdr:rowOff>
    </xdr:from>
    <xdr:ext cx="4733925" cy="3267075"/>
    <xdr:pic>
      <xdr:nvPicPr>
        <xdr:cNvPr id="47953761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771525</xdr:colOff>
      <xdr:row>16</xdr:row>
      <xdr:rowOff>9525</xdr:rowOff>
    </xdr:from>
    <xdr:ext cx="4733925" cy="3267075"/>
    <xdr:pic>
      <xdr:nvPicPr>
        <xdr:cNvPr id="111008938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200025</xdr:rowOff>
    </xdr:from>
    <xdr:ext cx="14192250" cy="5133975"/>
    <xdr:pic>
      <xdr:nvPicPr>
        <xdr:cNvPr id="87646268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200025</xdr:rowOff>
    </xdr:from>
    <xdr:ext cx="5772150" cy="3467100"/>
    <xdr:pic>
      <xdr:nvPicPr>
        <xdr:cNvPr id="1884530581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59</xdr:row>
      <xdr:rowOff>200025</xdr:rowOff>
    </xdr:from>
    <xdr:ext cx="5772150" cy="3467100"/>
    <xdr:pic>
      <xdr:nvPicPr>
        <xdr:cNvPr id="1039309872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742950</xdr:colOff>
      <xdr:row>0</xdr:row>
      <xdr:rowOff>0</xdr:rowOff>
    </xdr:from>
    <xdr:ext cx="4733925" cy="3267075"/>
    <xdr:pic>
      <xdr:nvPicPr>
        <xdr:cNvPr id="199921916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742950</xdr:colOff>
      <xdr:row>16</xdr:row>
      <xdr:rowOff>9525</xdr:rowOff>
    </xdr:from>
    <xdr:ext cx="4733925" cy="3267075"/>
    <xdr:pic>
      <xdr:nvPicPr>
        <xdr:cNvPr id="1393290906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762000</xdr:colOff>
      <xdr:row>0</xdr:row>
      <xdr:rowOff>0</xdr:rowOff>
    </xdr:from>
    <xdr:ext cx="4733925" cy="3267075"/>
    <xdr:pic>
      <xdr:nvPicPr>
        <xdr:cNvPr id="1928935797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59</xdr:row>
      <xdr:rowOff>200025</xdr:rowOff>
    </xdr:from>
    <xdr:ext cx="5772150" cy="3467100"/>
    <xdr:pic>
      <xdr:nvPicPr>
        <xdr:cNvPr id="54464012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66675</xdr:rowOff>
    </xdr:from>
    <xdr:ext cx="5772150" cy="3467100"/>
    <xdr:pic>
      <xdr:nvPicPr>
        <xdr:cNvPr id="619664906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78</xdr:row>
      <xdr:rowOff>66675</xdr:rowOff>
    </xdr:from>
    <xdr:ext cx="5772150" cy="3467100"/>
    <xdr:pic>
      <xdr:nvPicPr>
        <xdr:cNvPr id="872863489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78</xdr:row>
      <xdr:rowOff>66675</xdr:rowOff>
    </xdr:from>
    <xdr:ext cx="5772150" cy="3467100"/>
    <xdr:pic>
      <xdr:nvPicPr>
        <xdr:cNvPr id="513597641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19050</xdr:rowOff>
    </xdr:from>
    <xdr:ext cx="5772150" cy="3467100"/>
    <xdr:pic>
      <xdr:nvPicPr>
        <xdr:cNvPr id="174225567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97</xdr:row>
      <xdr:rowOff>19050</xdr:rowOff>
    </xdr:from>
    <xdr:ext cx="5772150" cy="3467100"/>
    <xdr:pic>
      <xdr:nvPicPr>
        <xdr:cNvPr id="1596184584" name="Chart4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32</xdr:row>
      <xdr:rowOff>200025</xdr:rowOff>
    </xdr:from>
    <xdr:ext cx="10487025" cy="5133975"/>
    <xdr:pic>
      <xdr:nvPicPr>
        <xdr:cNvPr id="1284634472" name="Chart4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152400</xdr:rowOff>
    </xdr:from>
    <xdr:ext cx="18126075" cy="5133975"/>
    <xdr:pic>
      <xdr:nvPicPr>
        <xdr:cNvPr id="7802528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133350</xdr:rowOff>
    </xdr:from>
    <xdr:ext cx="8715375" cy="36957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219075</xdr:colOff>
      <xdr:row>51</xdr:row>
      <xdr:rowOff>161925</xdr:rowOff>
    </xdr:from>
    <xdr:ext cx="9220200" cy="36957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70</xdr:row>
      <xdr:rowOff>161925</xdr:rowOff>
    </xdr:from>
    <xdr:ext cx="8715375" cy="37528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219075</xdr:colOff>
      <xdr:row>70</xdr:row>
      <xdr:rowOff>161925</xdr:rowOff>
    </xdr:from>
    <xdr:ext cx="9220200" cy="37528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19050</xdr:rowOff>
    </xdr:from>
    <xdr:ext cx="8715375" cy="37528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219075</xdr:colOff>
      <xdr:row>90</xdr:row>
      <xdr:rowOff>19050</xdr:rowOff>
    </xdr:from>
    <xdr:ext cx="9220200" cy="37528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109</xdr:row>
      <xdr:rowOff>161925</xdr:rowOff>
    </xdr:from>
    <xdr:ext cx="8715375" cy="37528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219075</xdr:colOff>
      <xdr:row>109</xdr:row>
      <xdr:rowOff>161925</xdr:rowOff>
    </xdr:from>
    <xdr:ext cx="9220200" cy="37528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128</xdr:row>
      <xdr:rowOff>200025</xdr:rowOff>
    </xdr:from>
    <xdr:ext cx="8715375" cy="37528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219075</xdr:colOff>
      <xdr:row>128</xdr:row>
      <xdr:rowOff>200025</xdr:rowOff>
    </xdr:from>
    <xdr:ext cx="9220200" cy="37528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8126075" cy="5133975"/>
    <xdr:pic>
      <xdr:nvPicPr>
        <xdr:cNvPr id="879077678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171450</xdr:rowOff>
    </xdr:from>
    <xdr:ext cx="4314825" cy="3295650"/>
    <xdr:pic>
      <xdr:nvPicPr>
        <xdr:cNvPr id="131164849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51</xdr:row>
      <xdr:rowOff>171450</xdr:rowOff>
    </xdr:from>
    <xdr:ext cx="4667250" cy="3295650"/>
    <xdr:pic>
      <xdr:nvPicPr>
        <xdr:cNvPr id="452366355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51</xdr:row>
      <xdr:rowOff>171450</xdr:rowOff>
    </xdr:from>
    <xdr:ext cx="4686300" cy="3295650"/>
    <xdr:pic>
      <xdr:nvPicPr>
        <xdr:cNvPr id="1477014653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906500" cy="5095875"/>
    <xdr:pic>
      <xdr:nvPicPr>
        <xdr:cNvPr id="1080734770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19050</xdr:rowOff>
    </xdr:from>
    <xdr:ext cx="13906500" cy="5095875"/>
    <xdr:pic>
      <xdr:nvPicPr>
        <xdr:cNvPr id="484271624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06500" cy="5095875"/>
    <xdr:pic>
      <xdr:nvPicPr>
        <xdr:cNvPr id="292411829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26</xdr:row>
      <xdr:rowOff>123825</xdr:rowOff>
    </xdr:from>
    <xdr:ext cx="13906500" cy="5095875"/>
    <xdr:pic>
      <xdr:nvPicPr>
        <xdr:cNvPr id="1730896116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13906500" cy="5095875"/>
    <xdr:pic>
      <xdr:nvPicPr>
        <xdr:cNvPr id="704624561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200025</xdr:rowOff>
    </xdr:from>
    <xdr:ext cx="6877050" cy="3800475"/>
    <xdr:pic>
      <xdr:nvPicPr>
        <xdr:cNvPr id="926594774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55</xdr:row>
      <xdr:rowOff>200025</xdr:rowOff>
    </xdr:from>
    <xdr:ext cx="6877050" cy="3800475"/>
    <xdr:pic>
      <xdr:nvPicPr>
        <xdr:cNvPr id="1210853611" name="Chart4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114300</xdr:rowOff>
    </xdr:from>
    <xdr:ext cx="13906500" cy="5095875"/>
    <xdr:pic>
      <xdr:nvPicPr>
        <xdr:cNvPr id="1251486375" name="Chart4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8126075" cy="5133975"/>
    <xdr:pic>
      <xdr:nvPicPr>
        <xdr:cNvPr id="2000205936" name="Chart4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792075" cy="3800475"/>
    <xdr:pic>
      <xdr:nvPicPr>
        <xdr:cNvPr id="427351704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38100</xdr:rowOff>
    </xdr:from>
    <xdr:ext cx="6219825" cy="3800475"/>
    <xdr:pic>
      <xdr:nvPicPr>
        <xdr:cNvPr id="1670948274" name="Chart4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20</xdr:row>
      <xdr:rowOff>38100</xdr:rowOff>
    </xdr:from>
    <xdr:ext cx="6219825" cy="3800475"/>
    <xdr:pic>
      <xdr:nvPicPr>
        <xdr:cNvPr id="300817119" name="Chart4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38100</xdr:rowOff>
    </xdr:from>
    <xdr:ext cx="6219825" cy="3800475"/>
    <xdr:pic>
      <xdr:nvPicPr>
        <xdr:cNvPr id="1192352425" name="Chart4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40</xdr:row>
      <xdr:rowOff>38100</xdr:rowOff>
    </xdr:from>
    <xdr:ext cx="6219825" cy="3800475"/>
    <xdr:pic>
      <xdr:nvPicPr>
        <xdr:cNvPr id="553993157" name="Chart4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38100</xdr:rowOff>
    </xdr:from>
    <xdr:ext cx="6219825" cy="3800475"/>
    <xdr:pic>
      <xdr:nvPicPr>
        <xdr:cNvPr id="1950629702" name="Chart4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61</xdr:row>
      <xdr:rowOff>38100</xdr:rowOff>
    </xdr:from>
    <xdr:ext cx="6219825" cy="3800475"/>
    <xdr:pic>
      <xdr:nvPicPr>
        <xdr:cNvPr id="543945754" name="Chart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55.38"/>
  </cols>
  <sheetData>
    <row r="1">
      <c r="A1" s="1"/>
      <c r="B1" s="2">
        <v>2021.0</v>
      </c>
      <c r="H1" s="3">
        <v>2022.0</v>
      </c>
      <c r="T1" s="2">
        <v>2023.0</v>
      </c>
      <c r="AF1" s="3">
        <v>2024.0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11"/>
      <c r="BQ1" s="11"/>
    </row>
    <row r="2">
      <c r="A2" s="4" t="s">
        <v>0</v>
      </c>
      <c r="B2" s="12">
        <v>44392.0</v>
      </c>
      <c r="C2" s="12">
        <v>44419.0</v>
      </c>
      <c r="D2" s="12">
        <v>44446.0</v>
      </c>
      <c r="E2" s="12">
        <v>44473.0</v>
      </c>
      <c r="F2" s="12">
        <v>44527.0</v>
      </c>
      <c r="G2" s="12">
        <v>44554.0</v>
      </c>
      <c r="H2" s="12">
        <v>44581.0</v>
      </c>
      <c r="I2" s="12">
        <v>44608.0</v>
      </c>
      <c r="J2" s="12">
        <v>44635.0</v>
      </c>
      <c r="K2" s="12">
        <v>44662.0</v>
      </c>
      <c r="L2" s="12">
        <v>44689.0</v>
      </c>
      <c r="M2" s="12">
        <v>44716.0</v>
      </c>
      <c r="N2" s="12">
        <v>44743.0</v>
      </c>
      <c r="O2" s="12">
        <v>44797.0</v>
      </c>
      <c r="P2" s="12">
        <v>44824.0</v>
      </c>
      <c r="Q2" s="12">
        <v>44851.0</v>
      </c>
      <c r="R2" s="12">
        <v>44878.0</v>
      </c>
      <c r="S2" s="12">
        <v>44905.0</v>
      </c>
      <c r="T2" s="12">
        <v>44932.0</v>
      </c>
      <c r="U2" s="12">
        <v>44959.0</v>
      </c>
      <c r="V2" s="12">
        <v>44986.0</v>
      </c>
      <c r="W2" s="12">
        <v>45040.0</v>
      </c>
      <c r="X2" s="12">
        <v>45057.0</v>
      </c>
      <c r="Y2" s="12">
        <v>45098.0</v>
      </c>
      <c r="Z2" s="12">
        <v>45113.0</v>
      </c>
      <c r="AA2" s="12">
        <v>45155.0</v>
      </c>
      <c r="AB2" s="12">
        <v>45175.0</v>
      </c>
      <c r="AC2" s="12">
        <v>45217.0</v>
      </c>
      <c r="AD2" s="12">
        <v>45246.0</v>
      </c>
      <c r="AE2" s="12">
        <v>45266.0</v>
      </c>
      <c r="AF2" s="12">
        <v>45310.0</v>
      </c>
      <c r="AG2" s="12">
        <v>45330.0</v>
      </c>
      <c r="AH2" s="12">
        <v>45357.0</v>
      </c>
      <c r="AI2" s="12">
        <v>45399.0</v>
      </c>
      <c r="AJ2" s="12">
        <v>45427.0</v>
      </c>
      <c r="AK2" s="12">
        <v>45448.0</v>
      </c>
      <c r="AL2" s="12">
        <v>45484.0</v>
      </c>
      <c r="AM2" s="12">
        <v>45511.0</v>
      </c>
      <c r="AN2" s="12">
        <v>45540.0</v>
      </c>
      <c r="AO2" s="12">
        <v>45573.0</v>
      </c>
      <c r="AP2" s="12">
        <v>45607.0</v>
      </c>
      <c r="AQ2" s="12">
        <v>45637.0</v>
      </c>
      <c r="AR2" s="12">
        <v>45664.0</v>
      </c>
      <c r="AS2" s="12">
        <v>45689.0</v>
      </c>
      <c r="AT2" s="12">
        <v>45717.0</v>
      </c>
      <c r="AU2" s="12">
        <v>45748.0</v>
      </c>
      <c r="AV2" s="12">
        <v>45778.0</v>
      </c>
      <c r="AW2" s="12">
        <v>45809.0</v>
      </c>
      <c r="AX2" s="12">
        <v>45839.0</v>
      </c>
      <c r="AY2" s="12">
        <v>45870.0</v>
      </c>
      <c r="AZ2" s="12">
        <v>45901.0</v>
      </c>
      <c r="BA2" s="12">
        <v>45932.0</v>
      </c>
      <c r="BB2" s="12">
        <v>45962.0</v>
      </c>
      <c r="BC2" s="12">
        <v>45992.0</v>
      </c>
      <c r="BD2" s="12">
        <v>46023.0</v>
      </c>
      <c r="BE2" s="12">
        <v>46054.0</v>
      </c>
      <c r="BF2" s="12">
        <v>46082.0</v>
      </c>
      <c r="BG2" s="12">
        <v>46113.0</v>
      </c>
      <c r="BH2" s="12">
        <v>46143.0</v>
      </c>
      <c r="BI2" s="12">
        <v>46174.0</v>
      </c>
      <c r="BJ2" s="12">
        <v>46204.0</v>
      </c>
      <c r="BK2" s="12">
        <v>46235.0</v>
      </c>
      <c r="BL2" s="12">
        <v>46266.0</v>
      </c>
      <c r="BM2" s="12">
        <v>46296.0</v>
      </c>
      <c r="BN2" s="12">
        <v>46327.0</v>
      </c>
      <c r="BO2" s="12">
        <v>46357.0</v>
      </c>
      <c r="BP2" s="7" t="s">
        <v>1</v>
      </c>
      <c r="BQ2" s="8" t="s">
        <v>2</v>
      </c>
    </row>
    <row r="3">
      <c r="A3" s="9" t="s">
        <v>3</v>
      </c>
      <c r="B3" s="10">
        <v>2330.0</v>
      </c>
      <c r="C3" s="10">
        <v>945.0</v>
      </c>
      <c r="D3" s="10">
        <v>415.0</v>
      </c>
      <c r="E3" s="10">
        <v>1396.0</v>
      </c>
      <c r="F3" s="10">
        <v>1582.0</v>
      </c>
      <c r="G3" s="10">
        <v>1380.0</v>
      </c>
      <c r="H3" s="10">
        <v>1681.0</v>
      </c>
      <c r="I3" s="10">
        <v>1212.0</v>
      </c>
      <c r="J3" s="10">
        <v>3305.0</v>
      </c>
      <c r="K3" s="10">
        <v>4369.0</v>
      </c>
      <c r="L3" s="10">
        <v>3561.0</v>
      </c>
      <c r="M3" s="10">
        <v>2262.0</v>
      </c>
      <c r="N3" s="10">
        <v>450.0</v>
      </c>
      <c r="O3" s="10">
        <v>485.0</v>
      </c>
      <c r="P3" s="10">
        <v>774.0</v>
      </c>
      <c r="Q3" s="10">
        <v>7298.0</v>
      </c>
      <c r="R3" s="10">
        <v>18144.0</v>
      </c>
      <c r="S3" s="10">
        <v>6148.0</v>
      </c>
      <c r="T3" s="10">
        <v>5443.0</v>
      </c>
      <c r="U3" s="10">
        <v>5311.0</v>
      </c>
      <c r="V3" s="10">
        <v>7268.0</v>
      </c>
      <c r="W3" s="10">
        <v>8490.0</v>
      </c>
      <c r="X3" s="10">
        <v>9520.0</v>
      </c>
      <c r="Y3" s="10">
        <v>4982.0</v>
      </c>
      <c r="Z3" s="10">
        <v>5884.0</v>
      </c>
      <c r="AA3" s="10">
        <v>5901.0</v>
      </c>
      <c r="AB3" s="10">
        <v>3889.0</v>
      </c>
      <c r="AC3" s="10">
        <v>7475.0</v>
      </c>
      <c r="AD3" s="10">
        <v>30028.0</v>
      </c>
      <c r="AE3" s="10">
        <v>22951.0</v>
      </c>
      <c r="AF3" s="10">
        <v>3946.0</v>
      </c>
      <c r="AG3" s="10">
        <v>7716.0</v>
      </c>
      <c r="AH3" s="10">
        <v>6487.0</v>
      </c>
      <c r="AI3" s="10">
        <v>3315.0</v>
      </c>
      <c r="AJ3" s="10">
        <v>4414.0</v>
      </c>
      <c r="AK3" s="10">
        <v>4049.0</v>
      </c>
      <c r="AL3" s="10">
        <v>3213.0</v>
      </c>
      <c r="AM3" s="10">
        <v>2306.0</v>
      </c>
      <c r="AN3" s="10">
        <v>1497.0</v>
      </c>
      <c r="AO3" s="10">
        <v>2601.0</v>
      </c>
      <c r="AP3" s="10">
        <v>41165.0</v>
      </c>
      <c r="AQ3" s="10">
        <v>39526.0</v>
      </c>
      <c r="AR3" s="10">
        <v>5600.0</v>
      </c>
      <c r="AS3" s="10">
        <v>6703.0</v>
      </c>
      <c r="AT3" s="10">
        <v>6999.0</v>
      </c>
      <c r="AU3" s="10">
        <v>9927.0</v>
      </c>
      <c r="AV3" s="10">
        <v>9983.0</v>
      </c>
      <c r="AW3" s="10">
        <v>5313.0</v>
      </c>
      <c r="AX3" s="10">
        <v>2483.0</v>
      </c>
      <c r="AY3" s="10">
        <v>2581.0</v>
      </c>
      <c r="AZ3" s="10">
        <v>5528.0</v>
      </c>
      <c r="BA3" s="10">
        <v>1276.0</v>
      </c>
      <c r="BB3" s="10">
        <v>41326.0</v>
      </c>
      <c r="BC3" s="10">
        <v>57695.0</v>
      </c>
      <c r="BD3" s="10">
        <v>4386.0</v>
      </c>
      <c r="BE3" s="10">
        <v>3366.0</v>
      </c>
      <c r="BF3" s="10">
        <v>7904.0</v>
      </c>
      <c r="BG3" s="10">
        <v>9703.0</v>
      </c>
      <c r="BH3" s="27">
        <f>IFERROR(__xludf.DUMMYFUNCTION("IMPORTRANGE(""1Z2ZLDM0_m0NNnV5_jRvcRNtM9Z5AZ7o_A94RnrBGQUE"",""DTC - P&amp;L!AG39:AG39"")"),9977.0)</f>
        <v>9977</v>
      </c>
      <c r="BI3" s="27"/>
      <c r="BJ3" s="27"/>
      <c r="BK3" s="27"/>
      <c r="BL3" s="27"/>
      <c r="BM3" s="27"/>
      <c r="BN3" s="27"/>
      <c r="BO3" s="27"/>
      <c r="BP3" s="28">
        <f>SUM(B3:BO3)</f>
        <v>485864</v>
      </c>
      <c r="BQ3" s="29"/>
    </row>
    <row r="4">
      <c r="A4" s="15" t="s">
        <v>4</v>
      </c>
      <c r="B4" s="16">
        <f t="shared" ref="B4:BP4" si="1">B18/B3</f>
        <v>0.6193133047</v>
      </c>
      <c r="C4" s="16">
        <f t="shared" si="1"/>
        <v>0.5968253968</v>
      </c>
      <c r="D4" s="16">
        <f t="shared" si="1"/>
        <v>0.5686746988</v>
      </c>
      <c r="E4" s="16">
        <f t="shared" si="1"/>
        <v>0.5773638968</v>
      </c>
      <c r="F4" s="16">
        <f t="shared" si="1"/>
        <v>0.4715549937</v>
      </c>
      <c r="G4" s="16">
        <f t="shared" si="1"/>
        <v>0.4985507246</v>
      </c>
      <c r="H4" s="16">
        <f t="shared" si="1"/>
        <v>0.491969066</v>
      </c>
      <c r="I4" s="16">
        <f t="shared" si="1"/>
        <v>0.4768976898</v>
      </c>
      <c r="J4" s="16">
        <f t="shared" si="1"/>
        <v>0.4704992436</v>
      </c>
      <c r="K4" s="16">
        <f t="shared" si="1"/>
        <v>0.436255436</v>
      </c>
      <c r="L4" s="16">
        <f t="shared" si="1"/>
        <v>0.4358326313</v>
      </c>
      <c r="M4" s="16">
        <f t="shared" si="1"/>
        <v>0.4000884173</v>
      </c>
      <c r="N4" s="16">
        <f t="shared" si="1"/>
        <v>0.48</v>
      </c>
      <c r="O4" s="16">
        <f t="shared" si="1"/>
        <v>0.3917525773</v>
      </c>
      <c r="P4" s="16">
        <f t="shared" si="1"/>
        <v>0.3798449612</v>
      </c>
      <c r="Q4" s="16">
        <f t="shared" si="1"/>
        <v>0.3479035352</v>
      </c>
      <c r="R4" s="16">
        <f t="shared" si="1"/>
        <v>0.3374669312</v>
      </c>
      <c r="S4" s="16">
        <f t="shared" si="1"/>
        <v>0.3080676643</v>
      </c>
      <c r="T4" s="16">
        <f t="shared" si="1"/>
        <v>0.2989160389</v>
      </c>
      <c r="U4" s="16">
        <f t="shared" si="1"/>
        <v>0.3048390134</v>
      </c>
      <c r="V4" s="16">
        <f t="shared" si="1"/>
        <v>0.3291139241</v>
      </c>
      <c r="W4" s="16">
        <f t="shared" si="1"/>
        <v>0.3372202591</v>
      </c>
      <c r="X4" s="16">
        <f t="shared" si="1"/>
        <v>0.3212184874</v>
      </c>
      <c r="Y4" s="16">
        <f t="shared" si="1"/>
        <v>0.3145323163</v>
      </c>
      <c r="Z4" s="16">
        <f t="shared" si="1"/>
        <v>0.1876274643</v>
      </c>
      <c r="AA4" s="16">
        <f t="shared" si="1"/>
        <v>0.6520928656</v>
      </c>
      <c r="AB4" s="16">
        <f t="shared" si="1"/>
        <v>0.6376960658</v>
      </c>
      <c r="AC4" s="16">
        <f t="shared" si="1"/>
        <v>0.6214046823</v>
      </c>
      <c r="AD4" s="16">
        <f t="shared" si="1"/>
        <v>0.5853869722</v>
      </c>
      <c r="AE4" s="16">
        <f t="shared" si="1"/>
        <v>0.597751732</v>
      </c>
      <c r="AF4" s="16">
        <f t="shared" si="1"/>
        <v>0.626710593</v>
      </c>
      <c r="AG4" s="16">
        <f t="shared" si="1"/>
        <v>0.5758164852</v>
      </c>
      <c r="AH4" s="16">
        <f t="shared" si="1"/>
        <v>0.6183135502</v>
      </c>
      <c r="AI4" s="16">
        <f t="shared" si="1"/>
        <v>0.665158371</v>
      </c>
      <c r="AJ4" s="16">
        <f t="shared" si="1"/>
        <v>0.5489352062</v>
      </c>
      <c r="AK4" s="16">
        <f t="shared" si="1"/>
        <v>0.3608298345</v>
      </c>
      <c r="AL4" s="16">
        <f t="shared" si="1"/>
        <v>0.3576097106</v>
      </c>
      <c r="AM4" s="16">
        <f t="shared" si="1"/>
        <v>0.4310494363</v>
      </c>
      <c r="AN4" s="16">
        <f t="shared" si="1"/>
        <v>0.2959251837</v>
      </c>
      <c r="AO4" s="16">
        <f t="shared" si="1"/>
        <v>0.4290657439</v>
      </c>
      <c r="AP4" s="16">
        <f t="shared" si="1"/>
        <v>0.4793392445</v>
      </c>
      <c r="AQ4" s="16">
        <f t="shared" si="1"/>
        <v>0.5415928756</v>
      </c>
      <c r="AR4" s="16">
        <f t="shared" si="1"/>
        <v>0.6414285714</v>
      </c>
      <c r="AS4" s="16">
        <f t="shared" si="1"/>
        <v>0.6362822617</v>
      </c>
      <c r="AT4" s="16">
        <f t="shared" si="1"/>
        <v>0.6685240749</v>
      </c>
      <c r="AU4" s="16">
        <f t="shared" si="1"/>
        <v>0.6109600081</v>
      </c>
      <c r="AV4" s="16">
        <f t="shared" si="1"/>
        <v>0.5561454473</v>
      </c>
      <c r="AW4" s="16">
        <f t="shared" si="1"/>
        <v>0.5770750988</v>
      </c>
      <c r="AX4" s="16">
        <f t="shared" si="1"/>
        <v>0.5710833669</v>
      </c>
      <c r="AY4" s="16">
        <f t="shared" si="1"/>
        <v>0.5722588144</v>
      </c>
      <c r="AZ4" s="16">
        <f t="shared" si="1"/>
        <v>0.6183068017</v>
      </c>
      <c r="BA4" s="16">
        <f t="shared" si="1"/>
        <v>0.526645768</v>
      </c>
      <c r="BB4" s="16">
        <f t="shared" si="1"/>
        <v>0.4950394425</v>
      </c>
      <c r="BC4" s="16">
        <f t="shared" si="1"/>
        <v>0.4122020972</v>
      </c>
      <c r="BD4" s="16">
        <f t="shared" si="1"/>
        <v>0.5380756954</v>
      </c>
      <c r="BE4" s="16">
        <f t="shared" si="1"/>
        <v>0.5534759358</v>
      </c>
      <c r="BF4" s="16">
        <f t="shared" si="1"/>
        <v>0.5264423077</v>
      </c>
      <c r="BG4" s="16">
        <f t="shared" si="1"/>
        <v>0.5165412759</v>
      </c>
      <c r="BH4" s="16">
        <f t="shared" si="1"/>
        <v>0.5143830811</v>
      </c>
      <c r="BI4" s="16" t="str">
        <f t="shared" si="1"/>
        <v>#DIV/0!</v>
      </c>
      <c r="BJ4" s="16" t="str">
        <f t="shared" si="1"/>
        <v>#DIV/0!</v>
      </c>
      <c r="BK4" s="16" t="str">
        <f t="shared" si="1"/>
        <v>#DIV/0!</v>
      </c>
      <c r="BL4" s="16" t="str">
        <f t="shared" si="1"/>
        <v>#DIV/0!</v>
      </c>
      <c r="BM4" s="16" t="str">
        <f t="shared" si="1"/>
        <v>#DIV/0!</v>
      </c>
      <c r="BN4" s="16" t="str">
        <f t="shared" si="1"/>
        <v>#DIV/0!</v>
      </c>
      <c r="BO4" s="16" t="str">
        <f t="shared" si="1"/>
        <v>#DIV/0!</v>
      </c>
      <c r="BP4" s="19">
        <f t="shared" si="1"/>
        <v>0.4906537632</v>
      </c>
      <c r="BQ4" s="19"/>
    </row>
    <row r="5">
      <c r="A5" s="17" t="s">
        <v>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9"/>
      <c r="BQ5" s="19"/>
    </row>
    <row r="6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9"/>
      <c r="BQ6" s="19"/>
    </row>
    <row r="7">
      <c r="A7" s="20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2"/>
      <c r="BQ7" s="23"/>
    </row>
    <row r="8">
      <c r="A8" s="24" t="s">
        <v>7</v>
      </c>
      <c r="B8" s="45">
        <v>1207.0</v>
      </c>
      <c r="C8" s="46">
        <v>387.0</v>
      </c>
      <c r="D8" s="46">
        <v>133.0</v>
      </c>
      <c r="E8" s="46">
        <v>335.0</v>
      </c>
      <c r="F8" s="46">
        <v>444.0</v>
      </c>
      <c r="G8" s="46">
        <v>201.0</v>
      </c>
      <c r="H8" s="46">
        <v>178.0</v>
      </c>
      <c r="I8" s="46">
        <v>399.0</v>
      </c>
      <c r="J8" s="46">
        <v>1047.0</v>
      </c>
      <c r="K8" s="46">
        <v>1489.0</v>
      </c>
      <c r="L8" s="46">
        <v>1218.0</v>
      </c>
      <c r="M8" s="46">
        <v>675.0</v>
      </c>
      <c r="N8" s="24">
        <v>123.0</v>
      </c>
      <c r="O8" s="46">
        <v>115.0</v>
      </c>
      <c r="P8" s="46">
        <v>216.0</v>
      </c>
      <c r="Q8" s="46">
        <v>1697.0</v>
      </c>
      <c r="R8" s="46">
        <v>3287.0</v>
      </c>
      <c r="S8" s="46">
        <v>658.0</v>
      </c>
      <c r="T8" s="46">
        <v>412.0</v>
      </c>
      <c r="U8" s="46">
        <v>794.0</v>
      </c>
      <c r="V8" s="46">
        <v>1355.0</v>
      </c>
      <c r="W8" s="46">
        <v>1320.0</v>
      </c>
      <c r="X8" s="46">
        <v>1371.0</v>
      </c>
      <c r="Y8" s="46">
        <v>609.0</v>
      </c>
      <c r="Z8" s="46">
        <v>396.0</v>
      </c>
      <c r="AA8" s="46">
        <v>1867.0</v>
      </c>
      <c r="AB8" s="46">
        <v>849.0</v>
      </c>
      <c r="AC8" s="46">
        <v>2104.0</v>
      </c>
      <c r="AD8" s="46">
        <v>9039.0</v>
      </c>
      <c r="AE8" s="46">
        <v>5759.0</v>
      </c>
      <c r="AF8" s="24">
        <v>628.0</v>
      </c>
      <c r="AG8" s="46">
        <v>1483.0</v>
      </c>
      <c r="AH8" s="46">
        <v>1085.0</v>
      </c>
      <c r="AI8" s="46">
        <v>433.0</v>
      </c>
      <c r="AJ8" s="48">
        <f t="shared" ref="AJ8:BO8" si="2">sum(AJ126,AJ168)</f>
        <v>603</v>
      </c>
      <c r="AK8" s="48">
        <f t="shared" si="2"/>
        <v>431</v>
      </c>
      <c r="AL8" s="48">
        <f t="shared" si="2"/>
        <v>312</v>
      </c>
      <c r="AM8" s="48">
        <f t="shared" si="2"/>
        <v>283</v>
      </c>
      <c r="AN8" s="48">
        <f t="shared" si="2"/>
        <v>135</v>
      </c>
      <c r="AO8" s="48">
        <f t="shared" si="2"/>
        <v>442</v>
      </c>
      <c r="AP8" s="48">
        <f t="shared" si="2"/>
        <v>13971</v>
      </c>
      <c r="AQ8" s="48">
        <f t="shared" si="2"/>
        <v>12822</v>
      </c>
      <c r="AR8" s="48">
        <f t="shared" si="2"/>
        <v>1280</v>
      </c>
      <c r="AS8" s="48">
        <f t="shared" si="2"/>
        <v>1758</v>
      </c>
      <c r="AT8" s="48">
        <f t="shared" si="2"/>
        <v>1684</v>
      </c>
      <c r="AU8" s="48">
        <f t="shared" si="2"/>
        <v>2614</v>
      </c>
      <c r="AV8" s="48">
        <f t="shared" si="2"/>
        <v>2188</v>
      </c>
      <c r="AW8" s="48">
        <f t="shared" si="2"/>
        <v>1266</v>
      </c>
      <c r="AX8" s="48">
        <f t="shared" si="2"/>
        <v>386</v>
      </c>
      <c r="AY8" s="48">
        <f t="shared" si="2"/>
        <v>387</v>
      </c>
      <c r="AZ8" s="48">
        <f t="shared" si="2"/>
        <v>977</v>
      </c>
      <c r="BA8" s="48">
        <f t="shared" si="2"/>
        <v>204</v>
      </c>
      <c r="BB8" s="48">
        <f t="shared" si="2"/>
        <v>13401</v>
      </c>
      <c r="BC8" s="48">
        <f t="shared" si="2"/>
        <v>15150</v>
      </c>
      <c r="BD8" s="48">
        <f t="shared" si="2"/>
        <v>715</v>
      </c>
      <c r="BE8" s="48">
        <f t="shared" si="2"/>
        <v>638</v>
      </c>
      <c r="BF8" s="48">
        <f t="shared" si="2"/>
        <v>1608</v>
      </c>
      <c r="BG8" s="48">
        <f t="shared" si="2"/>
        <v>1857</v>
      </c>
      <c r="BH8" s="48">
        <f t="shared" si="2"/>
        <v>1762</v>
      </c>
      <c r="BI8" s="48">
        <f t="shared" si="2"/>
        <v>0</v>
      </c>
      <c r="BJ8" s="48">
        <f t="shared" si="2"/>
        <v>0</v>
      </c>
      <c r="BK8" s="48">
        <f t="shared" si="2"/>
        <v>0</v>
      </c>
      <c r="BL8" s="48">
        <f t="shared" si="2"/>
        <v>0</v>
      </c>
      <c r="BM8" s="48">
        <f t="shared" si="2"/>
        <v>0</v>
      </c>
      <c r="BN8" s="48">
        <f t="shared" si="2"/>
        <v>0</v>
      </c>
      <c r="BO8" s="48">
        <f t="shared" si="2"/>
        <v>0</v>
      </c>
      <c r="BP8" s="28">
        <f t="shared" ref="BP8:BP18" si="4">SUM(B8:BO8)</f>
        <v>120187</v>
      </c>
      <c r="BQ8" s="19">
        <f t="shared" ref="BQ8:BQ17" si="5">iferror(BP8/$BP$18,"")</f>
        <v>0.5041591335</v>
      </c>
    </row>
    <row r="9">
      <c r="A9" s="30" t="s">
        <v>8</v>
      </c>
      <c r="B9" s="45">
        <v>132.0</v>
      </c>
      <c r="C9" s="46">
        <v>107.0</v>
      </c>
      <c r="D9" s="46">
        <v>48.0</v>
      </c>
      <c r="E9" s="46">
        <v>69.0</v>
      </c>
      <c r="F9" s="46">
        <v>141.0</v>
      </c>
      <c r="G9" s="46">
        <v>126.0</v>
      </c>
      <c r="H9" s="46">
        <v>115.0</v>
      </c>
      <c r="I9" s="46">
        <v>62.0</v>
      </c>
      <c r="J9" s="46">
        <v>172.0</v>
      </c>
      <c r="K9" s="46">
        <v>187.0</v>
      </c>
      <c r="L9" s="46">
        <v>167.0</v>
      </c>
      <c r="M9" s="46">
        <v>100.0</v>
      </c>
      <c r="N9" s="24">
        <v>35.0</v>
      </c>
      <c r="O9" s="24">
        <v>33.0</v>
      </c>
      <c r="P9" s="24">
        <v>35.0</v>
      </c>
      <c r="Q9" s="46">
        <v>316.0</v>
      </c>
      <c r="R9" s="46">
        <v>1366.0</v>
      </c>
      <c r="S9" s="46">
        <v>966.0</v>
      </c>
      <c r="T9" s="46">
        <v>754.0</v>
      </c>
      <c r="U9" s="46">
        <v>600.0</v>
      </c>
      <c r="V9" s="46">
        <v>784.0</v>
      </c>
      <c r="W9" s="46">
        <v>917.0</v>
      </c>
      <c r="X9" s="46">
        <v>1030.0</v>
      </c>
      <c r="Y9" s="46">
        <v>650.0</v>
      </c>
      <c r="Z9" s="46">
        <v>573.0</v>
      </c>
      <c r="AA9" s="46">
        <v>1587.0</v>
      </c>
      <c r="AB9" s="46">
        <v>1158.0</v>
      </c>
      <c r="AC9" s="46">
        <v>1881.0</v>
      </c>
      <c r="AD9" s="46">
        <v>5146.0</v>
      </c>
      <c r="AE9" s="46">
        <v>4647.0</v>
      </c>
      <c r="AF9" s="46">
        <v>1400.0</v>
      </c>
      <c r="AG9" s="46">
        <v>2349.0</v>
      </c>
      <c r="AH9" s="46">
        <v>2170.0</v>
      </c>
      <c r="AI9" s="46">
        <v>1219.0</v>
      </c>
      <c r="AJ9" s="48">
        <f t="shared" ref="AJ9:BO9" si="3">sum(AJ127,AJ169)</f>
        <v>1316</v>
      </c>
      <c r="AK9" s="48">
        <f t="shared" si="3"/>
        <v>775</v>
      </c>
      <c r="AL9" s="48">
        <f t="shared" si="3"/>
        <v>595</v>
      </c>
      <c r="AM9" s="48">
        <f t="shared" si="3"/>
        <v>514</v>
      </c>
      <c r="AN9" s="48">
        <f t="shared" si="3"/>
        <v>222</v>
      </c>
      <c r="AO9" s="48">
        <f t="shared" si="3"/>
        <v>392</v>
      </c>
      <c r="AP9" s="48">
        <f t="shared" si="3"/>
        <v>3782</v>
      </c>
      <c r="AQ9" s="48">
        <f t="shared" si="3"/>
        <v>5386</v>
      </c>
      <c r="AR9" s="48">
        <f t="shared" si="3"/>
        <v>1763</v>
      </c>
      <c r="AS9" s="48">
        <f t="shared" si="3"/>
        <v>1845</v>
      </c>
      <c r="AT9" s="48">
        <f t="shared" si="3"/>
        <v>2211</v>
      </c>
      <c r="AU9" s="48">
        <f t="shared" si="3"/>
        <v>2522</v>
      </c>
      <c r="AV9" s="48">
        <f t="shared" si="3"/>
        <v>2406</v>
      </c>
      <c r="AW9" s="48">
        <f t="shared" si="3"/>
        <v>1369</v>
      </c>
      <c r="AX9" s="48">
        <f t="shared" si="3"/>
        <v>759</v>
      </c>
      <c r="AY9" s="48">
        <f t="shared" si="3"/>
        <v>769</v>
      </c>
      <c r="AZ9" s="48">
        <f t="shared" si="3"/>
        <v>1592</v>
      </c>
      <c r="BA9" s="48">
        <f t="shared" si="3"/>
        <v>314</v>
      </c>
      <c r="BB9" s="48">
        <f t="shared" si="3"/>
        <v>4581</v>
      </c>
      <c r="BC9" s="48">
        <f t="shared" si="3"/>
        <v>5549</v>
      </c>
      <c r="BD9" s="48">
        <f t="shared" si="3"/>
        <v>1335</v>
      </c>
      <c r="BE9" s="48">
        <f t="shared" si="3"/>
        <v>950</v>
      </c>
      <c r="BF9" s="48">
        <f t="shared" si="3"/>
        <v>1940</v>
      </c>
      <c r="BG9" s="48">
        <f t="shared" si="3"/>
        <v>2366</v>
      </c>
      <c r="BH9" s="48">
        <f t="shared" si="3"/>
        <v>2437</v>
      </c>
      <c r="BI9" s="48">
        <f t="shared" si="3"/>
        <v>0</v>
      </c>
      <c r="BJ9" s="48">
        <f t="shared" si="3"/>
        <v>0</v>
      </c>
      <c r="BK9" s="48">
        <f t="shared" si="3"/>
        <v>0</v>
      </c>
      <c r="BL9" s="48">
        <f t="shared" si="3"/>
        <v>0</v>
      </c>
      <c r="BM9" s="48">
        <f t="shared" si="3"/>
        <v>0</v>
      </c>
      <c r="BN9" s="48">
        <f t="shared" si="3"/>
        <v>0</v>
      </c>
      <c r="BO9" s="48">
        <f t="shared" si="3"/>
        <v>0</v>
      </c>
      <c r="BP9" s="28">
        <f t="shared" si="4"/>
        <v>78732</v>
      </c>
      <c r="BQ9" s="19">
        <f t="shared" si="5"/>
        <v>0.3302641459</v>
      </c>
    </row>
    <row r="10">
      <c r="A10" s="30" t="s">
        <v>10</v>
      </c>
      <c r="B10" s="45">
        <v>38.0</v>
      </c>
      <c r="C10" s="46">
        <v>29.0</v>
      </c>
      <c r="D10" s="46">
        <v>29.0</v>
      </c>
      <c r="E10" s="46">
        <v>33.0</v>
      </c>
      <c r="F10" s="46">
        <v>68.0</v>
      </c>
      <c r="G10" s="46">
        <v>72.0</v>
      </c>
      <c r="H10" s="46">
        <v>97.0</v>
      </c>
      <c r="I10" s="46">
        <v>41.0</v>
      </c>
      <c r="J10" s="46">
        <v>75.0</v>
      </c>
      <c r="K10" s="46">
        <v>80.0</v>
      </c>
      <c r="L10" s="46">
        <v>78.0</v>
      </c>
      <c r="M10" s="46">
        <v>48.0</v>
      </c>
      <c r="N10" s="24">
        <v>19.0</v>
      </c>
      <c r="O10" s="24">
        <v>22.0</v>
      </c>
      <c r="P10" s="24">
        <v>15.0</v>
      </c>
      <c r="Q10" s="46">
        <v>68.0</v>
      </c>
      <c r="R10" s="46">
        <v>174.0</v>
      </c>
      <c r="S10" s="46">
        <v>65.0</v>
      </c>
      <c r="T10" s="46">
        <v>102.0</v>
      </c>
      <c r="U10" s="46">
        <v>49.0</v>
      </c>
      <c r="V10" s="46">
        <v>73.0</v>
      </c>
      <c r="W10" s="46">
        <v>45.0</v>
      </c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28">
        <f t="shared" si="4"/>
        <v>1320</v>
      </c>
      <c r="BQ10" s="19">
        <f t="shared" si="5"/>
        <v>0.005537121787</v>
      </c>
    </row>
    <row r="11">
      <c r="A11" s="30" t="s">
        <v>11</v>
      </c>
      <c r="B11" s="45">
        <v>38.0</v>
      </c>
      <c r="C11" s="46">
        <v>3.0</v>
      </c>
      <c r="D11" s="46">
        <v>7.0</v>
      </c>
      <c r="E11" s="46">
        <v>2.0</v>
      </c>
      <c r="F11" s="46">
        <v>9.0</v>
      </c>
      <c r="G11" s="46">
        <v>12.0</v>
      </c>
      <c r="H11" s="46">
        <v>4.0</v>
      </c>
      <c r="I11" s="46">
        <v>3.0</v>
      </c>
      <c r="J11" s="46">
        <v>6.0</v>
      </c>
      <c r="K11" s="46">
        <v>8.0</v>
      </c>
      <c r="L11" s="46">
        <v>6.0</v>
      </c>
      <c r="M11" s="46">
        <v>1.0</v>
      </c>
      <c r="N11" s="24">
        <v>1.0</v>
      </c>
      <c r="O11" s="24">
        <v>1.0</v>
      </c>
      <c r="P11" s="24">
        <v>2.0</v>
      </c>
      <c r="Q11" s="46">
        <v>12.0</v>
      </c>
      <c r="R11" s="46">
        <v>20.0</v>
      </c>
      <c r="S11" s="46">
        <v>5.0</v>
      </c>
      <c r="T11" s="46">
        <v>2.0</v>
      </c>
      <c r="U11" s="46">
        <v>4.0</v>
      </c>
      <c r="V11" s="46">
        <v>10.0</v>
      </c>
      <c r="W11" s="46">
        <v>2.0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28">
        <f t="shared" si="4"/>
        <v>158</v>
      </c>
      <c r="BQ11" s="19">
        <f t="shared" si="5"/>
        <v>0.0006627766988</v>
      </c>
    </row>
    <row r="12">
      <c r="A12" s="30" t="s">
        <v>12</v>
      </c>
      <c r="B12" s="45">
        <v>15.0</v>
      </c>
      <c r="C12" s="46">
        <v>9.0</v>
      </c>
      <c r="D12" s="46">
        <v>1.0</v>
      </c>
      <c r="E12" s="46">
        <v>4.0</v>
      </c>
      <c r="F12" s="46">
        <v>7.0</v>
      </c>
      <c r="G12" s="46">
        <v>4.0</v>
      </c>
      <c r="H12" s="46">
        <v>2.0</v>
      </c>
      <c r="I12" s="46">
        <v>4.0</v>
      </c>
      <c r="J12" s="46">
        <v>72.0</v>
      </c>
      <c r="K12" s="46">
        <v>34.0</v>
      </c>
      <c r="L12" s="46">
        <v>19.0</v>
      </c>
      <c r="M12" s="46">
        <v>41.0</v>
      </c>
      <c r="N12" s="24">
        <v>3.0</v>
      </c>
      <c r="O12" s="24">
        <v>4.0</v>
      </c>
      <c r="P12" s="24">
        <v>6.0</v>
      </c>
      <c r="Q12" s="46">
        <v>393.0</v>
      </c>
      <c r="R12" s="46">
        <v>1147.0</v>
      </c>
      <c r="S12" s="46">
        <v>99.0</v>
      </c>
      <c r="T12" s="46">
        <v>21.0</v>
      </c>
      <c r="U12" s="46">
        <v>37.0</v>
      </c>
      <c r="V12" s="46">
        <v>35.0</v>
      </c>
      <c r="W12" s="46">
        <v>100.0</v>
      </c>
      <c r="X12" s="46">
        <v>217.0</v>
      </c>
      <c r="Y12" s="46">
        <v>39.0</v>
      </c>
      <c r="Z12" s="46">
        <v>17.0</v>
      </c>
      <c r="AA12" s="46">
        <v>47.0</v>
      </c>
      <c r="AB12" s="46">
        <v>56.0</v>
      </c>
      <c r="AC12" s="46">
        <v>48.0</v>
      </c>
      <c r="AD12" s="46">
        <v>332.0</v>
      </c>
      <c r="AE12" s="46">
        <v>307.0</v>
      </c>
      <c r="AF12" s="46">
        <v>37.0</v>
      </c>
      <c r="AG12" s="46">
        <v>47.0</v>
      </c>
      <c r="AH12" s="46">
        <v>55.0</v>
      </c>
      <c r="AI12" s="46">
        <v>42.0</v>
      </c>
      <c r="AJ12" s="48">
        <f t="shared" ref="AJ12:BO12" si="6">sum(AJ128,AJ170)</f>
        <v>70</v>
      </c>
      <c r="AK12" s="48">
        <f t="shared" si="6"/>
        <v>27</v>
      </c>
      <c r="AL12" s="48">
        <f t="shared" si="6"/>
        <v>5</v>
      </c>
      <c r="AM12" s="48">
        <f t="shared" si="6"/>
        <v>8</v>
      </c>
      <c r="AN12" s="48">
        <f t="shared" si="6"/>
        <v>4</v>
      </c>
      <c r="AO12" s="48">
        <f t="shared" si="6"/>
        <v>6</v>
      </c>
      <c r="AP12" s="48">
        <f t="shared" si="6"/>
        <v>241</v>
      </c>
      <c r="AQ12" s="48">
        <f t="shared" si="6"/>
        <v>733</v>
      </c>
      <c r="AR12" s="48">
        <f t="shared" si="6"/>
        <v>66</v>
      </c>
      <c r="AS12" s="48">
        <f t="shared" si="6"/>
        <v>62</v>
      </c>
      <c r="AT12" s="48">
        <f t="shared" si="6"/>
        <v>85</v>
      </c>
      <c r="AU12" s="48">
        <f t="shared" si="6"/>
        <v>112</v>
      </c>
      <c r="AV12" s="48">
        <f t="shared" si="6"/>
        <v>205</v>
      </c>
      <c r="AW12" s="48">
        <f t="shared" si="6"/>
        <v>49</v>
      </c>
      <c r="AX12" s="48">
        <f t="shared" si="6"/>
        <v>26</v>
      </c>
      <c r="AY12" s="48">
        <f t="shared" si="6"/>
        <v>28</v>
      </c>
      <c r="AZ12" s="48">
        <f t="shared" si="6"/>
        <v>24</v>
      </c>
      <c r="BA12" s="48">
        <f t="shared" si="6"/>
        <v>5</v>
      </c>
      <c r="BB12" s="48">
        <f t="shared" si="6"/>
        <v>312</v>
      </c>
      <c r="BC12" s="48">
        <f t="shared" si="6"/>
        <v>392</v>
      </c>
      <c r="BD12" s="48">
        <f t="shared" si="6"/>
        <v>23</v>
      </c>
      <c r="BE12" s="48">
        <f t="shared" si="6"/>
        <v>24</v>
      </c>
      <c r="BF12" s="48">
        <f t="shared" si="6"/>
        <v>38</v>
      </c>
      <c r="BG12" s="48">
        <f t="shared" si="6"/>
        <v>66</v>
      </c>
      <c r="BH12" s="48">
        <f t="shared" si="6"/>
        <v>68</v>
      </c>
      <c r="BI12" s="48">
        <f t="shared" si="6"/>
        <v>0</v>
      </c>
      <c r="BJ12" s="48">
        <f t="shared" si="6"/>
        <v>0</v>
      </c>
      <c r="BK12" s="48">
        <f t="shared" si="6"/>
        <v>0</v>
      </c>
      <c r="BL12" s="48">
        <f t="shared" si="6"/>
        <v>0</v>
      </c>
      <c r="BM12" s="48">
        <f t="shared" si="6"/>
        <v>0</v>
      </c>
      <c r="BN12" s="48">
        <f t="shared" si="6"/>
        <v>0</v>
      </c>
      <c r="BO12" s="48">
        <f t="shared" si="6"/>
        <v>0</v>
      </c>
      <c r="BP12" s="28">
        <f t="shared" si="4"/>
        <v>5980</v>
      </c>
      <c r="BQ12" s="19">
        <f t="shared" si="5"/>
        <v>0.02508483961</v>
      </c>
    </row>
    <row r="13">
      <c r="A13" s="30" t="s">
        <v>13</v>
      </c>
      <c r="B13" s="45">
        <v>11.0</v>
      </c>
      <c r="C13" s="24">
        <v>9.0</v>
      </c>
      <c r="D13" s="24">
        <v>4.0</v>
      </c>
      <c r="E13" s="24">
        <v>337.0</v>
      </c>
      <c r="F13" s="24">
        <v>31.0</v>
      </c>
      <c r="G13" s="24">
        <v>217.0</v>
      </c>
      <c r="H13" s="24">
        <v>86.0</v>
      </c>
      <c r="I13" s="24">
        <v>16.0</v>
      </c>
      <c r="J13" s="24">
        <v>17.0</v>
      </c>
      <c r="K13" s="24">
        <v>25.0</v>
      </c>
      <c r="L13" s="24">
        <v>17.0</v>
      </c>
      <c r="M13" s="24">
        <v>9.0</v>
      </c>
      <c r="N13" s="24">
        <v>13.0</v>
      </c>
      <c r="O13" s="24">
        <v>4.0</v>
      </c>
      <c r="P13" s="24">
        <v>5.0</v>
      </c>
      <c r="Q13" s="46">
        <v>12.0</v>
      </c>
      <c r="R13" s="46">
        <v>37.0</v>
      </c>
      <c r="S13" s="46">
        <v>42.0</v>
      </c>
      <c r="T13" s="46">
        <v>71.0</v>
      </c>
      <c r="U13" s="46">
        <v>22.0</v>
      </c>
      <c r="V13" s="46">
        <v>26.0</v>
      </c>
      <c r="W13" s="46">
        <v>281.0</v>
      </c>
      <c r="X13" s="46">
        <v>50.0</v>
      </c>
      <c r="Y13" s="46">
        <v>44.0</v>
      </c>
      <c r="Z13" s="46">
        <v>8.0</v>
      </c>
      <c r="AA13" s="46">
        <v>35.0</v>
      </c>
      <c r="AB13" s="46">
        <v>96.0</v>
      </c>
      <c r="AC13" s="46">
        <v>52.0</v>
      </c>
      <c r="AD13" s="46">
        <v>348.0</v>
      </c>
      <c r="AE13" s="46">
        <v>941.0</v>
      </c>
      <c r="AF13" s="46">
        <v>53.0</v>
      </c>
      <c r="AG13" s="46">
        <v>66.0</v>
      </c>
      <c r="AH13" s="46">
        <v>61.0</v>
      </c>
      <c r="AI13" s="46">
        <v>29.0</v>
      </c>
      <c r="AJ13" s="48">
        <f t="shared" ref="AJ13:BO13" si="7">sum(AJ129,AJ171)</f>
        <v>44</v>
      </c>
      <c r="AK13" s="48">
        <f t="shared" si="7"/>
        <v>25</v>
      </c>
      <c r="AL13" s="48">
        <f t="shared" si="7"/>
        <v>12</v>
      </c>
      <c r="AM13" s="48">
        <f t="shared" si="7"/>
        <v>11</v>
      </c>
      <c r="AN13" s="48">
        <f t="shared" si="7"/>
        <v>6</v>
      </c>
      <c r="AO13" s="48">
        <f t="shared" si="7"/>
        <v>36</v>
      </c>
      <c r="AP13" s="48">
        <f t="shared" si="7"/>
        <v>221</v>
      </c>
      <c r="AQ13" s="48">
        <f t="shared" si="7"/>
        <v>278</v>
      </c>
      <c r="AR13" s="48">
        <f t="shared" si="7"/>
        <v>42</v>
      </c>
      <c r="AS13" s="48">
        <f t="shared" si="7"/>
        <v>54</v>
      </c>
      <c r="AT13" s="48">
        <f t="shared" si="7"/>
        <v>85</v>
      </c>
      <c r="AU13" s="48">
        <f t="shared" si="7"/>
        <v>81</v>
      </c>
      <c r="AV13" s="48">
        <f t="shared" si="7"/>
        <v>87</v>
      </c>
      <c r="AW13" s="48">
        <f t="shared" si="7"/>
        <v>51</v>
      </c>
      <c r="AX13" s="48">
        <f t="shared" si="7"/>
        <v>24</v>
      </c>
      <c r="AY13" s="48">
        <f t="shared" si="7"/>
        <v>19</v>
      </c>
      <c r="AZ13" s="48">
        <f t="shared" si="7"/>
        <v>39</v>
      </c>
      <c r="BA13" s="48">
        <f t="shared" si="7"/>
        <v>12</v>
      </c>
      <c r="BB13" s="48">
        <f t="shared" si="7"/>
        <v>219</v>
      </c>
      <c r="BC13" s="48">
        <f t="shared" si="7"/>
        <v>269</v>
      </c>
      <c r="BD13" s="48">
        <f t="shared" si="7"/>
        <v>21</v>
      </c>
      <c r="BE13" s="48">
        <f t="shared" si="7"/>
        <v>26</v>
      </c>
      <c r="BF13" s="48">
        <f t="shared" si="7"/>
        <v>35</v>
      </c>
      <c r="BG13" s="48">
        <f t="shared" si="7"/>
        <v>51</v>
      </c>
      <c r="BH13" s="48">
        <f t="shared" si="7"/>
        <v>68</v>
      </c>
      <c r="BI13" s="48">
        <f t="shared" si="7"/>
        <v>0</v>
      </c>
      <c r="BJ13" s="48">
        <f t="shared" si="7"/>
        <v>0</v>
      </c>
      <c r="BK13" s="48">
        <f t="shared" si="7"/>
        <v>0</v>
      </c>
      <c r="BL13" s="48">
        <f t="shared" si="7"/>
        <v>0</v>
      </c>
      <c r="BM13" s="48">
        <f t="shared" si="7"/>
        <v>0</v>
      </c>
      <c r="BN13" s="48">
        <f t="shared" si="7"/>
        <v>0</v>
      </c>
      <c r="BO13" s="48">
        <f t="shared" si="7"/>
        <v>0</v>
      </c>
      <c r="BP13" s="28">
        <f t="shared" si="4"/>
        <v>4891</v>
      </c>
      <c r="BQ13" s="19">
        <f t="shared" si="5"/>
        <v>0.02051671414</v>
      </c>
    </row>
    <row r="14">
      <c r="A14" s="30" t="s">
        <v>14</v>
      </c>
      <c r="B14" s="45">
        <v>2.0</v>
      </c>
      <c r="C14" s="24">
        <v>20.0</v>
      </c>
      <c r="D14" s="24">
        <v>14.0</v>
      </c>
      <c r="E14" s="24">
        <v>26.0</v>
      </c>
      <c r="F14" s="24">
        <v>46.0</v>
      </c>
      <c r="G14" s="24">
        <v>56.0</v>
      </c>
      <c r="H14" s="24">
        <v>345.0</v>
      </c>
      <c r="I14" s="24">
        <v>53.0</v>
      </c>
      <c r="J14" s="24">
        <v>166.0</v>
      </c>
      <c r="K14" s="24">
        <v>83.0</v>
      </c>
      <c r="L14" s="24">
        <v>47.0</v>
      </c>
      <c r="M14" s="24">
        <v>31.0</v>
      </c>
      <c r="N14" s="24">
        <v>22.0</v>
      </c>
      <c r="O14" s="24">
        <v>11.0</v>
      </c>
      <c r="P14" s="24">
        <v>15.0</v>
      </c>
      <c r="Q14" s="46">
        <v>41.0</v>
      </c>
      <c r="R14" s="46">
        <v>92.0</v>
      </c>
      <c r="S14" s="46">
        <v>53.0</v>
      </c>
      <c r="T14" s="46">
        <v>253.0</v>
      </c>
      <c r="U14" s="46">
        <v>103.0</v>
      </c>
      <c r="V14" s="46">
        <v>94.0</v>
      </c>
      <c r="W14" s="46">
        <v>113.0</v>
      </c>
      <c r="X14" s="46">
        <v>191.0</v>
      </c>
      <c r="Y14" s="46">
        <v>118.0</v>
      </c>
      <c r="Z14" s="46">
        <v>40.0</v>
      </c>
      <c r="AA14" s="46">
        <v>119.0</v>
      </c>
      <c r="AB14" s="46">
        <v>162.0</v>
      </c>
      <c r="AC14" s="46">
        <v>230.0</v>
      </c>
      <c r="AD14" s="46">
        <v>1230.0</v>
      </c>
      <c r="AE14" s="46">
        <v>868.0</v>
      </c>
      <c r="AF14" s="46">
        <v>144.0</v>
      </c>
      <c r="AG14" s="46">
        <v>236.0</v>
      </c>
      <c r="AH14" s="46">
        <v>245.0</v>
      </c>
      <c r="AI14" s="46">
        <v>231.0</v>
      </c>
      <c r="AJ14" s="48">
        <f t="shared" ref="AJ14:BO14" si="8">sum(AJ130,AJ172)</f>
        <v>174</v>
      </c>
      <c r="AK14" s="48">
        <f t="shared" si="8"/>
        <v>70</v>
      </c>
      <c r="AL14" s="48">
        <f t="shared" si="8"/>
        <v>115</v>
      </c>
      <c r="AM14" s="48">
        <f t="shared" si="8"/>
        <v>76</v>
      </c>
      <c r="AN14" s="48">
        <f t="shared" si="8"/>
        <v>31</v>
      </c>
      <c r="AO14" s="48">
        <f t="shared" si="8"/>
        <v>116</v>
      </c>
      <c r="AP14" s="48">
        <f t="shared" si="8"/>
        <v>427</v>
      </c>
      <c r="AQ14" s="48">
        <f t="shared" si="8"/>
        <v>558</v>
      </c>
      <c r="AR14" s="48">
        <f t="shared" si="8"/>
        <v>187</v>
      </c>
      <c r="AS14" s="48">
        <f t="shared" si="8"/>
        <v>177</v>
      </c>
      <c r="AT14" s="48">
        <f t="shared" si="8"/>
        <v>206</v>
      </c>
      <c r="AU14" s="48">
        <f t="shared" si="8"/>
        <v>211</v>
      </c>
      <c r="AV14" s="48">
        <f t="shared" si="8"/>
        <v>211</v>
      </c>
      <c r="AW14" s="48">
        <f t="shared" si="8"/>
        <v>96</v>
      </c>
      <c r="AX14" s="48">
        <f t="shared" si="8"/>
        <v>59</v>
      </c>
      <c r="AY14" s="48">
        <f t="shared" si="8"/>
        <v>70</v>
      </c>
      <c r="AZ14" s="48">
        <f t="shared" si="8"/>
        <v>329</v>
      </c>
      <c r="BA14" s="48">
        <f t="shared" si="8"/>
        <v>46</v>
      </c>
      <c r="BB14" s="48">
        <f t="shared" si="8"/>
        <v>452</v>
      </c>
      <c r="BC14" s="48">
        <f t="shared" si="8"/>
        <v>564</v>
      </c>
      <c r="BD14" s="48">
        <f t="shared" si="8"/>
        <v>72</v>
      </c>
      <c r="BE14" s="48">
        <f t="shared" si="8"/>
        <v>66</v>
      </c>
      <c r="BF14" s="48">
        <f t="shared" si="8"/>
        <v>150</v>
      </c>
      <c r="BG14" s="48">
        <f t="shared" si="8"/>
        <v>176</v>
      </c>
      <c r="BH14" s="48">
        <f t="shared" si="8"/>
        <v>254</v>
      </c>
      <c r="BI14" s="48">
        <f t="shared" si="8"/>
        <v>0</v>
      </c>
      <c r="BJ14" s="48">
        <f t="shared" si="8"/>
        <v>0</v>
      </c>
      <c r="BK14" s="48">
        <f t="shared" si="8"/>
        <v>0</v>
      </c>
      <c r="BL14" s="48">
        <f t="shared" si="8"/>
        <v>0</v>
      </c>
      <c r="BM14" s="48">
        <f t="shared" si="8"/>
        <v>0</v>
      </c>
      <c r="BN14" s="48">
        <f t="shared" si="8"/>
        <v>0</v>
      </c>
      <c r="BO14" s="48">
        <f t="shared" si="8"/>
        <v>0</v>
      </c>
      <c r="BP14" s="28">
        <f t="shared" si="4"/>
        <v>10393</v>
      </c>
      <c r="BQ14" s="19">
        <f t="shared" si="5"/>
        <v>0.0435964445</v>
      </c>
    </row>
    <row r="15">
      <c r="A15" s="30" t="s">
        <v>15</v>
      </c>
      <c r="B15" s="45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46"/>
      <c r="R15" s="46"/>
      <c r="S15" s="46">
        <v>6.0</v>
      </c>
      <c r="T15" s="46">
        <v>10.0</v>
      </c>
      <c r="U15" s="46">
        <v>9.0</v>
      </c>
      <c r="V15" s="46">
        <v>14.0</v>
      </c>
      <c r="W15" s="46">
        <v>79.0</v>
      </c>
      <c r="X15" s="46">
        <v>168.0</v>
      </c>
      <c r="Y15" s="46">
        <v>92.0</v>
      </c>
      <c r="Z15" s="46">
        <v>61.0</v>
      </c>
      <c r="AA15" s="46">
        <v>163.0</v>
      </c>
      <c r="AB15" s="46">
        <v>136.0</v>
      </c>
      <c r="AC15" s="46">
        <v>290.0</v>
      </c>
      <c r="AD15" s="46">
        <v>1311.0</v>
      </c>
      <c r="AE15" s="26">
        <v>990.0</v>
      </c>
      <c r="AF15" s="26">
        <v>182.0</v>
      </c>
      <c r="AG15" s="26">
        <v>220.0</v>
      </c>
      <c r="AH15" s="26">
        <v>329.0</v>
      </c>
      <c r="AI15" s="26">
        <v>211.0</v>
      </c>
      <c r="AJ15" s="46">
        <f t="shared" ref="AJ15:BO15" si="9">sum(AJ132,AJ174)</f>
        <v>181</v>
      </c>
      <c r="AK15" s="46">
        <f t="shared" si="9"/>
        <v>113</v>
      </c>
      <c r="AL15" s="46">
        <f t="shared" si="9"/>
        <v>98</v>
      </c>
      <c r="AM15" s="46">
        <f t="shared" si="9"/>
        <v>87</v>
      </c>
      <c r="AN15" s="46">
        <f t="shared" si="9"/>
        <v>39</v>
      </c>
      <c r="AO15" s="46">
        <f t="shared" si="9"/>
        <v>111</v>
      </c>
      <c r="AP15" s="46">
        <f t="shared" si="9"/>
        <v>960</v>
      </c>
      <c r="AQ15" s="46">
        <f t="shared" si="9"/>
        <v>1390</v>
      </c>
      <c r="AR15" s="46">
        <f t="shared" si="9"/>
        <v>212</v>
      </c>
      <c r="AS15" s="46">
        <f t="shared" si="9"/>
        <v>319</v>
      </c>
      <c r="AT15" s="46">
        <f t="shared" si="9"/>
        <v>347</v>
      </c>
      <c r="AU15" s="46">
        <f t="shared" si="9"/>
        <v>463</v>
      </c>
      <c r="AV15" s="46">
        <f t="shared" si="9"/>
        <v>389</v>
      </c>
      <c r="AW15" s="46">
        <f t="shared" si="9"/>
        <v>195</v>
      </c>
      <c r="AX15" s="46">
        <f t="shared" si="9"/>
        <v>144</v>
      </c>
      <c r="AY15" s="46">
        <f t="shared" si="9"/>
        <v>174</v>
      </c>
      <c r="AZ15" s="46">
        <f t="shared" si="9"/>
        <v>368</v>
      </c>
      <c r="BA15" s="46">
        <f t="shared" si="9"/>
        <v>77</v>
      </c>
      <c r="BB15" s="46">
        <f t="shared" si="9"/>
        <v>1290</v>
      </c>
      <c r="BC15" s="46">
        <f t="shared" si="9"/>
        <v>1602</v>
      </c>
      <c r="BD15" s="46">
        <f t="shared" si="9"/>
        <v>177</v>
      </c>
      <c r="BE15" s="46">
        <f t="shared" si="9"/>
        <v>137</v>
      </c>
      <c r="BF15" s="46">
        <f t="shared" si="9"/>
        <v>342</v>
      </c>
      <c r="BG15" s="46">
        <f t="shared" si="9"/>
        <v>424</v>
      </c>
      <c r="BH15" s="46">
        <f t="shared" si="9"/>
        <v>455</v>
      </c>
      <c r="BI15" s="46">
        <f t="shared" si="9"/>
        <v>0</v>
      </c>
      <c r="BJ15" s="46">
        <f t="shared" si="9"/>
        <v>0</v>
      </c>
      <c r="BK15" s="46">
        <f t="shared" si="9"/>
        <v>0</v>
      </c>
      <c r="BL15" s="46">
        <f t="shared" si="9"/>
        <v>0</v>
      </c>
      <c r="BM15" s="46">
        <f t="shared" si="9"/>
        <v>0</v>
      </c>
      <c r="BN15" s="46">
        <f t="shared" si="9"/>
        <v>0</v>
      </c>
      <c r="BO15" s="46">
        <f t="shared" si="9"/>
        <v>0</v>
      </c>
      <c r="BP15" s="28">
        <f t="shared" si="4"/>
        <v>14365</v>
      </c>
      <c r="BQ15" s="19">
        <f t="shared" si="5"/>
        <v>0.06025814733</v>
      </c>
    </row>
    <row r="16">
      <c r="A16" s="30" t="s">
        <v>16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48"/>
      <c r="R16" s="48"/>
      <c r="S16" s="48"/>
      <c r="T16" s="46">
        <v>2.0</v>
      </c>
      <c r="U16" s="46">
        <v>1.0</v>
      </c>
      <c r="V16" s="46">
        <v>1.0</v>
      </c>
      <c r="W16" s="46">
        <v>6.0</v>
      </c>
      <c r="X16" s="46">
        <v>27.0</v>
      </c>
      <c r="Y16" s="46">
        <v>12.0</v>
      </c>
      <c r="Z16" s="46">
        <v>6.0</v>
      </c>
      <c r="AA16" s="46">
        <v>23.0</v>
      </c>
      <c r="AB16" s="46">
        <v>13.0</v>
      </c>
      <c r="AC16" s="46">
        <v>24.0</v>
      </c>
      <c r="AD16" s="46">
        <v>127.0</v>
      </c>
      <c r="AE16" s="46">
        <v>155.0</v>
      </c>
      <c r="AF16" s="46">
        <v>22.0</v>
      </c>
      <c r="AG16" s="46">
        <v>38.0</v>
      </c>
      <c r="AH16" s="46">
        <v>38.0</v>
      </c>
      <c r="AI16" s="46">
        <v>28.0</v>
      </c>
      <c r="AJ16" s="48">
        <f t="shared" ref="AJ16:BO16" si="10">sum(AJ131,AJ173)</f>
        <v>28</v>
      </c>
      <c r="AK16" s="48">
        <f t="shared" si="10"/>
        <v>15</v>
      </c>
      <c r="AL16" s="48">
        <f t="shared" si="10"/>
        <v>11</v>
      </c>
      <c r="AM16" s="48">
        <f t="shared" si="10"/>
        <v>12</v>
      </c>
      <c r="AN16" s="48">
        <f t="shared" si="10"/>
        <v>6</v>
      </c>
      <c r="AO16" s="48">
        <f t="shared" si="10"/>
        <v>7</v>
      </c>
      <c r="AP16" s="48">
        <f t="shared" si="10"/>
        <v>95</v>
      </c>
      <c r="AQ16" s="48">
        <f t="shared" si="10"/>
        <v>176</v>
      </c>
      <c r="AR16" s="48">
        <f t="shared" si="10"/>
        <v>30</v>
      </c>
      <c r="AS16" s="48">
        <f t="shared" si="10"/>
        <v>38</v>
      </c>
      <c r="AT16" s="48">
        <f t="shared" si="10"/>
        <v>43</v>
      </c>
      <c r="AU16" s="48">
        <f t="shared" si="10"/>
        <v>52</v>
      </c>
      <c r="AV16" s="48">
        <f t="shared" si="10"/>
        <v>58</v>
      </c>
      <c r="AW16" s="48">
        <f t="shared" si="10"/>
        <v>34</v>
      </c>
      <c r="AX16" s="48">
        <f t="shared" si="10"/>
        <v>14</v>
      </c>
      <c r="AY16" s="48">
        <f t="shared" si="10"/>
        <v>22</v>
      </c>
      <c r="AZ16" s="48">
        <f t="shared" si="10"/>
        <v>68</v>
      </c>
      <c r="BA16" s="48">
        <f t="shared" si="10"/>
        <v>9</v>
      </c>
      <c r="BB16" s="48">
        <f t="shared" si="10"/>
        <v>158</v>
      </c>
      <c r="BC16" s="48">
        <f t="shared" si="10"/>
        <v>189</v>
      </c>
      <c r="BD16" s="48">
        <f t="shared" si="10"/>
        <v>11</v>
      </c>
      <c r="BE16" s="48">
        <f t="shared" si="10"/>
        <v>19</v>
      </c>
      <c r="BF16" s="48">
        <f t="shared" si="10"/>
        <v>33</v>
      </c>
      <c r="BG16" s="48">
        <f t="shared" si="10"/>
        <v>60</v>
      </c>
      <c r="BH16" s="48">
        <f t="shared" si="10"/>
        <v>66</v>
      </c>
      <c r="BI16" s="48">
        <f t="shared" si="10"/>
        <v>0</v>
      </c>
      <c r="BJ16" s="48">
        <f t="shared" si="10"/>
        <v>0</v>
      </c>
      <c r="BK16" s="48">
        <f t="shared" si="10"/>
        <v>0</v>
      </c>
      <c r="BL16" s="48">
        <f t="shared" si="10"/>
        <v>0</v>
      </c>
      <c r="BM16" s="48">
        <f t="shared" si="10"/>
        <v>0</v>
      </c>
      <c r="BN16" s="48">
        <f t="shared" si="10"/>
        <v>0</v>
      </c>
      <c r="BO16" s="48">
        <f t="shared" si="10"/>
        <v>0</v>
      </c>
      <c r="BP16" s="28">
        <f t="shared" si="4"/>
        <v>1777</v>
      </c>
      <c r="BQ16" s="19">
        <f t="shared" si="5"/>
        <v>0.007454140467</v>
      </c>
    </row>
    <row r="17">
      <c r="A17" s="24" t="s">
        <v>17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48"/>
      <c r="R17" s="48"/>
      <c r="S17" s="48"/>
      <c r="T17" s="46"/>
      <c r="U17" s="46"/>
      <c r="V17" s="46"/>
      <c r="W17" s="46"/>
      <c r="X17" s="46">
        <v>4.0</v>
      </c>
      <c r="Y17" s="46">
        <v>3.0</v>
      </c>
      <c r="Z17" s="46">
        <v>3.0</v>
      </c>
      <c r="AA17" s="46">
        <v>7.0</v>
      </c>
      <c r="AB17" s="46">
        <v>10.0</v>
      </c>
      <c r="AC17" s="46">
        <v>16.0</v>
      </c>
      <c r="AD17" s="46">
        <v>45.0</v>
      </c>
      <c r="AE17" s="46">
        <v>52.0</v>
      </c>
      <c r="AF17" s="26">
        <v>7.0</v>
      </c>
      <c r="AG17" s="26">
        <v>4.0</v>
      </c>
      <c r="AH17" s="26">
        <v>28.0</v>
      </c>
      <c r="AI17" s="26">
        <v>12.0</v>
      </c>
      <c r="AJ17" s="46">
        <f t="shared" ref="AJ17:BO17" si="11">sum(AJ133,AJ175)</f>
        <v>7</v>
      </c>
      <c r="AK17" s="46">
        <f t="shared" si="11"/>
        <v>5</v>
      </c>
      <c r="AL17" s="46">
        <f t="shared" si="11"/>
        <v>1</v>
      </c>
      <c r="AM17" s="46">
        <f t="shared" si="11"/>
        <v>3</v>
      </c>
      <c r="AN17" s="46">
        <f t="shared" si="11"/>
        <v>0</v>
      </c>
      <c r="AO17" s="46">
        <f t="shared" si="11"/>
        <v>6</v>
      </c>
      <c r="AP17" s="46">
        <f t="shared" si="11"/>
        <v>35</v>
      </c>
      <c r="AQ17" s="46">
        <f t="shared" si="11"/>
        <v>64</v>
      </c>
      <c r="AR17" s="46">
        <f t="shared" si="11"/>
        <v>12</v>
      </c>
      <c r="AS17" s="46">
        <f t="shared" si="11"/>
        <v>12</v>
      </c>
      <c r="AT17" s="46">
        <f t="shared" si="11"/>
        <v>18</v>
      </c>
      <c r="AU17" s="46">
        <f t="shared" si="11"/>
        <v>10</v>
      </c>
      <c r="AV17" s="46">
        <f t="shared" si="11"/>
        <v>8</v>
      </c>
      <c r="AW17" s="46">
        <f t="shared" si="11"/>
        <v>6</v>
      </c>
      <c r="AX17" s="46">
        <f t="shared" si="11"/>
        <v>6</v>
      </c>
      <c r="AY17" s="46">
        <f t="shared" si="11"/>
        <v>8</v>
      </c>
      <c r="AZ17" s="46">
        <f t="shared" si="11"/>
        <v>21</v>
      </c>
      <c r="BA17" s="46">
        <f t="shared" si="11"/>
        <v>5</v>
      </c>
      <c r="BB17" s="46">
        <f t="shared" si="11"/>
        <v>45</v>
      </c>
      <c r="BC17" s="46">
        <f t="shared" si="11"/>
        <v>67</v>
      </c>
      <c r="BD17" s="46">
        <f t="shared" si="11"/>
        <v>6</v>
      </c>
      <c r="BE17" s="46">
        <f t="shared" si="11"/>
        <v>3</v>
      </c>
      <c r="BF17" s="46">
        <f t="shared" si="11"/>
        <v>15</v>
      </c>
      <c r="BG17" s="46">
        <f t="shared" si="11"/>
        <v>12</v>
      </c>
      <c r="BH17" s="46">
        <f t="shared" si="11"/>
        <v>22</v>
      </c>
      <c r="BI17" s="46">
        <f t="shared" si="11"/>
        <v>0</v>
      </c>
      <c r="BJ17" s="46">
        <f t="shared" si="11"/>
        <v>0</v>
      </c>
      <c r="BK17" s="46">
        <f t="shared" si="11"/>
        <v>0</v>
      </c>
      <c r="BL17" s="46">
        <f t="shared" si="11"/>
        <v>0</v>
      </c>
      <c r="BM17" s="46">
        <f t="shared" si="11"/>
        <v>0</v>
      </c>
      <c r="BN17" s="46">
        <f t="shared" si="11"/>
        <v>0</v>
      </c>
      <c r="BO17" s="46">
        <f t="shared" si="11"/>
        <v>0</v>
      </c>
      <c r="BP17" s="28">
        <f t="shared" si="4"/>
        <v>588</v>
      </c>
      <c r="BQ17" s="19">
        <f t="shared" si="5"/>
        <v>0.002466536069</v>
      </c>
    </row>
    <row r="18">
      <c r="A18" s="40" t="s">
        <v>18</v>
      </c>
      <c r="B18" s="41">
        <f t="shared" ref="B18:BO18" si="12">SUM(B8:B17)</f>
        <v>1443</v>
      </c>
      <c r="C18" s="41">
        <f t="shared" si="12"/>
        <v>564</v>
      </c>
      <c r="D18" s="41">
        <f t="shared" si="12"/>
        <v>236</v>
      </c>
      <c r="E18" s="41">
        <f t="shared" si="12"/>
        <v>806</v>
      </c>
      <c r="F18" s="41">
        <f t="shared" si="12"/>
        <v>746</v>
      </c>
      <c r="G18" s="41">
        <f t="shared" si="12"/>
        <v>688</v>
      </c>
      <c r="H18" s="41">
        <f t="shared" si="12"/>
        <v>827</v>
      </c>
      <c r="I18" s="41">
        <f t="shared" si="12"/>
        <v>578</v>
      </c>
      <c r="J18" s="41">
        <f t="shared" si="12"/>
        <v>1555</v>
      </c>
      <c r="K18" s="41">
        <f t="shared" si="12"/>
        <v>1906</v>
      </c>
      <c r="L18" s="41">
        <f t="shared" si="12"/>
        <v>1552</v>
      </c>
      <c r="M18" s="41">
        <f t="shared" si="12"/>
        <v>905</v>
      </c>
      <c r="N18" s="41">
        <f t="shared" si="12"/>
        <v>216</v>
      </c>
      <c r="O18" s="41">
        <f t="shared" si="12"/>
        <v>190</v>
      </c>
      <c r="P18" s="41">
        <f t="shared" si="12"/>
        <v>294</v>
      </c>
      <c r="Q18" s="41">
        <f t="shared" si="12"/>
        <v>2539</v>
      </c>
      <c r="R18" s="41">
        <f t="shared" si="12"/>
        <v>6123</v>
      </c>
      <c r="S18" s="41">
        <f t="shared" si="12"/>
        <v>1894</v>
      </c>
      <c r="T18" s="41">
        <f t="shared" si="12"/>
        <v>1627</v>
      </c>
      <c r="U18" s="41">
        <f t="shared" si="12"/>
        <v>1619</v>
      </c>
      <c r="V18" s="41">
        <f t="shared" si="12"/>
        <v>2392</v>
      </c>
      <c r="W18" s="41">
        <f t="shared" si="12"/>
        <v>2863</v>
      </c>
      <c r="X18" s="41">
        <f t="shared" si="12"/>
        <v>3058</v>
      </c>
      <c r="Y18" s="41">
        <f t="shared" si="12"/>
        <v>1567</v>
      </c>
      <c r="Z18" s="41">
        <f t="shared" si="12"/>
        <v>1104</v>
      </c>
      <c r="AA18" s="41">
        <f t="shared" si="12"/>
        <v>3848</v>
      </c>
      <c r="AB18" s="41">
        <f t="shared" si="12"/>
        <v>2480</v>
      </c>
      <c r="AC18" s="41">
        <f t="shared" si="12"/>
        <v>4645</v>
      </c>
      <c r="AD18" s="41">
        <f t="shared" si="12"/>
        <v>17578</v>
      </c>
      <c r="AE18" s="41">
        <f t="shared" si="12"/>
        <v>13719</v>
      </c>
      <c r="AF18" s="41">
        <f t="shared" si="12"/>
        <v>2473</v>
      </c>
      <c r="AG18" s="41">
        <f t="shared" si="12"/>
        <v>4443</v>
      </c>
      <c r="AH18" s="41">
        <f t="shared" si="12"/>
        <v>4011</v>
      </c>
      <c r="AI18" s="41">
        <f t="shared" si="12"/>
        <v>2205</v>
      </c>
      <c r="AJ18" s="41">
        <f t="shared" si="12"/>
        <v>2423</v>
      </c>
      <c r="AK18" s="41">
        <f t="shared" si="12"/>
        <v>1461</v>
      </c>
      <c r="AL18" s="41">
        <f t="shared" si="12"/>
        <v>1149</v>
      </c>
      <c r="AM18" s="41">
        <f t="shared" si="12"/>
        <v>994</v>
      </c>
      <c r="AN18" s="41">
        <f t="shared" si="12"/>
        <v>443</v>
      </c>
      <c r="AO18" s="41">
        <f t="shared" si="12"/>
        <v>1116</v>
      </c>
      <c r="AP18" s="41">
        <f t="shared" si="12"/>
        <v>19732</v>
      </c>
      <c r="AQ18" s="41">
        <f t="shared" si="12"/>
        <v>21407</v>
      </c>
      <c r="AR18" s="41">
        <f t="shared" si="12"/>
        <v>3592</v>
      </c>
      <c r="AS18" s="41">
        <f t="shared" si="12"/>
        <v>4265</v>
      </c>
      <c r="AT18" s="41">
        <f t="shared" si="12"/>
        <v>4679</v>
      </c>
      <c r="AU18" s="41">
        <f t="shared" si="12"/>
        <v>6065</v>
      </c>
      <c r="AV18" s="41">
        <f t="shared" si="12"/>
        <v>5552</v>
      </c>
      <c r="AW18" s="41">
        <f t="shared" si="12"/>
        <v>3066</v>
      </c>
      <c r="AX18" s="41">
        <f t="shared" si="12"/>
        <v>1418</v>
      </c>
      <c r="AY18" s="41">
        <f t="shared" si="12"/>
        <v>1477</v>
      </c>
      <c r="AZ18" s="41">
        <f t="shared" si="12"/>
        <v>3418</v>
      </c>
      <c r="BA18" s="41">
        <f t="shared" si="12"/>
        <v>672</v>
      </c>
      <c r="BB18" s="41">
        <f t="shared" si="12"/>
        <v>20458</v>
      </c>
      <c r="BC18" s="41">
        <f t="shared" si="12"/>
        <v>23782</v>
      </c>
      <c r="BD18" s="41">
        <f t="shared" si="12"/>
        <v>2360</v>
      </c>
      <c r="BE18" s="41">
        <f t="shared" si="12"/>
        <v>1863</v>
      </c>
      <c r="BF18" s="41">
        <f t="shared" si="12"/>
        <v>4161</v>
      </c>
      <c r="BG18" s="41">
        <f t="shared" si="12"/>
        <v>5012</v>
      </c>
      <c r="BH18" s="41">
        <f t="shared" si="12"/>
        <v>5132</v>
      </c>
      <c r="BI18" s="41">
        <f t="shared" si="12"/>
        <v>0</v>
      </c>
      <c r="BJ18" s="41">
        <f t="shared" si="12"/>
        <v>0</v>
      </c>
      <c r="BK18" s="41">
        <f t="shared" si="12"/>
        <v>0</v>
      </c>
      <c r="BL18" s="41">
        <f t="shared" si="12"/>
        <v>0</v>
      </c>
      <c r="BM18" s="41">
        <f t="shared" si="12"/>
        <v>0</v>
      </c>
      <c r="BN18" s="41">
        <f t="shared" si="12"/>
        <v>0</v>
      </c>
      <c r="BO18" s="41">
        <f t="shared" si="12"/>
        <v>0</v>
      </c>
      <c r="BP18" s="42">
        <f t="shared" si="4"/>
        <v>238391</v>
      </c>
      <c r="BQ18" s="43">
        <f>SUM(BQ8:BQ16)</f>
        <v>0.9975334639</v>
      </c>
    </row>
    <row r="19">
      <c r="A19" s="31" t="s">
        <v>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4"/>
      <c r="BQ19" s="19"/>
    </row>
    <row r="20">
      <c r="A20" s="35" t="s">
        <v>7</v>
      </c>
      <c r="B20" s="36">
        <f t="shared" ref="B20:BO20" si="13">iferror(B8/B$18,"")</f>
        <v>0.8364518365</v>
      </c>
      <c r="C20" s="36">
        <f t="shared" si="13"/>
        <v>0.6861702128</v>
      </c>
      <c r="D20" s="36">
        <f t="shared" si="13"/>
        <v>0.563559322</v>
      </c>
      <c r="E20" s="36">
        <f t="shared" si="13"/>
        <v>0.4156327543</v>
      </c>
      <c r="F20" s="36">
        <f t="shared" si="13"/>
        <v>0.5951742627</v>
      </c>
      <c r="G20" s="36">
        <f t="shared" si="13"/>
        <v>0.2921511628</v>
      </c>
      <c r="H20" s="36">
        <f t="shared" si="13"/>
        <v>0.215235792</v>
      </c>
      <c r="I20" s="36">
        <f t="shared" si="13"/>
        <v>0.6903114187</v>
      </c>
      <c r="J20" s="36">
        <f t="shared" si="13"/>
        <v>0.6733118971</v>
      </c>
      <c r="K20" s="36">
        <f t="shared" si="13"/>
        <v>0.7812172088</v>
      </c>
      <c r="L20" s="36">
        <f t="shared" si="13"/>
        <v>0.7847938144</v>
      </c>
      <c r="M20" s="36">
        <f t="shared" si="13"/>
        <v>0.7458563536</v>
      </c>
      <c r="N20" s="36">
        <f t="shared" si="13"/>
        <v>0.5694444444</v>
      </c>
      <c r="O20" s="36">
        <f t="shared" si="13"/>
        <v>0.6052631579</v>
      </c>
      <c r="P20" s="36">
        <f t="shared" si="13"/>
        <v>0.7346938776</v>
      </c>
      <c r="Q20" s="36">
        <f t="shared" si="13"/>
        <v>0.6683733753</v>
      </c>
      <c r="R20" s="36">
        <f t="shared" si="13"/>
        <v>0.5368283521</v>
      </c>
      <c r="S20" s="36">
        <f t="shared" si="13"/>
        <v>0.3474128828</v>
      </c>
      <c r="T20" s="36">
        <f t="shared" si="13"/>
        <v>0.2532267978</v>
      </c>
      <c r="U20" s="36">
        <f t="shared" si="13"/>
        <v>0.490426189</v>
      </c>
      <c r="V20" s="36">
        <f t="shared" si="13"/>
        <v>0.5664715719</v>
      </c>
      <c r="W20" s="36">
        <f t="shared" si="13"/>
        <v>0.4610548376</v>
      </c>
      <c r="X20" s="36">
        <f t="shared" si="13"/>
        <v>0.4483322433</v>
      </c>
      <c r="Y20" s="36">
        <f t="shared" si="13"/>
        <v>0.3886407147</v>
      </c>
      <c r="Z20" s="36">
        <f t="shared" si="13"/>
        <v>0.3586956522</v>
      </c>
      <c r="AA20" s="36">
        <f t="shared" si="13"/>
        <v>0.4851871102</v>
      </c>
      <c r="AB20" s="36">
        <f t="shared" si="13"/>
        <v>0.3423387097</v>
      </c>
      <c r="AC20" s="36">
        <f t="shared" si="13"/>
        <v>0.4529601722</v>
      </c>
      <c r="AD20" s="36">
        <f t="shared" si="13"/>
        <v>0.5142223234</v>
      </c>
      <c r="AE20" s="36">
        <f t="shared" si="13"/>
        <v>0.419782783</v>
      </c>
      <c r="AF20" s="36">
        <f t="shared" si="13"/>
        <v>0.2539425799</v>
      </c>
      <c r="AG20" s="36">
        <f t="shared" si="13"/>
        <v>0.3337834796</v>
      </c>
      <c r="AH20" s="36">
        <f t="shared" si="13"/>
        <v>0.2705061082</v>
      </c>
      <c r="AI20" s="36">
        <f t="shared" si="13"/>
        <v>0.1963718821</v>
      </c>
      <c r="AJ20" s="36">
        <f t="shared" si="13"/>
        <v>0.2488650433</v>
      </c>
      <c r="AK20" s="36">
        <f t="shared" si="13"/>
        <v>0.2950034223</v>
      </c>
      <c r="AL20" s="36">
        <f t="shared" si="13"/>
        <v>0.27154047</v>
      </c>
      <c r="AM20" s="36">
        <f t="shared" si="13"/>
        <v>0.2847082495</v>
      </c>
      <c r="AN20" s="36">
        <f t="shared" si="13"/>
        <v>0.3047404063</v>
      </c>
      <c r="AO20" s="36">
        <f t="shared" si="13"/>
        <v>0.3960573477</v>
      </c>
      <c r="AP20" s="36">
        <f t="shared" si="13"/>
        <v>0.7080377053</v>
      </c>
      <c r="AQ20" s="36">
        <f t="shared" si="13"/>
        <v>0.598962956</v>
      </c>
      <c r="AR20" s="36">
        <f t="shared" si="13"/>
        <v>0.3563474388</v>
      </c>
      <c r="AS20" s="36">
        <f t="shared" si="13"/>
        <v>0.4121922626</v>
      </c>
      <c r="AT20" s="36">
        <f t="shared" si="13"/>
        <v>0.3599059628</v>
      </c>
      <c r="AU20" s="36">
        <f t="shared" si="13"/>
        <v>0.4309975268</v>
      </c>
      <c r="AV20" s="36">
        <f t="shared" si="13"/>
        <v>0.394092219</v>
      </c>
      <c r="AW20" s="36">
        <f t="shared" si="13"/>
        <v>0.4129158513</v>
      </c>
      <c r="AX20" s="36">
        <f t="shared" si="13"/>
        <v>0.2722143865</v>
      </c>
      <c r="AY20" s="36">
        <f t="shared" si="13"/>
        <v>0.2620176032</v>
      </c>
      <c r="AZ20" s="36">
        <f t="shared" si="13"/>
        <v>0.2858396723</v>
      </c>
      <c r="BA20" s="36">
        <f t="shared" si="13"/>
        <v>0.3035714286</v>
      </c>
      <c r="BB20" s="36">
        <f t="shared" si="13"/>
        <v>0.6550493694</v>
      </c>
      <c r="BC20" s="36">
        <f t="shared" si="13"/>
        <v>0.6370364141</v>
      </c>
      <c r="BD20" s="36">
        <f t="shared" si="13"/>
        <v>0.3029661017</v>
      </c>
      <c r="BE20" s="36">
        <f t="shared" si="13"/>
        <v>0.3424584004</v>
      </c>
      <c r="BF20" s="36">
        <f t="shared" si="13"/>
        <v>0.386445566</v>
      </c>
      <c r="BG20" s="36">
        <f t="shared" si="13"/>
        <v>0.3705107741</v>
      </c>
      <c r="BH20" s="36">
        <f t="shared" si="13"/>
        <v>0.3433359314</v>
      </c>
      <c r="BI20" s="36" t="str">
        <f t="shared" si="13"/>
        <v/>
      </c>
      <c r="BJ20" s="36" t="str">
        <f t="shared" si="13"/>
        <v/>
      </c>
      <c r="BK20" s="36" t="str">
        <f t="shared" si="13"/>
        <v/>
      </c>
      <c r="BL20" s="36" t="str">
        <f t="shared" si="13"/>
        <v/>
      </c>
      <c r="BM20" s="36" t="str">
        <f t="shared" si="13"/>
        <v/>
      </c>
      <c r="BN20" s="36" t="str">
        <f t="shared" si="13"/>
        <v/>
      </c>
      <c r="BO20" s="36" t="str">
        <f t="shared" si="13"/>
        <v/>
      </c>
      <c r="BP20" s="34"/>
      <c r="BQ20" s="19"/>
    </row>
    <row r="21">
      <c r="A21" s="35" t="s">
        <v>8</v>
      </c>
      <c r="B21" s="36">
        <f t="shared" ref="B21:BO21" si="14">iferror(B9/B$18,"")</f>
        <v>0.09147609148</v>
      </c>
      <c r="C21" s="36">
        <f t="shared" si="14"/>
        <v>0.1897163121</v>
      </c>
      <c r="D21" s="36">
        <f t="shared" si="14"/>
        <v>0.2033898305</v>
      </c>
      <c r="E21" s="36">
        <f t="shared" si="14"/>
        <v>0.08560794045</v>
      </c>
      <c r="F21" s="36">
        <f t="shared" si="14"/>
        <v>0.1890080429</v>
      </c>
      <c r="G21" s="36">
        <f t="shared" si="14"/>
        <v>0.1831395349</v>
      </c>
      <c r="H21" s="36">
        <f t="shared" si="14"/>
        <v>0.1390568319</v>
      </c>
      <c r="I21" s="36">
        <f t="shared" si="14"/>
        <v>0.107266436</v>
      </c>
      <c r="J21" s="36">
        <f t="shared" si="14"/>
        <v>0.1106109325</v>
      </c>
      <c r="K21" s="36">
        <f t="shared" si="14"/>
        <v>0.0981112277</v>
      </c>
      <c r="L21" s="36">
        <f t="shared" si="14"/>
        <v>0.1076030928</v>
      </c>
      <c r="M21" s="36">
        <f t="shared" si="14"/>
        <v>0.1104972376</v>
      </c>
      <c r="N21" s="36">
        <f t="shared" si="14"/>
        <v>0.162037037</v>
      </c>
      <c r="O21" s="36">
        <f t="shared" si="14"/>
        <v>0.1736842105</v>
      </c>
      <c r="P21" s="36">
        <f t="shared" si="14"/>
        <v>0.119047619</v>
      </c>
      <c r="Q21" s="36">
        <f t="shared" si="14"/>
        <v>0.1244584482</v>
      </c>
      <c r="R21" s="36">
        <f t="shared" si="14"/>
        <v>0.2230932549</v>
      </c>
      <c r="S21" s="36">
        <f t="shared" si="14"/>
        <v>0.510031679</v>
      </c>
      <c r="T21" s="36">
        <f t="shared" si="14"/>
        <v>0.4634296251</v>
      </c>
      <c r="U21" s="36">
        <f t="shared" si="14"/>
        <v>0.3705991353</v>
      </c>
      <c r="V21" s="36">
        <f t="shared" si="14"/>
        <v>0.3277591973</v>
      </c>
      <c r="W21" s="36">
        <f t="shared" si="14"/>
        <v>0.3202933985</v>
      </c>
      <c r="X21" s="36">
        <f t="shared" si="14"/>
        <v>0.3368214519</v>
      </c>
      <c r="Y21" s="36">
        <f t="shared" si="14"/>
        <v>0.4148053606</v>
      </c>
      <c r="Z21" s="36">
        <f t="shared" si="14"/>
        <v>0.5190217391</v>
      </c>
      <c r="AA21" s="36">
        <f t="shared" si="14"/>
        <v>0.4124220374</v>
      </c>
      <c r="AB21" s="36">
        <f t="shared" si="14"/>
        <v>0.4669354839</v>
      </c>
      <c r="AC21" s="36">
        <f t="shared" si="14"/>
        <v>0.4049515608</v>
      </c>
      <c r="AD21" s="36">
        <f t="shared" si="14"/>
        <v>0.292752304</v>
      </c>
      <c r="AE21" s="36">
        <f t="shared" si="14"/>
        <v>0.3387273125</v>
      </c>
      <c r="AF21" s="36">
        <f t="shared" si="14"/>
        <v>0.5661140315</v>
      </c>
      <c r="AG21" s="36">
        <f t="shared" si="14"/>
        <v>0.5286968265</v>
      </c>
      <c r="AH21" s="36">
        <f t="shared" si="14"/>
        <v>0.5410122164</v>
      </c>
      <c r="AI21" s="36">
        <f t="shared" si="14"/>
        <v>0.5528344671</v>
      </c>
      <c r="AJ21" s="36">
        <f t="shared" si="14"/>
        <v>0.5431283533</v>
      </c>
      <c r="AK21" s="36">
        <f t="shared" si="14"/>
        <v>0.53045859</v>
      </c>
      <c r="AL21" s="36">
        <f t="shared" si="14"/>
        <v>0.5178416014</v>
      </c>
      <c r="AM21" s="36">
        <f t="shared" si="14"/>
        <v>0.5171026157</v>
      </c>
      <c r="AN21" s="36">
        <f t="shared" si="14"/>
        <v>0.5011286682</v>
      </c>
      <c r="AO21" s="36">
        <f t="shared" si="14"/>
        <v>0.3512544803</v>
      </c>
      <c r="AP21" s="36">
        <f t="shared" si="14"/>
        <v>0.191668356</v>
      </c>
      <c r="AQ21" s="36">
        <f t="shared" si="14"/>
        <v>0.2515999439</v>
      </c>
      <c r="AR21" s="36">
        <f t="shared" si="14"/>
        <v>0.4908129176</v>
      </c>
      <c r="AS21" s="36">
        <f t="shared" si="14"/>
        <v>0.4325908558</v>
      </c>
      <c r="AT21" s="36">
        <f t="shared" si="14"/>
        <v>0.4725368669</v>
      </c>
      <c r="AU21" s="36">
        <f t="shared" si="14"/>
        <v>0.4158285243</v>
      </c>
      <c r="AV21" s="36">
        <f t="shared" si="14"/>
        <v>0.4333573487</v>
      </c>
      <c r="AW21" s="36">
        <f t="shared" si="14"/>
        <v>0.4465101109</v>
      </c>
      <c r="AX21" s="36">
        <f t="shared" si="14"/>
        <v>0.5352609309</v>
      </c>
      <c r="AY21" s="36">
        <f t="shared" si="14"/>
        <v>0.5206499661</v>
      </c>
      <c r="AZ21" s="36">
        <f t="shared" si="14"/>
        <v>0.4657694558</v>
      </c>
      <c r="BA21" s="36">
        <f t="shared" si="14"/>
        <v>0.4672619048</v>
      </c>
      <c r="BB21" s="36">
        <f t="shared" si="14"/>
        <v>0.223922182</v>
      </c>
      <c r="BC21" s="36">
        <f t="shared" si="14"/>
        <v>0.2333277269</v>
      </c>
      <c r="BD21" s="36">
        <f t="shared" si="14"/>
        <v>0.5656779661</v>
      </c>
      <c r="BE21" s="36">
        <f t="shared" si="14"/>
        <v>0.5099302201</v>
      </c>
      <c r="BF21" s="36">
        <f t="shared" si="14"/>
        <v>0.4662340783</v>
      </c>
      <c r="BG21" s="36">
        <f t="shared" si="14"/>
        <v>0.4720670391</v>
      </c>
      <c r="BH21" s="36">
        <f t="shared" si="14"/>
        <v>0.4748636009</v>
      </c>
      <c r="BI21" s="36" t="str">
        <f t="shared" si="14"/>
        <v/>
      </c>
      <c r="BJ21" s="36" t="str">
        <f t="shared" si="14"/>
        <v/>
      </c>
      <c r="BK21" s="36" t="str">
        <f t="shared" si="14"/>
        <v/>
      </c>
      <c r="BL21" s="36" t="str">
        <f t="shared" si="14"/>
        <v/>
      </c>
      <c r="BM21" s="36" t="str">
        <f t="shared" si="14"/>
        <v/>
      </c>
      <c r="BN21" s="36" t="str">
        <f t="shared" si="14"/>
        <v/>
      </c>
      <c r="BO21" s="36" t="str">
        <f t="shared" si="14"/>
        <v/>
      </c>
      <c r="BP21" s="34"/>
      <c r="BQ21" s="19"/>
    </row>
    <row r="22">
      <c r="A22" s="35" t="s">
        <v>10</v>
      </c>
      <c r="B22" s="36">
        <f t="shared" ref="B22:W22" si="15">iferror(B10/B$18,"")</f>
        <v>0.02633402633</v>
      </c>
      <c r="C22" s="36">
        <f t="shared" si="15"/>
        <v>0.05141843972</v>
      </c>
      <c r="D22" s="36">
        <f t="shared" si="15"/>
        <v>0.1228813559</v>
      </c>
      <c r="E22" s="36">
        <f t="shared" si="15"/>
        <v>0.04094292804</v>
      </c>
      <c r="F22" s="36">
        <f t="shared" si="15"/>
        <v>0.09115281501</v>
      </c>
      <c r="G22" s="36">
        <f t="shared" si="15"/>
        <v>0.1046511628</v>
      </c>
      <c r="H22" s="36">
        <f t="shared" si="15"/>
        <v>0.1172914148</v>
      </c>
      <c r="I22" s="36">
        <f t="shared" si="15"/>
        <v>0.07093425606</v>
      </c>
      <c r="J22" s="36">
        <f t="shared" si="15"/>
        <v>0.04823151125</v>
      </c>
      <c r="K22" s="36">
        <f t="shared" si="15"/>
        <v>0.04197271773</v>
      </c>
      <c r="L22" s="36">
        <f t="shared" si="15"/>
        <v>0.05025773196</v>
      </c>
      <c r="M22" s="36">
        <f t="shared" si="15"/>
        <v>0.05303867403</v>
      </c>
      <c r="N22" s="36">
        <f t="shared" si="15"/>
        <v>0.08796296296</v>
      </c>
      <c r="O22" s="36">
        <f t="shared" si="15"/>
        <v>0.1157894737</v>
      </c>
      <c r="P22" s="36">
        <f t="shared" si="15"/>
        <v>0.05102040816</v>
      </c>
      <c r="Q22" s="36">
        <f t="shared" si="15"/>
        <v>0.02678219772</v>
      </c>
      <c r="R22" s="36">
        <f t="shared" si="15"/>
        <v>0.02841744243</v>
      </c>
      <c r="S22" s="36">
        <f t="shared" si="15"/>
        <v>0.0343189018</v>
      </c>
      <c r="T22" s="36">
        <f t="shared" si="15"/>
        <v>0.0626920713</v>
      </c>
      <c r="U22" s="36">
        <f t="shared" si="15"/>
        <v>0.03026559605</v>
      </c>
      <c r="V22" s="36">
        <f t="shared" si="15"/>
        <v>0.03051839465</v>
      </c>
      <c r="W22" s="36">
        <f t="shared" si="15"/>
        <v>0.01571777855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34"/>
      <c r="BQ22" s="19"/>
    </row>
    <row r="23">
      <c r="A23" s="35" t="s">
        <v>11</v>
      </c>
      <c r="B23" s="36">
        <f t="shared" ref="B23:W23" si="16">iferror(B11/B$18,"")</f>
        <v>0.02633402633</v>
      </c>
      <c r="C23" s="36">
        <f t="shared" si="16"/>
        <v>0.005319148936</v>
      </c>
      <c r="D23" s="36">
        <f t="shared" si="16"/>
        <v>0.02966101695</v>
      </c>
      <c r="E23" s="36">
        <f t="shared" si="16"/>
        <v>0.002481389578</v>
      </c>
      <c r="F23" s="36">
        <f t="shared" si="16"/>
        <v>0.01206434316</v>
      </c>
      <c r="G23" s="36">
        <f t="shared" si="16"/>
        <v>0.01744186047</v>
      </c>
      <c r="H23" s="36">
        <f t="shared" si="16"/>
        <v>0.004836759371</v>
      </c>
      <c r="I23" s="36">
        <f t="shared" si="16"/>
        <v>0.005190311419</v>
      </c>
      <c r="J23" s="36">
        <f t="shared" si="16"/>
        <v>0.0038585209</v>
      </c>
      <c r="K23" s="36">
        <f t="shared" si="16"/>
        <v>0.004197271773</v>
      </c>
      <c r="L23" s="36">
        <f t="shared" si="16"/>
        <v>0.003865979381</v>
      </c>
      <c r="M23" s="36">
        <f t="shared" si="16"/>
        <v>0.001104972376</v>
      </c>
      <c r="N23" s="36">
        <f t="shared" si="16"/>
        <v>0.00462962963</v>
      </c>
      <c r="O23" s="36">
        <f t="shared" si="16"/>
        <v>0.005263157895</v>
      </c>
      <c r="P23" s="36">
        <f t="shared" si="16"/>
        <v>0.006802721088</v>
      </c>
      <c r="Q23" s="36">
        <f t="shared" si="16"/>
        <v>0.004726270185</v>
      </c>
      <c r="R23" s="36">
        <f t="shared" si="16"/>
        <v>0.003266372693</v>
      </c>
      <c r="S23" s="36">
        <f t="shared" si="16"/>
        <v>0.002639915523</v>
      </c>
      <c r="T23" s="36">
        <f t="shared" si="16"/>
        <v>0.0012292563</v>
      </c>
      <c r="U23" s="36">
        <f t="shared" si="16"/>
        <v>0.002470660902</v>
      </c>
      <c r="V23" s="36">
        <f t="shared" si="16"/>
        <v>0.004180602007</v>
      </c>
      <c r="W23" s="36">
        <f t="shared" si="16"/>
        <v>0.0006985679357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34"/>
      <c r="BQ23" s="19"/>
    </row>
    <row r="24">
      <c r="A24" s="35" t="s">
        <v>12</v>
      </c>
      <c r="B24" s="36">
        <f t="shared" ref="B24:BO24" si="17">iferror(B12/B$18,"")</f>
        <v>0.0103950104</v>
      </c>
      <c r="C24" s="36">
        <f t="shared" si="17"/>
        <v>0.01595744681</v>
      </c>
      <c r="D24" s="36">
        <f t="shared" si="17"/>
        <v>0.004237288136</v>
      </c>
      <c r="E24" s="36">
        <f t="shared" si="17"/>
        <v>0.004962779156</v>
      </c>
      <c r="F24" s="36">
        <f t="shared" si="17"/>
        <v>0.009383378016</v>
      </c>
      <c r="G24" s="36">
        <f t="shared" si="17"/>
        <v>0.005813953488</v>
      </c>
      <c r="H24" s="36">
        <f t="shared" si="17"/>
        <v>0.002418379686</v>
      </c>
      <c r="I24" s="36">
        <f t="shared" si="17"/>
        <v>0.006920415225</v>
      </c>
      <c r="J24" s="36">
        <f t="shared" si="17"/>
        <v>0.0463022508</v>
      </c>
      <c r="K24" s="36">
        <f t="shared" si="17"/>
        <v>0.01783840504</v>
      </c>
      <c r="L24" s="36">
        <f t="shared" si="17"/>
        <v>0.01224226804</v>
      </c>
      <c r="M24" s="36">
        <f t="shared" si="17"/>
        <v>0.0453038674</v>
      </c>
      <c r="N24" s="36">
        <f t="shared" si="17"/>
        <v>0.01388888889</v>
      </c>
      <c r="O24" s="36">
        <f t="shared" si="17"/>
        <v>0.02105263158</v>
      </c>
      <c r="P24" s="36">
        <f t="shared" si="17"/>
        <v>0.02040816327</v>
      </c>
      <c r="Q24" s="36">
        <f t="shared" si="17"/>
        <v>0.1547853486</v>
      </c>
      <c r="R24" s="36">
        <f t="shared" si="17"/>
        <v>0.187326474</v>
      </c>
      <c r="S24" s="36">
        <f t="shared" si="17"/>
        <v>0.05227032735</v>
      </c>
      <c r="T24" s="36">
        <f t="shared" si="17"/>
        <v>0.01290719115</v>
      </c>
      <c r="U24" s="36">
        <f t="shared" si="17"/>
        <v>0.02285361334</v>
      </c>
      <c r="V24" s="36">
        <f t="shared" si="17"/>
        <v>0.01463210702</v>
      </c>
      <c r="W24" s="36">
        <f t="shared" si="17"/>
        <v>0.03492839679</v>
      </c>
      <c r="X24" s="36">
        <f t="shared" si="17"/>
        <v>0.07096141269</v>
      </c>
      <c r="Y24" s="36">
        <f t="shared" si="17"/>
        <v>0.02488832163</v>
      </c>
      <c r="Z24" s="36">
        <f t="shared" si="17"/>
        <v>0.01539855072</v>
      </c>
      <c r="AA24" s="36">
        <f t="shared" si="17"/>
        <v>0.01221413721</v>
      </c>
      <c r="AB24" s="36">
        <f t="shared" si="17"/>
        <v>0.02258064516</v>
      </c>
      <c r="AC24" s="36">
        <f t="shared" si="17"/>
        <v>0.01033369214</v>
      </c>
      <c r="AD24" s="36">
        <f t="shared" si="17"/>
        <v>0.01888724542</v>
      </c>
      <c r="AE24" s="36">
        <f t="shared" si="17"/>
        <v>0.02237772432</v>
      </c>
      <c r="AF24" s="36">
        <f t="shared" si="17"/>
        <v>0.01496158512</v>
      </c>
      <c r="AG24" s="36">
        <f t="shared" si="17"/>
        <v>0.01057843799</v>
      </c>
      <c r="AH24" s="36">
        <f t="shared" si="17"/>
        <v>0.0137122912</v>
      </c>
      <c r="AI24" s="36">
        <f t="shared" si="17"/>
        <v>0.01904761905</v>
      </c>
      <c r="AJ24" s="36">
        <f t="shared" si="17"/>
        <v>0.02888980603</v>
      </c>
      <c r="AK24" s="36">
        <f t="shared" si="17"/>
        <v>0.01848049281</v>
      </c>
      <c r="AL24" s="36">
        <f t="shared" si="17"/>
        <v>0.004351610096</v>
      </c>
      <c r="AM24" s="36">
        <f t="shared" si="17"/>
        <v>0.008048289738</v>
      </c>
      <c r="AN24" s="36">
        <f t="shared" si="17"/>
        <v>0.009029345372</v>
      </c>
      <c r="AO24" s="36">
        <f t="shared" si="17"/>
        <v>0.005376344086</v>
      </c>
      <c r="AP24" s="36">
        <f t="shared" si="17"/>
        <v>0.01221366309</v>
      </c>
      <c r="AQ24" s="36">
        <f t="shared" si="17"/>
        <v>0.03424113608</v>
      </c>
      <c r="AR24" s="36">
        <f t="shared" si="17"/>
        <v>0.01837416481</v>
      </c>
      <c r="AS24" s="36">
        <f t="shared" si="17"/>
        <v>0.01453692849</v>
      </c>
      <c r="AT24" s="36">
        <f t="shared" si="17"/>
        <v>0.01816627485</v>
      </c>
      <c r="AU24" s="36">
        <f t="shared" si="17"/>
        <v>0.01846661171</v>
      </c>
      <c r="AV24" s="36">
        <f t="shared" si="17"/>
        <v>0.03692363112</v>
      </c>
      <c r="AW24" s="36">
        <f t="shared" si="17"/>
        <v>0.01598173516</v>
      </c>
      <c r="AX24" s="36">
        <f t="shared" si="17"/>
        <v>0.01833568406</v>
      </c>
      <c r="AY24" s="36">
        <f t="shared" si="17"/>
        <v>0.01895734597</v>
      </c>
      <c r="AZ24" s="36">
        <f t="shared" si="17"/>
        <v>0.007021650088</v>
      </c>
      <c r="BA24" s="36">
        <f t="shared" si="17"/>
        <v>0.00744047619</v>
      </c>
      <c r="BB24" s="36">
        <f t="shared" si="17"/>
        <v>0.01525075765</v>
      </c>
      <c r="BC24" s="36">
        <f t="shared" si="17"/>
        <v>0.01648305441</v>
      </c>
      <c r="BD24" s="36">
        <f t="shared" si="17"/>
        <v>0.009745762712</v>
      </c>
      <c r="BE24" s="36">
        <f t="shared" si="17"/>
        <v>0.01288244767</v>
      </c>
      <c r="BF24" s="36">
        <f t="shared" si="17"/>
        <v>0.009132420091</v>
      </c>
      <c r="BG24" s="36">
        <f t="shared" si="17"/>
        <v>0.01316839585</v>
      </c>
      <c r="BH24" s="36">
        <f t="shared" si="17"/>
        <v>0.01325019486</v>
      </c>
      <c r="BI24" s="36" t="str">
        <f t="shared" si="17"/>
        <v/>
      </c>
      <c r="BJ24" s="36" t="str">
        <f t="shared" si="17"/>
        <v/>
      </c>
      <c r="BK24" s="36" t="str">
        <f t="shared" si="17"/>
        <v/>
      </c>
      <c r="BL24" s="36" t="str">
        <f t="shared" si="17"/>
        <v/>
      </c>
      <c r="BM24" s="36" t="str">
        <f t="shared" si="17"/>
        <v/>
      </c>
      <c r="BN24" s="36" t="str">
        <f t="shared" si="17"/>
        <v/>
      </c>
      <c r="BO24" s="36" t="str">
        <f t="shared" si="17"/>
        <v/>
      </c>
      <c r="BP24" s="34"/>
      <c r="BQ24" s="19"/>
    </row>
    <row r="25">
      <c r="A25" s="35" t="s">
        <v>13</v>
      </c>
      <c r="B25" s="36">
        <f t="shared" ref="B25:BO25" si="18">iferror(B13/B$18,"")</f>
        <v>0.007623007623</v>
      </c>
      <c r="C25" s="36">
        <f t="shared" si="18"/>
        <v>0.01595744681</v>
      </c>
      <c r="D25" s="36">
        <f t="shared" si="18"/>
        <v>0.01694915254</v>
      </c>
      <c r="E25" s="36">
        <f t="shared" si="18"/>
        <v>0.4181141439</v>
      </c>
      <c r="F25" s="36">
        <f t="shared" si="18"/>
        <v>0.04155495979</v>
      </c>
      <c r="G25" s="36">
        <f t="shared" si="18"/>
        <v>0.3154069767</v>
      </c>
      <c r="H25" s="36">
        <f t="shared" si="18"/>
        <v>0.1039903265</v>
      </c>
      <c r="I25" s="36">
        <f t="shared" si="18"/>
        <v>0.0276816609</v>
      </c>
      <c r="J25" s="36">
        <f t="shared" si="18"/>
        <v>0.01093247588</v>
      </c>
      <c r="K25" s="36">
        <f t="shared" si="18"/>
        <v>0.01311647429</v>
      </c>
      <c r="L25" s="36">
        <f t="shared" si="18"/>
        <v>0.01095360825</v>
      </c>
      <c r="M25" s="36">
        <f t="shared" si="18"/>
        <v>0.009944751381</v>
      </c>
      <c r="N25" s="36">
        <f t="shared" si="18"/>
        <v>0.06018518519</v>
      </c>
      <c r="O25" s="36">
        <f t="shared" si="18"/>
        <v>0.02105263158</v>
      </c>
      <c r="P25" s="36">
        <f t="shared" si="18"/>
        <v>0.01700680272</v>
      </c>
      <c r="Q25" s="36">
        <f t="shared" si="18"/>
        <v>0.004726270185</v>
      </c>
      <c r="R25" s="36">
        <f t="shared" si="18"/>
        <v>0.006042789482</v>
      </c>
      <c r="S25" s="36">
        <f t="shared" si="18"/>
        <v>0.02217529039</v>
      </c>
      <c r="T25" s="36">
        <f t="shared" si="18"/>
        <v>0.04363859865</v>
      </c>
      <c r="U25" s="36">
        <f t="shared" si="18"/>
        <v>0.01358863496</v>
      </c>
      <c r="V25" s="36">
        <f t="shared" si="18"/>
        <v>0.01086956522</v>
      </c>
      <c r="W25" s="36">
        <f t="shared" si="18"/>
        <v>0.09814879497</v>
      </c>
      <c r="X25" s="36">
        <f t="shared" si="18"/>
        <v>0.01635055592</v>
      </c>
      <c r="Y25" s="36">
        <f t="shared" si="18"/>
        <v>0.0280791321</v>
      </c>
      <c r="Z25" s="36">
        <f t="shared" si="18"/>
        <v>0.007246376812</v>
      </c>
      <c r="AA25" s="36">
        <f t="shared" si="18"/>
        <v>0.009095634096</v>
      </c>
      <c r="AB25" s="36">
        <f t="shared" si="18"/>
        <v>0.03870967742</v>
      </c>
      <c r="AC25" s="36">
        <f t="shared" si="18"/>
        <v>0.01119483315</v>
      </c>
      <c r="AD25" s="36">
        <f t="shared" si="18"/>
        <v>0.01979747412</v>
      </c>
      <c r="AE25" s="36">
        <f t="shared" si="18"/>
        <v>0.06859100518</v>
      </c>
      <c r="AF25" s="36">
        <f t="shared" si="18"/>
        <v>0.02143145977</v>
      </c>
      <c r="AG25" s="36">
        <f t="shared" si="18"/>
        <v>0.01485482782</v>
      </c>
      <c r="AH25" s="36">
        <f t="shared" si="18"/>
        <v>0.01520817751</v>
      </c>
      <c r="AI25" s="36">
        <f t="shared" si="18"/>
        <v>0.01315192744</v>
      </c>
      <c r="AJ25" s="36">
        <f t="shared" si="18"/>
        <v>0.01815930664</v>
      </c>
      <c r="AK25" s="36">
        <f t="shared" si="18"/>
        <v>0.01711156742</v>
      </c>
      <c r="AL25" s="36">
        <f t="shared" si="18"/>
        <v>0.01044386423</v>
      </c>
      <c r="AM25" s="36">
        <f t="shared" si="18"/>
        <v>0.01106639839</v>
      </c>
      <c r="AN25" s="36">
        <f t="shared" si="18"/>
        <v>0.01354401806</v>
      </c>
      <c r="AO25" s="36">
        <f t="shared" si="18"/>
        <v>0.03225806452</v>
      </c>
      <c r="AP25" s="36">
        <f t="shared" si="18"/>
        <v>0.01120008109</v>
      </c>
      <c r="AQ25" s="36">
        <f t="shared" si="18"/>
        <v>0.01298640632</v>
      </c>
      <c r="AR25" s="36">
        <f t="shared" si="18"/>
        <v>0.01169265033</v>
      </c>
      <c r="AS25" s="36">
        <f t="shared" si="18"/>
        <v>0.01266119578</v>
      </c>
      <c r="AT25" s="36">
        <f t="shared" si="18"/>
        <v>0.01816627485</v>
      </c>
      <c r="AU25" s="36">
        <f t="shared" si="18"/>
        <v>0.01335531739</v>
      </c>
      <c r="AV25" s="36">
        <f t="shared" si="18"/>
        <v>0.01567002882</v>
      </c>
      <c r="AW25" s="36">
        <f t="shared" si="18"/>
        <v>0.01663405088</v>
      </c>
      <c r="AX25" s="36">
        <f t="shared" si="18"/>
        <v>0.01692524683</v>
      </c>
      <c r="AY25" s="36">
        <f t="shared" si="18"/>
        <v>0.01286391334</v>
      </c>
      <c r="AZ25" s="36">
        <f t="shared" si="18"/>
        <v>0.01141018139</v>
      </c>
      <c r="BA25" s="36">
        <f t="shared" si="18"/>
        <v>0.01785714286</v>
      </c>
      <c r="BB25" s="36">
        <f t="shared" si="18"/>
        <v>0.01070485873</v>
      </c>
      <c r="BC25" s="36">
        <f t="shared" si="18"/>
        <v>0.0113110756</v>
      </c>
      <c r="BD25" s="36">
        <f t="shared" si="18"/>
        <v>0.008898305085</v>
      </c>
      <c r="BE25" s="36">
        <f t="shared" si="18"/>
        <v>0.01395598497</v>
      </c>
      <c r="BF25" s="36">
        <f t="shared" si="18"/>
        <v>0.008411439558</v>
      </c>
      <c r="BG25" s="36">
        <f t="shared" si="18"/>
        <v>0.01017557861</v>
      </c>
      <c r="BH25" s="36">
        <f t="shared" si="18"/>
        <v>0.01325019486</v>
      </c>
      <c r="BI25" s="36" t="str">
        <f t="shared" si="18"/>
        <v/>
      </c>
      <c r="BJ25" s="36" t="str">
        <f t="shared" si="18"/>
        <v/>
      </c>
      <c r="BK25" s="36" t="str">
        <f t="shared" si="18"/>
        <v/>
      </c>
      <c r="BL25" s="36" t="str">
        <f t="shared" si="18"/>
        <v/>
      </c>
      <c r="BM25" s="36" t="str">
        <f t="shared" si="18"/>
        <v/>
      </c>
      <c r="BN25" s="36" t="str">
        <f t="shared" si="18"/>
        <v/>
      </c>
      <c r="BO25" s="36" t="str">
        <f t="shared" si="18"/>
        <v/>
      </c>
      <c r="BP25" s="34"/>
      <c r="BQ25" s="19"/>
    </row>
    <row r="26">
      <c r="A26" s="35" t="s">
        <v>14</v>
      </c>
      <c r="B26" s="36">
        <f t="shared" ref="B26:BO26" si="19">iferror(B14/B$18,"")</f>
        <v>0.001386001386</v>
      </c>
      <c r="C26" s="36">
        <f t="shared" si="19"/>
        <v>0.03546099291</v>
      </c>
      <c r="D26" s="36">
        <f t="shared" si="19"/>
        <v>0.0593220339</v>
      </c>
      <c r="E26" s="36">
        <f t="shared" si="19"/>
        <v>0.03225806452</v>
      </c>
      <c r="F26" s="36">
        <f t="shared" si="19"/>
        <v>0.06166219839</v>
      </c>
      <c r="G26" s="36">
        <f t="shared" si="19"/>
        <v>0.08139534884</v>
      </c>
      <c r="H26" s="36">
        <f t="shared" si="19"/>
        <v>0.4171704958</v>
      </c>
      <c r="I26" s="36">
        <f t="shared" si="19"/>
        <v>0.09169550173</v>
      </c>
      <c r="J26" s="36">
        <f t="shared" si="19"/>
        <v>0.1067524116</v>
      </c>
      <c r="K26" s="36">
        <f t="shared" si="19"/>
        <v>0.04354669465</v>
      </c>
      <c r="L26" s="36">
        <f t="shared" si="19"/>
        <v>0.03028350515</v>
      </c>
      <c r="M26" s="36">
        <f t="shared" si="19"/>
        <v>0.03425414365</v>
      </c>
      <c r="N26" s="36">
        <f t="shared" si="19"/>
        <v>0.1018518519</v>
      </c>
      <c r="O26" s="36">
        <f t="shared" si="19"/>
        <v>0.05789473684</v>
      </c>
      <c r="P26" s="36">
        <f t="shared" si="19"/>
        <v>0.05102040816</v>
      </c>
      <c r="Q26" s="36">
        <f t="shared" si="19"/>
        <v>0.0161480898</v>
      </c>
      <c r="R26" s="36">
        <f t="shared" si="19"/>
        <v>0.01502531439</v>
      </c>
      <c r="S26" s="36">
        <f t="shared" si="19"/>
        <v>0.02798310454</v>
      </c>
      <c r="T26" s="36">
        <f t="shared" si="19"/>
        <v>0.1555009219</v>
      </c>
      <c r="U26" s="36">
        <f t="shared" si="19"/>
        <v>0.06361951822</v>
      </c>
      <c r="V26" s="36">
        <f t="shared" si="19"/>
        <v>0.03929765886</v>
      </c>
      <c r="W26" s="36">
        <f t="shared" si="19"/>
        <v>0.03946908837</v>
      </c>
      <c r="X26" s="36">
        <f t="shared" si="19"/>
        <v>0.06245912361</v>
      </c>
      <c r="Y26" s="36">
        <f t="shared" si="19"/>
        <v>0.07530312699</v>
      </c>
      <c r="Z26" s="36">
        <f t="shared" si="19"/>
        <v>0.03623188406</v>
      </c>
      <c r="AA26" s="36">
        <f t="shared" si="19"/>
        <v>0.03092515593</v>
      </c>
      <c r="AB26" s="36">
        <f t="shared" si="19"/>
        <v>0.06532258065</v>
      </c>
      <c r="AC26" s="36">
        <f t="shared" si="19"/>
        <v>0.04951560818</v>
      </c>
      <c r="AD26" s="36">
        <f t="shared" si="19"/>
        <v>0.06997383093</v>
      </c>
      <c r="AE26" s="36">
        <f t="shared" si="19"/>
        <v>0.06326991763</v>
      </c>
      <c r="AF26" s="36">
        <f t="shared" si="19"/>
        <v>0.05822887182</v>
      </c>
      <c r="AG26" s="36">
        <f t="shared" si="19"/>
        <v>0.05311726311</v>
      </c>
      <c r="AH26" s="36">
        <f t="shared" si="19"/>
        <v>0.06108202443</v>
      </c>
      <c r="AI26" s="36">
        <f t="shared" si="19"/>
        <v>0.1047619048</v>
      </c>
      <c r="AJ26" s="36">
        <f t="shared" si="19"/>
        <v>0.07181180355</v>
      </c>
      <c r="AK26" s="36">
        <f t="shared" si="19"/>
        <v>0.04791238877</v>
      </c>
      <c r="AL26" s="36">
        <f t="shared" si="19"/>
        <v>0.1000870322</v>
      </c>
      <c r="AM26" s="36">
        <f t="shared" si="19"/>
        <v>0.07645875252</v>
      </c>
      <c r="AN26" s="36">
        <f t="shared" si="19"/>
        <v>0.06997742664</v>
      </c>
      <c r="AO26" s="36">
        <f t="shared" si="19"/>
        <v>0.1039426523</v>
      </c>
      <c r="AP26" s="36">
        <f t="shared" si="19"/>
        <v>0.02163997567</v>
      </c>
      <c r="AQ26" s="36">
        <f t="shared" si="19"/>
        <v>0.02606624001</v>
      </c>
      <c r="AR26" s="36">
        <f t="shared" si="19"/>
        <v>0.05206013363</v>
      </c>
      <c r="AS26" s="36">
        <f t="shared" si="19"/>
        <v>0.04150058617</v>
      </c>
      <c r="AT26" s="36">
        <f t="shared" si="19"/>
        <v>0.04402650139</v>
      </c>
      <c r="AU26" s="36">
        <f t="shared" si="19"/>
        <v>0.03478977741</v>
      </c>
      <c r="AV26" s="36">
        <f t="shared" si="19"/>
        <v>0.03800432277</v>
      </c>
      <c r="AW26" s="36">
        <f t="shared" si="19"/>
        <v>0.0313111546</v>
      </c>
      <c r="AX26" s="36">
        <f t="shared" si="19"/>
        <v>0.04160789845</v>
      </c>
      <c r="AY26" s="36">
        <f t="shared" si="19"/>
        <v>0.04739336493</v>
      </c>
      <c r="AZ26" s="36">
        <f t="shared" si="19"/>
        <v>0.09625511995</v>
      </c>
      <c r="BA26" s="36">
        <f t="shared" si="19"/>
        <v>0.06845238095</v>
      </c>
      <c r="BB26" s="36">
        <f t="shared" si="19"/>
        <v>0.02209404634</v>
      </c>
      <c r="BC26" s="36">
        <f t="shared" si="19"/>
        <v>0.02371541502</v>
      </c>
      <c r="BD26" s="36">
        <f t="shared" si="19"/>
        <v>0.03050847458</v>
      </c>
      <c r="BE26" s="36">
        <f t="shared" si="19"/>
        <v>0.03542673108</v>
      </c>
      <c r="BF26" s="36">
        <f t="shared" si="19"/>
        <v>0.03604902668</v>
      </c>
      <c r="BG26" s="36">
        <f t="shared" si="19"/>
        <v>0.03511572227</v>
      </c>
      <c r="BH26" s="36">
        <f t="shared" si="19"/>
        <v>0.0494933749</v>
      </c>
      <c r="BI26" s="36" t="str">
        <f t="shared" si="19"/>
        <v/>
      </c>
      <c r="BJ26" s="36" t="str">
        <f t="shared" si="19"/>
        <v/>
      </c>
      <c r="BK26" s="36" t="str">
        <f t="shared" si="19"/>
        <v/>
      </c>
      <c r="BL26" s="36" t="str">
        <f t="shared" si="19"/>
        <v/>
      </c>
      <c r="BM26" s="36" t="str">
        <f t="shared" si="19"/>
        <v/>
      </c>
      <c r="BN26" s="36" t="str">
        <f t="shared" si="19"/>
        <v/>
      </c>
      <c r="BO26" s="36" t="str">
        <f t="shared" si="19"/>
        <v/>
      </c>
      <c r="BP26" s="34"/>
      <c r="BQ26" s="19"/>
    </row>
    <row r="27">
      <c r="A27" s="47" t="s">
        <v>15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36">
        <f t="shared" ref="S27:BO27" si="20">iferror(S15/S$18,"")</f>
        <v>0.003167898627</v>
      </c>
      <c r="T27" s="36">
        <f t="shared" si="20"/>
        <v>0.0061462815</v>
      </c>
      <c r="U27" s="36">
        <f t="shared" si="20"/>
        <v>0.005558987029</v>
      </c>
      <c r="V27" s="36">
        <f t="shared" si="20"/>
        <v>0.005852842809</v>
      </c>
      <c r="W27" s="36">
        <f t="shared" si="20"/>
        <v>0.02759343346</v>
      </c>
      <c r="X27" s="36">
        <f t="shared" si="20"/>
        <v>0.05493786789</v>
      </c>
      <c r="Y27" s="36">
        <f t="shared" si="20"/>
        <v>0.05871091257</v>
      </c>
      <c r="Z27" s="36">
        <f t="shared" si="20"/>
        <v>0.05525362319</v>
      </c>
      <c r="AA27" s="36">
        <f t="shared" si="20"/>
        <v>0.04235966736</v>
      </c>
      <c r="AB27" s="36">
        <f t="shared" si="20"/>
        <v>0.05483870968</v>
      </c>
      <c r="AC27" s="36">
        <f t="shared" si="20"/>
        <v>0.06243272336</v>
      </c>
      <c r="AD27" s="36">
        <f t="shared" si="20"/>
        <v>0.07458186369</v>
      </c>
      <c r="AE27" s="36">
        <f t="shared" si="20"/>
        <v>0.07216269407</v>
      </c>
      <c r="AF27" s="36">
        <f t="shared" si="20"/>
        <v>0.0735948241</v>
      </c>
      <c r="AG27" s="36">
        <f t="shared" si="20"/>
        <v>0.04951609273</v>
      </c>
      <c r="AH27" s="36">
        <f t="shared" si="20"/>
        <v>0.08202443281</v>
      </c>
      <c r="AI27" s="36">
        <f t="shared" si="20"/>
        <v>0.09569160998</v>
      </c>
      <c r="AJ27" s="36">
        <f t="shared" si="20"/>
        <v>0.07470078415</v>
      </c>
      <c r="AK27" s="36">
        <f t="shared" si="20"/>
        <v>0.07734428474</v>
      </c>
      <c r="AL27" s="36">
        <f t="shared" si="20"/>
        <v>0.08529155788</v>
      </c>
      <c r="AM27" s="36">
        <f t="shared" si="20"/>
        <v>0.08752515091</v>
      </c>
      <c r="AN27" s="36">
        <f t="shared" si="20"/>
        <v>0.08803611738</v>
      </c>
      <c r="AO27" s="36">
        <f t="shared" si="20"/>
        <v>0.09946236559</v>
      </c>
      <c r="AP27" s="36">
        <f t="shared" si="20"/>
        <v>0.04865193594</v>
      </c>
      <c r="AQ27" s="36">
        <f t="shared" si="20"/>
        <v>0.06493203158</v>
      </c>
      <c r="AR27" s="36">
        <f t="shared" si="20"/>
        <v>0.05902004454</v>
      </c>
      <c r="AS27" s="36">
        <f t="shared" si="20"/>
        <v>0.07479484174</v>
      </c>
      <c r="AT27" s="36">
        <f t="shared" si="20"/>
        <v>0.07416114554</v>
      </c>
      <c r="AU27" s="36">
        <f t="shared" si="20"/>
        <v>0.07633965375</v>
      </c>
      <c r="AV27" s="36">
        <f t="shared" si="20"/>
        <v>0.0700648415</v>
      </c>
      <c r="AW27" s="36">
        <f t="shared" si="20"/>
        <v>0.06360078278</v>
      </c>
      <c r="AX27" s="36">
        <f t="shared" si="20"/>
        <v>0.101551481</v>
      </c>
      <c r="AY27" s="36">
        <f t="shared" si="20"/>
        <v>0.1178063643</v>
      </c>
      <c r="AZ27" s="36">
        <f t="shared" si="20"/>
        <v>0.1076653013</v>
      </c>
      <c r="BA27" s="36">
        <f t="shared" si="20"/>
        <v>0.1145833333</v>
      </c>
      <c r="BB27" s="36">
        <f t="shared" si="20"/>
        <v>0.06305601721</v>
      </c>
      <c r="BC27" s="36">
        <f t="shared" si="20"/>
        <v>0.06736187032</v>
      </c>
      <c r="BD27" s="36">
        <f t="shared" si="20"/>
        <v>0.075</v>
      </c>
      <c r="BE27" s="36">
        <f t="shared" si="20"/>
        <v>0.07353730542</v>
      </c>
      <c r="BF27" s="36">
        <f t="shared" si="20"/>
        <v>0.08219178082</v>
      </c>
      <c r="BG27" s="36">
        <f t="shared" si="20"/>
        <v>0.08459696728</v>
      </c>
      <c r="BH27" s="36">
        <f t="shared" si="20"/>
        <v>0.08865939205</v>
      </c>
      <c r="BI27" s="36" t="str">
        <f t="shared" si="20"/>
        <v/>
      </c>
      <c r="BJ27" s="36" t="str">
        <f t="shared" si="20"/>
        <v/>
      </c>
      <c r="BK27" s="36" t="str">
        <f t="shared" si="20"/>
        <v/>
      </c>
      <c r="BL27" s="36" t="str">
        <f t="shared" si="20"/>
        <v/>
      </c>
      <c r="BM27" s="36" t="str">
        <f t="shared" si="20"/>
        <v/>
      </c>
      <c r="BN27" s="36" t="str">
        <f t="shared" si="20"/>
        <v/>
      </c>
      <c r="BO27" s="36" t="str">
        <f t="shared" si="20"/>
        <v/>
      </c>
      <c r="BP27" s="34"/>
      <c r="BQ27" s="50"/>
    </row>
    <row r="28">
      <c r="A28" s="47" t="s">
        <v>16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36">
        <f t="shared" ref="T28:BO28" si="21">iferror(T16/T$18,"")</f>
        <v>0.0012292563</v>
      </c>
      <c r="U28" s="36">
        <f t="shared" si="21"/>
        <v>0.0006176652254</v>
      </c>
      <c r="V28" s="36">
        <f t="shared" si="21"/>
        <v>0.0004180602007</v>
      </c>
      <c r="W28" s="36">
        <f t="shared" si="21"/>
        <v>0.002095703807</v>
      </c>
      <c r="X28" s="36">
        <f t="shared" si="21"/>
        <v>0.008829300196</v>
      </c>
      <c r="Y28" s="36">
        <f t="shared" si="21"/>
        <v>0.007657945118</v>
      </c>
      <c r="Z28" s="36">
        <f t="shared" si="21"/>
        <v>0.005434782609</v>
      </c>
      <c r="AA28" s="36">
        <f t="shared" si="21"/>
        <v>0.005977130977</v>
      </c>
      <c r="AB28" s="36">
        <f t="shared" si="21"/>
        <v>0.005241935484</v>
      </c>
      <c r="AC28" s="36">
        <f t="shared" si="21"/>
        <v>0.005166846071</v>
      </c>
      <c r="AD28" s="36">
        <f t="shared" si="21"/>
        <v>0.007224940266</v>
      </c>
      <c r="AE28" s="36">
        <f t="shared" si="21"/>
        <v>0.01129819958</v>
      </c>
      <c r="AF28" s="36">
        <f t="shared" si="21"/>
        <v>0.008896077638</v>
      </c>
      <c r="AG28" s="36">
        <f t="shared" si="21"/>
        <v>0.008552779653</v>
      </c>
      <c r="AH28" s="36">
        <f t="shared" si="21"/>
        <v>0.009473946647</v>
      </c>
      <c r="AI28" s="36">
        <f t="shared" si="21"/>
        <v>0.0126984127</v>
      </c>
      <c r="AJ28" s="36">
        <f t="shared" si="21"/>
        <v>0.01155592241</v>
      </c>
      <c r="AK28" s="36">
        <f t="shared" si="21"/>
        <v>0.01026694045</v>
      </c>
      <c r="AL28" s="36">
        <f t="shared" si="21"/>
        <v>0.009573542211</v>
      </c>
      <c r="AM28" s="36">
        <f t="shared" si="21"/>
        <v>0.01207243461</v>
      </c>
      <c r="AN28" s="36">
        <f t="shared" si="21"/>
        <v>0.01354401806</v>
      </c>
      <c r="AO28" s="36">
        <f t="shared" si="21"/>
        <v>0.006272401434</v>
      </c>
      <c r="AP28" s="36">
        <f t="shared" si="21"/>
        <v>0.004814514494</v>
      </c>
      <c r="AQ28" s="36">
        <f t="shared" si="21"/>
        <v>0.008221609754</v>
      </c>
      <c r="AR28" s="36">
        <f t="shared" si="21"/>
        <v>0.008351893096</v>
      </c>
      <c r="AS28" s="36">
        <f t="shared" si="21"/>
        <v>0.008909730363</v>
      </c>
      <c r="AT28" s="36">
        <f t="shared" si="21"/>
        <v>0.009189997863</v>
      </c>
      <c r="AU28" s="36">
        <f t="shared" si="21"/>
        <v>0.008573784007</v>
      </c>
      <c r="AV28" s="36">
        <f t="shared" si="21"/>
        <v>0.01044668588</v>
      </c>
      <c r="AW28" s="36">
        <f t="shared" si="21"/>
        <v>0.01108936725</v>
      </c>
      <c r="AX28" s="36">
        <f t="shared" si="21"/>
        <v>0.009873060649</v>
      </c>
      <c r="AY28" s="36">
        <f t="shared" si="21"/>
        <v>0.01489505755</v>
      </c>
      <c r="AZ28" s="36">
        <f t="shared" si="21"/>
        <v>0.01989467525</v>
      </c>
      <c r="BA28" s="36">
        <f t="shared" si="21"/>
        <v>0.01339285714</v>
      </c>
      <c r="BB28" s="36">
        <f t="shared" si="21"/>
        <v>0.007723140092</v>
      </c>
      <c r="BC28" s="36">
        <f t="shared" si="21"/>
        <v>0.007947186948</v>
      </c>
      <c r="BD28" s="36">
        <f t="shared" si="21"/>
        <v>0.004661016949</v>
      </c>
      <c r="BE28" s="36">
        <f t="shared" si="21"/>
        <v>0.0101986044</v>
      </c>
      <c r="BF28" s="36">
        <f t="shared" si="21"/>
        <v>0.007930785869</v>
      </c>
      <c r="BG28" s="36">
        <f t="shared" si="21"/>
        <v>0.01197126895</v>
      </c>
      <c r="BH28" s="36">
        <f t="shared" si="21"/>
        <v>0.01286048324</v>
      </c>
      <c r="BI28" s="36" t="str">
        <f t="shared" si="21"/>
        <v/>
      </c>
      <c r="BJ28" s="36" t="str">
        <f t="shared" si="21"/>
        <v/>
      </c>
      <c r="BK28" s="36" t="str">
        <f t="shared" si="21"/>
        <v/>
      </c>
      <c r="BL28" s="36" t="str">
        <f t="shared" si="21"/>
        <v/>
      </c>
      <c r="BM28" s="36" t="str">
        <f t="shared" si="21"/>
        <v/>
      </c>
      <c r="BN28" s="36" t="str">
        <f t="shared" si="21"/>
        <v/>
      </c>
      <c r="BO28" s="36" t="str">
        <f t="shared" si="21"/>
        <v/>
      </c>
      <c r="BP28" s="34"/>
      <c r="BQ28" s="50"/>
    </row>
    <row r="29">
      <c r="A29" s="51" t="s">
        <v>17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3">
        <f t="shared" ref="X29:BO29" si="22">iferror(X17/X$18,"")</f>
        <v>0.001308044474</v>
      </c>
      <c r="Y29" s="53">
        <f t="shared" si="22"/>
        <v>0.00191448628</v>
      </c>
      <c r="Z29" s="53">
        <f t="shared" si="22"/>
        <v>0.002717391304</v>
      </c>
      <c r="AA29" s="53">
        <f t="shared" si="22"/>
        <v>0.001819126819</v>
      </c>
      <c r="AB29" s="53">
        <f t="shared" si="22"/>
        <v>0.004032258065</v>
      </c>
      <c r="AC29" s="53">
        <f t="shared" si="22"/>
        <v>0.003444564047</v>
      </c>
      <c r="AD29" s="53">
        <f t="shared" si="22"/>
        <v>0.002560018205</v>
      </c>
      <c r="AE29" s="53">
        <f t="shared" si="22"/>
        <v>0.003790363729</v>
      </c>
      <c r="AF29" s="53">
        <f t="shared" si="22"/>
        <v>0.002830570158</v>
      </c>
      <c r="AG29" s="53">
        <f t="shared" si="22"/>
        <v>0.0009002925951</v>
      </c>
      <c r="AH29" s="53">
        <f t="shared" si="22"/>
        <v>0.006980802792</v>
      </c>
      <c r="AI29" s="53">
        <f t="shared" si="22"/>
        <v>0.005442176871</v>
      </c>
      <c r="AJ29" s="53">
        <f t="shared" si="22"/>
        <v>0.002888980603</v>
      </c>
      <c r="AK29" s="53">
        <f t="shared" si="22"/>
        <v>0.003422313484</v>
      </c>
      <c r="AL29" s="53">
        <f t="shared" si="22"/>
        <v>0.0008703220191</v>
      </c>
      <c r="AM29" s="53">
        <f t="shared" si="22"/>
        <v>0.003018108652</v>
      </c>
      <c r="AN29" s="53">
        <f t="shared" si="22"/>
        <v>0</v>
      </c>
      <c r="AO29" s="53">
        <f t="shared" si="22"/>
        <v>0.005376344086</v>
      </c>
      <c r="AP29" s="53">
        <f t="shared" si="22"/>
        <v>0.001773768498</v>
      </c>
      <c r="AQ29" s="53">
        <f t="shared" si="22"/>
        <v>0.002989676274</v>
      </c>
      <c r="AR29" s="53">
        <f t="shared" si="22"/>
        <v>0.003340757238</v>
      </c>
      <c r="AS29" s="53">
        <f t="shared" si="22"/>
        <v>0.002813599062</v>
      </c>
      <c r="AT29" s="53">
        <f t="shared" si="22"/>
        <v>0.00384697585</v>
      </c>
      <c r="AU29" s="53">
        <f t="shared" si="22"/>
        <v>0.001648804617</v>
      </c>
      <c r="AV29" s="53">
        <f t="shared" si="22"/>
        <v>0.00144092219</v>
      </c>
      <c r="AW29" s="53">
        <f t="shared" si="22"/>
        <v>0.001956947162</v>
      </c>
      <c r="AX29" s="53">
        <f t="shared" si="22"/>
        <v>0.004231311707</v>
      </c>
      <c r="AY29" s="53">
        <f t="shared" si="22"/>
        <v>0.005416384563</v>
      </c>
      <c r="AZ29" s="53">
        <f t="shared" si="22"/>
        <v>0.006143943827</v>
      </c>
      <c r="BA29" s="53">
        <f t="shared" si="22"/>
        <v>0.00744047619</v>
      </c>
      <c r="BB29" s="53">
        <f t="shared" si="22"/>
        <v>0.002199628507</v>
      </c>
      <c r="BC29" s="53">
        <f t="shared" si="22"/>
        <v>0.002817256749</v>
      </c>
      <c r="BD29" s="53">
        <f t="shared" si="22"/>
        <v>0.002542372881</v>
      </c>
      <c r="BE29" s="53">
        <f t="shared" si="22"/>
        <v>0.001610305958</v>
      </c>
      <c r="BF29" s="53">
        <f t="shared" si="22"/>
        <v>0.003604902668</v>
      </c>
      <c r="BG29" s="53">
        <f t="shared" si="22"/>
        <v>0.002394253791</v>
      </c>
      <c r="BH29" s="53">
        <f t="shared" si="22"/>
        <v>0.004286827747</v>
      </c>
      <c r="BI29" s="53" t="str">
        <f t="shared" si="22"/>
        <v/>
      </c>
      <c r="BJ29" s="53" t="str">
        <f t="shared" si="22"/>
        <v/>
      </c>
      <c r="BK29" s="53" t="str">
        <f t="shared" si="22"/>
        <v/>
      </c>
      <c r="BL29" s="53" t="str">
        <f t="shared" si="22"/>
        <v/>
      </c>
      <c r="BM29" s="53" t="str">
        <f t="shared" si="22"/>
        <v/>
      </c>
      <c r="BN29" s="53" t="str">
        <f t="shared" si="22"/>
        <v/>
      </c>
      <c r="BO29" s="53" t="str">
        <f t="shared" si="22"/>
        <v/>
      </c>
      <c r="BP29" s="54"/>
      <c r="BQ29" s="55"/>
    </row>
    <row r="32">
      <c r="A32" s="56" t="s">
        <v>19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8"/>
      <c r="BQ32" s="59"/>
    </row>
    <row r="33">
      <c r="A33" s="60" t="s">
        <v>20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2"/>
      <c r="O33" s="92"/>
      <c r="P33" s="92"/>
      <c r="Q33" s="92"/>
      <c r="R33" s="92"/>
      <c r="S33" s="92"/>
      <c r="T33" s="92"/>
      <c r="U33" s="90"/>
      <c r="V33" s="90"/>
      <c r="W33" s="90"/>
      <c r="X33" s="90"/>
      <c r="Y33" s="92"/>
      <c r="Z33" s="92"/>
      <c r="AA33" s="92"/>
      <c r="AB33" s="92"/>
      <c r="AC33" s="144">
        <v>1304.0</v>
      </c>
      <c r="AD33" s="144">
        <v>7838.0</v>
      </c>
      <c r="AE33" s="144">
        <v>4891.0</v>
      </c>
      <c r="AF33" s="144">
        <v>455.0</v>
      </c>
      <c r="AG33" s="144">
        <v>1087.0</v>
      </c>
      <c r="AH33" s="144">
        <v>769.0</v>
      </c>
      <c r="AI33" s="144">
        <v>57.0</v>
      </c>
      <c r="AJ33" s="144">
        <f t="shared" ref="AJ33:BO33" si="23">sum(AJ145,AJ187)</f>
        <v>451</v>
      </c>
      <c r="AK33" s="144">
        <f t="shared" si="23"/>
        <v>324</v>
      </c>
      <c r="AL33" s="144">
        <f t="shared" si="23"/>
        <v>223</v>
      </c>
      <c r="AM33" s="144">
        <f t="shared" si="23"/>
        <v>211</v>
      </c>
      <c r="AN33" s="144">
        <f t="shared" si="23"/>
        <v>106</v>
      </c>
      <c r="AO33" s="144">
        <f t="shared" si="23"/>
        <v>335</v>
      </c>
      <c r="AP33" s="144">
        <f t="shared" si="23"/>
        <v>12078</v>
      </c>
      <c r="AQ33" s="144">
        <f t="shared" si="23"/>
        <v>10987</v>
      </c>
      <c r="AR33" s="144">
        <f t="shared" si="23"/>
        <v>977</v>
      </c>
      <c r="AS33" s="144">
        <f t="shared" si="23"/>
        <v>1355</v>
      </c>
      <c r="AT33" s="144">
        <f t="shared" si="23"/>
        <v>1274</v>
      </c>
      <c r="AU33" s="144">
        <f t="shared" si="23"/>
        <v>2075</v>
      </c>
      <c r="AV33" s="144">
        <f t="shared" si="23"/>
        <v>1745</v>
      </c>
      <c r="AW33" s="144">
        <f t="shared" si="23"/>
        <v>1025</v>
      </c>
      <c r="AX33" s="144">
        <f t="shared" si="23"/>
        <v>294</v>
      </c>
      <c r="AY33" s="144">
        <f t="shared" si="23"/>
        <v>282</v>
      </c>
      <c r="AZ33" s="144">
        <f t="shared" si="23"/>
        <v>664</v>
      </c>
      <c r="BA33" s="144">
        <f t="shared" si="23"/>
        <v>149</v>
      </c>
      <c r="BB33" s="144">
        <f t="shared" si="23"/>
        <v>11523</v>
      </c>
      <c r="BC33" s="144">
        <f t="shared" si="23"/>
        <v>12961</v>
      </c>
      <c r="BD33" s="144">
        <f t="shared" si="23"/>
        <v>552</v>
      </c>
      <c r="BE33" s="144">
        <f t="shared" si="23"/>
        <v>490</v>
      </c>
      <c r="BF33" s="144">
        <f t="shared" si="23"/>
        <v>1283</v>
      </c>
      <c r="BG33" s="144">
        <f t="shared" si="23"/>
        <v>1480</v>
      </c>
      <c r="BH33" s="144">
        <f t="shared" si="23"/>
        <v>1367</v>
      </c>
      <c r="BI33" s="144">
        <f t="shared" si="23"/>
        <v>0</v>
      </c>
      <c r="BJ33" s="144">
        <f t="shared" si="23"/>
        <v>0</v>
      </c>
      <c r="BK33" s="144">
        <f t="shared" si="23"/>
        <v>0</v>
      </c>
      <c r="BL33" s="144">
        <f t="shared" si="23"/>
        <v>0</v>
      </c>
      <c r="BM33" s="144">
        <f t="shared" si="23"/>
        <v>0</v>
      </c>
      <c r="BN33" s="144">
        <f t="shared" si="23"/>
        <v>0</v>
      </c>
      <c r="BO33" s="144">
        <f t="shared" si="23"/>
        <v>0</v>
      </c>
      <c r="BP33" s="63">
        <f t="shared" ref="BP33:BP36" si="25">SUM(B33:BO33)</f>
        <v>80612</v>
      </c>
      <c r="BQ33" s="64">
        <f t="shared" ref="BQ33:BQ35" si="26">iferror(BP33/BP$36,"")</f>
        <v>0.8347001325</v>
      </c>
    </row>
    <row r="34">
      <c r="A34" s="65" t="s">
        <v>21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144">
        <v>103.0</v>
      </c>
      <c r="AD34" s="144">
        <v>496.0</v>
      </c>
      <c r="AE34" s="144">
        <v>386.0</v>
      </c>
      <c r="AF34" s="144">
        <v>90.0</v>
      </c>
      <c r="AG34" s="144">
        <v>198.0</v>
      </c>
      <c r="AH34" s="144">
        <v>97.0</v>
      </c>
      <c r="AI34" s="144">
        <v>17.0</v>
      </c>
      <c r="AJ34" s="144">
        <f t="shared" ref="AJ34:BO34" si="24">sum(AJ146,AJ188)</f>
        <v>70</v>
      </c>
      <c r="AK34" s="144">
        <f t="shared" si="24"/>
        <v>60</v>
      </c>
      <c r="AL34" s="144">
        <f t="shared" si="24"/>
        <v>40</v>
      </c>
      <c r="AM34" s="144">
        <f t="shared" si="24"/>
        <v>19</v>
      </c>
      <c r="AN34" s="144">
        <f t="shared" si="24"/>
        <v>10</v>
      </c>
      <c r="AO34" s="144">
        <f t="shared" si="24"/>
        <v>29</v>
      </c>
      <c r="AP34" s="144">
        <f t="shared" si="24"/>
        <v>629</v>
      </c>
      <c r="AQ34" s="144">
        <f t="shared" si="24"/>
        <v>567</v>
      </c>
      <c r="AR34" s="144">
        <f t="shared" si="24"/>
        <v>131</v>
      </c>
      <c r="AS34" s="144">
        <f t="shared" si="24"/>
        <v>164</v>
      </c>
      <c r="AT34" s="144">
        <f t="shared" si="24"/>
        <v>154</v>
      </c>
      <c r="AU34" s="144">
        <f t="shared" si="24"/>
        <v>211</v>
      </c>
      <c r="AV34" s="144">
        <f t="shared" si="24"/>
        <v>182</v>
      </c>
      <c r="AW34" s="144">
        <f t="shared" si="24"/>
        <v>92</v>
      </c>
      <c r="AX34" s="144">
        <f t="shared" si="24"/>
        <v>30</v>
      </c>
      <c r="AY34" s="144">
        <f t="shared" si="24"/>
        <v>55</v>
      </c>
      <c r="AZ34" s="144">
        <f t="shared" si="24"/>
        <v>75</v>
      </c>
      <c r="BA34" s="144">
        <f t="shared" si="24"/>
        <v>19</v>
      </c>
      <c r="BB34" s="144">
        <f t="shared" si="24"/>
        <v>568</v>
      </c>
      <c r="BC34" s="144">
        <f t="shared" si="24"/>
        <v>622</v>
      </c>
      <c r="BD34" s="144">
        <f t="shared" si="24"/>
        <v>68</v>
      </c>
      <c r="BE34" s="144">
        <f t="shared" si="24"/>
        <v>60</v>
      </c>
      <c r="BF34" s="144">
        <f t="shared" si="24"/>
        <v>103</v>
      </c>
      <c r="BG34" s="144">
        <f t="shared" si="24"/>
        <v>144</v>
      </c>
      <c r="BH34" s="144">
        <f t="shared" si="24"/>
        <v>131</v>
      </c>
      <c r="BI34" s="144">
        <f t="shared" si="24"/>
        <v>0</v>
      </c>
      <c r="BJ34" s="144">
        <f t="shared" si="24"/>
        <v>0</v>
      </c>
      <c r="BK34" s="144">
        <f t="shared" si="24"/>
        <v>0</v>
      </c>
      <c r="BL34" s="144">
        <f t="shared" si="24"/>
        <v>0</v>
      </c>
      <c r="BM34" s="144">
        <f t="shared" si="24"/>
        <v>0</v>
      </c>
      <c r="BN34" s="144">
        <f t="shared" si="24"/>
        <v>0</v>
      </c>
      <c r="BO34" s="144">
        <f t="shared" si="24"/>
        <v>0</v>
      </c>
      <c r="BP34" s="63">
        <f t="shared" si="25"/>
        <v>5620</v>
      </c>
      <c r="BQ34" s="64">
        <f t="shared" si="26"/>
        <v>0.0581925116</v>
      </c>
    </row>
    <row r="35">
      <c r="A35" s="67" t="s">
        <v>22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144">
        <v>192.0</v>
      </c>
      <c r="AD35" s="144">
        <v>705.0</v>
      </c>
      <c r="AE35" s="144">
        <v>510.0</v>
      </c>
      <c r="AF35" s="144">
        <v>83.0</v>
      </c>
      <c r="AG35" s="144">
        <v>241.0</v>
      </c>
      <c r="AH35" s="144">
        <v>175.0</v>
      </c>
      <c r="AI35" s="144">
        <v>7.0</v>
      </c>
      <c r="AJ35" s="144">
        <f t="shared" ref="AJ35:BO35" si="27">sum(AJ147,AJ189)</f>
        <v>82</v>
      </c>
      <c r="AK35" s="144">
        <f t="shared" si="27"/>
        <v>47</v>
      </c>
      <c r="AL35" s="144">
        <f t="shared" si="27"/>
        <v>49</v>
      </c>
      <c r="AM35" s="144">
        <f t="shared" si="27"/>
        <v>53</v>
      </c>
      <c r="AN35" s="144">
        <f t="shared" si="27"/>
        <v>19</v>
      </c>
      <c r="AO35" s="144">
        <f t="shared" si="27"/>
        <v>78</v>
      </c>
      <c r="AP35" s="144">
        <f t="shared" si="27"/>
        <v>1264</v>
      </c>
      <c r="AQ35" s="144">
        <f t="shared" si="27"/>
        <v>1268</v>
      </c>
      <c r="AR35" s="144">
        <f t="shared" si="27"/>
        <v>172</v>
      </c>
      <c r="AS35" s="144">
        <f t="shared" si="27"/>
        <v>239</v>
      </c>
      <c r="AT35" s="144">
        <f t="shared" si="27"/>
        <v>256</v>
      </c>
      <c r="AU35" s="144">
        <f t="shared" si="27"/>
        <v>328</v>
      </c>
      <c r="AV35" s="144">
        <f t="shared" si="27"/>
        <v>261</v>
      </c>
      <c r="AW35" s="144">
        <f t="shared" si="27"/>
        <v>150</v>
      </c>
      <c r="AX35" s="144">
        <f t="shared" si="27"/>
        <v>62</v>
      </c>
      <c r="AY35" s="144">
        <f t="shared" si="27"/>
        <v>50</v>
      </c>
      <c r="AZ35" s="144">
        <f t="shared" si="27"/>
        <v>238</v>
      </c>
      <c r="BA35" s="144">
        <f t="shared" si="27"/>
        <v>36</v>
      </c>
      <c r="BB35" s="144">
        <f t="shared" si="27"/>
        <v>1310</v>
      </c>
      <c r="BC35" s="144">
        <f t="shared" si="27"/>
        <v>1567</v>
      </c>
      <c r="BD35" s="144">
        <f t="shared" si="27"/>
        <v>95</v>
      </c>
      <c r="BE35" s="144">
        <f t="shared" si="27"/>
        <v>88</v>
      </c>
      <c r="BF35" s="144">
        <f t="shared" si="27"/>
        <v>222</v>
      </c>
      <c r="BG35" s="144">
        <f t="shared" si="27"/>
        <v>233</v>
      </c>
      <c r="BH35" s="144">
        <f t="shared" si="27"/>
        <v>264</v>
      </c>
      <c r="BI35" s="144">
        <f t="shared" si="27"/>
        <v>0</v>
      </c>
      <c r="BJ35" s="144">
        <f t="shared" si="27"/>
        <v>0</v>
      </c>
      <c r="BK35" s="144">
        <f t="shared" si="27"/>
        <v>0</v>
      </c>
      <c r="BL35" s="144">
        <f t="shared" si="27"/>
        <v>0</v>
      </c>
      <c r="BM35" s="144">
        <f t="shared" si="27"/>
        <v>0</v>
      </c>
      <c r="BN35" s="144">
        <f t="shared" si="27"/>
        <v>0</v>
      </c>
      <c r="BO35" s="144">
        <f t="shared" si="27"/>
        <v>0</v>
      </c>
      <c r="BP35" s="63">
        <f t="shared" si="25"/>
        <v>10344</v>
      </c>
      <c r="BQ35" s="64">
        <f t="shared" si="26"/>
        <v>0.1071073559</v>
      </c>
    </row>
    <row r="36">
      <c r="A36" s="68" t="s">
        <v>18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69">
        <f t="shared" ref="AC36:BO36" si="28">SUM(AC33:AC35)</f>
        <v>1599</v>
      </c>
      <c r="AD36" s="69">
        <f t="shared" si="28"/>
        <v>9039</v>
      </c>
      <c r="AE36" s="69">
        <f t="shared" si="28"/>
        <v>5787</v>
      </c>
      <c r="AF36" s="69">
        <f t="shared" si="28"/>
        <v>628</v>
      </c>
      <c r="AG36" s="69">
        <f t="shared" si="28"/>
        <v>1526</v>
      </c>
      <c r="AH36" s="69">
        <f t="shared" si="28"/>
        <v>1041</v>
      </c>
      <c r="AI36" s="69">
        <f t="shared" si="28"/>
        <v>81</v>
      </c>
      <c r="AJ36" s="69">
        <f t="shared" si="28"/>
        <v>603</v>
      </c>
      <c r="AK36" s="69">
        <f t="shared" si="28"/>
        <v>431</v>
      </c>
      <c r="AL36" s="69">
        <f t="shared" si="28"/>
        <v>312</v>
      </c>
      <c r="AM36" s="69">
        <f t="shared" si="28"/>
        <v>283</v>
      </c>
      <c r="AN36" s="69">
        <f t="shared" si="28"/>
        <v>135</v>
      </c>
      <c r="AO36" s="69">
        <f t="shared" si="28"/>
        <v>442</v>
      </c>
      <c r="AP36" s="69">
        <f t="shared" si="28"/>
        <v>13971</v>
      </c>
      <c r="AQ36" s="69">
        <f t="shared" si="28"/>
        <v>12822</v>
      </c>
      <c r="AR36" s="69">
        <f t="shared" si="28"/>
        <v>1280</v>
      </c>
      <c r="AS36" s="69">
        <f t="shared" si="28"/>
        <v>1758</v>
      </c>
      <c r="AT36" s="69">
        <f t="shared" si="28"/>
        <v>1684</v>
      </c>
      <c r="AU36" s="69">
        <f t="shared" si="28"/>
        <v>2614</v>
      </c>
      <c r="AV36" s="69">
        <f t="shared" si="28"/>
        <v>2188</v>
      </c>
      <c r="AW36" s="69">
        <f t="shared" si="28"/>
        <v>1267</v>
      </c>
      <c r="AX36" s="69">
        <f t="shared" si="28"/>
        <v>386</v>
      </c>
      <c r="AY36" s="69">
        <f t="shared" si="28"/>
        <v>387</v>
      </c>
      <c r="AZ36" s="69">
        <f t="shared" si="28"/>
        <v>977</v>
      </c>
      <c r="BA36" s="69">
        <f t="shared" si="28"/>
        <v>204</v>
      </c>
      <c r="BB36" s="69">
        <f t="shared" si="28"/>
        <v>13401</v>
      </c>
      <c r="BC36" s="69">
        <f t="shared" si="28"/>
        <v>15150</v>
      </c>
      <c r="BD36" s="69">
        <f t="shared" si="28"/>
        <v>715</v>
      </c>
      <c r="BE36" s="69">
        <f t="shared" si="28"/>
        <v>638</v>
      </c>
      <c r="BF36" s="69">
        <f t="shared" si="28"/>
        <v>1608</v>
      </c>
      <c r="BG36" s="69">
        <f t="shared" si="28"/>
        <v>1857</v>
      </c>
      <c r="BH36" s="69">
        <f t="shared" si="28"/>
        <v>1762</v>
      </c>
      <c r="BI36" s="69">
        <f t="shared" si="28"/>
        <v>0</v>
      </c>
      <c r="BJ36" s="69">
        <f t="shared" si="28"/>
        <v>0</v>
      </c>
      <c r="BK36" s="69">
        <f t="shared" si="28"/>
        <v>0</v>
      </c>
      <c r="BL36" s="69">
        <f t="shared" si="28"/>
        <v>0</v>
      </c>
      <c r="BM36" s="69">
        <f t="shared" si="28"/>
        <v>0</v>
      </c>
      <c r="BN36" s="69">
        <f t="shared" si="28"/>
        <v>0</v>
      </c>
      <c r="BO36" s="69">
        <f t="shared" si="28"/>
        <v>0</v>
      </c>
      <c r="BP36" s="70">
        <f t="shared" si="25"/>
        <v>96576</v>
      </c>
      <c r="BQ36" s="71">
        <f>SUM(BQ33:BQ35)</f>
        <v>1</v>
      </c>
    </row>
    <row r="37">
      <c r="A37" s="72" t="s">
        <v>23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76"/>
      <c r="BQ37" s="77"/>
    </row>
    <row r="38">
      <c r="A38" s="78" t="s">
        <v>20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79">
        <f t="shared" ref="AC38:BO38" si="29">iferror(AC33/AC$36,"")</f>
        <v>0.8155096936</v>
      </c>
      <c r="AD38" s="79">
        <f t="shared" si="29"/>
        <v>0.8671313198</v>
      </c>
      <c r="AE38" s="79">
        <f t="shared" si="29"/>
        <v>0.8451702091</v>
      </c>
      <c r="AF38" s="79">
        <f t="shared" si="29"/>
        <v>0.724522293</v>
      </c>
      <c r="AG38" s="79">
        <f t="shared" si="29"/>
        <v>0.7123197903</v>
      </c>
      <c r="AH38" s="79">
        <f t="shared" si="29"/>
        <v>0.7387127762</v>
      </c>
      <c r="AI38" s="79">
        <f t="shared" si="29"/>
        <v>0.7037037037</v>
      </c>
      <c r="AJ38" s="79">
        <f t="shared" si="29"/>
        <v>0.7479270315</v>
      </c>
      <c r="AK38" s="79">
        <f t="shared" si="29"/>
        <v>0.7517401392</v>
      </c>
      <c r="AL38" s="79">
        <f t="shared" si="29"/>
        <v>0.7147435897</v>
      </c>
      <c r="AM38" s="79">
        <f t="shared" si="29"/>
        <v>0.7455830389</v>
      </c>
      <c r="AN38" s="79">
        <f t="shared" si="29"/>
        <v>0.7851851852</v>
      </c>
      <c r="AO38" s="79">
        <f t="shared" si="29"/>
        <v>0.757918552</v>
      </c>
      <c r="AP38" s="79">
        <f t="shared" si="29"/>
        <v>0.8645050462</v>
      </c>
      <c r="AQ38" s="79">
        <f t="shared" si="29"/>
        <v>0.8568866012</v>
      </c>
      <c r="AR38" s="79">
        <f t="shared" si="29"/>
        <v>0.76328125</v>
      </c>
      <c r="AS38" s="79">
        <f t="shared" si="29"/>
        <v>0.7707622298</v>
      </c>
      <c r="AT38" s="79">
        <f t="shared" si="29"/>
        <v>0.7565320665</v>
      </c>
      <c r="AU38" s="79">
        <f t="shared" si="29"/>
        <v>0.7938026014</v>
      </c>
      <c r="AV38" s="79">
        <f t="shared" si="29"/>
        <v>0.7975319927</v>
      </c>
      <c r="AW38" s="79">
        <f t="shared" si="29"/>
        <v>0.8089976322</v>
      </c>
      <c r="AX38" s="79">
        <f t="shared" si="29"/>
        <v>0.7616580311</v>
      </c>
      <c r="AY38" s="79">
        <f t="shared" si="29"/>
        <v>0.7286821705</v>
      </c>
      <c r="AZ38" s="79">
        <f t="shared" si="29"/>
        <v>0.6796315251</v>
      </c>
      <c r="BA38" s="79">
        <f t="shared" si="29"/>
        <v>0.7303921569</v>
      </c>
      <c r="BB38" s="79">
        <f t="shared" si="29"/>
        <v>0.8598612044</v>
      </c>
      <c r="BC38" s="79">
        <f t="shared" si="29"/>
        <v>0.8555115512</v>
      </c>
      <c r="BD38" s="79">
        <f t="shared" si="29"/>
        <v>0.772027972</v>
      </c>
      <c r="BE38" s="79">
        <f t="shared" si="29"/>
        <v>0.7680250784</v>
      </c>
      <c r="BF38" s="79">
        <f t="shared" si="29"/>
        <v>0.7978855721</v>
      </c>
      <c r="BG38" s="79">
        <f t="shared" si="29"/>
        <v>0.7969843834</v>
      </c>
      <c r="BH38" s="79">
        <f t="shared" si="29"/>
        <v>0.7758229285</v>
      </c>
      <c r="BI38" s="79" t="str">
        <f t="shared" si="29"/>
        <v/>
      </c>
      <c r="BJ38" s="79" t="str">
        <f t="shared" si="29"/>
        <v/>
      </c>
      <c r="BK38" s="79" t="str">
        <f t="shared" si="29"/>
        <v/>
      </c>
      <c r="BL38" s="79" t="str">
        <f t="shared" si="29"/>
        <v/>
      </c>
      <c r="BM38" s="79" t="str">
        <f t="shared" si="29"/>
        <v/>
      </c>
      <c r="BN38" s="79" t="str">
        <f t="shared" si="29"/>
        <v/>
      </c>
      <c r="BO38" s="79" t="str">
        <f t="shared" si="29"/>
        <v/>
      </c>
      <c r="BP38" s="81"/>
      <c r="BQ38" s="82"/>
    </row>
    <row r="39">
      <c r="A39" s="78" t="s">
        <v>21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79">
        <f t="shared" ref="AC39:BO39" si="30">iferror(AC34/AC$36,"")</f>
        <v>0.06441525954</v>
      </c>
      <c r="AD39" s="79">
        <f t="shared" si="30"/>
        <v>0.0548733267</v>
      </c>
      <c r="AE39" s="79">
        <f t="shared" si="30"/>
        <v>0.06670122689</v>
      </c>
      <c r="AF39" s="79">
        <f t="shared" si="30"/>
        <v>0.1433121019</v>
      </c>
      <c r="AG39" s="79">
        <f t="shared" si="30"/>
        <v>0.129750983</v>
      </c>
      <c r="AH39" s="79">
        <f t="shared" si="30"/>
        <v>0.09317963497</v>
      </c>
      <c r="AI39" s="79">
        <f t="shared" si="30"/>
        <v>0.2098765432</v>
      </c>
      <c r="AJ39" s="79">
        <f t="shared" si="30"/>
        <v>0.1160862355</v>
      </c>
      <c r="AK39" s="79">
        <f t="shared" si="30"/>
        <v>0.1392111369</v>
      </c>
      <c r="AL39" s="79">
        <f t="shared" si="30"/>
        <v>0.1282051282</v>
      </c>
      <c r="AM39" s="79">
        <f t="shared" si="30"/>
        <v>0.06713780919</v>
      </c>
      <c r="AN39" s="79">
        <f t="shared" si="30"/>
        <v>0.07407407407</v>
      </c>
      <c r="AO39" s="79">
        <f t="shared" si="30"/>
        <v>0.06561085973</v>
      </c>
      <c r="AP39" s="79">
        <f t="shared" si="30"/>
        <v>0.04502183094</v>
      </c>
      <c r="AQ39" s="79">
        <f t="shared" si="30"/>
        <v>0.04422087038</v>
      </c>
      <c r="AR39" s="79">
        <f t="shared" si="30"/>
        <v>0.10234375</v>
      </c>
      <c r="AS39" s="79">
        <f t="shared" si="30"/>
        <v>0.09328782708</v>
      </c>
      <c r="AT39" s="79">
        <f t="shared" si="30"/>
        <v>0.09144893112</v>
      </c>
      <c r="AU39" s="79">
        <f t="shared" si="30"/>
        <v>0.08071920428</v>
      </c>
      <c r="AV39" s="79">
        <f t="shared" si="30"/>
        <v>0.0831809872</v>
      </c>
      <c r="AW39" s="79">
        <f t="shared" si="30"/>
        <v>0.0726124704</v>
      </c>
      <c r="AX39" s="79">
        <f t="shared" si="30"/>
        <v>0.07772020725</v>
      </c>
      <c r="AY39" s="79">
        <f t="shared" si="30"/>
        <v>0.142118863</v>
      </c>
      <c r="AZ39" s="79">
        <f t="shared" si="30"/>
        <v>0.07676560901</v>
      </c>
      <c r="BA39" s="79">
        <f t="shared" si="30"/>
        <v>0.0931372549</v>
      </c>
      <c r="BB39" s="79">
        <f t="shared" si="30"/>
        <v>0.04238489665</v>
      </c>
      <c r="BC39" s="79">
        <f t="shared" si="30"/>
        <v>0.04105610561</v>
      </c>
      <c r="BD39" s="79">
        <f t="shared" si="30"/>
        <v>0.0951048951</v>
      </c>
      <c r="BE39" s="79">
        <f t="shared" si="30"/>
        <v>0.09404388715</v>
      </c>
      <c r="BF39" s="79">
        <f t="shared" si="30"/>
        <v>0.06405472637</v>
      </c>
      <c r="BG39" s="79">
        <f t="shared" si="30"/>
        <v>0.07754442649</v>
      </c>
      <c r="BH39" s="79">
        <f t="shared" si="30"/>
        <v>0.07434733258</v>
      </c>
      <c r="BI39" s="79" t="str">
        <f t="shared" si="30"/>
        <v/>
      </c>
      <c r="BJ39" s="79" t="str">
        <f t="shared" si="30"/>
        <v/>
      </c>
      <c r="BK39" s="79" t="str">
        <f t="shared" si="30"/>
        <v/>
      </c>
      <c r="BL39" s="79" t="str">
        <f t="shared" si="30"/>
        <v/>
      </c>
      <c r="BM39" s="79" t="str">
        <f t="shared" si="30"/>
        <v/>
      </c>
      <c r="BN39" s="79" t="str">
        <f t="shared" si="30"/>
        <v/>
      </c>
      <c r="BO39" s="79" t="str">
        <f t="shared" si="30"/>
        <v/>
      </c>
      <c r="BP39" s="83"/>
      <c r="BQ39" s="82"/>
    </row>
    <row r="40">
      <c r="A40" s="84" t="s">
        <v>22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79">
        <f t="shared" ref="AC40:BO40" si="31">iferror(AC35/AC$36,"")</f>
        <v>0.1200750469</v>
      </c>
      <c r="AD40" s="79">
        <f t="shared" si="31"/>
        <v>0.07799535347</v>
      </c>
      <c r="AE40" s="79">
        <f t="shared" si="31"/>
        <v>0.08812856402</v>
      </c>
      <c r="AF40" s="79">
        <f t="shared" si="31"/>
        <v>0.1321656051</v>
      </c>
      <c r="AG40" s="79">
        <f t="shared" si="31"/>
        <v>0.1579292267</v>
      </c>
      <c r="AH40" s="79">
        <f t="shared" si="31"/>
        <v>0.1681075889</v>
      </c>
      <c r="AI40" s="79">
        <f t="shared" si="31"/>
        <v>0.08641975309</v>
      </c>
      <c r="AJ40" s="79">
        <f t="shared" si="31"/>
        <v>0.135986733</v>
      </c>
      <c r="AK40" s="79">
        <f t="shared" si="31"/>
        <v>0.1090487239</v>
      </c>
      <c r="AL40" s="79">
        <f t="shared" si="31"/>
        <v>0.1570512821</v>
      </c>
      <c r="AM40" s="79">
        <f t="shared" si="31"/>
        <v>0.1872791519</v>
      </c>
      <c r="AN40" s="79">
        <f t="shared" si="31"/>
        <v>0.1407407407</v>
      </c>
      <c r="AO40" s="79">
        <f t="shared" si="31"/>
        <v>0.1764705882</v>
      </c>
      <c r="AP40" s="79">
        <f t="shared" si="31"/>
        <v>0.0904731229</v>
      </c>
      <c r="AQ40" s="79">
        <f t="shared" si="31"/>
        <v>0.09889252847</v>
      </c>
      <c r="AR40" s="79">
        <f t="shared" si="31"/>
        <v>0.134375</v>
      </c>
      <c r="AS40" s="79">
        <f t="shared" si="31"/>
        <v>0.1359499431</v>
      </c>
      <c r="AT40" s="79">
        <f t="shared" si="31"/>
        <v>0.1520190024</v>
      </c>
      <c r="AU40" s="79">
        <f t="shared" si="31"/>
        <v>0.1254781943</v>
      </c>
      <c r="AV40" s="79">
        <f t="shared" si="31"/>
        <v>0.1192870201</v>
      </c>
      <c r="AW40" s="79">
        <f t="shared" si="31"/>
        <v>0.1183898974</v>
      </c>
      <c r="AX40" s="79">
        <f t="shared" si="31"/>
        <v>0.1606217617</v>
      </c>
      <c r="AY40" s="79">
        <f t="shared" si="31"/>
        <v>0.1291989664</v>
      </c>
      <c r="AZ40" s="79">
        <f t="shared" si="31"/>
        <v>0.2436028659</v>
      </c>
      <c r="BA40" s="79">
        <f t="shared" si="31"/>
        <v>0.1764705882</v>
      </c>
      <c r="BB40" s="79">
        <f t="shared" si="31"/>
        <v>0.09775389896</v>
      </c>
      <c r="BC40" s="79">
        <f t="shared" si="31"/>
        <v>0.1034323432</v>
      </c>
      <c r="BD40" s="79">
        <f t="shared" si="31"/>
        <v>0.1328671329</v>
      </c>
      <c r="BE40" s="79">
        <f t="shared" si="31"/>
        <v>0.1379310345</v>
      </c>
      <c r="BF40" s="79">
        <f t="shared" si="31"/>
        <v>0.1380597015</v>
      </c>
      <c r="BG40" s="79">
        <f t="shared" si="31"/>
        <v>0.1254711901</v>
      </c>
      <c r="BH40" s="79">
        <f t="shared" si="31"/>
        <v>0.1498297389</v>
      </c>
      <c r="BI40" s="79" t="str">
        <f t="shared" si="31"/>
        <v/>
      </c>
      <c r="BJ40" s="79" t="str">
        <f t="shared" si="31"/>
        <v/>
      </c>
      <c r="BK40" s="79" t="str">
        <f t="shared" si="31"/>
        <v/>
      </c>
      <c r="BL40" s="79" t="str">
        <f t="shared" si="31"/>
        <v/>
      </c>
      <c r="BM40" s="79" t="str">
        <f t="shared" si="31"/>
        <v/>
      </c>
      <c r="BN40" s="79" t="str">
        <f t="shared" si="31"/>
        <v/>
      </c>
      <c r="BO40" s="79" t="str">
        <f t="shared" si="31"/>
        <v/>
      </c>
      <c r="BP40" s="83"/>
      <c r="BQ40" s="82"/>
    </row>
    <row r="43">
      <c r="A43" s="85" t="s">
        <v>24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7"/>
      <c r="BQ43" s="88"/>
    </row>
    <row r="44">
      <c r="A44" s="89" t="s">
        <v>25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2"/>
      <c r="Z44" s="92"/>
      <c r="AA44" s="92"/>
      <c r="AB44" s="92"/>
      <c r="AC44" s="92"/>
      <c r="AD44" s="144">
        <v>581.0</v>
      </c>
      <c r="AE44" s="144">
        <v>1034.0</v>
      </c>
      <c r="AF44" s="144">
        <v>709.0</v>
      </c>
      <c r="AG44" s="144">
        <v>2194.0</v>
      </c>
      <c r="AH44" s="144">
        <v>1107.0</v>
      </c>
      <c r="AI44" s="144">
        <v>95.0</v>
      </c>
      <c r="AJ44" s="144">
        <f t="shared" ref="AJ44:BO44" si="32">sum(AJ115,AJ157)</f>
        <v>430</v>
      </c>
      <c r="AK44" s="144">
        <f t="shared" si="32"/>
        <v>249</v>
      </c>
      <c r="AL44" s="144">
        <f t="shared" si="32"/>
        <v>323</v>
      </c>
      <c r="AM44" s="144">
        <f t="shared" si="32"/>
        <v>256</v>
      </c>
      <c r="AN44" s="144">
        <f t="shared" si="32"/>
        <v>120</v>
      </c>
      <c r="AO44" s="144">
        <f t="shared" si="32"/>
        <v>299</v>
      </c>
      <c r="AP44" s="144">
        <f t="shared" si="32"/>
        <v>1089</v>
      </c>
      <c r="AQ44" s="144">
        <f t="shared" si="32"/>
        <v>1226</v>
      </c>
      <c r="AR44" s="144">
        <f t="shared" si="32"/>
        <v>1047</v>
      </c>
      <c r="AS44" s="144">
        <f t="shared" si="32"/>
        <v>1133</v>
      </c>
      <c r="AT44" s="144">
        <f t="shared" si="32"/>
        <v>1420</v>
      </c>
      <c r="AU44" s="144">
        <f t="shared" si="32"/>
        <v>1373</v>
      </c>
      <c r="AV44" s="144">
        <f t="shared" si="32"/>
        <v>1012</v>
      </c>
      <c r="AW44" s="144">
        <f t="shared" si="32"/>
        <v>553</v>
      </c>
      <c r="AX44" s="144">
        <f t="shared" si="32"/>
        <v>412</v>
      </c>
      <c r="AY44" s="144">
        <f t="shared" si="32"/>
        <v>381</v>
      </c>
      <c r="AZ44" s="144">
        <f t="shared" si="32"/>
        <v>96</v>
      </c>
      <c r="BA44" s="144">
        <f t="shared" si="32"/>
        <v>11</v>
      </c>
      <c r="BB44" s="144">
        <f t="shared" si="32"/>
        <v>230</v>
      </c>
      <c r="BC44" s="144">
        <f t="shared" si="32"/>
        <v>348</v>
      </c>
      <c r="BD44" s="144">
        <f t="shared" si="32"/>
        <v>37</v>
      </c>
      <c r="BE44" s="144">
        <f t="shared" si="32"/>
        <v>29</v>
      </c>
      <c r="BF44" s="144">
        <f t="shared" si="32"/>
        <v>78</v>
      </c>
      <c r="BG44" s="144">
        <f t="shared" si="32"/>
        <v>71</v>
      </c>
      <c r="BH44" s="144">
        <f t="shared" si="32"/>
        <v>74</v>
      </c>
      <c r="BI44" s="144">
        <f t="shared" si="32"/>
        <v>0</v>
      </c>
      <c r="BJ44" s="144">
        <f t="shared" si="32"/>
        <v>0</v>
      </c>
      <c r="BK44" s="144">
        <f t="shared" si="32"/>
        <v>0</v>
      </c>
      <c r="BL44" s="144">
        <f t="shared" si="32"/>
        <v>0</v>
      </c>
      <c r="BM44" s="144">
        <f t="shared" si="32"/>
        <v>0</v>
      </c>
      <c r="BN44" s="144">
        <f t="shared" si="32"/>
        <v>0</v>
      </c>
      <c r="BO44" s="144">
        <f t="shared" si="32"/>
        <v>0</v>
      </c>
      <c r="BP44" s="63">
        <f t="shared" ref="BP44:BP48" si="34">SUM(B44:BO44)</f>
        <v>18017</v>
      </c>
      <c r="BQ44" s="64">
        <f t="shared" ref="BQ44:BQ47" si="35">iferror(BP44/BP$48,"")</f>
        <v>0.1010153679</v>
      </c>
    </row>
    <row r="45">
      <c r="A45" s="60" t="s">
        <v>26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144">
        <v>6391.0</v>
      </c>
      <c r="AE45" s="144">
        <v>10546.0</v>
      </c>
      <c r="AF45" s="144">
        <v>484.0</v>
      </c>
      <c r="AG45" s="144">
        <v>915.0</v>
      </c>
      <c r="AH45" s="144">
        <v>658.0</v>
      </c>
      <c r="AI45" s="144">
        <v>88.0</v>
      </c>
      <c r="AJ45" s="144">
        <f t="shared" ref="AJ45:BO45" si="33">sum(AJ116,AJ158)</f>
        <v>969</v>
      </c>
      <c r="AK45" s="144">
        <f t="shared" si="33"/>
        <v>477</v>
      </c>
      <c r="AL45" s="144">
        <f t="shared" si="33"/>
        <v>200</v>
      </c>
      <c r="AM45" s="144">
        <f t="shared" si="33"/>
        <v>181</v>
      </c>
      <c r="AN45" s="144">
        <f t="shared" si="33"/>
        <v>78</v>
      </c>
      <c r="AO45" s="144">
        <f t="shared" si="33"/>
        <v>174</v>
      </c>
      <c r="AP45" s="144">
        <f t="shared" si="33"/>
        <v>8764</v>
      </c>
      <c r="AQ45" s="144">
        <f t="shared" si="33"/>
        <v>10159</v>
      </c>
      <c r="AR45" s="144">
        <f t="shared" si="33"/>
        <v>563</v>
      </c>
      <c r="AS45" s="144">
        <f t="shared" si="33"/>
        <v>670</v>
      </c>
      <c r="AT45" s="144">
        <f t="shared" si="33"/>
        <v>618</v>
      </c>
      <c r="AU45" s="144">
        <f t="shared" si="33"/>
        <v>1329</v>
      </c>
      <c r="AV45" s="144">
        <f t="shared" si="33"/>
        <v>1476</v>
      </c>
      <c r="AW45" s="144">
        <f t="shared" si="33"/>
        <v>881</v>
      </c>
      <c r="AX45" s="144">
        <f t="shared" si="33"/>
        <v>224</v>
      </c>
      <c r="AY45" s="144">
        <f t="shared" si="33"/>
        <v>246</v>
      </c>
      <c r="AZ45" s="144">
        <f t="shared" si="33"/>
        <v>273</v>
      </c>
      <c r="BA45" s="144">
        <f t="shared" si="33"/>
        <v>115</v>
      </c>
      <c r="BB45" s="144">
        <f t="shared" si="33"/>
        <v>7727</v>
      </c>
      <c r="BC45" s="144">
        <f t="shared" si="33"/>
        <v>9105</v>
      </c>
      <c r="BD45" s="144">
        <f t="shared" si="33"/>
        <v>294</v>
      </c>
      <c r="BE45" s="144">
        <f t="shared" si="33"/>
        <v>213</v>
      </c>
      <c r="BF45" s="144">
        <f t="shared" si="33"/>
        <v>470</v>
      </c>
      <c r="BG45" s="144">
        <f t="shared" si="33"/>
        <v>925</v>
      </c>
      <c r="BH45" s="144">
        <f t="shared" si="33"/>
        <v>808</v>
      </c>
      <c r="BI45" s="144">
        <f t="shared" si="33"/>
        <v>0</v>
      </c>
      <c r="BJ45" s="144">
        <f t="shared" si="33"/>
        <v>0</v>
      </c>
      <c r="BK45" s="144">
        <f t="shared" si="33"/>
        <v>0</v>
      </c>
      <c r="BL45" s="144">
        <f t="shared" si="33"/>
        <v>0</v>
      </c>
      <c r="BM45" s="144">
        <f t="shared" si="33"/>
        <v>0</v>
      </c>
      <c r="BN45" s="144">
        <f t="shared" si="33"/>
        <v>0</v>
      </c>
      <c r="BO45" s="144">
        <f t="shared" si="33"/>
        <v>0</v>
      </c>
      <c r="BP45" s="63">
        <f t="shared" si="34"/>
        <v>66021</v>
      </c>
      <c r="BQ45" s="64">
        <f t="shared" si="35"/>
        <v>0.3701579399</v>
      </c>
    </row>
    <row r="46">
      <c r="A46" s="60" t="s">
        <v>27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144">
        <v>3165.0</v>
      </c>
      <c r="AE46" s="144">
        <v>6700.0</v>
      </c>
      <c r="AF46" s="144">
        <v>507.0</v>
      </c>
      <c r="AG46" s="144">
        <v>1194.0</v>
      </c>
      <c r="AH46" s="144">
        <v>785.0</v>
      </c>
      <c r="AI46" s="144">
        <v>82.0</v>
      </c>
      <c r="AJ46" s="144">
        <f t="shared" ref="AJ46:BO46" si="36">sum(AJ117,AJ159)</f>
        <v>612</v>
      </c>
      <c r="AK46" s="144">
        <f t="shared" si="36"/>
        <v>360</v>
      </c>
      <c r="AL46" s="144">
        <f t="shared" si="36"/>
        <v>213</v>
      </c>
      <c r="AM46" s="144">
        <f t="shared" si="36"/>
        <v>184</v>
      </c>
      <c r="AN46" s="144">
        <f t="shared" si="36"/>
        <v>86</v>
      </c>
      <c r="AO46" s="144">
        <f t="shared" si="36"/>
        <v>243</v>
      </c>
      <c r="AP46" s="144">
        <f t="shared" si="36"/>
        <v>6366</v>
      </c>
      <c r="AQ46" s="144">
        <f t="shared" si="36"/>
        <v>6490</v>
      </c>
      <c r="AR46" s="144">
        <f t="shared" si="36"/>
        <v>771</v>
      </c>
      <c r="AS46" s="144">
        <f t="shared" si="36"/>
        <v>1141</v>
      </c>
      <c r="AT46" s="144">
        <f t="shared" si="36"/>
        <v>1002</v>
      </c>
      <c r="AU46" s="144">
        <f t="shared" si="36"/>
        <v>1694</v>
      </c>
      <c r="AV46" s="144">
        <f t="shared" si="36"/>
        <v>1847</v>
      </c>
      <c r="AW46" s="144">
        <f t="shared" si="36"/>
        <v>963</v>
      </c>
      <c r="AX46" s="144">
        <f t="shared" si="36"/>
        <v>293</v>
      </c>
      <c r="AY46" s="144">
        <f t="shared" si="36"/>
        <v>332</v>
      </c>
      <c r="AZ46" s="144">
        <f t="shared" si="36"/>
        <v>539</v>
      </c>
      <c r="BA46" s="144">
        <f t="shared" si="36"/>
        <v>160</v>
      </c>
      <c r="BB46" s="144">
        <f t="shared" si="36"/>
        <v>6954</v>
      </c>
      <c r="BC46" s="144">
        <f t="shared" si="36"/>
        <v>8165</v>
      </c>
      <c r="BD46" s="144">
        <f t="shared" si="36"/>
        <v>381</v>
      </c>
      <c r="BE46" s="144">
        <f t="shared" si="36"/>
        <v>431</v>
      </c>
      <c r="BF46" s="144">
        <f t="shared" si="36"/>
        <v>778</v>
      </c>
      <c r="BG46" s="144">
        <f t="shared" si="36"/>
        <v>1361</v>
      </c>
      <c r="BH46" s="144">
        <f t="shared" si="36"/>
        <v>1342</v>
      </c>
      <c r="BI46" s="144">
        <f t="shared" si="36"/>
        <v>0</v>
      </c>
      <c r="BJ46" s="144">
        <f t="shared" si="36"/>
        <v>0</v>
      </c>
      <c r="BK46" s="144">
        <f t="shared" si="36"/>
        <v>0</v>
      </c>
      <c r="BL46" s="144">
        <f t="shared" si="36"/>
        <v>0</v>
      </c>
      <c r="BM46" s="144">
        <f t="shared" si="36"/>
        <v>0</v>
      </c>
      <c r="BN46" s="144">
        <f t="shared" si="36"/>
        <v>0</v>
      </c>
      <c r="BO46" s="144">
        <f t="shared" si="36"/>
        <v>0</v>
      </c>
      <c r="BP46" s="63">
        <f t="shared" si="34"/>
        <v>55141</v>
      </c>
      <c r="BQ46" s="64">
        <f t="shared" si="35"/>
        <v>0.3091573736</v>
      </c>
    </row>
    <row r="47">
      <c r="A47" s="60" t="s">
        <v>28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144">
        <v>2299.0</v>
      </c>
      <c r="AE47" s="144">
        <v>4203.0</v>
      </c>
      <c r="AF47" s="144">
        <v>769.0</v>
      </c>
      <c r="AG47" s="144">
        <v>2570.0</v>
      </c>
      <c r="AH47" s="144">
        <v>1312.0</v>
      </c>
      <c r="AI47" s="144">
        <v>122.0</v>
      </c>
      <c r="AJ47" s="144">
        <f t="shared" ref="AJ47:BO47" si="37">sum(AJ118,AJ160)</f>
        <v>515</v>
      </c>
      <c r="AK47" s="144">
        <f t="shared" si="37"/>
        <v>376</v>
      </c>
      <c r="AL47" s="144">
        <f t="shared" si="37"/>
        <v>413</v>
      </c>
      <c r="AM47" s="144">
        <f t="shared" si="37"/>
        <v>373</v>
      </c>
      <c r="AN47" s="144">
        <f t="shared" si="37"/>
        <v>159</v>
      </c>
      <c r="AO47" s="144">
        <f t="shared" si="37"/>
        <v>400</v>
      </c>
      <c r="AP47" s="144">
        <f t="shared" si="37"/>
        <v>3513</v>
      </c>
      <c r="AQ47" s="144">
        <f t="shared" si="37"/>
        <v>3532</v>
      </c>
      <c r="AR47" s="144">
        <f t="shared" si="37"/>
        <v>1211</v>
      </c>
      <c r="AS47" s="144">
        <f t="shared" si="37"/>
        <v>1321</v>
      </c>
      <c r="AT47" s="144">
        <f t="shared" si="37"/>
        <v>1639</v>
      </c>
      <c r="AU47" s="144">
        <f t="shared" si="37"/>
        <v>1669</v>
      </c>
      <c r="AV47" s="144">
        <f t="shared" si="37"/>
        <v>1217</v>
      </c>
      <c r="AW47" s="144">
        <f t="shared" si="37"/>
        <v>669</v>
      </c>
      <c r="AX47" s="144">
        <f t="shared" si="37"/>
        <v>489</v>
      </c>
      <c r="AY47" s="144">
        <f t="shared" si="37"/>
        <v>518</v>
      </c>
      <c r="AZ47" s="144">
        <f t="shared" si="37"/>
        <v>370</v>
      </c>
      <c r="BA47" s="144">
        <f t="shared" si="37"/>
        <v>119</v>
      </c>
      <c r="BB47" s="144">
        <f t="shared" si="37"/>
        <v>3505</v>
      </c>
      <c r="BC47" s="144">
        <f t="shared" si="37"/>
        <v>4041</v>
      </c>
      <c r="BD47" s="144">
        <f t="shared" si="37"/>
        <v>289</v>
      </c>
      <c r="BE47" s="144">
        <f t="shared" si="37"/>
        <v>210</v>
      </c>
      <c r="BF47" s="144">
        <f t="shared" si="37"/>
        <v>419</v>
      </c>
      <c r="BG47" s="144">
        <f t="shared" si="37"/>
        <v>482</v>
      </c>
      <c r="BH47" s="144">
        <f t="shared" si="37"/>
        <v>456</v>
      </c>
      <c r="BI47" s="144">
        <f t="shared" si="37"/>
        <v>0</v>
      </c>
      <c r="BJ47" s="144">
        <f t="shared" si="37"/>
        <v>0</v>
      </c>
      <c r="BK47" s="144">
        <f t="shared" si="37"/>
        <v>0</v>
      </c>
      <c r="BL47" s="144">
        <f t="shared" si="37"/>
        <v>0</v>
      </c>
      <c r="BM47" s="144">
        <f t="shared" si="37"/>
        <v>0</v>
      </c>
      <c r="BN47" s="144">
        <f t="shared" si="37"/>
        <v>0</v>
      </c>
      <c r="BO47" s="144">
        <f t="shared" si="37"/>
        <v>0</v>
      </c>
      <c r="BP47" s="63">
        <f t="shared" si="34"/>
        <v>39180</v>
      </c>
      <c r="BQ47" s="64">
        <f t="shared" si="35"/>
        <v>0.2196693186</v>
      </c>
    </row>
    <row r="48">
      <c r="A48" s="93" t="s">
        <v>18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5">
        <f t="shared" ref="AD48:BO48" si="38">SUM(AD44:AD47)</f>
        <v>12436</v>
      </c>
      <c r="AE48" s="95">
        <f t="shared" si="38"/>
        <v>22483</v>
      </c>
      <c r="AF48" s="95">
        <f t="shared" si="38"/>
        <v>2469</v>
      </c>
      <c r="AG48" s="95">
        <f t="shared" si="38"/>
        <v>6873</v>
      </c>
      <c r="AH48" s="95">
        <f t="shared" si="38"/>
        <v>3862</v>
      </c>
      <c r="AI48" s="95">
        <f t="shared" si="38"/>
        <v>387</v>
      </c>
      <c r="AJ48" s="95">
        <f t="shared" si="38"/>
        <v>2526</v>
      </c>
      <c r="AK48" s="95">
        <f t="shared" si="38"/>
        <v>1462</v>
      </c>
      <c r="AL48" s="95">
        <f t="shared" si="38"/>
        <v>1149</v>
      </c>
      <c r="AM48" s="95">
        <f t="shared" si="38"/>
        <v>994</v>
      </c>
      <c r="AN48" s="95">
        <f t="shared" si="38"/>
        <v>443</v>
      </c>
      <c r="AO48" s="95">
        <f t="shared" si="38"/>
        <v>1116</v>
      </c>
      <c r="AP48" s="95">
        <f t="shared" si="38"/>
        <v>19732</v>
      </c>
      <c r="AQ48" s="95">
        <f t="shared" si="38"/>
        <v>21407</v>
      </c>
      <c r="AR48" s="95">
        <f t="shared" si="38"/>
        <v>3592</v>
      </c>
      <c r="AS48" s="95">
        <f t="shared" si="38"/>
        <v>4265</v>
      </c>
      <c r="AT48" s="95">
        <f t="shared" si="38"/>
        <v>4679</v>
      </c>
      <c r="AU48" s="95">
        <f t="shared" si="38"/>
        <v>6065</v>
      </c>
      <c r="AV48" s="95">
        <f t="shared" si="38"/>
        <v>5552</v>
      </c>
      <c r="AW48" s="95">
        <f t="shared" si="38"/>
        <v>3066</v>
      </c>
      <c r="AX48" s="95">
        <f t="shared" si="38"/>
        <v>1418</v>
      </c>
      <c r="AY48" s="95">
        <f t="shared" si="38"/>
        <v>1477</v>
      </c>
      <c r="AZ48" s="95">
        <f t="shared" si="38"/>
        <v>1278</v>
      </c>
      <c r="BA48" s="95">
        <f t="shared" si="38"/>
        <v>405</v>
      </c>
      <c r="BB48" s="95">
        <f t="shared" si="38"/>
        <v>18416</v>
      </c>
      <c r="BC48" s="95">
        <f t="shared" si="38"/>
        <v>21659</v>
      </c>
      <c r="BD48" s="95">
        <f t="shared" si="38"/>
        <v>1001</v>
      </c>
      <c r="BE48" s="95">
        <f t="shared" si="38"/>
        <v>883</v>
      </c>
      <c r="BF48" s="95">
        <f t="shared" si="38"/>
        <v>1745</v>
      </c>
      <c r="BG48" s="95">
        <f t="shared" si="38"/>
        <v>2839</v>
      </c>
      <c r="BH48" s="95">
        <f t="shared" si="38"/>
        <v>2680</v>
      </c>
      <c r="BI48" s="95">
        <f t="shared" si="38"/>
        <v>0</v>
      </c>
      <c r="BJ48" s="95">
        <f t="shared" si="38"/>
        <v>0</v>
      </c>
      <c r="BK48" s="95">
        <f t="shared" si="38"/>
        <v>0</v>
      </c>
      <c r="BL48" s="95">
        <f t="shared" si="38"/>
        <v>0</v>
      </c>
      <c r="BM48" s="95">
        <f t="shared" si="38"/>
        <v>0</v>
      </c>
      <c r="BN48" s="95">
        <f t="shared" si="38"/>
        <v>0</v>
      </c>
      <c r="BO48" s="95">
        <f t="shared" si="38"/>
        <v>0</v>
      </c>
      <c r="BP48" s="96">
        <f t="shared" si="34"/>
        <v>178359</v>
      </c>
      <c r="BQ48" s="97">
        <f>SUM(BQ44:BQ47)</f>
        <v>1</v>
      </c>
    </row>
    <row r="49">
      <c r="A49" s="72" t="s">
        <v>29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81"/>
      <c r="BQ49" s="82"/>
    </row>
    <row r="50">
      <c r="A50" s="78" t="s">
        <v>25</v>
      </c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79">
        <f t="shared" ref="AD50:BO50" si="39">iferror(AD44/AD$48,"")</f>
        <v>0.04671920232</v>
      </c>
      <c r="AE50" s="79">
        <f t="shared" si="39"/>
        <v>0.04599030379</v>
      </c>
      <c r="AF50" s="79">
        <f t="shared" si="39"/>
        <v>0.2871607938</v>
      </c>
      <c r="AG50" s="79">
        <f t="shared" si="39"/>
        <v>0.3192201368</v>
      </c>
      <c r="AH50" s="79">
        <f t="shared" si="39"/>
        <v>0.2866390471</v>
      </c>
      <c r="AI50" s="79">
        <f t="shared" si="39"/>
        <v>0.2454780362</v>
      </c>
      <c r="AJ50" s="79">
        <f t="shared" si="39"/>
        <v>0.170229612</v>
      </c>
      <c r="AK50" s="79">
        <f t="shared" si="39"/>
        <v>0.1703146375</v>
      </c>
      <c r="AL50" s="79">
        <f t="shared" si="39"/>
        <v>0.2811140122</v>
      </c>
      <c r="AM50" s="79">
        <f t="shared" si="39"/>
        <v>0.2575452716</v>
      </c>
      <c r="AN50" s="79">
        <f t="shared" si="39"/>
        <v>0.2708803612</v>
      </c>
      <c r="AO50" s="79">
        <f t="shared" si="39"/>
        <v>0.267921147</v>
      </c>
      <c r="AP50" s="79">
        <f t="shared" si="39"/>
        <v>0.05518953983</v>
      </c>
      <c r="AQ50" s="79">
        <f t="shared" si="39"/>
        <v>0.05727098613</v>
      </c>
      <c r="AR50" s="79">
        <f t="shared" si="39"/>
        <v>0.291481069</v>
      </c>
      <c r="AS50" s="79">
        <f t="shared" si="39"/>
        <v>0.2656506448</v>
      </c>
      <c r="AT50" s="79">
        <f t="shared" si="39"/>
        <v>0.3034836504</v>
      </c>
      <c r="AU50" s="79">
        <f t="shared" si="39"/>
        <v>0.2263808739</v>
      </c>
      <c r="AV50" s="79">
        <f t="shared" si="39"/>
        <v>0.1822766571</v>
      </c>
      <c r="AW50" s="79">
        <f t="shared" si="39"/>
        <v>0.1803652968</v>
      </c>
      <c r="AX50" s="79">
        <f t="shared" si="39"/>
        <v>0.2905500705</v>
      </c>
      <c r="AY50" s="79">
        <f t="shared" si="39"/>
        <v>0.2579553148</v>
      </c>
      <c r="AZ50" s="79">
        <f t="shared" si="39"/>
        <v>0.07511737089</v>
      </c>
      <c r="BA50" s="79">
        <f t="shared" si="39"/>
        <v>0.02716049383</v>
      </c>
      <c r="BB50" s="79">
        <f t="shared" si="39"/>
        <v>0.01248913988</v>
      </c>
      <c r="BC50" s="79">
        <f t="shared" si="39"/>
        <v>0.01606722379</v>
      </c>
      <c r="BD50" s="79">
        <f t="shared" si="39"/>
        <v>0.03696303696</v>
      </c>
      <c r="BE50" s="79">
        <f t="shared" si="39"/>
        <v>0.03284258211</v>
      </c>
      <c r="BF50" s="79">
        <f t="shared" si="39"/>
        <v>0.0446991404</v>
      </c>
      <c r="BG50" s="79">
        <f t="shared" si="39"/>
        <v>0.02500880592</v>
      </c>
      <c r="BH50" s="79">
        <f t="shared" si="39"/>
        <v>0.0276119403</v>
      </c>
      <c r="BI50" s="79" t="str">
        <f t="shared" si="39"/>
        <v/>
      </c>
      <c r="BJ50" s="79" t="str">
        <f t="shared" si="39"/>
        <v/>
      </c>
      <c r="BK50" s="79" t="str">
        <f t="shared" si="39"/>
        <v/>
      </c>
      <c r="BL50" s="79" t="str">
        <f t="shared" si="39"/>
        <v/>
      </c>
      <c r="BM50" s="79" t="str">
        <f t="shared" si="39"/>
        <v/>
      </c>
      <c r="BN50" s="79" t="str">
        <f t="shared" si="39"/>
        <v/>
      </c>
      <c r="BO50" s="79" t="str">
        <f t="shared" si="39"/>
        <v/>
      </c>
      <c r="BP50" s="81"/>
      <c r="BQ50" s="82"/>
    </row>
    <row r="51">
      <c r="A51" s="78" t="s">
        <v>26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79">
        <f t="shared" ref="AD51:BO51" si="40">iferror(AD45/AD$48,"")</f>
        <v>0.5139112255</v>
      </c>
      <c r="AE51" s="79">
        <f t="shared" si="40"/>
        <v>0.4690655162</v>
      </c>
      <c r="AF51" s="79">
        <f t="shared" si="40"/>
        <v>0.1960307817</v>
      </c>
      <c r="AG51" s="79">
        <f t="shared" si="40"/>
        <v>0.1331296377</v>
      </c>
      <c r="AH51" s="79">
        <f t="shared" si="40"/>
        <v>0.1703780425</v>
      </c>
      <c r="AI51" s="79">
        <f t="shared" si="40"/>
        <v>0.2273901809</v>
      </c>
      <c r="AJ51" s="79">
        <f t="shared" si="40"/>
        <v>0.3836104513</v>
      </c>
      <c r="AK51" s="79">
        <f t="shared" si="40"/>
        <v>0.3262653899</v>
      </c>
      <c r="AL51" s="79">
        <f t="shared" si="40"/>
        <v>0.1740644038</v>
      </c>
      <c r="AM51" s="79">
        <f t="shared" si="40"/>
        <v>0.1820925553</v>
      </c>
      <c r="AN51" s="79">
        <f t="shared" si="40"/>
        <v>0.1760722348</v>
      </c>
      <c r="AO51" s="79">
        <f t="shared" si="40"/>
        <v>0.1559139785</v>
      </c>
      <c r="AP51" s="79">
        <f t="shared" si="40"/>
        <v>0.4441516319</v>
      </c>
      <c r="AQ51" s="79">
        <f t="shared" si="40"/>
        <v>0.4745643948</v>
      </c>
      <c r="AR51" s="79">
        <f t="shared" si="40"/>
        <v>0.1567371938</v>
      </c>
      <c r="AS51" s="79">
        <f t="shared" si="40"/>
        <v>0.1570926143</v>
      </c>
      <c r="AT51" s="79">
        <f t="shared" si="40"/>
        <v>0.1320795042</v>
      </c>
      <c r="AU51" s="79">
        <f t="shared" si="40"/>
        <v>0.2191261336</v>
      </c>
      <c r="AV51" s="79">
        <f t="shared" si="40"/>
        <v>0.2658501441</v>
      </c>
      <c r="AW51" s="79">
        <f t="shared" si="40"/>
        <v>0.287345075</v>
      </c>
      <c r="AX51" s="79">
        <f t="shared" si="40"/>
        <v>0.1579689704</v>
      </c>
      <c r="AY51" s="79">
        <f t="shared" si="40"/>
        <v>0.1665538253</v>
      </c>
      <c r="AZ51" s="79">
        <f t="shared" si="40"/>
        <v>0.2136150235</v>
      </c>
      <c r="BA51" s="79">
        <f t="shared" si="40"/>
        <v>0.2839506173</v>
      </c>
      <c r="BB51" s="79">
        <f t="shared" si="40"/>
        <v>0.4195807993</v>
      </c>
      <c r="BC51" s="79">
        <f t="shared" si="40"/>
        <v>0.4203795189</v>
      </c>
      <c r="BD51" s="79">
        <f t="shared" si="40"/>
        <v>0.2937062937</v>
      </c>
      <c r="BE51" s="79">
        <f t="shared" si="40"/>
        <v>0.2412231031</v>
      </c>
      <c r="BF51" s="79">
        <f t="shared" si="40"/>
        <v>0.2693409742</v>
      </c>
      <c r="BG51" s="79">
        <f t="shared" si="40"/>
        <v>0.3258189503</v>
      </c>
      <c r="BH51" s="79">
        <f t="shared" si="40"/>
        <v>0.3014925373</v>
      </c>
      <c r="BI51" s="79" t="str">
        <f t="shared" si="40"/>
        <v/>
      </c>
      <c r="BJ51" s="79" t="str">
        <f t="shared" si="40"/>
        <v/>
      </c>
      <c r="BK51" s="79" t="str">
        <f t="shared" si="40"/>
        <v/>
      </c>
      <c r="BL51" s="79" t="str">
        <f t="shared" si="40"/>
        <v/>
      </c>
      <c r="BM51" s="79" t="str">
        <f t="shared" si="40"/>
        <v/>
      </c>
      <c r="BN51" s="79" t="str">
        <f t="shared" si="40"/>
        <v/>
      </c>
      <c r="BO51" s="79" t="str">
        <f t="shared" si="40"/>
        <v/>
      </c>
      <c r="BP51" s="81"/>
      <c r="BQ51" s="82"/>
    </row>
    <row r="52">
      <c r="A52" s="78" t="s">
        <v>27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79">
        <f t="shared" ref="AD52:BO52" si="41">iferror(AD46/AD$48,"")</f>
        <v>0.2545030556</v>
      </c>
      <c r="AE52" s="79">
        <f t="shared" si="41"/>
        <v>0.2980029356</v>
      </c>
      <c r="AF52" s="79">
        <f t="shared" si="41"/>
        <v>0.205346294</v>
      </c>
      <c r="AG52" s="79">
        <f t="shared" si="41"/>
        <v>0.1737232649</v>
      </c>
      <c r="AH52" s="79">
        <f t="shared" si="41"/>
        <v>0.2032625583</v>
      </c>
      <c r="AI52" s="79">
        <f t="shared" si="41"/>
        <v>0.2118863049</v>
      </c>
      <c r="AJ52" s="79">
        <f t="shared" si="41"/>
        <v>0.242280285</v>
      </c>
      <c r="AK52" s="79">
        <f t="shared" si="41"/>
        <v>0.2462380301</v>
      </c>
      <c r="AL52" s="79">
        <f t="shared" si="41"/>
        <v>0.1853785901</v>
      </c>
      <c r="AM52" s="79">
        <f t="shared" si="41"/>
        <v>0.185110664</v>
      </c>
      <c r="AN52" s="79">
        <f t="shared" si="41"/>
        <v>0.1941309255</v>
      </c>
      <c r="AO52" s="79">
        <f t="shared" si="41"/>
        <v>0.2177419355</v>
      </c>
      <c r="AP52" s="79">
        <f t="shared" si="41"/>
        <v>0.3226231502</v>
      </c>
      <c r="AQ52" s="79">
        <f t="shared" si="41"/>
        <v>0.3031718597</v>
      </c>
      <c r="AR52" s="79">
        <f t="shared" si="41"/>
        <v>0.2146436526</v>
      </c>
      <c r="AS52" s="79">
        <f t="shared" si="41"/>
        <v>0.2675263775</v>
      </c>
      <c r="AT52" s="79">
        <f t="shared" si="41"/>
        <v>0.2141483223</v>
      </c>
      <c r="AU52" s="79">
        <f t="shared" si="41"/>
        <v>0.2793075021</v>
      </c>
      <c r="AV52" s="79">
        <f t="shared" si="41"/>
        <v>0.3326729107</v>
      </c>
      <c r="AW52" s="79">
        <f t="shared" si="41"/>
        <v>0.3140900196</v>
      </c>
      <c r="AX52" s="79">
        <f t="shared" si="41"/>
        <v>0.206629055</v>
      </c>
      <c r="AY52" s="79">
        <f t="shared" si="41"/>
        <v>0.2247799594</v>
      </c>
      <c r="AZ52" s="79">
        <f t="shared" si="41"/>
        <v>0.4217527387</v>
      </c>
      <c r="BA52" s="79">
        <f t="shared" si="41"/>
        <v>0.3950617284</v>
      </c>
      <c r="BB52" s="79">
        <f t="shared" si="41"/>
        <v>0.3776064292</v>
      </c>
      <c r="BC52" s="79">
        <f t="shared" si="41"/>
        <v>0.3769795466</v>
      </c>
      <c r="BD52" s="79">
        <f t="shared" si="41"/>
        <v>0.3806193806</v>
      </c>
      <c r="BE52" s="79">
        <f t="shared" si="41"/>
        <v>0.4881087203</v>
      </c>
      <c r="BF52" s="79">
        <f t="shared" si="41"/>
        <v>0.4458452722</v>
      </c>
      <c r="BG52" s="79">
        <f t="shared" si="41"/>
        <v>0.4793941529</v>
      </c>
      <c r="BH52" s="79">
        <f t="shared" si="41"/>
        <v>0.5007462687</v>
      </c>
      <c r="BI52" s="79" t="str">
        <f t="shared" si="41"/>
        <v/>
      </c>
      <c r="BJ52" s="79" t="str">
        <f t="shared" si="41"/>
        <v/>
      </c>
      <c r="BK52" s="79" t="str">
        <f t="shared" si="41"/>
        <v/>
      </c>
      <c r="BL52" s="79" t="str">
        <f t="shared" si="41"/>
        <v/>
      </c>
      <c r="BM52" s="79" t="str">
        <f t="shared" si="41"/>
        <v/>
      </c>
      <c r="BN52" s="79" t="str">
        <f t="shared" si="41"/>
        <v/>
      </c>
      <c r="BO52" s="79" t="str">
        <f t="shared" si="41"/>
        <v/>
      </c>
      <c r="BP52" s="81"/>
      <c r="BQ52" s="82"/>
    </row>
    <row r="53">
      <c r="A53" s="78" t="s">
        <v>28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79">
        <f t="shared" ref="AD53:BO53" si="42">iferror(AD47/AD$48,"")</f>
        <v>0.1848665166</v>
      </c>
      <c r="AE53" s="79">
        <f t="shared" si="42"/>
        <v>0.1869412445</v>
      </c>
      <c r="AF53" s="79">
        <f t="shared" si="42"/>
        <v>0.3114621304</v>
      </c>
      <c r="AG53" s="79">
        <f t="shared" si="42"/>
        <v>0.3739269606</v>
      </c>
      <c r="AH53" s="79">
        <f t="shared" si="42"/>
        <v>0.3397203521</v>
      </c>
      <c r="AI53" s="79">
        <f t="shared" si="42"/>
        <v>0.315245478</v>
      </c>
      <c r="AJ53" s="79">
        <f t="shared" si="42"/>
        <v>0.2038796516</v>
      </c>
      <c r="AK53" s="79">
        <f t="shared" si="42"/>
        <v>0.2571819425</v>
      </c>
      <c r="AL53" s="79">
        <f t="shared" si="42"/>
        <v>0.3594429939</v>
      </c>
      <c r="AM53" s="79">
        <f t="shared" si="42"/>
        <v>0.3752515091</v>
      </c>
      <c r="AN53" s="79">
        <f t="shared" si="42"/>
        <v>0.3589164786</v>
      </c>
      <c r="AO53" s="79">
        <f t="shared" si="42"/>
        <v>0.3584229391</v>
      </c>
      <c r="AP53" s="79">
        <f t="shared" si="42"/>
        <v>0.1780356781</v>
      </c>
      <c r="AQ53" s="79">
        <f t="shared" si="42"/>
        <v>0.1649927594</v>
      </c>
      <c r="AR53" s="79">
        <f t="shared" si="42"/>
        <v>0.3371380846</v>
      </c>
      <c r="AS53" s="79">
        <f t="shared" si="42"/>
        <v>0.3097303634</v>
      </c>
      <c r="AT53" s="79">
        <f t="shared" si="42"/>
        <v>0.3502885232</v>
      </c>
      <c r="AU53" s="79">
        <f t="shared" si="42"/>
        <v>0.2751854905</v>
      </c>
      <c r="AV53" s="79">
        <f t="shared" si="42"/>
        <v>0.2192002882</v>
      </c>
      <c r="AW53" s="79">
        <f t="shared" si="42"/>
        <v>0.2181996086</v>
      </c>
      <c r="AX53" s="79">
        <f t="shared" si="42"/>
        <v>0.3448519041</v>
      </c>
      <c r="AY53" s="79">
        <f t="shared" si="42"/>
        <v>0.3507109005</v>
      </c>
      <c r="AZ53" s="79">
        <f t="shared" si="42"/>
        <v>0.289514867</v>
      </c>
      <c r="BA53" s="79">
        <f t="shared" si="42"/>
        <v>0.2938271605</v>
      </c>
      <c r="BB53" s="79">
        <f t="shared" si="42"/>
        <v>0.1903236316</v>
      </c>
      <c r="BC53" s="79">
        <f t="shared" si="42"/>
        <v>0.1865737107</v>
      </c>
      <c r="BD53" s="79">
        <f t="shared" si="42"/>
        <v>0.2887112887</v>
      </c>
      <c r="BE53" s="79">
        <f t="shared" si="42"/>
        <v>0.2378255946</v>
      </c>
      <c r="BF53" s="79">
        <f t="shared" si="42"/>
        <v>0.2401146132</v>
      </c>
      <c r="BG53" s="79">
        <f t="shared" si="42"/>
        <v>0.1697780909</v>
      </c>
      <c r="BH53" s="79">
        <f t="shared" si="42"/>
        <v>0.1701492537</v>
      </c>
      <c r="BI53" s="79" t="str">
        <f t="shared" si="42"/>
        <v/>
      </c>
      <c r="BJ53" s="79" t="str">
        <f t="shared" si="42"/>
        <v/>
      </c>
      <c r="BK53" s="79" t="str">
        <f t="shared" si="42"/>
        <v/>
      </c>
      <c r="BL53" s="79" t="str">
        <f t="shared" si="42"/>
        <v/>
      </c>
      <c r="BM53" s="79" t="str">
        <f t="shared" si="42"/>
        <v/>
      </c>
      <c r="BN53" s="79" t="str">
        <f t="shared" si="42"/>
        <v/>
      </c>
      <c r="BO53" s="79" t="str">
        <f t="shared" si="42"/>
        <v/>
      </c>
      <c r="BP53" s="81"/>
      <c r="BQ53" s="82"/>
    </row>
    <row r="56">
      <c r="A56" s="85" t="s">
        <v>30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1"/>
      <c r="BQ56" s="82"/>
    </row>
    <row r="57">
      <c r="A57" s="102" t="s">
        <v>31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46">
        <v>876.0</v>
      </c>
      <c r="AL57" s="146">
        <v>898.0</v>
      </c>
      <c r="AM57" s="146">
        <v>749.0</v>
      </c>
      <c r="AN57" s="146">
        <v>325.0</v>
      </c>
      <c r="AO57" s="146">
        <v>890.0</v>
      </c>
      <c r="AP57" s="147">
        <v>10511.0</v>
      </c>
      <c r="AQ57" s="147">
        <v>11395.0</v>
      </c>
      <c r="AR57" s="147">
        <v>2911.0</v>
      </c>
      <c r="AS57" s="147">
        <v>3446.0</v>
      </c>
      <c r="AT57" s="147">
        <v>3950.0</v>
      </c>
      <c r="AU57" s="147">
        <v>4704.0</v>
      </c>
      <c r="AV57" s="147">
        <f>IFERROR(__xludf.DUMMYFUNCTION("IMPORTRANGE(""1FsAayhXBhwQWWhxaeEf32srJkqMhPcXdSHpT-eTbsHA"",""PP - Data!AG3:AG4"")"),4155.0)</f>
        <v>4155</v>
      </c>
      <c r="AW57" s="147">
        <v>2186.0</v>
      </c>
      <c r="AX57" s="147">
        <v>1111.0</v>
      </c>
      <c r="AY57" s="147">
        <v>1123.0</v>
      </c>
      <c r="AZ57" s="147">
        <v>3039.0</v>
      </c>
      <c r="BA57" s="146">
        <v>498.0</v>
      </c>
      <c r="BB57" s="147">
        <v>11479.0</v>
      </c>
      <c r="BC57" s="147">
        <v>13547.0</v>
      </c>
      <c r="BD57" s="147">
        <v>1909.0</v>
      </c>
      <c r="BE57" s="147">
        <v>1557.0</v>
      </c>
      <c r="BF57" s="147">
        <v>3491.0</v>
      </c>
      <c r="BG57" s="147">
        <v>3953.0</v>
      </c>
      <c r="BH57" s="147">
        <f>IFERROR(__xludf.DUMMYFUNCTION("IMPORTRANGE(""1Z2ZLDM0_m0NNnV5_jRvcRNtM9Z5AZ7o_A94RnrBGQUE"",""PP - Data!AG3:AG4"")"),4198.0)</f>
        <v>4198</v>
      </c>
      <c r="BI57" s="146"/>
      <c r="BJ57" s="146"/>
      <c r="BK57" s="146"/>
      <c r="BL57" s="146"/>
      <c r="BM57" s="146"/>
      <c r="BN57" s="146"/>
      <c r="BO57" s="146"/>
      <c r="BP57" s="106">
        <f t="shared" ref="BP57:BP59" si="43">SUM(B57:BO57)</f>
        <v>92901</v>
      </c>
      <c r="BQ57" s="64">
        <f t="shared" ref="BQ57:BQ58" si="44">iferror(BP57/BP$59,"")</f>
        <v>0.6489403317</v>
      </c>
    </row>
    <row r="58">
      <c r="A58" s="107" t="s">
        <v>32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46">
        <v>468.0</v>
      </c>
      <c r="AL58" s="146">
        <v>251.0</v>
      </c>
      <c r="AM58" s="146">
        <v>245.0</v>
      </c>
      <c r="AN58" s="146">
        <v>118.0</v>
      </c>
      <c r="AO58" s="146">
        <v>226.0</v>
      </c>
      <c r="AP58" s="147">
        <v>9221.0</v>
      </c>
      <c r="AQ58" s="147">
        <v>10012.0</v>
      </c>
      <c r="AR58" s="146">
        <v>681.0</v>
      </c>
      <c r="AS58" s="146">
        <v>819.0</v>
      </c>
      <c r="AT58" s="146">
        <v>729.0</v>
      </c>
      <c r="AU58" s="147">
        <v>1361.0</v>
      </c>
      <c r="AV58" s="147">
        <f>IFERROR(__xludf.DUMMYFUNCTION("""COMPUTED_VALUE"""),1397.0)</f>
        <v>1397</v>
      </c>
      <c r="AW58" s="146">
        <v>880.0</v>
      </c>
      <c r="AX58" s="146">
        <v>307.0</v>
      </c>
      <c r="AY58" s="146">
        <v>354.0</v>
      </c>
      <c r="AZ58" s="146">
        <v>380.0</v>
      </c>
      <c r="BA58" s="146">
        <v>174.0</v>
      </c>
      <c r="BB58" s="147">
        <v>8979.0</v>
      </c>
      <c r="BC58" s="147">
        <v>10235.0</v>
      </c>
      <c r="BD58" s="146">
        <v>451.0</v>
      </c>
      <c r="BE58" s="146">
        <v>306.0</v>
      </c>
      <c r="BF58" s="146">
        <v>670.0</v>
      </c>
      <c r="BG58" s="147">
        <v>1059.0</v>
      </c>
      <c r="BH58" s="147">
        <f>IFERROR(__xludf.DUMMYFUNCTION("""COMPUTED_VALUE"""),934.0)</f>
        <v>934</v>
      </c>
      <c r="BI58" s="146"/>
      <c r="BJ58" s="146"/>
      <c r="BK58" s="146"/>
      <c r="BL58" s="146"/>
      <c r="BM58" s="146"/>
      <c r="BN58" s="146"/>
      <c r="BO58" s="146"/>
      <c r="BP58" s="106">
        <f t="shared" si="43"/>
        <v>50257</v>
      </c>
      <c r="BQ58" s="64">
        <f t="shared" si="44"/>
        <v>0.3510596683</v>
      </c>
    </row>
    <row r="59">
      <c r="A59" s="108" t="s">
        <v>18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>
        <f t="shared" ref="AK59:BO59" si="45">SUM(AK57:AK58)</f>
        <v>1344</v>
      </c>
      <c r="AL59" s="109">
        <f t="shared" si="45"/>
        <v>1149</v>
      </c>
      <c r="AM59" s="109">
        <f t="shared" si="45"/>
        <v>994</v>
      </c>
      <c r="AN59" s="109">
        <f t="shared" si="45"/>
        <v>443</v>
      </c>
      <c r="AO59" s="109">
        <f t="shared" si="45"/>
        <v>1116</v>
      </c>
      <c r="AP59" s="109">
        <f t="shared" si="45"/>
        <v>19732</v>
      </c>
      <c r="AQ59" s="109">
        <f t="shared" si="45"/>
        <v>21407</v>
      </c>
      <c r="AR59" s="109">
        <f t="shared" si="45"/>
        <v>3592</v>
      </c>
      <c r="AS59" s="109">
        <f t="shared" si="45"/>
        <v>4265</v>
      </c>
      <c r="AT59" s="109">
        <f t="shared" si="45"/>
        <v>4679</v>
      </c>
      <c r="AU59" s="109">
        <f t="shared" si="45"/>
        <v>6065</v>
      </c>
      <c r="AV59" s="109">
        <f t="shared" si="45"/>
        <v>5552</v>
      </c>
      <c r="AW59" s="109">
        <f t="shared" si="45"/>
        <v>3066</v>
      </c>
      <c r="AX59" s="109">
        <f t="shared" si="45"/>
        <v>1418</v>
      </c>
      <c r="AY59" s="109">
        <f t="shared" si="45"/>
        <v>1477</v>
      </c>
      <c r="AZ59" s="109">
        <f t="shared" si="45"/>
        <v>3419</v>
      </c>
      <c r="BA59" s="109">
        <f t="shared" si="45"/>
        <v>672</v>
      </c>
      <c r="BB59" s="109">
        <f t="shared" si="45"/>
        <v>20458</v>
      </c>
      <c r="BC59" s="109">
        <f t="shared" si="45"/>
        <v>23782</v>
      </c>
      <c r="BD59" s="109">
        <f t="shared" si="45"/>
        <v>2360</v>
      </c>
      <c r="BE59" s="109">
        <f t="shared" si="45"/>
        <v>1863</v>
      </c>
      <c r="BF59" s="109">
        <f t="shared" si="45"/>
        <v>4161</v>
      </c>
      <c r="BG59" s="109">
        <f t="shared" si="45"/>
        <v>5012</v>
      </c>
      <c r="BH59" s="109">
        <f t="shared" si="45"/>
        <v>5132</v>
      </c>
      <c r="BI59" s="109">
        <f t="shared" si="45"/>
        <v>0</v>
      </c>
      <c r="BJ59" s="109">
        <f t="shared" si="45"/>
        <v>0</v>
      </c>
      <c r="BK59" s="109">
        <f t="shared" si="45"/>
        <v>0</v>
      </c>
      <c r="BL59" s="109">
        <f t="shared" si="45"/>
        <v>0</v>
      </c>
      <c r="BM59" s="109">
        <f t="shared" si="45"/>
        <v>0</v>
      </c>
      <c r="BN59" s="109">
        <f t="shared" si="45"/>
        <v>0</v>
      </c>
      <c r="BO59" s="109">
        <f t="shared" si="45"/>
        <v>0</v>
      </c>
      <c r="BP59" s="110">
        <f t="shared" si="43"/>
        <v>143158</v>
      </c>
      <c r="BQ59" s="111">
        <f>SUM(BQ57:BQ58)</f>
        <v>1</v>
      </c>
    </row>
    <row r="60">
      <c r="A60" s="72" t="s">
        <v>33</v>
      </c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76"/>
      <c r="BQ60" s="77"/>
    </row>
    <row r="61">
      <c r="A61" s="78" t="s">
        <v>31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79">
        <f t="shared" ref="AK61:BO61" si="46">iferror(AK57/AK$59,"")</f>
        <v>0.6517857143</v>
      </c>
      <c r="AL61" s="79">
        <f t="shared" si="46"/>
        <v>0.7815491732</v>
      </c>
      <c r="AM61" s="79">
        <f t="shared" si="46"/>
        <v>0.7535211268</v>
      </c>
      <c r="AN61" s="79">
        <f t="shared" si="46"/>
        <v>0.7336343115</v>
      </c>
      <c r="AO61" s="79">
        <f t="shared" si="46"/>
        <v>0.7974910394</v>
      </c>
      <c r="AP61" s="79">
        <f t="shared" si="46"/>
        <v>0.5326880195</v>
      </c>
      <c r="AQ61" s="79">
        <f t="shared" si="46"/>
        <v>0.5323025179</v>
      </c>
      <c r="AR61" s="79">
        <f t="shared" si="46"/>
        <v>0.8104120267</v>
      </c>
      <c r="AS61" s="79">
        <f t="shared" si="46"/>
        <v>0.807971864</v>
      </c>
      <c r="AT61" s="79">
        <f t="shared" si="46"/>
        <v>0.8441974781</v>
      </c>
      <c r="AU61" s="79">
        <f t="shared" si="46"/>
        <v>0.7755976917</v>
      </c>
      <c r="AV61" s="79">
        <f t="shared" si="46"/>
        <v>0.7483789625</v>
      </c>
      <c r="AW61" s="79">
        <f t="shared" si="46"/>
        <v>0.7129810828</v>
      </c>
      <c r="AX61" s="79">
        <f t="shared" si="46"/>
        <v>0.7834978843</v>
      </c>
      <c r="AY61" s="79">
        <f t="shared" si="46"/>
        <v>0.7603249831</v>
      </c>
      <c r="AZ61" s="79">
        <f t="shared" si="46"/>
        <v>0.8888563908</v>
      </c>
      <c r="BA61" s="79">
        <f t="shared" si="46"/>
        <v>0.7410714286</v>
      </c>
      <c r="BB61" s="79">
        <f t="shared" si="46"/>
        <v>0.5611007919</v>
      </c>
      <c r="BC61" s="79">
        <f t="shared" si="46"/>
        <v>0.5696324952</v>
      </c>
      <c r="BD61" s="79">
        <f t="shared" si="46"/>
        <v>0.8088983051</v>
      </c>
      <c r="BE61" s="79">
        <f t="shared" si="46"/>
        <v>0.8357487923</v>
      </c>
      <c r="BF61" s="79">
        <f t="shared" si="46"/>
        <v>0.8389810142</v>
      </c>
      <c r="BG61" s="79">
        <f t="shared" si="46"/>
        <v>0.788707103</v>
      </c>
      <c r="BH61" s="79">
        <f t="shared" si="46"/>
        <v>0.8180046765</v>
      </c>
      <c r="BI61" s="79" t="str">
        <f t="shared" si="46"/>
        <v/>
      </c>
      <c r="BJ61" s="79" t="str">
        <f t="shared" si="46"/>
        <v/>
      </c>
      <c r="BK61" s="79" t="str">
        <f t="shared" si="46"/>
        <v/>
      </c>
      <c r="BL61" s="79" t="str">
        <f t="shared" si="46"/>
        <v/>
      </c>
      <c r="BM61" s="79" t="str">
        <f t="shared" si="46"/>
        <v/>
      </c>
      <c r="BN61" s="79" t="str">
        <f t="shared" si="46"/>
        <v/>
      </c>
      <c r="BO61" s="79" t="str">
        <f t="shared" si="46"/>
        <v/>
      </c>
      <c r="BP61" s="81"/>
      <c r="BQ61" s="82"/>
    </row>
    <row r="62">
      <c r="A62" s="78" t="s">
        <v>32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79">
        <f t="shared" ref="AK62:BO62" si="47">iferror(AK58/AK$59,"")</f>
        <v>0.3482142857</v>
      </c>
      <c r="AL62" s="79">
        <f t="shared" si="47"/>
        <v>0.2184508268</v>
      </c>
      <c r="AM62" s="79">
        <f t="shared" si="47"/>
        <v>0.2464788732</v>
      </c>
      <c r="AN62" s="79">
        <f t="shared" si="47"/>
        <v>0.2663656885</v>
      </c>
      <c r="AO62" s="79">
        <f t="shared" si="47"/>
        <v>0.2025089606</v>
      </c>
      <c r="AP62" s="79">
        <f t="shared" si="47"/>
        <v>0.4673119805</v>
      </c>
      <c r="AQ62" s="79">
        <f t="shared" si="47"/>
        <v>0.4676974821</v>
      </c>
      <c r="AR62" s="79">
        <f t="shared" si="47"/>
        <v>0.1895879733</v>
      </c>
      <c r="AS62" s="79">
        <f t="shared" si="47"/>
        <v>0.192028136</v>
      </c>
      <c r="AT62" s="79">
        <f t="shared" si="47"/>
        <v>0.1558025219</v>
      </c>
      <c r="AU62" s="79">
        <f t="shared" si="47"/>
        <v>0.2244023083</v>
      </c>
      <c r="AV62" s="79">
        <f t="shared" si="47"/>
        <v>0.2516210375</v>
      </c>
      <c r="AW62" s="79">
        <f t="shared" si="47"/>
        <v>0.2870189172</v>
      </c>
      <c r="AX62" s="79">
        <f t="shared" si="47"/>
        <v>0.2165021157</v>
      </c>
      <c r="AY62" s="79">
        <f t="shared" si="47"/>
        <v>0.2396750169</v>
      </c>
      <c r="AZ62" s="79">
        <f t="shared" si="47"/>
        <v>0.1111436092</v>
      </c>
      <c r="BA62" s="79">
        <f t="shared" si="47"/>
        <v>0.2589285714</v>
      </c>
      <c r="BB62" s="79">
        <f t="shared" si="47"/>
        <v>0.4388992081</v>
      </c>
      <c r="BC62" s="79">
        <f t="shared" si="47"/>
        <v>0.4303675048</v>
      </c>
      <c r="BD62" s="79">
        <f t="shared" si="47"/>
        <v>0.1911016949</v>
      </c>
      <c r="BE62" s="79">
        <f t="shared" si="47"/>
        <v>0.1642512077</v>
      </c>
      <c r="BF62" s="79">
        <f t="shared" si="47"/>
        <v>0.1610189858</v>
      </c>
      <c r="BG62" s="79">
        <f t="shared" si="47"/>
        <v>0.211292897</v>
      </c>
      <c r="BH62" s="79">
        <f t="shared" si="47"/>
        <v>0.1819953235</v>
      </c>
      <c r="BI62" s="79" t="str">
        <f t="shared" si="47"/>
        <v/>
      </c>
      <c r="BJ62" s="79" t="str">
        <f t="shared" si="47"/>
        <v/>
      </c>
      <c r="BK62" s="79" t="str">
        <f t="shared" si="47"/>
        <v/>
      </c>
      <c r="BL62" s="79" t="str">
        <f t="shared" si="47"/>
        <v/>
      </c>
      <c r="BM62" s="79" t="str">
        <f t="shared" si="47"/>
        <v/>
      </c>
      <c r="BN62" s="79" t="str">
        <f t="shared" si="47"/>
        <v/>
      </c>
      <c r="BO62" s="79" t="str">
        <f t="shared" si="47"/>
        <v/>
      </c>
      <c r="BP62" s="83"/>
      <c r="BQ62" s="82"/>
    </row>
    <row r="63">
      <c r="A63" s="112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81"/>
      <c r="BQ63" s="82"/>
    </row>
    <row r="64">
      <c r="A64" s="85" t="s">
        <v>34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83"/>
      <c r="BQ64" s="82"/>
    </row>
    <row r="65">
      <c r="A65" s="102" t="s">
        <v>31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46">
        <v>909.0</v>
      </c>
      <c r="AL65" s="146">
        <v>531.0</v>
      </c>
      <c r="AM65" s="146">
        <v>494.0</v>
      </c>
      <c r="AN65" s="146">
        <v>223.0</v>
      </c>
      <c r="AO65" s="146">
        <v>539.0</v>
      </c>
      <c r="AP65" s="147">
        <v>18035.0</v>
      </c>
      <c r="AQ65" s="147">
        <v>19386.0</v>
      </c>
      <c r="AR65" s="147">
        <v>1578.0</v>
      </c>
      <c r="AS65" s="147">
        <v>2199.0</v>
      </c>
      <c r="AT65" s="147">
        <v>1961.0</v>
      </c>
      <c r="AU65" s="147">
        <v>3473.0</v>
      </c>
      <c r="AV65" s="147">
        <f>IFERROR(__xludf.DUMMYFUNCTION("IMPORTRANGE(""1FsAayhXBhwQWWhxaeEf32srJkqMhPcXdSHpT-eTbsHA"",""PP - Data!AG11:AG12"")"),3695.0)</f>
        <v>3695</v>
      </c>
      <c r="AW65" s="147">
        <v>2079.0</v>
      </c>
      <c r="AX65" s="146">
        <v>673.0</v>
      </c>
      <c r="AY65" s="146">
        <v>766.0</v>
      </c>
      <c r="AZ65" s="147">
        <v>1152.0</v>
      </c>
      <c r="BA65" s="146">
        <v>405.0</v>
      </c>
      <c r="BB65" s="147">
        <v>18416.0</v>
      </c>
      <c r="BC65" s="147">
        <v>21659.0</v>
      </c>
      <c r="BD65" s="147">
        <v>1001.0</v>
      </c>
      <c r="BE65" s="146">
        <v>883.0</v>
      </c>
      <c r="BF65" s="147">
        <v>1745.0</v>
      </c>
      <c r="BG65" s="147">
        <v>2839.0</v>
      </c>
      <c r="BH65" s="147">
        <f>IFERROR(__xludf.DUMMYFUNCTION("IMPORTRANGE(""1Z2ZLDM0_m0NNnV5_jRvcRNtM9Z5AZ7o_A94RnrBGQUE"",""PP - Data!AG11:AG12"")"),2680.0)</f>
        <v>2680</v>
      </c>
      <c r="BI65" s="146"/>
      <c r="BJ65" s="146"/>
      <c r="BK65" s="146"/>
      <c r="BL65" s="146"/>
      <c r="BM65" s="146"/>
      <c r="BN65" s="146"/>
      <c r="BO65" s="146"/>
      <c r="BP65" s="106">
        <f t="shared" ref="BP65:BP67" si="48">SUM(B65:BO65)</f>
        <v>107321</v>
      </c>
      <c r="BQ65" s="64">
        <f t="shared" ref="BQ65:BQ66" si="49">iferror(BP65/BP$67,"")</f>
        <v>0.7496734355</v>
      </c>
    </row>
    <row r="66">
      <c r="A66" s="107" t="s">
        <v>32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46">
        <v>435.0</v>
      </c>
      <c r="AL66" s="146">
        <v>618.0</v>
      </c>
      <c r="AM66" s="146">
        <v>500.0</v>
      </c>
      <c r="AN66" s="146">
        <v>220.0</v>
      </c>
      <c r="AO66" s="146">
        <v>577.0</v>
      </c>
      <c r="AP66" s="147">
        <v>1697.0</v>
      </c>
      <c r="AQ66" s="147">
        <v>2021.0</v>
      </c>
      <c r="AR66" s="147">
        <v>2014.0</v>
      </c>
      <c r="AS66" s="147">
        <v>2066.0</v>
      </c>
      <c r="AT66" s="147">
        <v>2718.0</v>
      </c>
      <c r="AU66" s="147">
        <v>2592.0</v>
      </c>
      <c r="AV66" s="147">
        <f>IFERROR(__xludf.DUMMYFUNCTION("""COMPUTED_VALUE"""),1857.0)</f>
        <v>1857</v>
      </c>
      <c r="AW66" s="146">
        <v>987.0</v>
      </c>
      <c r="AX66" s="146">
        <v>745.0</v>
      </c>
      <c r="AY66" s="146">
        <v>711.0</v>
      </c>
      <c r="AZ66" s="147">
        <v>2266.0</v>
      </c>
      <c r="BA66" s="146">
        <v>267.0</v>
      </c>
      <c r="BB66" s="147">
        <v>2042.0</v>
      </c>
      <c r="BC66" s="147">
        <v>2123.0</v>
      </c>
      <c r="BD66" s="147">
        <v>1359.0</v>
      </c>
      <c r="BE66" s="146">
        <v>980.0</v>
      </c>
      <c r="BF66" s="147">
        <v>2416.0</v>
      </c>
      <c r="BG66" s="147">
        <v>2173.0</v>
      </c>
      <c r="BH66" s="147">
        <f>IFERROR(__xludf.DUMMYFUNCTION("""COMPUTED_VALUE"""),2452.0)</f>
        <v>2452</v>
      </c>
      <c r="BI66" s="146"/>
      <c r="BJ66" s="146"/>
      <c r="BK66" s="146"/>
      <c r="BL66" s="146"/>
      <c r="BM66" s="146"/>
      <c r="BN66" s="146"/>
      <c r="BO66" s="146"/>
      <c r="BP66" s="106">
        <f t="shared" si="48"/>
        <v>35836</v>
      </c>
      <c r="BQ66" s="64">
        <f t="shared" si="49"/>
        <v>0.2503265645</v>
      </c>
    </row>
    <row r="67">
      <c r="A67" s="108" t="s">
        <v>18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>
        <f t="shared" ref="AK67:BO67" si="50">SUM(AK65:AK66)</f>
        <v>1344</v>
      </c>
      <c r="AL67" s="109">
        <f t="shared" si="50"/>
        <v>1149</v>
      </c>
      <c r="AM67" s="109">
        <f t="shared" si="50"/>
        <v>994</v>
      </c>
      <c r="AN67" s="109">
        <f t="shared" si="50"/>
        <v>443</v>
      </c>
      <c r="AO67" s="109">
        <f t="shared" si="50"/>
        <v>1116</v>
      </c>
      <c r="AP67" s="109">
        <f t="shared" si="50"/>
        <v>19732</v>
      </c>
      <c r="AQ67" s="109">
        <f t="shared" si="50"/>
        <v>21407</v>
      </c>
      <c r="AR67" s="109">
        <f t="shared" si="50"/>
        <v>3592</v>
      </c>
      <c r="AS67" s="109">
        <f t="shared" si="50"/>
        <v>4265</v>
      </c>
      <c r="AT67" s="109">
        <f t="shared" si="50"/>
        <v>4679</v>
      </c>
      <c r="AU67" s="109">
        <f t="shared" si="50"/>
        <v>6065</v>
      </c>
      <c r="AV67" s="109">
        <f t="shared" si="50"/>
        <v>5552</v>
      </c>
      <c r="AW67" s="109">
        <f t="shared" si="50"/>
        <v>3066</v>
      </c>
      <c r="AX67" s="109">
        <f t="shared" si="50"/>
        <v>1418</v>
      </c>
      <c r="AY67" s="109">
        <f t="shared" si="50"/>
        <v>1477</v>
      </c>
      <c r="AZ67" s="109">
        <f t="shared" si="50"/>
        <v>3418</v>
      </c>
      <c r="BA67" s="109">
        <f t="shared" si="50"/>
        <v>672</v>
      </c>
      <c r="BB67" s="109">
        <f t="shared" si="50"/>
        <v>20458</v>
      </c>
      <c r="BC67" s="109">
        <f t="shared" si="50"/>
        <v>23782</v>
      </c>
      <c r="BD67" s="109">
        <f t="shared" si="50"/>
        <v>2360</v>
      </c>
      <c r="BE67" s="109">
        <f t="shared" si="50"/>
        <v>1863</v>
      </c>
      <c r="BF67" s="109">
        <f t="shared" si="50"/>
        <v>4161</v>
      </c>
      <c r="BG67" s="109">
        <f t="shared" si="50"/>
        <v>5012</v>
      </c>
      <c r="BH67" s="109">
        <f t="shared" si="50"/>
        <v>5132</v>
      </c>
      <c r="BI67" s="109">
        <f t="shared" si="50"/>
        <v>0</v>
      </c>
      <c r="BJ67" s="109">
        <f t="shared" si="50"/>
        <v>0</v>
      </c>
      <c r="BK67" s="109">
        <f t="shared" si="50"/>
        <v>0</v>
      </c>
      <c r="BL67" s="109">
        <f t="shared" si="50"/>
        <v>0</v>
      </c>
      <c r="BM67" s="109">
        <f t="shared" si="50"/>
        <v>0</v>
      </c>
      <c r="BN67" s="109">
        <f t="shared" si="50"/>
        <v>0</v>
      </c>
      <c r="BO67" s="109">
        <f t="shared" si="50"/>
        <v>0</v>
      </c>
      <c r="BP67" s="116">
        <f t="shared" si="48"/>
        <v>143157</v>
      </c>
      <c r="BQ67" s="111">
        <f>SUM(BQ65:BQ66)</f>
        <v>1</v>
      </c>
    </row>
    <row r="68">
      <c r="A68" s="72" t="s">
        <v>35</v>
      </c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76"/>
      <c r="BQ68" s="77"/>
    </row>
    <row r="69">
      <c r="A69" s="78" t="s">
        <v>31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79">
        <f t="shared" ref="AK69:BO69" si="51">iferror(AK65/AK$67,"")</f>
        <v>0.6763392857</v>
      </c>
      <c r="AL69" s="79">
        <f t="shared" si="51"/>
        <v>0.4621409922</v>
      </c>
      <c r="AM69" s="79">
        <f t="shared" si="51"/>
        <v>0.4969818913</v>
      </c>
      <c r="AN69" s="79">
        <f t="shared" si="51"/>
        <v>0.5033860045</v>
      </c>
      <c r="AO69" s="79">
        <f t="shared" si="51"/>
        <v>0.4829749104</v>
      </c>
      <c r="AP69" s="79">
        <f t="shared" si="51"/>
        <v>0.9139975674</v>
      </c>
      <c r="AQ69" s="79">
        <f t="shared" si="51"/>
        <v>0.9055916289</v>
      </c>
      <c r="AR69" s="79">
        <f t="shared" si="51"/>
        <v>0.4393095768</v>
      </c>
      <c r="AS69" s="79">
        <f t="shared" si="51"/>
        <v>0.5155920281</v>
      </c>
      <c r="AT69" s="79">
        <f t="shared" si="51"/>
        <v>0.4191066467</v>
      </c>
      <c r="AU69" s="79">
        <f t="shared" si="51"/>
        <v>0.5726298434</v>
      </c>
      <c r="AV69" s="79">
        <f t="shared" si="51"/>
        <v>0.6655259366</v>
      </c>
      <c r="AW69" s="79">
        <f t="shared" si="51"/>
        <v>0.6780821918</v>
      </c>
      <c r="AX69" s="79">
        <f t="shared" si="51"/>
        <v>0.4746121298</v>
      </c>
      <c r="AY69" s="79">
        <f t="shared" si="51"/>
        <v>0.5186188219</v>
      </c>
      <c r="AZ69" s="79">
        <f t="shared" si="51"/>
        <v>0.3370392042</v>
      </c>
      <c r="BA69" s="79">
        <f t="shared" si="51"/>
        <v>0.6026785714</v>
      </c>
      <c r="BB69" s="79">
        <f t="shared" si="51"/>
        <v>0.9001857464</v>
      </c>
      <c r="BC69" s="79">
        <f t="shared" si="51"/>
        <v>0.9107308048</v>
      </c>
      <c r="BD69" s="79">
        <f t="shared" si="51"/>
        <v>0.4241525424</v>
      </c>
      <c r="BE69" s="79">
        <f t="shared" si="51"/>
        <v>0.4739667203</v>
      </c>
      <c r="BF69" s="79">
        <f t="shared" si="51"/>
        <v>0.4193703437</v>
      </c>
      <c r="BG69" s="79">
        <f t="shared" si="51"/>
        <v>0.5664405427</v>
      </c>
      <c r="BH69" s="79">
        <f t="shared" si="51"/>
        <v>0.522213562</v>
      </c>
      <c r="BI69" s="79" t="str">
        <f t="shared" si="51"/>
        <v/>
      </c>
      <c r="BJ69" s="79" t="str">
        <f t="shared" si="51"/>
        <v/>
      </c>
      <c r="BK69" s="79" t="str">
        <f t="shared" si="51"/>
        <v/>
      </c>
      <c r="BL69" s="79" t="str">
        <f t="shared" si="51"/>
        <v/>
      </c>
      <c r="BM69" s="79" t="str">
        <f t="shared" si="51"/>
        <v/>
      </c>
      <c r="BN69" s="79" t="str">
        <f t="shared" si="51"/>
        <v/>
      </c>
      <c r="BO69" s="79" t="str">
        <f t="shared" si="51"/>
        <v/>
      </c>
      <c r="BP69" s="81"/>
      <c r="BQ69" s="82"/>
    </row>
    <row r="70">
      <c r="A70" s="78" t="s">
        <v>32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79">
        <f t="shared" ref="AK70:BO70" si="52">iferror(AK66/AK$67,"")</f>
        <v>0.3236607143</v>
      </c>
      <c r="AL70" s="79">
        <f t="shared" si="52"/>
        <v>0.5378590078</v>
      </c>
      <c r="AM70" s="79">
        <f t="shared" si="52"/>
        <v>0.5030181087</v>
      </c>
      <c r="AN70" s="79">
        <f t="shared" si="52"/>
        <v>0.4966139955</v>
      </c>
      <c r="AO70" s="79">
        <f t="shared" si="52"/>
        <v>0.5170250896</v>
      </c>
      <c r="AP70" s="79">
        <f t="shared" si="52"/>
        <v>0.0860024326</v>
      </c>
      <c r="AQ70" s="79">
        <f t="shared" si="52"/>
        <v>0.09440837109</v>
      </c>
      <c r="AR70" s="79">
        <f t="shared" si="52"/>
        <v>0.5606904232</v>
      </c>
      <c r="AS70" s="79">
        <f t="shared" si="52"/>
        <v>0.4844079719</v>
      </c>
      <c r="AT70" s="79">
        <f t="shared" si="52"/>
        <v>0.5808933533</v>
      </c>
      <c r="AU70" s="79">
        <f t="shared" si="52"/>
        <v>0.4273701566</v>
      </c>
      <c r="AV70" s="79">
        <f t="shared" si="52"/>
        <v>0.3344740634</v>
      </c>
      <c r="AW70" s="79">
        <f t="shared" si="52"/>
        <v>0.3219178082</v>
      </c>
      <c r="AX70" s="79">
        <f t="shared" si="52"/>
        <v>0.5253878702</v>
      </c>
      <c r="AY70" s="79">
        <f t="shared" si="52"/>
        <v>0.4813811781</v>
      </c>
      <c r="AZ70" s="79">
        <f t="shared" si="52"/>
        <v>0.6629607958</v>
      </c>
      <c r="BA70" s="79">
        <f t="shared" si="52"/>
        <v>0.3973214286</v>
      </c>
      <c r="BB70" s="79">
        <f t="shared" si="52"/>
        <v>0.09981425359</v>
      </c>
      <c r="BC70" s="79">
        <f t="shared" si="52"/>
        <v>0.08926919519</v>
      </c>
      <c r="BD70" s="79">
        <f t="shared" si="52"/>
        <v>0.5758474576</v>
      </c>
      <c r="BE70" s="79">
        <f t="shared" si="52"/>
        <v>0.5260332797</v>
      </c>
      <c r="BF70" s="79">
        <f t="shared" si="52"/>
        <v>0.5806296563</v>
      </c>
      <c r="BG70" s="79">
        <f t="shared" si="52"/>
        <v>0.4335594573</v>
      </c>
      <c r="BH70" s="79">
        <f t="shared" si="52"/>
        <v>0.477786438</v>
      </c>
      <c r="BI70" s="79" t="str">
        <f t="shared" si="52"/>
        <v/>
      </c>
      <c r="BJ70" s="79" t="str">
        <f t="shared" si="52"/>
        <v/>
      </c>
      <c r="BK70" s="79" t="str">
        <f t="shared" si="52"/>
        <v/>
      </c>
      <c r="BL70" s="79" t="str">
        <f t="shared" si="52"/>
        <v/>
      </c>
      <c r="BM70" s="79" t="str">
        <f t="shared" si="52"/>
        <v/>
      </c>
      <c r="BN70" s="79" t="str">
        <f t="shared" si="52"/>
        <v/>
      </c>
      <c r="BO70" s="79" t="str">
        <f t="shared" si="52"/>
        <v/>
      </c>
      <c r="BP70" s="83"/>
      <c r="BQ70" s="82"/>
    </row>
    <row r="71">
      <c r="A71" s="112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83"/>
      <c r="BQ71" s="82"/>
    </row>
    <row r="72">
      <c r="A72" s="85" t="s">
        <v>36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81"/>
      <c r="BQ72" s="82"/>
    </row>
    <row r="73">
      <c r="A73" s="60" t="s">
        <v>37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2"/>
      <c r="O73" s="92"/>
      <c r="P73" s="92"/>
      <c r="Q73" s="92"/>
      <c r="R73" s="92"/>
      <c r="S73" s="92"/>
      <c r="T73" s="92"/>
      <c r="U73" s="90"/>
      <c r="V73" s="90"/>
      <c r="W73" s="90"/>
      <c r="X73" s="90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144">
        <v>1434.0</v>
      </c>
      <c r="AK73" s="144">
        <v>903.0</v>
      </c>
      <c r="AL73" s="144">
        <v>521.0</v>
      </c>
      <c r="AM73" s="144">
        <v>424.0</v>
      </c>
      <c r="AN73" s="144">
        <v>224.0</v>
      </c>
      <c r="AO73" s="144">
        <v>478.0</v>
      </c>
      <c r="AP73" s="144">
        <v>18093.0</v>
      </c>
      <c r="AQ73" s="144">
        <v>18653.0</v>
      </c>
      <c r="AR73" s="144">
        <v>2184.0</v>
      </c>
      <c r="AS73" s="144">
        <v>2529.0</v>
      </c>
      <c r="AT73" s="144">
        <v>1856.0</v>
      </c>
      <c r="AU73" s="144">
        <v>3533.0</v>
      </c>
      <c r="AV73" s="144">
        <f>IFERROR(__xludf.DUMMYFUNCTION("IMPORTRANGE(""1FsAayhXBhwQWWhxaeEf32srJkqMhPcXdSHpT-eTbsHA"",""PP - Data!AG19:AG20"")"),3414.0)</f>
        <v>3414</v>
      </c>
      <c r="AW73" s="144">
        <v>2015.0</v>
      </c>
      <c r="AX73" s="144">
        <v>764.0</v>
      </c>
      <c r="AY73" s="144">
        <v>780.0</v>
      </c>
      <c r="AZ73" s="144">
        <v>540.0</v>
      </c>
      <c r="BA73" s="144">
        <v>414.0</v>
      </c>
      <c r="BB73" s="144">
        <v>18759.0</v>
      </c>
      <c r="BC73" s="144">
        <v>21414.0</v>
      </c>
      <c r="BD73" s="144">
        <v>1327.0</v>
      </c>
      <c r="BE73" s="144">
        <v>1031.0</v>
      </c>
      <c r="BF73" s="144">
        <v>2100.0</v>
      </c>
      <c r="BG73" s="144">
        <v>2683.0</v>
      </c>
      <c r="BH73" s="144">
        <f>IFERROR(__xludf.DUMMYFUNCTION("IMPORTRANGE(""1Z2ZLDM0_m0NNnV5_jRvcRNtM9Z5AZ7o_A94RnrBGQUE"",""PP - Data!AG19:AG20"")"),2217.0)</f>
        <v>2217</v>
      </c>
      <c r="BI73" s="144"/>
      <c r="BJ73" s="144"/>
      <c r="BK73" s="144"/>
      <c r="BL73" s="144"/>
      <c r="BM73" s="144"/>
      <c r="BN73" s="144"/>
      <c r="BO73" s="144"/>
      <c r="BP73" s="63">
        <f t="shared" ref="BP73:BP75" si="53">SUM(B73:BO73)</f>
        <v>108290</v>
      </c>
      <c r="BQ73" s="64">
        <f t="shared" ref="BQ73:BQ74" si="54">iferror(BP73/BP$75,"")</f>
        <v>0.7427246727</v>
      </c>
    </row>
    <row r="74">
      <c r="A74" s="65" t="s">
        <v>38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144">
        <v>1092.0</v>
      </c>
      <c r="AK74" s="144">
        <v>559.0</v>
      </c>
      <c r="AL74" s="144">
        <v>628.0</v>
      </c>
      <c r="AM74" s="144">
        <v>570.0</v>
      </c>
      <c r="AN74" s="144">
        <v>219.0</v>
      </c>
      <c r="AO74" s="144">
        <v>638.0</v>
      </c>
      <c r="AP74" s="144">
        <v>1639.0</v>
      </c>
      <c r="AQ74" s="144">
        <v>2754.0</v>
      </c>
      <c r="AR74" s="144">
        <v>1408.0</v>
      </c>
      <c r="AS74" s="144">
        <v>1736.0</v>
      </c>
      <c r="AT74" s="144">
        <v>2823.0</v>
      </c>
      <c r="AU74" s="144">
        <v>2532.0</v>
      </c>
      <c r="AV74" s="144">
        <f>IFERROR(__xludf.DUMMYFUNCTION("""COMPUTED_VALUE"""),2138.0)</f>
        <v>2138</v>
      </c>
      <c r="AW74" s="144">
        <v>1051.0</v>
      </c>
      <c r="AX74" s="144">
        <v>654.0</v>
      </c>
      <c r="AY74" s="144">
        <v>697.0</v>
      </c>
      <c r="AZ74" s="144">
        <v>2878.0</v>
      </c>
      <c r="BA74" s="144">
        <v>258.0</v>
      </c>
      <c r="BB74" s="144">
        <v>1699.0</v>
      </c>
      <c r="BC74" s="144">
        <v>2368.0</v>
      </c>
      <c r="BD74" s="144">
        <v>1033.0</v>
      </c>
      <c r="BE74" s="144">
        <v>832.0</v>
      </c>
      <c r="BF74" s="144">
        <v>2061.0</v>
      </c>
      <c r="BG74" s="144">
        <v>2329.0</v>
      </c>
      <c r="BH74" s="144">
        <f>IFERROR(__xludf.DUMMYFUNCTION("""COMPUTED_VALUE"""),2915.0)</f>
        <v>2915</v>
      </c>
      <c r="BI74" s="144"/>
      <c r="BJ74" s="144"/>
      <c r="BK74" s="144"/>
      <c r="BL74" s="144"/>
      <c r="BM74" s="144"/>
      <c r="BN74" s="144"/>
      <c r="BO74" s="144"/>
      <c r="BP74" s="63">
        <f t="shared" si="53"/>
        <v>37511</v>
      </c>
      <c r="BQ74" s="64">
        <f t="shared" si="54"/>
        <v>0.2572753273</v>
      </c>
    </row>
    <row r="75">
      <c r="A75" s="118" t="s">
        <v>18</v>
      </c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>
        <f t="shared" ref="AJ75:BO75" si="55">SUM(AJ73:AJ74)</f>
        <v>2526</v>
      </c>
      <c r="AK75" s="119">
        <f t="shared" si="55"/>
        <v>1462</v>
      </c>
      <c r="AL75" s="119">
        <f t="shared" si="55"/>
        <v>1149</v>
      </c>
      <c r="AM75" s="119">
        <f t="shared" si="55"/>
        <v>994</v>
      </c>
      <c r="AN75" s="119">
        <f t="shared" si="55"/>
        <v>443</v>
      </c>
      <c r="AO75" s="119">
        <f t="shared" si="55"/>
        <v>1116</v>
      </c>
      <c r="AP75" s="119">
        <f t="shared" si="55"/>
        <v>19732</v>
      </c>
      <c r="AQ75" s="119">
        <f t="shared" si="55"/>
        <v>21407</v>
      </c>
      <c r="AR75" s="119">
        <f t="shared" si="55"/>
        <v>3592</v>
      </c>
      <c r="AS75" s="119">
        <f t="shared" si="55"/>
        <v>4265</v>
      </c>
      <c r="AT75" s="119">
        <f t="shared" si="55"/>
        <v>4679</v>
      </c>
      <c r="AU75" s="119">
        <f t="shared" si="55"/>
        <v>6065</v>
      </c>
      <c r="AV75" s="119">
        <f t="shared" si="55"/>
        <v>5552</v>
      </c>
      <c r="AW75" s="119">
        <f t="shared" si="55"/>
        <v>3066</v>
      </c>
      <c r="AX75" s="119">
        <f t="shared" si="55"/>
        <v>1418</v>
      </c>
      <c r="AY75" s="119">
        <f t="shared" si="55"/>
        <v>1477</v>
      </c>
      <c r="AZ75" s="119">
        <f t="shared" si="55"/>
        <v>3418</v>
      </c>
      <c r="BA75" s="119">
        <f t="shared" si="55"/>
        <v>672</v>
      </c>
      <c r="BB75" s="119">
        <f t="shared" si="55"/>
        <v>20458</v>
      </c>
      <c r="BC75" s="119">
        <f t="shared" si="55"/>
        <v>23782</v>
      </c>
      <c r="BD75" s="119">
        <f t="shared" si="55"/>
        <v>2360</v>
      </c>
      <c r="BE75" s="119">
        <f t="shared" si="55"/>
        <v>1863</v>
      </c>
      <c r="BF75" s="119">
        <f t="shared" si="55"/>
        <v>4161</v>
      </c>
      <c r="BG75" s="119">
        <f t="shared" si="55"/>
        <v>5012</v>
      </c>
      <c r="BH75" s="119">
        <f t="shared" si="55"/>
        <v>5132</v>
      </c>
      <c r="BI75" s="119">
        <f t="shared" si="55"/>
        <v>0</v>
      </c>
      <c r="BJ75" s="119">
        <f t="shared" si="55"/>
        <v>0</v>
      </c>
      <c r="BK75" s="119">
        <f t="shared" si="55"/>
        <v>0</v>
      </c>
      <c r="BL75" s="119">
        <f t="shared" si="55"/>
        <v>0</v>
      </c>
      <c r="BM75" s="119">
        <f t="shared" si="55"/>
        <v>0</v>
      </c>
      <c r="BN75" s="119">
        <f t="shared" si="55"/>
        <v>0</v>
      </c>
      <c r="BO75" s="119">
        <f t="shared" si="55"/>
        <v>0</v>
      </c>
      <c r="BP75" s="110">
        <f t="shared" si="53"/>
        <v>145801</v>
      </c>
      <c r="BQ75" s="111">
        <f>SUM(BQ73:BQ74)</f>
        <v>1</v>
      </c>
    </row>
    <row r="76">
      <c r="A76" s="72" t="s">
        <v>39</v>
      </c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83"/>
      <c r="BQ76" s="82"/>
    </row>
    <row r="77">
      <c r="A77" s="78" t="s">
        <v>37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79">
        <f t="shared" ref="AJ77:BO77" si="56">iferror(AJ73/AJ$75,"")</f>
        <v>0.567695962</v>
      </c>
      <c r="AK77" s="79">
        <f t="shared" si="56"/>
        <v>0.6176470588</v>
      </c>
      <c r="AL77" s="79">
        <f t="shared" si="56"/>
        <v>0.453437772</v>
      </c>
      <c r="AM77" s="79">
        <f t="shared" si="56"/>
        <v>0.4265593561</v>
      </c>
      <c r="AN77" s="79">
        <f t="shared" si="56"/>
        <v>0.5056433409</v>
      </c>
      <c r="AO77" s="79">
        <f t="shared" si="56"/>
        <v>0.4283154122</v>
      </c>
      <c r="AP77" s="79">
        <f t="shared" si="56"/>
        <v>0.9169369552</v>
      </c>
      <c r="AQ77" s="79">
        <f t="shared" si="56"/>
        <v>0.8713504928</v>
      </c>
      <c r="AR77" s="79">
        <f t="shared" si="56"/>
        <v>0.6080178174</v>
      </c>
      <c r="AS77" s="79">
        <f t="shared" si="56"/>
        <v>0.5929660023</v>
      </c>
      <c r="AT77" s="79">
        <f t="shared" si="56"/>
        <v>0.3966659543</v>
      </c>
      <c r="AU77" s="79">
        <f t="shared" si="56"/>
        <v>0.5825226711</v>
      </c>
      <c r="AV77" s="79">
        <f t="shared" si="56"/>
        <v>0.6149135447</v>
      </c>
      <c r="AW77" s="79">
        <f t="shared" si="56"/>
        <v>0.6572080887</v>
      </c>
      <c r="AX77" s="79">
        <f t="shared" si="56"/>
        <v>0.538787024</v>
      </c>
      <c r="AY77" s="79">
        <f t="shared" si="56"/>
        <v>0.5280974949</v>
      </c>
      <c r="AZ77" s="79">
        <f t="shared" si="56"/>
        <v>0.157987127</v>
      </c>
      <c r="BA77" s="79">
        <f t="shared" si="56"/>
        <v>0.6160714286</v>
      </c>
      <c r="BB77" s="79">
        <f t="shared" si="56"/>
        <v>0.9169518037</v>
      </c>
      <c r="BC77" s="79">
        <f t="shared" si="56"/>
        <v>0.9004288958</v>
      </c>
      <c r="BD77" s="79">
        <f t="shared" si="56"/>
        <v>0.5622881356</v>
      </c>
      <c r="BE77" s="79">
        <f t="shared" si="56"/>
        <v>0.5534084809</v>
      </c>
      <c r="BF77" s="79">
        <f t="shared" si="56"/>
        <v>0.5046863735</v>
      </c>
      <c r="BG77" s="79">
        <f t="shared" si="56"/>
        <v>0.5353152434</v>
      </c>
      <c r="BH77" s="79">
        <f t="shared" si="56"/>
        <v>0.4319953235</v>
      </c>
      <c r="BI77" s="79" t="str">
        <f t="shared" si="56"/>
        <v/>
      </c>
      <c r="BJ77" s="79" t="str">
        <f t="shared" si="56"/>
        <v/>
      </c>
      <c r="BK77" s="79" t="str">
        <f t="shared" si="56"/>
        <v/>
      </c>
      <c r="BL77" s="79" t="str">
        <f t="shared" si="56"/>
        <v/>
      </c>
      <c r="BM77" s="79" t="str">
        <f t="shared" si="56"/>
        <v/>
      </c>
      <c r="BN77" s="79" t="str">
        <f t="shared" si="56"/>
        <v/>
      </c>
      <c r="BO77" s="79" t="str">
        <f t="shared" si="56"/>
        <v/>
      </c>
      <c r="BP77" s="81"/>
      <c r="BQ77" s="82"/>
    </row>
    <row r="78">
      <c r="A78" s="78" t="s">
        <v>38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79">
        <f t="shared" ref="AJ78:BO78" si="57">iferror(AJ74/AJ$75,"")</f>
        <v>0.432304038</v>
      </c>
      <c r="AK78" s="79">
        <f t="shared" si="57"/>
        <v>0.3823529412</v>
      </c>
      <c r="AL78" s="79">
        <f t="shared" si="57"/>
        <v>0.546562228</v>
      </c>
      <c r="AM78" s="79">
        <f t="shared" si="57"/>
        <v>0.5734406439</v>
      </c>
      <c r="AN78" s="79">
        <f t="shared" si="57"/>
        <v>0.4943566591</v>
      </c>
      <c r="AO78" s="79">
        <f t="shared" si="57"/>
        <v>0.5716845878</v>
      </c>
      <c r="AP78" s="79">
        <f t="shared" si="57"/>
        <v>0.0830630448</v>
      </c>
      <c r="AQ78" s="79">
        <f t="shared" si="57"/>
        <v>0.1286495072</v>
      </c>
      <c r="AR78" s="79">
        <f t="shared" si="57"/>
        <v>0.3919821826</v>
      </c>
      <c r="AS78" s="79">
        <f t="shared" si="57"/>
        <v>0.4070339977</v>
      </c>
      <c r="AT78" s="79">
        <f t="shared" si="57"/>
        <v>0.6033340457</v>
      </c>
      <c r="AU78" s="79">
        <f t="shared" si="57"/>
        <v>0.4174773289</v>
      </c>
      <c r="AV78" s="79">
        <f t="shared" si="57"/>
        <v>0.3850864553</v>
      </c>
      <c r="AW78" s="79">
        <f t="shared" si="57"/>
        <v>0.3427919113</v>
      </c>
      <c r="AX78" s="79">
        <f t="shared" si="57"/>
        <v>0.461212976</v>
      </c>
      <c r="AY78" s="79">
        <f t="shared" si="57"/>
        <v>0.4719025051</v>
      </c>
      <c r="AZ78" s="79">
        <f t="shared" si="57"/>
        <v>0.842012873</v>
      </c>
      <c r="BA78" s="79">
        <f t="shared" si="57"/>
        <v>0.3839285714</v>
      </c>
      <c r="BB78" s="79">
        <f t="shared" si="57"/>
        <v>0.0830481963</v>
      </c>
      <c r="BC78" s="79">
        <f t="shared" si="57"/>
        <v>0.0995711042</v>
      </c>
      <c r="BD78" s="79">
        <f t="shared" si="57"/>
        <v>0.4377118644</v>
      </c>
      <c r="BE78" s="79">
        <f t="shared" si="57"/>
        <v>0.4465915191</v>
      </c>
      <c r="BF78" s="79">
        <f t="shared" si="57"/>
        <v>0.4953136265</v>
      </c>
      <c r="BG78" s="79">
        <f t="shared" si="57"/>
        <v>0.4646847566</v>
      </c>
      <c r="BH78" s="79">
        <f t="shared" si="57"/>
        <v>0.5680046765</v>
      </c>
      <c r="BI78" s="79" t="str">
        <f t="shared" si="57"/>
        <v/>
      </c>
      <c r="BJ78" s="79" t="str">
        <f t="shared" si="57"/>
        <v/>
      </c>
      <c r="BK78" s="79" t="str">
        <f t="shared" si="57"/>
        <v/>
      </c>
      <c r="BL78" s="79" t="str">
        <f t="shared" si="57"/>
        <v/>
      </c>
      <c r="BM78" s="79" t="str">
        <f t="shared" si="57"/>
        <v/>
      </c>
      <c r="BN78" s="79" t="str">
        <f t="shared" si="57"/>
        <v/>
      </c>
      <c r="BO78" s="79" t="str">
        <f t="shared" si="57"/>
        <v/>
      </c>
      <c r="BP78" s="83"/>
      <c r="BQ78" s="82"/>
    </row>
    <row r="79">
      <c r="A79" s="112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83"/>
      <c r="BQ79" s="82"/>
    </row>
    <row r="80">
      <c r="A80" s="123" t="s">
        <v>40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83"/>
      <c r="BQ80" s="82"/>
    </row>
    <row r="81">
      <c r="A81" s="124" t="s">
        <v>31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2"/>
      <c r="O81" s="92"/>
      <c r="P81" s="92"/>
      <c r="Q81" s="92"/>
      <c r="R81" s="92"/>
      <c r="S81" s="92"/>
      <c r="T81" s="92"/>
      <c r="U81" s="90"/>
      <c r="V81" s="90"/>
      <c r="W81" s="90"/>
      <c r="X81" s="90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144">
        <v>496.0</v>
      </c>
      <c r="AT81" s="144">
        <v>1253.0</v>
      </c>
      <c r="AU81" s="144">
        <v>1971.0</v>
      </c>
      <c r="AV81" s="144">
        <f>IFERROR(__xludf.DUMMYFUNCTION("IMPORTRANGE(""1FsAayhXBhwQWWhxaeEf32srJkqMhPcXdSHpT-eTbsHA"",""PP - Data!AG27:AG28"")"),1962.0)</f>
        <v>1962</v>
      </c>
      <c r="AW81" s="144">
        <v>1281.0</v>
      </c>
      <c r="AX81" s="144">
        <v>524.0</v>
      </c>
      <c r="AY81" s="144">
        <v>496.0</v>
      </c>
      <c r="AZ81" s="144">
        <v>451.0</v>
      </c>
      <c r="BA81" s="144">
        <v>269.0</v>
      </c>
      <c r="BB81" s="144">
        <v>8033.0</v>
      </c>
      <c r="BC81" s="144">
        <v>9860.0</v>
      </c>
      <c r="BD81" s="144">
        <v>884.0</v>
      </c>
      <c r="BE81" s="144">
        <v>631.0</v>
      </c>
      <c r="BF81" s="144">
        <v>1154.0</v>
      </c>
      <c r="BG81" s="144">
        <v>1530.0</v>
      </c>
      <c r="BH81" s="144">
        <f>IFERROR(__xludf.DUMMYFUNCTION("IMPORTRANGE(""1Z2ZLDM0_m0NNnV5_jRvcRNtM9Z5AZ7o_A94RnrBGQUE"",""PP - Data!AG27:AG28"")"),1388.0)</f>
        <v>1388</v>
      </c>
      <c r="BI81" s="144"/>
      <c r="BJ81" s="144"/>
      <c r="BK81" s="144"/>
      <c r="BL81" s="144"/>
      <c r="BM81" s="144"/>
      <c r="BN81" s="144"/>
      <c r="BO81" s="144"/>
      <c r="BP81" s="63">
        <f t="shared" ref="BP81:BP83" si="58">SUM(B81:BO81)</f>
        <v>32183</v>
      </c>
      <c r="BQ81" s="64">
        <f t="shared" ref="BQ81:BQ82" si="59">iferror(BP81/BP$83,"")</f>
        <v>0.3548956254</v>
      </c>
    </row>
    <row r="82">
      <c r="A82" s="29" t="s">
        <v>32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144">
        <v>1072.0</v>
      </c>
      <c r="AT82" s="144">
        <v>3426.0</v>
      </c>
      <c r="AU82" s="144">
        <v>4094.0</v>
      </c>
      <c r="AV82" s="144">
        <f>IFERROR(__xludf.DUMMYFUNCTION("""COMPUTED_VALUE"""),3590.0)</f>
        <v>3590</v>
      </c>
      <c r="AW82" s="144">
        <v>1785.0</v>
      </c>
      <c r="AX82" s="144">
        <v>894.0</v>
      </c>
      <c r="AY82" s="144">
        <v>981.0</v>
      </c>
      <c r="AZ82" s="144">
        <v>2967.0</v>
      </c>
      <c r="BA82" s="144">
        <v>403.0</v>
      </c>
      <c r="BB82" s="144">
        <v>12425.0</v>
      </c>
      <c r="BC82" s="144">
        <v>13922.0</v>
      </c>
      <c r="BD82" s="144">
        <v>1476.0</v>
      </c>
      <c r="BE82" s="144">
        <v>1232.0</v>
      </c>
      <c r="BF82" s="144">
        <v>3007.0</v>
      </c>
      <c r="BG82" s="144">
        <v>3482.0</v>
      </c>
      <c r="BH82" s="144">
        <f>IFERROR(__xludf.DUMMYFUNCTION("""COMPUTED_VALUE"""),3744.0)</f>
        <v>3744</v>
      </c>
      <c r="BI82" s="144"/>
      <c r="BJ82" s="144"/>
      <c r="BK82" s="144"/>
      <c r="BL82" s="144"/>
      <c r="BM82" s="144"/>
      <c r="BN82" s="144"/>
      <c r="BO82" s="144"/>
      <c r="BP82" s="63">
        <f t="shared" si="58"/>
        <v>58500</v>
      </c>
      <c r="BQ82" s="64">
        <f t="shared" si="59"/>
        <v>0.6451043746</v>
      </c>
    </row>
    <row r="83">
      <c r="A83" s="125" t="s">
        <v>18</v>
      </c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>
        <f t="shared" ref="AS83:BO83" si="60">SUM(AS81:AS82)</f>
        <v>1568</v>
      </c>
      <c r="AT83" s="119">
        <f t="shared" si="60"/>
        <v>4679</v>
      </c>
      <c r="AU83" s="119">
        <f t="shared" si="60"/>
        <v>6065</v>
      </c>
      <c r="AV83" s="119">
        <f t="shared" si="60"/>
        <v>5552</v>
      </c>
      <c r="AW83" s="119">
        <f t="shared" si="60"/>
        <v>3066</v>
      </c>
      <c r="AX83" s="119">
        <f t="shared" si="60"/>
        <v>1418</v>
      </c>
      <c r="AY83" s="119">
        <f t="shared" si="60"/>
        <v>1477</v>
      </c>
      <c r="AZ83" s="119">
        <f t="shared" si="60"/>
        <v>3418</v>
      </c>
      <c r="BA83" s="119">
        <f t="shared" si="60"/>
        <v>672</v>
      </c>
      <c r="BB83" s="119">
        <f t="shared" si="60"/>
        <v>20458</v>
      </c>
      <c r="BC83" s="119">
        <f t="shared" si="60"/>
        <v>23782</v>
      </c>
      <c r="BD83" s="119">
        <f t="shared" si="60"/>
        <v>2360</v>
      </c>
      <c r="BE83" s="119">
        <f t="shared" si="60"/>
        <v>1863</v>
      </c>
      <c r="BF83" s="119">
        <f t="shared" si="60"/>
        <v>4161</v>
      </c>
      <c r="BG83" s="119">
        <f t="shared" si="60"/>
        <v>5012</v>
      </c>
      <c r="BH83" s="119">
        <f t="shared" si="60"/>
        <v>5132</v>
      </c>
      <c r="BI83" s="119">
        <f t="shared" si="60"/>
        <v>0</v>
      </c>
      <c r="BJ83" s="119">
        <f t="shared" si="60"/>
        <v>0</v>
      </c>
      <c r="BK83" s="119">
        <f t="shared" si="60"/>
        <v>0</v>
      </c>
      <c r="BL83" s="119">
        <f t="shared" si="60"/>
        <v>0</v>
      </c>
      <c r="BM83" s="119">
        <f t="shared" si="60"/>
        <v>0</v>
      </c>
      <c r="BN83" s="119">
        <f t="shared" si="60"/>
        <v>0</v>
      </c>
      <c r="BO83" s="119">
        <f t="shared" si="60"/>
        <v>0</v>
      </c>
      <c r="BP83" s="110">
        <f t="shared" si="58"/>
        <v>90683</v>
      </c>
      <c r="BQ83" s="111">
        <f>SUM(BQ81:BQ82)</f>
        <v>1</v>
      </c>
    </row>
    <row r="84">
      <c r="A84" s="126" t="s">
        <v>41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83"/>
      <c r="BQ84" s="82"/>
    </row>
    <row r="85">
      <c r="A85" s="127" t="s">
        <v>31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79">
        <f t="shared" ref="AS85:BO85" si="61">iferror(AS81/AS$83,"")</f>
        <v>0.3163265306</v>
      </c>
      <c r="AT85" s="79">
        <f t="shared" si="61"/>
        <v>0.2677922633</v>
      </c>
      <c r="AU85" s="79">
        <f t="shared" si="61"/>
        <v>0.3249793899</v>
      </c>
      <c r="AV85" s="79">
        <f t="shared" si="61"/>
        <v>0.3533861671</v>
      </c>
      <c r="AW85" s="79">
        <f t="shared" si="61"/>
        <v>0.4178082192</v>
      </c>
      <c r="AX85" s="79">
        <f t="shared" si="61"/>
        <v>0.3695345557</v>
      </c>
      <c r="AY85" s="79">
        <f t="shared" si="61"/>
        <v>0.3358158429</v>
      </c>
      <c r="AZ85" s="79">
        <f t="shared" si="61"/>
        <v>0.1319485079</v>
      </c>
      <c r="BA85" s="79">
        <f t="shared" si="61"/>
        <v>0.400297619</v>
      </c>
      <c r="BB85" s="79">
        <f t="shared" si="61"/>
        <v>0.3926581288</v>
      </c>
      <c r="BC85" s="79">
        <f t="shared" si="61"/>
        <v>0.4145992768</v>
      </c>
      <c r="BD85" s="79">
        <f t="shared" si="61"/>
        <v>0.3745762712</v>
      </c>
      <c r="BE85" s="79">
        <f t="shared" si="61"/>
        <v>0.3387010199</v>
      </c>
      <c r="BF85" s="79">
        <f t="shared" si="61"/>
        <v>0.2773371786</v>
      </c>
      <c r="BG85" s="79">
        <f t="shared" si="61"/>
        <v>0.3052673583</v>
      </c>
      <c r="BH85" s="79">
        <f t="shared" si="61"/>
        <v>0.2704598597</v>
      </c>
      <c r="BI85" s="79" t="str">
        <f t="shared" si="61"/>
        <v/>
      </c>
      <c r="BJ85" s="79" t="str">
        <f t="shared" si="61"/>
        <v/>
      </c>
      <c r="BK85" s="79" t="str">
        <f t="shared" si="61"/>
        <v/>
      </c>
      <c r="BL85" s="79" t="str">
        <f t="shared" si="61"/>
        <v/>
      </c>
      <c r="BM85" s="79" t="str">
        <f t="shared" si="61"/>
        <v/>
      </c>
      <c r="BN85" s="79" t="str">
        <f t="shared" si="61"/>
        <v/>
      </c>
      <c r="BO85" s="79" t="str">
        <f t="shared" si="61"/>
        <v/>
      </c>
      <c r="BP85" s="83"/>
      <c r="BQ85" s="82"/>
    </row>
    <row r="86">
      <c r="A86" s="127" t="s">
        <v>32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79">
        <f t="shared" ref="AS86:BO86" si="62">iferror(AS82/AS$83,"")</f>
        <v>0.6836734694</v>
      </c>
      <c r="AT86" s="79">
        <f t="shared" si="62"/>
        <v>0.7322077367</v>
      </c>
      <c r="AU86" s="79">
        <f t="shared" si="62"/>
        <v>0.6750206101</v>
      </c>
      <c r="AV86" s="79">
        <f t="shared" si="62"/>
        <v>0.6466138329</v>
      </c>
      <c r="AW86" s="79">
        <f t="shared" si="62"/>
        <v>0.5821917808</v>
      </c>
      <c r="AX86" s="79">
        <f t="shared" si="62"/>
        <v>0.6304654443</v>
      </c>
      <c r="AY86" s="79">
        <f t="shared" si="62"/>
        <v>0.6641841571</v>
      </c>
      <c r="AZ86" s="79">
        <f t="shared" si="62"/>
        <v>0.8680514921</v>
      </c>
      <c r="BA86" s="79">
        <f t="shared" si="62"/>
        <v>0.599702381</v>
      </c>
      <c r="BB86" s="79">
        <f t="shared" si="62"/>
        <v>0.6073418712</v>
      </c>
      <c r="BC86" s="79">
        <f t="shared" si="62"/>
        <v>0.5854007232</v>
      </c>
      <c r="BD86" s="79">
        <f t="shared" si="62"/>
        <v>0.6254237288</v>
      </c>
      <c r="BE86" s="79">
        <f t="shared" si="62"/>
        <v>0.6612989801</v>
      </c>
      <c r="BF86" s="79">
        <f t="shared" si="62"/>
        <v>0.7226628214</v>
      </c>
      <c r="BG86" s="79">
        <f t="shared" si="62"/>
        <v>0.6947326417</v>
      </c>
      <c r="BH86" s="79">
        <f t="shared" si="62"/>
        <v>0.7295401403</v>
      </c>
      <c r="BI86" s="79" t="str">
        <f t="shared" si="62"/>
        <v/>
      </c>
      <c r="BJ86" s="79" t="str">
        <f t="shared" si="62"/>
        <v/>
      </c>
      <c r="BK86" s="79" t="str">
        <f t="shared" si="62"/>
        <v/>
      </c>
      <c r="BL86" s="79" t="str">
        <f t="shared" si="62"/>
        <v/>
      </c>
      <c r="BM86" s="79" t="str">
        <f t="shared" si="62"/>
        <v/>
      </c>
      <c r="BN86" s="79" t="str">
        <f t="shared" si="62"/>
        <v/>
      </c>
      <c r="BO86" s="79" t="str">
        <f t="shared" si="62"/>
        <v/>
      </c>
      <c r="BP86" s="83"/>
      <c r="BQ86" s="82"/>
    </row>
    <row r="87">
      <c r="A87" s="112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1"/>
      <c r="BQ87" s="122"/>
    </row>
    <row r="88">
      <c r="A88" s="85" t="s">
        <v>42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122"/>
      <c r="BQ88" s="122"/>
    </row>
    <row r="89">
      <c r="A89" s="124" t="s">
        <v>43</v>
      </c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44">
        <v>476.0</v>
      </c>
      <c r="AQ89" s="144">
        <v>721.0</v>
      </c>
      <c r="AR89" s="144">
        <v>53.0</v>
      </c>
      <c r="AS89" s="144">
        <v>68.0</v>
      </c>
      <c r="AT89" s="144">
        <v>54.0</v>
      </c>
      <c r="AU89" s="144">
        <v>110.0</v>
      </c>
      <c r="AV89" s="144">
        <f>IFERROR(__xludf.DUMMYFUNCTION("IMPORTRANGE(""1FsAayhXBhwQWWhxaeEf32srJkqMhPcXdSHpT-eTbsHA"",""PP - Data!AG35:AG40"")"),132.0)</f>
        <v>132</v>
      </c>
      <c r="AW89" s="144">
        <v>63.0</v>
      </c>
      <c r="AX89" s="144">
        <v>23.0</v>
      </c>
      <c r="AY89" s="144">
        <v>36.0</v>
      </c>
      <c r="AZ89" s="144">
        <v>20.0</v>
      </c>
      <c r="BA89" s="144">
        <v>9.0</v>
      </c>
      <c r="BB89" s="144">
        <v>446.0</v>
      </c>
      <c r="BC89" s="144">
        <v>663.0</v>
      </c>
      <c r="BD89" s="144">
        <v>28.0</v>
      </c>
      <c r="BE89" s="144">
        <v>17.0</v>
      </c>
      <c r="BF89" s="144">
        <v>34.0</v>
      </c>
      <c r="BG89" s="144">
        <v>84.0</v>
      </c>
      <c r="BH89" s="144">
        <f>IFERROR(__xludf.DUMMYFUNCTION("IMPORTRANGE(""1Z2ZLDM0_m0NNnV5_jRvcRNtM9Z5AZ7o_A94RnrBGQUE"",""PP - Data!AG35:AG40"")"),72.0)</f>
        <v>72</v>
      </c>
      <c r="BI89" s="144"/>
      <c r="BJ89" s="144"/>
      <c r="BK89" s="144"/>
      <c r="BL89" s="144"/>
      <c r="BM89" s="144"/>
      <c r="BN89" s="144"/>
      <c r="BO89" s="144"/>
      <c r="BP89" s="63">
        <f t="shared" ref="BP89:BP95" si="63">SUM(B89:BO89)</f>
        <v>3109</v>
      </c>
      <c r="BQ89" s="64">
        <f t="shared" ref="BQ89:BQ94" si="64">iferror(BP89/BP$95,"")</f>
        <v>0.02257577298</v>
      </c>
    </row>
    <row r="90">
      <c r="A90" s="124" t="s">
        <v>44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44">
        <v>2763.0</v>
      </c>
      <c r="AQ90" s="144">
        <v>3558.0</v>
      </c>
      <c r="AR90" s="144">
        <v>278.0</v>
      </c>
      <c r="AS90" s="144">
        <v>407.0</v>
      </c>
      <c r="AT90" s="144">
        <v>342.0</v>
      </c>
      <c r="AU90" s="144">
        <v>717.0</v>
      </c>
      <c r="AV90" s="144">
        <f>IFERROR(__xludf.DUMMYFUNCTION("""COMPUTED_VALUE"""),707.0)</f>
        <v>707</v>
      </c>
      <c r="AW90" s="144">
        <v>365.0</v>
      </c>
      <c r="AX90" s="144">
        <v>148.0</v>
      </c>
      <c r="AY90" s="144">
        <v>143.0</v>
      </c>
      <c r="AZ90" s="144">
        <v>195.0</v>
      </c>
      <c r="BA90" s="144">
        <v>64.0</v>
      </c>
      <c r="BB90" s="144">
        <v>2326.0</v>
      </c>
      <c r="BC90" s="144">
        <v>2700.0</v>
      </c>
      <c r="BD90" s="144">
        <v>149.0</v>
      </c>
      <c r="BE90" s="144">
        <v>102.0</v>
      </c>
      <c r="BF90" s="144">
        <v>266.0</v>
      </c>
      <c r="BG90" s="144">
        <v>439.0</v>
      </c>
      <c r="BH90" s="144">
        <f>IFERROR(__xludf.DUMMYFUNCTION("""COMPUTED_VALUE"""),431.0)</f>
        <v>431</v>
      </c>
      <c r="BI90" s="144"/>
      <c r="BJ90" s="144"/>
      <c r="BK90" s="144"/>
      <c r="BL90" s="144"/>
      <c r="BM90" s="144"/>
      <c r="BN90" s="144"/>
      <c r="BO90" s="144"/>
      <c r="BP90" s="63">
        <f t="shared" si="63"/>
        <v>16100</v>
      </c>
      <c r="BQ90" s="64">
        <f t="shared" si="64"/>
        <v>0.1169089562</v>
      </c>
    </row>
    <row r="91">
      <c r="A91" s="29" t="s">
        <v>45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44">
        <v>5073.0</v>
      </c>
      <c r="AQ91" s="144">
        <v>5661.0</v>
      </c>
      <c r="AR91" s="144">
        <v>641.0</v>
      </c>
      <c r="AS91" s="144">
        <v>815.0</v>
      </c>
      <c r="AT91" s="144">
        <v>921.0</v>
      </c>
      <c r="AU91" s="144">
        <v>1308.0</v>
      </c>
      <c r="AV91" s="144">
        <f>IFERROR(__xludf.DUMMYFUNCTION("""COMPUTED_VALUE"""),1380.0)</f>
        <v>1380</v>
      </c>
      <c r="AW91" s="144">
        <v>742.0</v>
      </c>
      <c r="AX91" s="144">
        <v>302.0</v>
      </c>
      <c r="AY91" s="144">
        <v>304.0</v>
      </c>
      <c r="AZ91" s="144">
        <v>632.0</v>
      </c>
      <c r="BA91" s="144">
        <v>115.0</v>
      </c>
      <c r="BB91" s="144">
        <v>4700.0</v>
      </c>
      <c r="BC91" s="144">
        <v>5255.0</v>
      </c>
      <c r="BD91" s="144">
        <v>369.0</v>
      </c>
      <c r="BE91" s="144">
        <v>302.0</v>
      </c>
      <c r="BF91" s="144">
        <v>664.0</v>
      </c>
      <c r="BG91" s="144">
        <v>1039.0</v>
      </c>
      <c r="BH91" s="144">
        <f>IFERROR(__xludf.DUMMYFUNCTION("""COMPUTED_VALUE"""),1084.0)</f>
        <v>1084</v>
      </c>
      <c r="BI91" s="144"/>
      <c r="BJ91" s="144"/>
      <c r="BK91" s="144"/>
      <c r="BL91" s="144"/>
      <c r="BM91" s="144"/>
      <c r="BN91" s="144"/>
      <c r="BO91" s="144"/>
      <c r="BP91" s="63">
        <f t="shared" si="63"/>
        <v>31307</v>
      </c>
      <c r="BQ91" s="64">
        <f t="shared" si="64"/>
        <v>0.2273334592</v>
      </c>
    </row>
    <row r="92">
      <c r="A92" s="27" t="s">
        <v>46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144">
        <v>5222.0</v>
      </c>
      <c r="AQ92" s="144">
        <v>5347.0</v>
      </c>
      <c r="AR92" s="144">
        <v>816.0</v>
      </c>
      <c r="AS92" s="144">
        <v>922.0</v>
      </c>
      <c r="AT92" s="144">
        <v>1028.0</v>
      </c>
      <c r="AU92" s="144">
        <v>1407.0</v>
      </c>
      <c r="AV92" s="144">
        <f>IFERROR(__xludf.DUMMYFUNCTION("""COMPUTED_VALUE"""),1413.0)</f>
        <v>1413</v>
      </c>
      <c r="AW92" s="144">
        <v>769.0</v>
      </c>
      <c r="AX92" s="144">
        <v>307.0</v>
      </c>
      <c r="AY92" s="144">
        <v>318.0</v>
      </c>
      <c r="AZ92" s="144">
        <v>826.0</v>
      </c>
      <c r="BA92" s="144">
        <v>140.0</v>
      </c>
      <c r="BB92" s="144">
        <v>4860.0</v>
      </c>
      <c r="BC92" s="144">
        <v>5664.0</v>
      </c>
      <c r="BD92" s="144">
        <v>491.0</v>
      </c>
      <c r="BE92" s="144">
        <v>369.0</v>
      </c>
      <c r="BF92" s="144">
        <v>905.0</v>
      </c>
      <c r="BG92" s="144">
        <v>1161.0</v>
      </c>
      <c r="BH92" s="144">
        <f>IFERROR(__xludf.DUMMYFUNCTION("""COMPUTED_VALUE"""),1235.0)</f>
        <v>1235</v>
      </c>
      <c r="BI92" s="144"/>
      <c r="BJ92" s="144"/>
      <c r="BK92" s="144"/>
      <c r="BL92" s="144"/>
      <c r="BM92" s="144"/>
      <c r="BN92" s="144"/>
      <c r="BO92" s="144"/>
      <c r="BP92" s="63">
        <f t="shared" si="63"/>
        <v>33200</v>
      </c>
      <c r="BQ92" s="64">
        <f t="shared" si="64"/>
        <v>0.2410793383</v>
      </c>
    </row>
    <row r="93">
      <c r="A93" s="27" t="s">
        <v>47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44">
        <v>3642.0</v>
      </c>
      <c r="AQ93" s="144">
        <v>3842.0</v>
      </c>
      <c r="AR93" s="144">
        <v>893.0</v>
      </c>
      <c r="AS93" s="144">
        <v>1053.0</v>
      </c>
      <c r="AT93" s="144">
        <v>1094.0</v>
      </c>
      <c r="AU93" s="144">
        <v>1325.0</v>
      </c>
      <c r="AV93" s="144">
        <f>IFERROR(__xludf.DUMMYFUNCTION("""COMPUTED_VALUE"""),1102.0)</f>
        <v>1102</v>
      </c>
      <c r="AW93" s="144">
        <v>629.0</v>
      </c>
      <c r="AX93" s="144">
        <v>305.0</v>
      </c>
      <c r="AY93" s="144">
        <v>316.0</v>
      </c>
      <c r="AZ93" s="144">
        <v>858.0</v>
      </c>
      <c r="BA93" s="144">
        <v>143.0</v>
      </c>
      <c r="BB93" s="144">
        <v>4382.0</v>
      </c>
      <c r="BC93" s="144">
        <v>4985.0</v>
      </c>
      <c r="BD93" s="144">
        <v>597.0</v>
      </c>
      <c r="BE93" s="144">
        <v>497.0</v>
      </c>
      <c r="BF93" s="144">
        <v>1097.0</v>
      </c>
      <c r="BG93" s="144">
        <v>1130.0</v>
      </c>
      <c r="BH93" s="144">
        <f>IFERROR(__xludf.DUMMYFUNCTION("""COMPUTED_VALUE"""),1169.0)</f>
        <v>1169</v>
      </c>
      <c r="BI93" s="144"/>
      <c r="BJ93" s="144"/>
      <c r="BK93" s="144"/>
      <c r="BL93" s="144"/>
      <c r="BM93" s="144"/>
      <c r="BN93" s="144"/>
      <c r="BO93" s="144"/>
      <c r="BP93" s="63">
        <f t="shared" si="63"/>
        <v>29059</v>
      </c>
      <c r="BQ93" s="64">
        <f t="shared" si="64"/>
        <v>0.2110097739</v>
      </c>
    </row>
    <row r="94">
      <c r="A94" s="27" t="s">
        <v>48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44">
        <v>2159.0</v>
      </c>
      <c r="AQ94" s="144">
        <v>2278.0</v>
      </c>
      <c r="AR94" s="144">
        <v>911.0</v>
      </c>
      <c r="AS94" s="144">
        <v>1000.0</v>
      </c>
      <c r="AT94" s="144">
        <v>1240.0</v>
      </c>
      <c r="AU94" s="144">
        <v>1198.0</v>
      </c>
      <c r="AV94" s="144">
        <f>IFERROR(__xludf.DUMMYFUNCTION("""COMPUTED_VALUE"""),818.0)</f>
        <v>818</v>
      </c>
      <c r="AW94" s="144">
        <v>498.0</v>
      </c>
      <c r="AX94" s="144">
        <v>333.0</v>
      </c>
      <c r="AY94" s="144">
        <v>360.0</v>
      </c>
      <c r="AZ94" s="144">
        <v>887.0</v>
      </c>
      <c r="BA94" s="144">
        <v>201.0</v>
      </c>
      <c r="BB94" s="144">
        <v>3744.0</v>
      </c>
      <c r="BC94" s="144">
        <v>4515.0</v>
      </c>
      <c r="BD94" s="144">
        <v>726.0</v>
      </c>
      <c r="BE94" s="144">
        <v>576.0</v>
      </c>
      <c r="BF94" s="144">
        <v>1195.0</v>
      </c>
      <c r="BG94" s="144">
        <v>1159.0</v>
      </c>
      <c r="BH94" s="144">
        <f>IFERROR(__xludf.DUMMYFUNCTION("""COMPUTED_VALUE"""),1141.0)</f>
        <v>1141</v>
      </c>
      <c r="BI94" s="144"/>
      <c r="BJ94" s="144"/>
      <c r="BK94" s="144"/>
      <c r="BL94" s="144"/>
      <c r="BM94" s="144"/>
      <c r="BN94" s="144"/>
      <c r="BO94" s="144"/>
      <c r="BP94" s="63">
        <f t="shared" si="63"/>
        <v>24939</v>
      </c>
      <c r="BQ94" s="64">
        <f t="shared" si="64"/>
        <v>0.1810926994</v>
      </c>
    </row>
    <row r="95">
      <c r="A95" s="129" t="s">
        <v>42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9">
        <f t="shared" ref="AP95:BO95" si="65">SUM(AP89:AP94)</f>
        <v>19335</v>
      </c>
      <c r="AQ95" s="109">
        <f t="shared" si="65"/>
        <v>21407</v>
      </c>
      <c r="AR95" s="109">
        <f t="shared" si="65"/>
        <v>3592</v>
      </c>
      <c r="AS95" s="109">
        <f t="shared" si="65"/>
        <v>4265</v>
      </c>
      <c r="AT95" s="109">
        <f t="shared" si="65"/>
        <v>4679</v>
      </c>
      <c r="AU95" s="109">
        <f t="shared" si="65"/>
        <v>6065</v>
      </c>
      <c r="AV95" s="109">
        <f t="shared" si="65"/>
        <v>5552</v>
      </c>
      <c r="AW95" s="109">
        <f t="shared" si="65"/>
        <v>3066</v>
      </c>
      <c r="AX95" s="109">
        <f t="shared" si="65"/>
        <v>1418</v>
      </c>
      <c r="AY95" s="109">
        <f t="shared" si="65"/>
        <v>1477</v>
      </c>
      <c r="AZ95" s="109">
        <f t="shared" si="65"/>
        <v>3418</v>
      </c>
      <c r="BA95" s="109">
        <f t="shared" si="65"/>
        <v>672</v>
      </c>
      <c r="BB95" s="109">
        <f t="shared" si="65"/>
        <v>20458</v>
      </c>
      <c r="BC95" s="109">
        <f t="shared" si="65"/>
        <v>23782</v>
      </c>
      <c r="BD95" s="109">
        <f t="shared" si="65"/>
        <v>2360</v>
      </c>
      <c r="BE95" s="109">
        <f t="shared" si="65"/>
        <v>1863</v>
      </c>
      <c r="BF95" s="109">
        <f t="shared" si="65"/>
        <v>4161</v>
      </c>
      <c r="BG95" s="109">
        <f t="shared" si="65"/>
        <v>5012</v>
      </c>
      <c r="BH95" s="109">
        <f t="shared" si="65"/>
        <v>5132</v>
      </c>
      <c r="BI95" s="109">
        <f t="shared" si="65"/>
        <v>0</v>
      </c>
      <c r="BJ95" s="109">
        <f t="shared" si="65"/>
        <v>0</v>
      </c>
      <c r="BK95" s="109">
        <f t="shared" si="65"/>
        <v>0</v>
      </c>
      <c r="BL95" s="109">
        <f t="shared" si="65"/>
        <v>0</v>
      </c>
      <c r="BM95" s="109">
        <f t="shared" si="65"/>
        <v>0</v>
      </c>
      <c r="BN95" s="109">
        <f t="shared" si="65"/>
        <v>0</v>
      </c>
      <c r="BO95" s="109">
        <f t="shared" si="65"/>
        <v>0</v>
      </c>
      <c r="BP95" s="110">
        <f t="shared" si="63"/>
        <v>137714</v>
      </c>
      <c r="BQ95" s="111">
        <f>SUM(BQ89:BQ94)</f>
        <v>1</v>
      </c>
    </row>
    <row r="96">
      <c r="A96" s="126" t="s">
        <v>42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122"/>
      <c r="BQ96" s="122"/>
    </row>
    <row r="97">
      <c r="A97" s="127" t="s">
        <v>43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79">
        <f t="shared" ref="AP97:BO97" si="66">iferror(AP89/AP$95,"")</f>
        <v>0.02461856736</v>
      </c>
      <c r="AQ97" s="79">
        <f t="shared" si="66"/>
        <v>0.03368057178</v>
      </c>
      <c r="AR97" s="79">
        <f t="shared" si="66"/>
        <v>0.01475501114</v>
      </c>
      <c r="AS97" s="79">
        <f t="shared" si="66"/>
        <v>0.01594372802</v>
      </c>
      <c r="AT97" s="79">
        <f t="shared" si="66"/>
        <v>0.01154092755</v>
      </c>
      <c r="AU97" s="79">
        <f t="shared" si="66"/>
        <v>0.01813685078</v>
      </c>
      <c r="AV97" s="79">
        <f t="shared" si="66"/>
        <v>0.02377521614</v>
      </c>
      <c r="AW97" s="79">
        <f t="shared" si="66"/>
        <v>0.02054794521</v>
      </c>
      <c r="AX97" s="79">
        <f t="shared" si="66"/>
        <v>0.01622002821</v>
      </c>
      <c r="AY97" s="79">
        <f t="shared" si="66"/>
        <v>0.02437373053</v>
      </c>
      <c r="AZ97" s="79">
        <f t="shared" si="66"/>
        <v>0.005851375073</v>
      </c>
      <c r="BA97" s="79">
        <f t="shared" si="66"/>
        <v>0.01339285714</v>
      </c>
      <c r="BB97" s="79">
        <f t="shared" si="66"/>
        <v>0.02180076254</v>
      </c>
      <c r="BC97" s="79">
        <f t="shared" si="66"/>
        <v>0.02787822723</v>
      </c>
      <c r="BD97" s="79">
        <f t="shared" si="66"/>
        <v>0.01186440678</v>
      </c>
      <c r="BE97" s="79">
        <f t="shared" si="66"/>
        <v>0.009125067096</v>
      </c>
      <c r="BF97" s="79">
        <f t="shared" si="66"/>
        <v>0.008171112713</v>
      </c>
      <c r="BG97" s="79">
        <f t="shared" si="66"/>
        <v>0.01675977654</v>
      </c>
      <c r="BH97" s="79">
        <f t="shared" si="66"/>
        <v>0.01402961808</v>
      </c>
      <c r="BI97" s="79" t="str">
        <f t="shared" si="66"/>
        <v/>
      </c>
      <c r="BJ97" s="79" t="str">
        <f t="shared" si="66"/>
        <v/>
      </c>
      <c r="BK97" s="79" t="str">
        <f t="shared" si="66"/>
        <v/>
      </c>
      <c r="BL97" s="79" t="str">
        <f t="shared" si="66"/>
        <v/>
      </c>
      <c r="BM97" s="79" t="str">
        <f t="shared" si="66"/>
        <v/>
      </c>
      <c r="BN97" s="79" t="str">
        <f t="shared" si="66"/>
        <v/>
      </c>
      <c r="BO97" s="79" t="str">
        <f t="shared" si="66"/>
        <v/>
      </c>
      <c r="BP97" s="122"/>
      <c r="BQ97" s="122"/>
    </row>
    <row r="98">
      <c r="A98" s="127" t="s">
        <v>44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79">
        <f t="shared" ref="AP98:BO98" si="67">iferror(AP90/AP$95,"")</f>
        <v>0.142901474</v>
      </c>
      <c r="AQ98" s="79">
        <f t="shared" si="67"/>
        <v>0.1662073154</v>
      </c>
      <c r="AR98" s="79">
        <f t="shared" si="67"/>
        <v>0.07739420935</v>
      </c>
      <c r="AS98" s="79">
        <f t="shared" si="67"/>
        <v>0.09542790152</v>
      </c>
      <c r="AT98" s="79">
        <f t="shared" si="67"/>
        <v>0.07309254114</v>
      </c>
      <c r="AU98" s="79">
        <f t="shared" si="67"/>
        <v>0.118219291</v>
      </c>
      <c r="AV98" s="79">
        <f t="shared" si="67"/>
        <v>0.1273414986</v>
      </c>
      <c r="AW98" s="79">
        <f t="shared" si="67"/>
        <v>0.119047619</v>
      </c>
      <c r="AX98" s="79">
        <f t="shared" si="67"/>
        <v>0.1043723554</v>
      </c>
      <c r="AY98" s="79">
        <f t="shared" si="67"/>
        <v>0.09681787407</v>
      </c>
      <c r="AZ98" s="79">
        <f t="shared" si="67"/>
        <v>0.05705090696</v>
      </c>
      <c r="BA98" s="79">
        <f t="shared" si="67"/>
        <v>0.09523809524</v>
      </c>
      <c r="BB98" s="79">
        <f t="shared" si="67"/>
        <v>0.1136963535</v>
      </c>
      <c r="BC98" s="79">
        <f t="shared" si="67"/>
        <v>0.1135312421</v>
      </c>
      <c r="BD98" s="79">
        <f t="shared" si="67"/>
        <v>0.06313559322</v>
      </c>
      <c r="BE98" s="79">
        <f t="shared" si="67"/>
        <v>0.05475040258</v>
      </c>
      <c r="BF98" s="79">
        <f t="shared" si="67"/>
        <v>0.06392694064</v>
      </c>
      <c r="BG98" s="79">
        <f t="shared" si="67"/>
        <v>0.08758978452</v>
      </c>
      <c r="BH98" s="79">
        <f t="shared" si="67"/>
        <v>0.08398285269</v>
      </c>
      <c r="BI98" s="79" t="str">
        <f t="shared" si="67"/>
        <v/>
      </c>
      <c r="BJ98" s="79" t="str">
        <f t="shared" si="67"/>
        <v/>
      </c>
      <c r="BK98" s="79" t="str">
        <f t="shared" si="67"/>
        <v/>
      </c>
      <c r="BL98" s="79" t="str">
        <f t="shared" si="67"/>
        <v/>
      </c>
      <c r="BM98" s="79" t="str">
        <f t="shared" si="67"/>
        <v/>
      </c>
      <c r="BN98" s="79" t="str">
        <f t="shared" si="67"/>
        <v/>
      </c>
      <c r="BO98" s="79" t="str">
        <f t="shared" si="67"/>
        <v/>
      </c>
      <c r="BP98" s="122"/>
      <c r="BQ98" s="122"/>
    </row>
    <row r="99">
      <c r="A99" s="130" t="s">
        <v>45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79">
        <f t="shared" ref="AP99:BO99" si="68">iferror(AP91/AP$95,"")</f>
        <v>0.2623739333</v>
      </c>
      <c r="AQ99" s="79">
        <f t="shared" si="68"/>
        <v>0.2644462092</v>
      </c>
      <c r="AR99" s="79">
        <f t="shared" si="68"/>
        <v>0.1784521158</v>
      </c>
      <c r="AS99" s="79">
        <f t="shared" si="68"/>
        <v>0.1910902696</v>
      </c>
      <c r="AT99" s="79">
        <f t="shared" si="68"/>
        <v>0.196836931</v>
      </c>
      <c r="AU99" s="79">
        <f t="shared" si="68"/>
        <v>0.2156636439</v>
      </c>
      <c r="AV99" s="79">
        <f t="shared" si="68"/>
        <v>0.2485590778</v>
      </c>
      <c r="AW99" s="79">
        <f t="shared" si="68"/>
        <v>0.2420091324</v>
      </c>
      <c r="AX99" s="79">
        <f t="shared" si="68"/>
        <v>0.2129760226</v>
      </c>
      <c r="AY99" s="79">
        <f t="shared" si="68"/>
        <v>0.2058226134</v>
      </c>
      <c r="AZ99" s="79">
        <f t="shared" si="68"/>
        <v>0.1849034523</v>
      </c>
      <c r="BA99" s="79">
        <f t="shared" si="68"/>
        <v>0.1711309524</v>
      </c>
      <c r="BB99" s="79">
        <f t="shared" si="68"/>
        <v>0.2297389774</v>
      </c>
      <c r="BC99" s="79">
        <f t="shared" si="68"/>
        <v>0.220965436</v>
      </c>
      <c r="BD99" s="79">
        <f t="shared" si="68"/>
        <v>0.1563559322</v>
      </c>
      <c r="BE99" s="79">
        <f t="shared" si="68"/>
        <v>0.1621041331</v>
      </c>
      <c r="BF99" s="79">
        <f t="shared" si="68"/>
        <v>0.1595770248</v>
      </c>
      <c r="BG99" s="79">
        <f t="shared" si="68"/>
        <v>0.2073024741</v>
      </c>
      <c r="BH99" s="79">
        <f t="shared" si="68"/>
        <v>0.2112236945</v>
      </c>
      <c r="BI99" s="79" t="str">
        <f t="shared" si="68"/>
        <v/>
      </c>
      <c r="BJ99" s="79" t="str">
        <f t="shared" si="68"/>
        <v/>
      </c>
      <c r="BK99" s="79" t="str">
        <f t="shared" si="68"/>
        <v/>
      </c>
      <c r="BL99" s="79" t="str">
        <f t="shared" si="68"/>
        <v/>
      </c>
      <c r="BM99" s="79" t="str">
        <f t="shared" si="68"/>
        <v/>
      </c>
      <c r="BN99" s="79" t="str">
        <f t="shared" si="68"/>
        <v/>
      </c>
      <c r="BO99" s="79" t="str">
        <f t="shared" si="68"/>
        <v/>
      </c>
      <c r="BP99" s="122"/>
      <c r="BQ99" s="122"/>
    </row>
    <row r="100">
      <c r="A100" s="130" t="s">
        <v>46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79">
        <f t="shared" ref="AP100:BO100" si="69">iferror(AP92/AP$95,"")</f>
        <v>0.2700801655</v>
      </c>
      <c r="AQ100" s="79">
        <f t="shared" si="69"/>
        <v>0.24977811</v>
      </c>
      <c r="AR100" s="79">
        <f t="shared" si="69"/>
        <v>0.2271714922</v>
      </c>
      <c r="AS100" s="79">
        <f t="shared" si="69"/>
        <v>0.2161781946</v>
      </c>
      <c r="AT100" s="79">
        <f t="shared" si="69"/>
        <v>0.2197050652</v>
      </c>
      <c r="AU100" s="79">
        <f t="shared" si="69"/>
        <v>0.2319868096</v>
      </c>
      <c r="AV100" s="79">
        <f t="shared" si="69"/>
        <v>0.2545028818</v>
      </c>
      <c r="AW100" s="79">
        <f t="shared" si="69"/>
        <v>0.2508153947</v>
      </c>
      <c r="AX100" s="79">
        <f t="shared" si="69"/>
        <v>0.2165021157</v>
      </c>
      <c r="AY100" s="79">
        <f t="shared" si="69"/>
        <v>0.2153012864</v>
      </c>
      <c r="AZ100" s="79">
        <f t="shared" si="69"/>
        <v>0.2416617905</v>
      </c>
      <c r="BA100" s="79">
        <f t="shared" si="69"/>
        <v>0.2083333333</v>
      </c>
      <c r="BB100" s="79">
        <f t="shared" si="69"/>
        <v>0.2375598788</v>
      </c>
      <c r="BC100" s="79">
        <f t="shared" si="69"/>
        <v>0.2381633168</v>
      </c>
      <c r="BD100" s="79">
        <f t="shared" si="69"/>
        <v>0.2080508475</v>
      </c>
      <c r="BE100" s="79">
        <f t="shared" si="69"/>
        <v>0.1980676329</v>
      </c>
      <c r="BF100" s="79">
        <f t="shared" si="69"/>
        <v>0.2174957943</v>
      </c>
      <c r="BG100" s="79">
        <f t="shared" si="69"/>
        <v>0.2316440543</v>
      </c>
      <c r="BH100" s="79">
        <f t="shared" si="69"/>
        <v>0.2406469213</v>
      </c>
      <c r="BI100" s="79" t="str">
        <f t="shared" si="69"/>
        <v/>
      </c>
      <c r="BJ100" s="79" t="str">
        <f t="shared" si="69"/>
        <v/>
      </c>
      <c r="BK100" s="79" t="str">
        <f t="shared" si="69"/>
        <v/>
      </c>
      <c r="BL100" s="79" t="str">
        <f t="shared" si="69"/>
        <v/>
      </c>
      <c r="BM100" s="79" t="str">
        <f t="shared" si="69"/>
        <v/>
      </c>
      <c r="BN100" s="79" t="str">
        <f t="shared" si="69"/>
        <v/>
      </c>
      <c r="BO100" s="79" t="str">
        <f t="shared" si="69"/>
        <v/>
      </c>
      <c r="BP100" s="122"/>
      <c r="BQ100" s="122"/>
    </row>
    <row r="101">
      <c r="A101" s="130" t="s">
        <v>47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79">
        <f t="shared" ref="AP101:BO101" si="70">iferror(AP93/AP$95,"")</f>
        <v>0.1883630721</v>
      </c>
      <c r="AQ101" s="79">
        <f t="shared" si="70"/>
        <v>0.1794740038</v>
      </c>
      <c r="AR101" s="79">
        <f t="shared" si="70"/>
        <v>0.2486080178</v>
      </c>
      <c r="AS101" s="79">
        <f t="shared" si="70"/>
        <v>0.2468933177</v>
      </c>
      <c r="AT101" s="79">
        <f t="shared" si="70"/>
        <v>0.2338106433</v>
      </c>
      <c r="AU101" s="79">
        <f t="shared" si="70"/>
        <v>0.2184666117</v>
      </c>
      <c r="AV101" s="79">
        <f t="shared" si="70"/>
        <v>0.1984870317</v>
      </c>
      <c r="AW101" s="79">
        <f t="shared" si="70"/>
        <v>0.2051532942</v>
      </c>
      <c r="AX101" s="79">
        <f t="shared" si="70"/>
        <v>0.2150916784</v>
      </c>
      <c r="AY101" s="79">
        <f t="shared" si="70"/>
        <v>0.2139471903</v>
      </c>
      <c r="AZ101" s="79">
        <f t="shared" si="70"/>
        <v>0.2510239906</v>
      </c>
      <c r="BA101" s="79">
        <f t="shared" si="70"/>
        <v>0.212797619</v>
      </c>
      <c r="BB101" s="79">
        <f t="shared" si="70"/>
        <v>0.214194936</v>
      </c>
      <c r="BC101" s="79">
        <f t="shared" si="70"/>
        <v>0.2096123118</v>
      </c>
      <c r="BD101" s="79">
        <f t="shared" si="70"/>
        <v>0.2529661017</v>
      </c>
      <c r="BE101" s="79">
        <f t="shared" si="70"/>
        <v>0.2667740204</v>
      </c>
      <c r="BF101" s="79">
        <f t="shared" si="70"/>
        <v>0.2636385484</v>
      </c>
      <c r="BG101" s="79">
        <f t="shared" si="70"/>
        <v>0.2254588986</v>
      </c>
      <c r="BH101" s="79">
        <f t="shared" si="70"/>
        <v>0.227786438</v>
      </c>
      <c r="BI101" s="79" t="str">
        <f t="shared" si="70"/>
        <v/>
      </c>
      <c r="BJ101" s="79" t="str">
        <f t="shared" si="70"/>
        <v/>
      </c>
      <c r="BK101" s="79" t="str">
        <f t="shared" si="70"/>
        <v/>
      </c>
      <c r="BL101" s="79" t="str">
        <f t="shared" si="70"/>
        <v/>
      </c>
      <c r="BM101" s="79" t="str">
        <f t="shared" si="70"/>
        <v/>
      </c>
      <c r="BN101" s="79" t="str">
        <f t="shared" si="70"/>
        <v/>
      </c>
      <c r="BO101" s="79" t="str">
        <f t="shared" si="70"/>
        <v/>
      </c>
      <c r="BP101" s="122"/>
      <c r="BQ101" s="122"/>
    </row>
    <row r="102">
      <c r="A102" s="130" t="s">
        <v>48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79">
        <f t="shared" ref="AP102:BO102" si="71">iferror(AP94/AP$95,"")</f>
        <v>0.1116627877</v>
      </c>
      <c r="AQ102" s="79">
        <f t="shared" si="71"/>
        <v>0.1064137899</v>
      </c>
      <c r="AR102" s="79">
        <f t="shared" si="71"/>
        <v>0.2536191537</v>
      </c>
      <c r="AS102" s="79">
        <f t="shared" si="71"/>
        <v>0.2344665885</v>
      </c>
      <c r="AT102" s="79">
        <f t="shared" si="71"/>
        <v>0.2650138919</v>
      </c>
      <c r="AU102" s="79">
        <f t="shared" si="71"/>
        <v>0.1975267931</v>
      </c>
      <c r="AV102" s="79">
        <f t="shared" si="71"/>
        <v>0.1473342939</v>
      </c>
      <c r="AW102" s="79">
        <f t="shared" si="71"/>
        <v>0.1624266145</v>
      </c>
      <c r="AX102" s="79">
        <f t="shared" si="71"/>
        <v>0.2348377997</v>
      </c>
      <c r="AY102" s="79">
        <f t="shared" si="71"/>
        <v>0.2437373053</v>
      </c>
      <c r="AZ102" s="79">
        <f t="shared" si="71"/>
        <v>0.2595084845</v>
      </c>
      <c r="BA102" s="79">
        <f t="shared" si="71"/>
        <v>0.2991071429</v>
      </c>
      <c r="BB102" s="79">
        <f t="shared" si="71"/>
        <v>0.1830090918</v>
      </c>
      <c r="BC102" s="79">
        <f t="shared" si="71"/>
        <v>0.189849466</v>
      </c>
      <c r="BD102" s="79">
        <f t="shared" si="71"/>
        <v>0.3076271186</v>
      </c>
      <c r="BE102" s="79">
        <f t="shared" si="71"/>
        <v>0.309178744</v>
      </c>
      <c r="BF102" s="79">
        <f t="shared" si="71"/>
        <v>0.2871905792</v>
      </c>
      <c r="BG102" s="79">
        <f t="shared" si="71"/>
        <v>0.231245012</v>
      </c>
      <c r="BH102" s="79">
        <f t="shared" si="71"/>
        <v>0.2223304754</v>
      </c>
      <c r="BI102" s="79" t="str">
        <f t="shared" si="71"/>
        <v/>
      </c>
      <c r="BJ102" s="79" t="str">
        <f t="shared" si="71"/>
        <v/>
      </c>
      <c r="BK102" s="79" t="str">
        <f t="shared" si="71"/>
        <v/>
      </c>
      <c r="BL102" s="79" t="str">
        <f t="shared" si="71"/>
        <v/>
      </c>
      <c r="BM102" s="79" t="str">
        <f t="shared" si="71"/>
        <v/>
      </c>
      <c r="BN102" s="79" t="str">
        <f t="shared" si="71"/>
        <v/>
      </c>
      <c r="BO102" s="79" t="str">
        <f t="shared" si="71"/>
        <v/>
      </c>
      <c r="BP102" s="122"/>
      <c r="BQ102" s="122"/>
    </row>
    <row r="103">
      <c r="A103" s="112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22"/>
      <c r="BQ103" s="122"/>
    </row>
    <row r="104">
      <c r="A104" s="123" t="s">
        <v>49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122"/>
      <c r="BQ104" s="122"/>
    </row>
    <row r="105">
      <c r="A105" s="124" t="s">
        <v>50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2"/>
      <c r="O105" s="92"/>
      <c r="P105" s="92"/>
      <c r="Q105" s="92"/>
      <c r="R105" s="92"/>
      <c r="S105" s="92"/>
      <c r="T105" s="92"/>
      <c r="U105" s="90"/>
      <c r="V105" s="90"/>
      <c r="W105" s="90"/>
      <c r="X105" s="90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144">
        <v>7419.0</v>
      </c>
      <c r="AQ105" s="144">
        <v>9569.0</v>
      </c>
      <c r="AR105" s="144">
        <v>1473.0</v>
      </c>
      <c r="AS105" s="144">
        <v>1623.0</v>
      </c>
      <c r="AT105" s="144">
        <v>1840.0</v>
      </c>
      <c r="AU105" s="144">
        <v>2714.0</v>
      </c>
      <c r="AV105" s="144">
        <f>IFERROR(__xludf.DUMMYFUNCTION("IMPORTRANGE(""1FsAayhXBhwQWWhxaeEf32srJkqMhPcXdSHpT-eTbsHA"",""PP - Data!AG51:AG52"")"),2626.0)</f>
        <v>2626</v>
      </c>
      <c r="AW105" s="144">
        <v>882.0</v>
      </c>
      <c r="AX105" s="144">
        <v>543.0</v>
      </c>
      <c r="AY105" s="144">
        <v>575.0</v>
      </c>
      <c r="AZ105" s="144">
        <v>1677.0</v>
      </c>
      <c r="BA105" s="144">
        <v>283.0</v>
      </c>
      <c r="BB105" s="144">
        <v>8536.0</v>
      </c>
      <c r="BC105" s="144">
        <v>12094.0</v>
      </c>
      <c r="BD105" s="144">
        <v>1002.0</v>
      </c>
      <c r="BE105" s="144">
        <v>804.0</v>
      </c>
      <c r="BF105" s="144">
        <v>1707.0</v>
      </c>
      <c r="BG105" s="144">
        <v>2465.0</v>
      </c>
      <c r="BH105" s="144">
        <f>IFERROR(__xludf.DUMMYFUNCTION("IMPORTRANGE(""1Z2ZLDM0_m0NNnV5_jRvcRNtM9Z5AZ7o_A94RnrBGQUE"",""PP - Data!AG51:AG52"")"),2512.0)</f>
        <v>2512</v>
      </c>
      <c r="BI105" s="144"/>
      <c r="BJ105" s="144"/>
      <c r="BK105" s="144"/>
      <c r="BL105" s="144"/>
      <c r="BM105" s="144"/>
      <c r="BN105" s="144"/>
      <c r="BO105" s="144"/>
      <c r="BP105" s="63">
        <f t="shared" ref="BP105:BP107" si="72">SUM(B105:BO105)</f>
        <v>60344</v>
      </c>
      <c r="BQ105" s="64">
        <f t="shared" ref="BQ105:BQ106" si="73">iferror(BP105/BP$107,"")</f>
        <v>0.4381834817</v>
      </c>
    </row>
    <row r="106">
      <c r="A106" s="29" t="s">
        <v>51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144">
        <v>11916.0</v>
      </c>
      <c r="AQ106" s="144">
        <v>11838.0</v>
      </c>
      <c r="AR106" s="144">
        <v>2119.0</v>
      </c>
      <c r="AS106" s="144">
        <v>2642.0</v>
      </c>
      <c r="AT106" s="144">
        <v>2839.0</v>
      </c>
      <c r="AU106" s="144">
        <v>3351.0</v>
      </c>
      <c r="AV106" s="144">
        <f>IFERROR(__xludf.DUMMYFUNCTION("""COMPUTED_VALUE"""),2926.0)</f>
        <v>2926</v>
      </c>
      <c r="AW106" s="144">
        <v>2184.0</v>
      </c>
      <c r="AX106" s="144">
        <v>875.0</v>
      </c>
      <c r="AY106" s="144">
        <v>902.0</v>
      </c>
      <c r="AZ106" s="144">
        <v>1741.0</v>
      </c>
      <c r="BA106" s="144">
        <v>389.0</v>
      </c>
      <c r="BB106" s="144">
        <v>11922.0</v>
      </c>
      <c r="BC106" s="144">
        <v>11688.0</v>
      </c>
      <c r="BD106" s="144">
        <v>1358.0</v>
      </c>
      <c r="BE106" s="144">
        <v>1059.0</v>
      </c>
      <c r="BF106" s="144">
        <v>2454.0</v>
      </c>
      <c r="BG106" s="144">
        <v>2547.0</v>
      </c>
      <c r="BH106" s="144">
        <f>IFERROR(__xludf.DUMMYFUNCTION("""COMPUTED_VALUE"""),2620.0)</f>
        <v>2620</v>
      </c>
      <c r="BI106" s="144"/>
      <c r="BJ106" s="144"/>
      <c r="BK106" s="144"/>
      <c r="BL106" s="144"/>
      <c r="BM106" s="144"/>
      <c r="BN106" s="144"/>
      <c r="BO106" s="144"/>
      <c r="BP106" s="63">
        <f t="shared" si="72"/>
        <v>77370</v>
      </c>
      <c r="BQ106" s="64">
        <f t="shared" si="73"/>
        <v>0.5618165183</v>
      </c>
    </row>
    <row r="107">
      <c r="A107" s="129" t="s">
        <v>18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09">
        <f t="shared" ref="AP107:BO107" si="74">SUM(AP105:AP106)</f>
        <v>19335</v>
      </c>
      <c r="AQ107" s="109">
        <f t="shared" si="74"/>
        <v>21407</v>
      </c>
      <c r="AR107" s="109">
        <f t="shared" si="74"/>
        <v>3592</v>
      </c>
      <c r="AS107" s="109">
        <f t="shared" si="74"/>
        <v>4265</v>
      </c>
      <c r="AT107" s="109">
        <f t="shared" si="74"/>
        <v>4679</v>
      </c>
      <c r="AU107" s="109">
        <f t="shared" si="74"/>
        <v>6065</v>
      </c>
      <c r="AV107" s="109">
        <f t="shared" si="74"/>
        <v>5552</v>
      </c>
      <c r="AW107" s="109">
        <f t="shared" si="74"/>
        <v>3066</v>
      </c>
      <c r="AX107" s="109">
        <f t="shared" si="74"/>
        <v>1418</v>
      </c>
      <c r="AY107" s="109">
        <f t="shared" si="74"/>
        <v>1477</v>
      </c>
      <c r="AZ107" s="109">
        <f t="shared" si="74"/>
        <v>3418</v>
      </c>
      <c r="BA107" s="109">
        <f t="shared" si="74"/>
        <v>672</v>
      </c>
      <c r="BB107" s="109">
        <f t="shared" si="74"/>
        <v>20458</v>
      </c>
      <c r="BC107" s="109">
        <f t="shared" si="74"/>
        <v>23782</v>
      </c>
      <c r="BD107" s="109">
        <f t="shared" si="74"/>
        <v>2360</v>
      </c>
      <c r="BE107" s="109">
        <f t="shared" si="74"/>
        <v>1863</v>
      </c>
      <c r="BF107" s="109">
        <f t="shared" si="74"/>
        <v>4161</v>
      </c>
      <c r="BG107" s="109">
        <f t="shared" si="74"/>
        <v>5012</v>
      </c>
      <c r="BH107" s="109">
        <f t="shared" si="74"/>
        <v>5132</v>
      </c>
      <c r="BI107" s="109">
        <f t="shared" si="74"/>
        <v>0</v>
      </c>
      <c r="BJ107" s="109">
        <f t="shared" si="74"/>
        <v>0</v>
      </c>
      <c r="BK107" s="109">
        <f t="shared" si="74"/>
        <v>0</v>
      </c>
      <c r="BL107" s="109">
        <f t="shared" si="74"/>
        <v>0</v>
      </c>
      <c r="BM107" s="109">
        <f t="shared" si="74"/>
        <v>0</v>
      </c>
      <c r="BN107" s="109">
        <f t="shared" si="74"/>
        <v>0</v>
      </c>
      <c r="BO107" s="109">
        <f t="shared" si="74"/>
        <v>0</v>
      </c>
      <c r="BP107" s="110">
        <f t="shared" si="72"/>
        <v>137714</v>
      </c>
      <c r="BQ107" s="111">
        <f>SUM(BQ105:BQ106)</f>
        <v>1</v>
      </c>
    </row>
    <row r="108">
      <c r="A108" s="126" t="s">
        <v>49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122"/>
      <c r="BQ108" s="122"/>
    </row>
    <row r="109">
      <c r="A109" s="127" t="s">
        <v>50</v>
      </c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79">
        <f t="shared" ref="AP109:BO109" si="75">iferror(AP105/AP$107,"")</f>
        <v>0.383708301</v>
      </c>
      <c r="AQ109" s="79">
        <f t="shared" si="75"/>
        <v>0.4470033167</v>
      </c>
      <c r="AR109" s="79">
        <f t="shared" si="75"/>
        <v>0.410077951</v>
      </c>
      <c r="AS109" s="79">
        <f t="shared" si="75"/>
        <v>0.3805392732</v>
      </c>
      <c r="AT109" s="79">
        <f t="shared" si="75"/>
        <v>0.3932464202</v>
      </c>
      <c r="AU109" s="79">
        <f t="shared" si="75"/>
        <v>0.447485573</v>
      </c>
      <c r="AV109" s="79">
        <f t="shared" si="75"/>
        <v>0.4729827089</v>
      </c>
      <c r="AW109" s="79">
        <f t="shared" si="75"/>
        <v>0.2876712329</v>
      </c>
      <c r="AX109" s="79">
        <f t="shared" si="75"/>
        <v>0.3829337094</v>
      </c>
      <c r="AY109" s="79">
        <f t="shared" si="75"/>
        <v>0.3893026405</v>
      </c>
      <c r="AZ109" s="79">
        <f t="shared" si="75"/>
        <v>0.4906377999</v>
      </c>
      <c r="BA109" s="79">
        <f t="shared" si="75"/>
        <v>0.4211309524</v>
      </c>
      <c r="BB109" s="79">
        <f t="shared" si="75"/>
        <v>0.4172450875</v>
      </c>
      <c r="BC109" s="79">
        <f t="shared" si="75"/>
        <v>0.5085358675</v>
      </c>
      <c r="BD109" s="79">
        <f t="shared" si="75"/>
        <v>0.4245762712</v>
      </c>
      <c r="BE109" s="79">
        <f t="shared" si="75"/>
        <v>0.4315619968</v>
      </c>
      <c r="BF109" s="79">
        <f t="shared" si="75"/>
        <v>0.4102379236</v>
      </c>
      <c r="BG109" s="79">
        <f t="shared" si="75"/>
        <v>0.4918196329</v>
      </c>
      <c r="BH109" s="79">
        <f t="shared" si="75"/>
        <v>0.4894777864</v>
      </c>
      <c r="BI109" s="79" t="str">
        <f t="shared" si="75"/>
        <v/>
      </c>
      <c r="BJ109" s="79" t="str">
        <f t="shared" si="75"/>
        <v/>
      </c>
      <c r="BK109" s="79" t="str">
        <f t="shared" si="75"/>
        <v/>
      </c>
      <c r="BL109" s="79" t="str">
        <f t="shared" si="75"/>
        <v/>
      </c>
      <c r="BM109" s="79" t="str">
        <f t="shared" si="75"/>
        <v/>
      </c>
      <c r="BN109" s="79" t="str">
        <f t="shared" si="75"/>
        <v/>
      </c>
      <c r="BO109" s="79" t="str">
        <f t="shared" si="75"/>
        <v/>
      </c>
      <c r="BP109" s="122"/>
      <c r="BQ109" s="122"/>
    </row>
    <row r="110">
      <c r="A110" s="127" t="s">
        <v>51</v>
      </c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79">
        <f t="shared" ref="AP110:BO110" si="76">iferror(AP106/AP$107,"")</f>
        <v>0.616291699</v>
      </c>
      <c r="AQ110" s="79">
        <f t="shared" si="76"/>
        <v>0.5529966833</v>
      </c>
      <c r="AR110" s="79">
        <f t="shared" si="76"/>
        <v>0.589922049</v>
      </c>
      <c r="AS110" s="79">
        <f t="shared" si="76"/>
        <v>0.6194607268</v>
      </c>
      <c r="AT110" s="79">
        <f t="shared" si="76"/>
        <v>0.6067535798</v>
      </c>
      <c r="AU110" s="79">
        <f t="shared" si="76"/>
        <v>0.552514427</v>
      </c>
      <c r="AV110" s="79">
        <f t="shared" si="76"/>
        <v>0.5270172911</v>
      </c>
      <c r="AW110" s="79">
        <f t="shared" si="76"/>
        <v>0.7123287671</v>
      </c>
      <c r="AX110" s="79">
        <f t="shared" si="76"/>
        <v>0.6170662906</v>
      </c>
      <c r="AY110" s="79">
        <f t="shared" si="76"/>
        <v>0.6106973595</v>
      </c>
      <c r="AZ110" s="79">
        <f t="shared" si="76"/>
        <v>0.5093622001</v>
      </c>
      <c r="BA110" s="79">
        <f t="shared" si="76"/>
        <v>0.5788690476</v>
      </c>
      <c r="BB110" s="79">
        <f t="shared" si="76"/>
        <v>0.5827549125</v>
      </c>
      <c r="BC110" s="79">
        <f t="shared" si="76"/>
        <v>0.4914641325</v>
      </c>
      <c r="BD110" s="79">
        <f t="shared" si="76"/>
        <v>0.5754237288</v>
      </c>
      <c r="BE110" s="79">
        <f t="shared" si="76"/>
        <v>0.5684380032</v>
      </c>
      <c r="BF110" s="79">
        <f t="shared" si="76"/>
        <v>0.5897620764</v>
      </c>
      <c r="BG110" s="79">
        <f t="shared" si="76"/>
        <v>0.5081803671</v>
      </c>
      <c r="BH110" s="79">
        <f t="shared" si="76"/>
        <v>0.5105222136</v>
      </c>
      <c r="BI110" s="79" t="str">
        <f t="shared" si="76"/>
        <v/>
      </c>
      <c r="BJ110" s="79" t="str">
        <f t="shared" si="76"/>
        <v/>
      </c>
      <c r="BK110" s="79" t="str">
        <f t="shared" si="76"/>
        <v/>
      </c>
      <c r="BL110" s="79" t="str">
        <f t="shared" si="76"/>
        <v/>
      </c>
      <c r="BM110" s="79" t="str">
        <f t="shared" si="76"/>
        <v/>
      </c>
      <c r="BN110" s="79" t="str">
        <f t="shared" si="76"/>
        <v/>
      </c>
      <c r="BO110" s="79" t="str">
        <f t="shared" si="76"/>
        <v/>
      </c>
      <c r="BP110" s="122"/>
      <c r="BQ110" s="122"/>
    </row>
    <row r="111">
      <c r="A111" s="112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2"/>
      <c r="BQ111" s="122"/>
    </row>
    <row r="112">
      <c r="A112" s="131" t="s">
        <v>52</v>
      </c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G112" s="132"/>
      <c r="BH112" s="132"/>
      <c r="BI112" s="132"/>
      <c r="BJ112" s="132"/>
      <c r="BK112" s="132"/>
      <c r="BL112" s="132"/>
      <c r="BM112" s="132"/>
      <c r="BN112" s="132"/>
      <c r="BO112" s="132"/>
      <c r="BP112" s="82"/>
      <c r="BQ112" s="82"/>
    </row>
    <row r="113"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2"/>
      <c r="BD113" s="132"/>
      <c r="BE113" s="132"/>
      <c r="BF113" s="132"/>
      <c r="BG113" s="132"/>
      <c r="BH113" s="132"/>
      <c r="BI113" s="132"/>
      <c r="BJ113" s="132"/>
      <c r="BK113" s="132"/>
      <c r="BL113" s="132"/>
      <c r="BM113" s="132"/>
      <c r="BN113" s="132"/>
      <c r="BO113" s="132"/>
      <c r="BP113" s="82"/>
      <c r="BQ113" s="82"/>
    </row>
    <row r="114" outlineLevel="1">
      <c r="A114" s="85" t="s">
        <v>24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7"/>
      <c r="BQ114" s="88"/>
    </row>
    <row r="115" outlineLevel="1">
      <c r="A115" s="89" t="s">
        <v>25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144">
        <v>147.0</v>
      </c>
      <c r="AK115" s="144">
        <v>98.0</v>
      </c>
      <c r="AL115" s="144">
        <v>108.0</v>
      </c>
      <c r="AM115" s="144">
        <v>72.0</v>
      </c>
      <c r="AN115" s="144">
        <v>30.0</v>
      </c>
      <c r="AO115" s="144">
        <v>55.0</v>
      </c>
      <c r="AP115" s="144">
        <v>779.0</v>
      </c>
      <c r="AQ115" s="144">
        <v>603.0</v>
      </c>
      <c r="AR115" s="144">
        <v>550.0</v>
      </c>
      <c r="AS115" s="144">
        <v>575.0</v>
      </c>
      <c r="AT115" s="144">
        <v>503.0</v>
      </c>
      <c r="AU115" s="144">
        <v>629.0</v>
      </c>
      <c r="AV115" s="144">
        <f>IFERROR(__xludf.DUMMYFUNCTION("IMPORTRANGE(""1FsAayhXBhwQWWhxaeEf32srJkqMhPcXdSHpT-eTbsHA"",""PP - Data!AG61:AG64"")"),394.0)</f>
        <v>394</v>
      </c>
      <c r="AW115" s="144">
        <v>233.0</v>
      </c>
      <c r="AX115" s="144">
        <v>169.0</v>
      </c>
      <c r="AY115" s="144">
        <v>151.0</v>
      </c>
      <c r="AZ115" s="144">
        <v>35.0</v>
      </c>
      <c r="BA115" s="144">
        <v>6.0</v>
      </c>
      <c r="BB115" s="144">
        <v>207.0</v>
      </c>
      <c r="BC115" s="144">
        <v>294.0</v>
      </c>
      <c r="BD115" s="144">
        <v>28.0</v>
      </c>
      <c r="BE115" s="144">
        <v>13.0</v>
      </c>
      <c r="BF115" s="144">
        <v>43.0</v>
      </c>
      <c r="BG115" s="144">
        <v>38.0</v>
      </c>
      <c r="BH115" s="144">
        <f>IFERROR(__xludf.DUMMYFUNCTION("IMPORTRANGE(""1Z2ZLDM0_m0NNnV5_jRvcRNtM9Z5AZ7o_A94RnrBGQUE"",""PP - Data!AG61:AG64"")"),35.0)</f>
        <v>35</v>
      </c>
      <c r="BI115" s="144"/>
      <c r="BJ115" s="144"/>
      <c r="BK115" s="144"/>
      <c r="BL115" s="144"/>
      <c r="BM115" s="144"/>
      <c r="BN115" s="144"/>
      <c r="BO115" s="144"/>
      <c r="BP115" s="63">
        <f t="shared" ref="BP115:BP119" si="77">SUM(B115:BO115)</f>
        <v>5795</v>
      </c>
      <c r="BQ115" s="64">
        <f t="shared" ref="BQ115:BQ118" si="78">iferror(BP115/BP$119,"")</f>
        <v>0.05725322821</v>
      </c>
    </row>
    <row r="116" outlineLevel="1">
      <c r="A116" s="60" t="s">
        <v>26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144">
        <v>604.0</v>
      </c>
      <c r="AK116" s="144">
        <v>341.0</v>
      </c>
      <c r="AL116" s="144">
        <v>131.0</v>
      </c>
      <c r="AM116" s="144">
        <v>110.0</v>
      </c>
      <c r="AN116" s="144">
        <v>56.0</v>
      </c>
      <c r="AO116" s="144">
        <v>134.0</v>
      </c>
      <c r="AP116" s="144">
        <v>8284.0</v>
      </c>
      <c r="AQ116" s="144">
        <v>9448.0</v>
      </c>
      <c r="AR116" s="144">
        <v>410.0</v>
      </c>
      <c r="AS116" s="144">
        <v>483.0</v>
      </c>
      <c r="AT116" s="144">
        <v>370.0</v>
      </c>
      <c r="AU116" s="144">
        <v>919.0</v>
      </c>
      <c r="AV116" s="144">
        <f>IFERROR(__xludf.DUMMYFUNCTION("""COMPUTED_VALUE"""),1085.0)</f>
        <v>1085</v>
      </c>
      <c r="AW116" s="144">
        <v>684.0</v>
      </c>
      <c r="AX116" s="144">
        <v>158.0</v>
      </c>
      <c r="AY116" s="144">
        <v>173.0</v>
      </c>
      <c r="AZ116" s="144">
        <v>90.0</v>
      </c>
      <c r="BA116" s="144">
        <v>86.0</v>
      </c>
      <c r="BB116" s="144">
        <v>7197.0</v>
      </c>
      <c r="BC116" s="144">
        <v>8433.0</v>
      </c>
      <c r="BD116" s="144">
        <v>189.0</v>
      </c>
      <c r="BE116" s="144">
        <v>137.0</v>
      </c>
      <c r="BF116" s="144">
        <v>294.0</v>
      </c>
      <c r="BG116" s="144">
        <v>582.0</v>
      </c>
      <c r="BH116" s="144">
        <f>IFERROR(__xludf.DUMMYFUNCTION("""COMPUTED_VALUE"""),490.0)</f>
        <v>490</v>
      </c>
      <c r="BI116" s="144"/>
      <c r="BJ116" s="144"/>
      <c r="BK116" s="144"/>
      <c r="BL116" s="144"/>
      <c r="BM116" s="144"/>
      <c r="BN116" s="144"/>
      <c r="BO116" s="144"/>
      <c r="BP116" s="63">
        <f t="shared" si="77"/>
        <v>40888</v>
      </c>
      <c r="BQ116" s="64">
        <f t="shared" si="78"/>
        <v>0.403963761</v>
      </c>
    </row>
    <row r="117" outlineLevel="1">
      <c r="A117" s="60" t="s">
        <v>27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144">
        <v>441.0</v>
      </c>
      <c r="AK117" s="144">
        <v>283.0</v>
      </c>
      <c r="AL117" s="144">
        <v>135.0</v>
      </c>
      <c r="AM117" s="144">
        <v>109.0</v>
      </c>
      <c r="AN117" s="144">
        <v>59.0</v>
      </c>
      <c r="AO117" s="144">
        <v>145.0</v>
      </c>
      <c r="AP117" s="144">
        <v>6040.0</v>
      </c>
      <c r="AQ117" s="144">
        <v>5947.0</v>
      </c>
      <c r="AR117" s="144">
        <v>560.0</v>
      </c>
      <c r="AS117" s="144">
        <v>803.0</v>
      </c>
      <c r="AT117" s="144">
        <v>462.0</v>
      </c>
      <c r="AU117" s="144">
        <v>1190.0</v>
      </c>
      <c r="AV117" s="144">
        <f>IFERROR(__xludf.DUMMYFUNCTION("""COMPUTED_VALUE"""),1391.0)</f>
        <v>1391</v>
      </c>
      <c r="AW117" s="144">
        <v>785.0</v>
      </c>
      <c r="AX117" s="144">
        <v>204.0</v>
      </c>
      <c r="AY117" s="144">
        <v>225.0</v>
      </c>
      <c r="AZ117" s="144">
        <v>145.0</v>
      </c>
      <c r="BA117" s="144">
        <v>119.0</v>
      </c>
      <c r="BB117" s="144">
        <v>6612.0</v>
      </c>
      <c r="BC117" s="144">
        <v>7671.0</v>
      </c>
      <c r="BD117" s="144">
        <v>289.0</v>
      </c>
      <c r="BE117" s="144">
        <v>300.0</v>
      </c>
      <c r="BF117" s="144">
        <v>483.0</v>
      </c>
      <c r="BG117" s="144">
        <v>956.0</v>
      </c>
      <c r="BH117" s="144">
        <f>IFERROR(__xludf.DUMMYFUNCTION("""COMPUTED_VALUE"""),858.0)</f>
        <v>858</v>
      </c>
      <c r="BI117" s="144"/>
      <c r="BJ117" s="144"/>
      <c r="BK117" s="144"/>
      <c r="BL117" s="144"/>
      <c r="BM117" s="144"/>
      <c r="BN117" s="144"/>
      <c r="BO117" s="144"/>
      <c r="BP117" s="63">
        <f t="shared" si="77"/>
        <v>36212</v>
      </c>
      <c r="BQ117" s="64">
        <f t="shared" si="78"/>
        <v>0.3577659879</v>
      </c>
    </row>
    <row r="118" outlineLevel="1">
      <c r="A118" s="60" t="s">
        <v>28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144">
        <v>242.0</v>
      </c>
      <c r="AK118" s="144">
        <v>181.0</v>
      </c>
      <c r="AL118" s="144">
        <v>147.0</v>
      </c>
      <c r="AM118" s="144">
        <v>133.0</v>
      </c>
      <c r="AN118" s="144">
        <v>79.0</v>
      </c>
      <c r="AO118" s="144">
        <v>144.0</v>
      </c>
      <c r="AP118" s="144">
        <v>2990.0</v>
      </c>
      <c r="AQ118" s="144">
        <v>2655.0</v>
      </c>
      <c r="AR118" s="144">
        <v>664.0</v>
      </c>
      <c r="AS118" s="144">
        <v>668.0</v>
      </c>
      <c r="AT118" s="144">
        <v>521.0</v>
      </c>
      <c r="AU118" s="144">
        <v>795.0</v>
      </c>
      <c r="AV118" s="144">
        <f>IFERROR(__xludf.DUMMYFUNCTION("""COMPUTED_VALUE"""),544.0)</f>
        <v>544</v>
      </c>
      <c r="AW118" s="144">
        <v>313.0</v>
      </c>
      <c r="AX118" s="144">
        <v>233.0</v>
      </c>
      <c r="AY118" s="144">
        <v>231.0</v>
      </c>
      <c r="AZ118" s="144">
        <v>97.0</v>
      </c>
      <c r="BA118" s="144">
        <v>87.0</v>
      </c>
      <c r="BB118" s="144">
        <v>3105.0</v>
      </c>
      <c r="BC118" s="144">
        <v>3554.0</v>
      </c>
      <c r="BD118" s="144">
        <v>157.0</v>
      </c>
      <c r="BE118" s="144">
        <v>120.0</v>
      </c>
      <c r="BF118" s="144">
        <v>233.0</v>
      </c>
      <c r="BG118" s="144">
        <v>225.0</v>
      </c>
      <c r="BH118" s="144">
        <f>IFERROR(__xludf.DUMMYFUNCTION("""COMPUTED_VALUE"""),204.0)</f>
        <v>204</v>
      </c>
      <c r="BI118" s="144"/>
      <c r="BJ118" s="144"/>
      <c r="BK118" s="144"/>
      <c r="BL118" s="144"/>
      <c r="BM118" s="144"/>
      <c r="BN118" s="144"/>
      <c r="BO118" s="144"/>
      <c r="BP118" s="63">
        <f t="shared" si="77"/>
        <v>18322</v>
      </c>
      <c r="BQ118" s="64">
        <f t="shared" si="78"/>
        <v>0.1810170228</v>
      </c>
    </row>
    <row r="119" outlineLevel="1">
      <c r="A119" s="93" t="s">
        <v>18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5">
        <f t="shared" ref="AJ119:BO119" si="79">SUM(AJ115:AJ118)</f>
        <v>1434</v>
      </c>
      <c r="AK119" s="95">
        <f t="shared" si="79"/>
        <v>903</v>
      </c>
      <c r="AL119" s="95">
        <f t="shared" si="79"/>
        <v>521</v>
      </c>
      <c r="AM119" s="95">
        <f t="shared" si="79"/>
        <v>424</v>
      </c>
      <c r="AN119" s="95">
        <f t="shared" si="79"/>
        <v>224</v>
      </c>
      <c r="AO119" s="95">
        <f t="shared" si="79"/>
        <v>478</v>
      </c>
      <c r="AP119" s="95">
        <f t="shared" si="79"/>
        <v>18093</v>
      </c>
      <c r="AQ119" s="95">
        <f t="shared" si="79"/>
        <v>18653</v>
      </c>
      <c r="AR119" s="95">
        <f t="shared" si="79"/>
        <v>2184</v>
      </c>
      <c r="AS119" s="95">
        <f t="shared" si="79"/>
        <v>2529</v>
      </c>
      <c r="AT119" s="95">
        <f t="shared" si="79"/>
        <v>1856</v>
      </c>
      <c r="AU119" s="95">
        <f t="shared" si="79"/>
        <v>3533</v>
      </c>
      <c r="AV119" s="95">
        <f t="shared" si="79"/>
        <v>3414</v>
      </c>
      <c r="AW119" s="95">
        <f t="shared" si="79"/>
        <v>2015</v>
      </c>
      <c r="AX119" s="95">
        <f t="shared" si="79"/>
        <v>764</v>
      </c>
      <c r="AY119" s="95">
        <f t="shared" si="79"/>
        <v>780</v>
      </c>
      <c r="AZ119" s="95">
        <f t="shared" si="79"/>
        <v>367</v>
      </c>
      <c r="BA119" s="95">
        <f t="shared" si="79"/>
        <v>298</v>
      </c>
      <c r="BB119" s="95">
        <f t="shared" si="79"/>
        <v>17121</v>
      </c>
      <c r="BC119" s="95">
        <f t="shared" si="79"/>
        <v>19952</v>
      </c>
      <c r="BD119" s="95">
        <f t="shared" si="79"/>
        <v>663</v>
      </c>
      <c r="BE119" s="95">
        <f t="shared" si="79"/>
        <v>570</v>
      </c>
      <c r="BF119" s="95">
        <f t="shared" si="79"/>
        <v>1053</v>
      </c>
      <c r="BG119" s="95">
        <f t="shared" si="79"/>
        <v>1801</v>
      </c>
      <c r="BH119" s="95">
        <f t="shared" si="79"/>
        <v>1587</v>
      </c>
      <c r="BI119" s="95">
        <f t="shared" si="79"/>
        <v>0</v>
      </c>
      <c r="BJ119" s="95">
        <f t="shared" si="79"/>
        <v>0</v>
      </c>
      <c r="BK119" s="95">
        <f t="shared" si="79"/>
        <v>0</v>
      </c>
      <c r="BL119" s="95">
        <f t="shared" si="79"/>
        <v>0</v>
      </c>
      <c r="BM119" s="95">
        <f t="shared" si="79"/>
        <v>0</v>
      </c>
      <c r="BN119" s="95">
        <f t="shared" si="79"/>
        <v>0</v>
      </c>
      <c r="BO119" s="95">
        <f t="shared" si="79"/>
        <v>0</v>
      </c>
      <c r="BP119" s="96">
        <f t="shared" si="77"/>
        <v>101217</v>
      </c>
      <c r="BQ119" s="97">
        <f>SUM(BQ115:BQ118)</f>
        <v>1</v>
      </c>
    </row>
    <row r="120" outlineLevel="1">
      <c r="A120" s="72" t="s">
        <v>29</v>
      </c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81"/>
      <c r="BQ120" s="82"/>
    </row>
    <row r="121" outlineLevel="1">
      <c r="A121" s="78" t="s">
        <v>25</v>
      </c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79">
        <f t="shared" ref="AJ121:BO121" si="80">iferror(AJ115/AJ$119,"")</f>
        <v>0.1025104603</v>
      </c>
      <c r="AK121" s="79">
        <f t="shared" si="80"/>
        <v>0.1085271318</v>
      </c>
      <c r="AL121" s="79">
        <f t="shared" si="80"/>
        <v>0.207293666</v>
      </c>
      <c r="AM121" s="79">
        <f t="shared" si="80"/>
        <v>0.1698113208</v>
      </c>
      <c r="AN121" s="79">
        <f t="shared" si="80"/>
        <v>0.1339285714</v>
      </c>
      <c r="AO121" s="79">
        <f t="shared" si="80"/>
        <v>0.1150627615</v>
      </c>
      <c r="AP121" s="79">
        <f t="shared" si="80"/>
        <v>0.04305532526</v>
      </c>
      <c r="AQ121" s="79">
        <f t="shared" si="80"/>
        <v>0.03232723959</v>
      </c>
      <c r="AR121" s="79">
        <f t="shared" si="80"/>
        <v>0.2518315018</v>
      </c>
      <c r="AS121" s="79">
        <f t="shared" si="80"/>
        <v>0.2273625939</v>
      </c>
      <c r="AT121" s="79">
        <f t="shared" si="80"/>
        <v>0.271012931</v>
      </c>
      <c r="AU121" s="79">
        <f t="shared" si="80"/>
        <v>0.1780356637</v>
      </c>
      <c r="AV121" s="79">
        <f t="shared" si="80"/>
        <v>0.115407147</v>
      </c>
      <c r="AW121" s="79">
        <f t="shared" si="80"/>
        <v>0.1156327543</v>
      </c>
      <c r="AX121" s="79">
        <f t="shared" si="80"/>
        <v>0.2212041885</v>
      </c>
      <c r="AY121" s="79">
        <f t="shared" si="80"/>
        <v>0.1935897436</v>
      </c>
      <c r="AZ121" s="79">
        <f t="shared" si="80"/>
        <v>0.09536784741</v>
      </c>
      <c r="BA121" s="79">
        <f t="shared" si="80"/>
        <v>0.02013422819</v>
      </c>
      <c r="BB121" s="79">
        <f t="shared" si="80"/>
        <v>0.01209041528</v>
      </c>
      <c r="BC121" s="79">
        <f t="shared" si="80"/>
        <v>0.01473536488</v>
      </c>
      <c r="BD121" s="79">
        <f t="shared" si="80"/>
        <v>0.04223227753</v>
      </c>
      <c r="BE121" s="79">
        <f t="shared" si="80"/>
        <v>0.02280701754</v>
      </c>
      <c r="BF121" s="79">
        <f t="shared" si="80"/>
        <v>0.0408357075</v>
      </c>
      <c r="BG121" s="79">
        <f t="shared" si="80"/>
        <v>0.02109938923</v>
      </c>
      <c r="BH121" s="79">
        <f t="shared" si="80"/>
        <v>0.0220541903</v>
      </c>
      <c r="BI121" s="79" t="str">
        <f t="shared" si="80"/>
        <v/>
      </c>
      <c r="BJ121" s="79" t="str">
        <f t="shared" si="80"/>
        <v/>
      </c>
      <c r="BK121" s="79" t="str">
        <f t="shared" si="80"/>
        <v/>
      </c>
      <c r="BL121" s="79" t="str">
        <f t="shared" si="80"/>
        <v/>
      </c>
      <c r="BM121" s="79" t="str">
        <f t="shared" si="80"/>
        <v/>
      </c>
      <c r="BN121" s="79" t="str">
        <f t="shared" si="80"/>
        <v/>
      </c>
      <c r="BO121" s="79" t="str">
        <f t="shared" si="80"/>
        <v/>
      </c>
      <c r="BP121" s="81"/>
      <c r="BQ121" s="82"/>
    </row>
    <row r="122" outlineLevel="1">
      <c r="A122" s="78" t="s">
        <v>26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79">
        <f t="shared" ref="AJ122:BO122" si="81">iferror(AJ116/AJ$119,"")</f>
        <v>0.4211994421</v>
      </c>
      <c r="AK122" s="79">
        <f t="shared" si="81"/>
        <v>0.3776301218</v>
      </c>
      <c r="AL122" s="79">
        <f t="shared" si="81"/>
        <v>0.2514395393</v>
      </c>
      <c r="AM122" s="79">
        <f t="shared" si="81"/>
        <v>0.2594339623</v>
      </c>
      <c r="AN122" s="79">
        <f t="shared" si="81"/>
        <v>0.25</v>
      </c>
      <c r="AO122" s="79">
        <f t="shared" si="81"/>
        <v>0.280334728</v>
      </c>
      <c r="AP122" s="79">
        <f t="shared" si="81"/>
        <v>0.4578566296</v>
      </c>
      <c r="AQ122" s="79">
        <f t="shared" si="81"/>
        <v>0.5065136975</v>
      </c>
      <c r="AR122" s="79">
        <f t="shared" si="81"/>
        <v>0.1877289377</v>
      </c>
      <c r="AS122" s="79">
        <f t="shared" si="81"/>
        <v>0.1909845789</v>
      </c>
      <c r="AT122" s="79">
        <f t="shared" si="81"/>
        <v>0.1993534483</v>
      </c>
      <c r="AU122" s="79">
        <f t="shared" si="81"/>
        <v>0.2601188791</v>
      </c>
      <c r="AV122" s="79">
        <f t="shared" si="81"/>
        <v>0.3178090217</v>
      </c>
      <c r="AW122" s="79">
        <f t="shared" si="81"/>
        <v>0.3394540943</v>
      </c>
      <c r="AX122" s="79">
        <f t="shared" si="81"/>
        <v>0.2068062827</v>
      </c>
      <c r="AY122" s="79">
        <f t="shared" si="81"/>
        <v>0.2217948718</v>
      </c>
      <c r="AZ122" s="79">
        <f t="shared" si="81"/>
        <v>0.2452316076</v>
      </c>
      <c r="BA122" s="79">
        <f t="shared" si="81"/>
        <v>0.288590604</v>
      </c>
      <c r="BB122" s="79">
        <f t="shared" si="81"/>
        <v>0.4203609602</v>
      </c>
      <c r="BC122" s="79">
        <f t="shared" si="81"/>
        <v>0.4226643945</v>
      </c>
      <c r="BD122" s="79">
        <f t="shared" si="81"/>
        <v>0.2850678733</v>
      </c>
      <c r="BE122" s="79">
        <f t="shared" si="81"/>
        <v>0.2403508772</v>
      </c>
      <c r="BF122" s="79">
        <f t="shared" si="81"/>
        <v>0.2792022792</v>
      </c>
      <c r="BG122" s="79">
        <f t="shared" si="81"/>
        <v>0.3231538034</v>
      </c>
      <c r="BH122" s="79">
        <f t="shared" si="81"/>
        <v>0.3087586641</v>
      </c>
      <c r="BI122" s="79" t="str">
        <f t="shared" si="81"/>
        <v/>
      </c>
      <c r="BJ122" s="79" t="str">
        <f t="shared" si="81"/>
        <v/>
      </c>
      <c r="BK122" s="79" t="str">
        <f t="shared" si="81"/>
        <v/>
      </c>
      <c r="BL122" s="79" t="str">
        <f t="shared" si="81"/>
        <v/>
      </c>
      <c r="BM122" s="79" t="str">
        <f t="shared" si="81"/>
        <v/>
      </c>
      <c r="BN122" s="79" t="str">
        <f t="shared" si="81"/>
        <v/>
      </c>
      <c r="BO122" s="79" t="str">
        <f t="shared" si="81"/>
        <v/>
      </c>
      <c r="BP122" s="81"/>
      <c r="BQ122" s="82"/>
    </row>
    <row r="123" outlineLevel="1">
      <c r="A123" s="78" t="s">
        <v>27</v>
      </c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79">
        <f t="shared" ref="AJ123:BO123" si="82">iferror(AJ117/AJ$119,"")</f>
        <v>0.3075313808</v>
      </c>
      <c r="AK123" s="79">
        <f t="shared" si="82"/>
        <v>0.3133997785</v>
      </c>
      <c r="AL123" s="79">
        <f t="shared" si="82"/>
        <v>0.2591170825</v>
      </c>
      <c r="AM123" s="79">
        <f t="shared" si="82"/>
        <v>0.2570754717</v>
      </c>
      <c r="AN123" s="79">
        <f t="shared" si="82"/>
        <v>0.2633928571</v>
      </c>
      <c r="AO123" s="79">
        <f t="shared" si="82"/>
        <v>0.3033472803</v>
      </c>
      <c r="AP123" s="79">
        <f t="shared" si="82"/>
        <v>0.3338307633</v>
      </c>
      <c r="AQ123" s="79">
        <f t="shared" si="82"/>
        <v>0.3188227095</v>
      </c>
      <c r="AR123" s="79">
        <f t="shared" si="82"/>
        <v>0.2564102564</v>
      </c>
      <c r="AS123" s="79">
        <f t="shared" si="82"/>
        <v>0.3175168051</v>
      </c>
      <c r="AT123" s="79">
        <f t="shared" si="82"/>
        <v>0.2489224138</v>
      </c>
      <c r="AU123" s="79">
        <f t="shared" si="82"/>
        <v>0.3368242287</v>
      </c>
      <c r="AV123" s="79">
        <f t="shared" si="82"/>
        <v>0.4074399531</v>
      </c>
      <c r="AW123" s="79">
        <f t="shared" si="82"/>
        <v>0.3895781638</v>
      </c>
      <c r="AX123" s="79">
        <f t="shared" si="82"/>
        <v>0.2670157068</v>
      </c>
      <c r="AY123" s="79">
        <f t="shared" si="82"/>
        <v>0.2884615385</v>
      </c>
      <c r="AZ123" s="79">
        <f t="shared" si="82"/>
        <v>0.3950953678</v>
      </c>
      <c r="BA123" s="79">
        <f t="shared" si="82"/>
        <v>0.3993288591</v>
      </c>
      <c r="BB123" s="79">
        <f t="shared" si="82"/>
        <v>0.3861923953</v>
      </c>
      <c r="BC123" s="79">
        <f t="shared" si="82"/>
        <v>0.3844727346</v>
      </c>
      <c r="BD123" s="79">
        <f t="shared" si="82"/>
        <v>0.4358974359</v>
      </c>
      <c r="BE123" s="79">
        <f t="shared" si="82"/>
        <v>0.5263157895</v>
      </c>
      <c r="BF123" s="79">
        <f t="shared" si="82"/>
        <v>0.4586894587</v>
      </c>
      <c r="BG123" s="79">
        <f t="shared" si="82"/>
        <v>0.5308162132</v>
      </c>
      <c r="BH123" s="79">
        <f t="shared" si="82"/>
        <v>0.5406427221</v>
      </c>
      <c r="BI123" s="79" t="str">
        <f t="shared" si="82"/>
        <v/>
      </c>
      <c r="BJ123" s="79" t="str">
        <f t="shared" si="82"/>
        <v/>
      </c>
      <c r="BK123" s="79" t="str">
        <f t="shared" si="82"/>
        <v/>
      </c>
      <c r="BL123" s="79" t="str">
        <f t="shared" si="82"/>
        <v/>
      </c>
      <c r="BM123" s="79" t="str">
        <f t="shared" si="82"/>
        <v/>
      </c>
      <c r="BN123" s="79" t="str">
        <f t="shared" si="82"/>
        <v/>
      </c>
      <c r="BO123" s="79" t="str">
        <f t="shared" si="82"/>
        <v/>
      </c>
      <c r="BP123" s="81"/>
      <c r="BQ123" s="82"/>
    </row>
    <row r="124" outlineLevel="1">
      <c r="A124" s="78" t="s">
        <v>28</v>
      </c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79">
        <f t="shared" ref="AJ124:BO124" si="83">iferror(AJ118/AJ$119,"")</f>
        <v>0.1687587169</v>
      </c>
      <c r="AK124" s="79">
        <f t="shared" si="83"/>
        <v>0.2004429679</v>
      </c>
      <c r="AL124" s="79">
        <f t="shared" si="83"/>
        <v>0.2821497121</v>
      </c>
      <c r="AM124" s="79">
        <f t="shared" si="83"/>
        <v>0.3136792453</v>
      </c>
      <c r="AN124" s="79">
        <f t="shared" si="83"/>
        <v>0.3526785714</v>
      </c>
      <c r="AO124" s="79">
        <f t="shared" si="83"/>
        <v>0.3012552301</v>
      </c>
      <c r="AP124" s="79">
        <f t="shared" si="83"/>
        <v>0.1652572818</v>
      </c>
      <c r="AQ124" s="79">
        <f t="shared" si="83"/>
        <v>0.1423363534</v>
      </c>
      <c r="AR124" s="79">
        <f t="shared" si="83"/>
        <v>0.304029304</v>
      </c>
      <c r="AS124" s="79">
        <f t="shared" si="83"/>
        <v>0.2641360221</v>
      </c>
      <c r="AT124" s="79">
        <f t="shared" si="83"/>
        <v>0.2807112069</v>
      </c>
      <c r="AU124" s="79">
        <f t="shared" si="83"/>
        <v>0.2250212284</v>
      </c>
      <c r="AV124" s="79">
        <f t="shared" si="83"/>
        <v>0.1593438781</v>
      </c>
      <c r="AW124" s="79">
        <f t="shared" si="83"/>
        <v>0.1553349876</v>
      </c>
      <c r="AX124" s="79">
        <f t="shared" si="83"/>
        <v>0.304973822</v>
      </c>
      <c r="AY124" s="79">
        <f t="shared" si="83"/>
        <v>0.2961538462</v>
      </c>
      <c r="AZ124" s="79">
        <f t="shared" si="83"/>
        <v>0.2643051771</v>
      </c>
      <c r="BA124" s="79">
        <f t="shared" si="83"/>
        <v>0.2919463087</v>
      </c>
      <c r="BB124" s="79">
        <f t="shared" si="83"/>
        <v>0.1813562292</v>
      </c>
      <c r="BC124" s="79">
        <f t="shared" si="83"/>
        <v>0.178127506</v>
      </c>
      <c r="BD124" s="79">
        <f t="shared" si="83"/>
        <v>0.2368024133</v>
      </c>
      <c r="BE124" s="79">
        <f t="shared" si="83"/>
        <v>0.2105263158</v>
      </c>
      <c r="BF124" s="79">
        <f t="shared" si="83"/>
        <v>0.2212725546</v>
      </c>
      <c r="BG124" s="79">
        <f t="shared" si="83"/>
        <v>0.1249305941</v>
      </c>
      <c r="BH124" s="79">
        <f t="shared" si="83"/>
        <v>0.1285444234</v>
      </c>
      <c r="BI124" s="79" t="str">
        <f t="shared" si="83"/>
        <v/>
      </c>
      <c r="BJ124" s="79" t="str">
        <f t="shared" si="83"/>
        <v/>
      </c>
      <c r="BK124" s="79" t="str">
        <f t="shared" si="83"/>
        <v/>
      </c>
      <c r="BL124" s="79" t="str">
        <f t="shared" si="83"/>
        <v/>
      </c>
      <c r="BM124" s="79" t="str">
        <f t="shared" si="83"/>
        <v/>
      </c>
      <c r="BN124" s="79" t="str">
        <f t="shared" si="83"/>
        <v/>
      </c>
      <c r="BO124" s="79" t="str">
        <f t="shared" si="83"/>
        <v/>
      </c>
      <c r="BP124" s="81"/>
      <c r="BQ124" s="82"/>
    </row>
    <row r="125" outlineLevel="1">
      <c r="A125" s="56" t="s">
        <v>6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8"/>
      <c r="BQ125" s="59"/>
    </row>
    <row r="126" outlineLevel="1">
      <c r="A126" s="89" t="s">
        <v>7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135"/>
      <c r="O126" s="92"/>
      <c r="P126" s="92"/>
      <c r="Q126" s="92"/>
      <c r="R126" s="92"/>
      <c r="S126" s="92"/>
      <c r="T126" s="92"/>
      <c r="U126" s="90"/>
      <c r="V126" s="90"/>
      <c r="W126" s="90"/>
      <c r="X126" s="90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144">
        <v>300.0</v>
      </c>
      <c r="AK126" s="144">
        <v>231.0</v>
      </c>
      <c r="AL126" s="144">
        <v>120.0</v>
      </c>
      <c r="AM126" s="144">
        <v>108.0</v>
      </c>
      <c r="AN126" s="144">
        <v>83.0</v>
      </c>
      <c r="AO126" s="144">
        <v>230.0</v>
      </c>
      <c r="AP126" s="144">
        <v>13337.0</v>
      </c>
      <c r="AQ126" s="144">
        <v>11738.0</v>
      </c>
      <c r="AR126" s="144">
        <v>731.0</v>
      </c>
      <c r="AS126" s="144">
        <v>1082.0</v>
      </c>
      <c r="AT126" s="144">
        <v>715.0</v>
      </c>
      <c r="AU126" s="144">
        <v>1694.0</v>
      </c>
      <c r="AV126" s="144">
        <f>IFERROR(__xludf.DUMMYFUNCTION("IMPORTRANGE(""1FsAayhXBhwQWWhxaeEf32srJkqMhPcXdSHpT-eTbsHA"",""PP - Data!AG72:AG79"")"),1439.0)</f>
        <v>1439</v>
      </c>
      <c r="AW126" s="144">
        <v>877.0</v>
      </c>
      <c r="AX126" s="144">
        <v>190.0</v>
      </c>
      <c r="AY126" s="144">
        <v>183.0</v>
      </c>
      <c r="AZ126" s="144">
        <v>126.0</v>
      </c>
      <c r="BA126" s="144">
        <v>137.0</v>
      </c>
      <c r="BB126" s="144">
        <v>12703.0</v>
      </c>
      <c r="BC126" s="144">
        <v>14232.0</v>
      </c>
      <c r="BD126" s="144">
        <v>380.0</v>
      </c>
      <c r="BE126" s="144">
        <v>354.0</v>
      </c>
      <c r="BF126" s="144">
        <v>922.0</v>
      </c>
      <c r="BG126" s="144">
        <v>1060.0</v>
      </c>
      <c r="BH126" s="144">
        <f>IFERROR(__xludf.DUMMYFUNCTION("IMPORTRANGE(""1Z2ZLDM0_m0NNnV5_jRvcRNtM9Z5AZ7o_A94RnrBGQUE"",""PP - Data!AG72:AG79"")"),793.0)</f>
        <v>793</v>
      </c>
      <c r="BI126" s="144"/>
      <c r="BJ126" s="144"/>
      <c r="BK126" s="144"/>
      <c r="BL126" s="144"/>
      <c r="BM126" s="144"/>
      <c r="BN126" s="144"/>
      <c r="BO126" s="144"/>
      <c r="BP126" s="63">
        <f t="shared" ref="BP126:BP134" si="84">SUM(B126:BO126)</f>
        <v>63765</v>
      </c>
      <c r="BQ126" s="64">
        <f t="shared" ref="BQ126:BQ133" si="85">iferror(BP126/BP$134,"")</f>
        <v>0.5888355342</v>
      </c>
    </row>
    <row r="127" outlineLevel="1">
      <c r="A127" s="60" t="s">
        <v>8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135"/>
      <c r="O127" s="135"/>
      <c r="P127" s="135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144">
        <v>775.0</v>
      </c>
      <c r="AK127" s="144">
        <v>506.0</v>
      </c>
      <c r="AL127" s="144">
        <v>297.0</v>
      </c>
      <c r="AM127" s="144">
        <v>232.0</v>
      </c>
      <c r="AN127" s="144">
        <v>103.0</v>
      </c>
      <c r="AO127" s="144">
        <v>151.0</v>
      </c>
      <c r="AP127" s="144">
        <v>3090.0</v>
      </c>
      <c r="AQ127" s="144">
        <v>4237.0</v>
      </c>
      <c r="AR127" s="144">
        <v>1074.0</v>
      </c>
      <c r="AS127" s="144">
        <v>1057.0</v>
      </c>
      <c r="AT127" s="144">
        <v>866.0</v>
      </c>
      <c r="AU127" s="144">
        <v>1339.0</v>
      </c>
      <c r="AV127" s="144">
        <f>IFERROR(__xludf.DUMMYFUNCTION("""COMPUTED_VALUE"""),1422.0)</f>
        <v>1422</v>
      </c>
      <c r="AW127" s="144">
        <v>878.0</v>
      </c>
      <c r="AX127" s="144">
        <v>407.0</v>
      </c>
      <c r="AY127" s="144">
        <v>407.0</v>
      </c>
      <c r="AZ127" s="144">
        <v>290.0</v>
      </c>
      <c r="BA127" s="144">
        <v>178.0</v>
      </c>
      <c r="BB127" s="144">
        <v>3857.0</v>
      </c>
      <c r="BC127" s="144">
        <v>4454.0</v>
      </c>
      <c r="BD127" s="144">
        <v>761.0</v>
      </c>
      <c r="BE127" s="144">
        <v>514.0</v>
      </c>
      <c r="BF127" s="144">
        <v>825.0</v>
      </c>
      <c r="BG127" s="144">
        <v>1180.0</v>
      </c>
      <c r="BH127" s="144">
        <f>IFERROR(__xludf.DUMMYFUNCTION("""COMPUTED_VALUE"""),1025.0)</f>
        <v>1025</v>
      </c>
      <c r="BI127" s="144"/>
      <c r="BJ127" s="144"/>
      <c r="BK127" s="144"/>
      <c r="BL127" s="144"/>
      <c r="BM127" s="144"/>
      <c r="BN127" s="144"/>
      <c r="BO127" s="144"/>
      <c r="BP127" s="63">
        <f t="shared" si="84"/>
        <v>29925</v>
      </c>
      <c r="BQ127" s="64">
        <f t="shared" si="85"/>
        <v>0.2763413058</v>
      </c>
    </row>
    <row r="128" outlineLevel="1">
      <c r="A128" s="60" t="s">
        <v>12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135"/>
      <c r="O128" s="135"/>
      <c r="P128" s="135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144">
        <v>48.0</v>
      </c>
      <c r="AK128" s="144">
        <v>20.0</v>
      </c>
      <c r="AL128" s="144">
        <v>3.0</v>
      </c>
      <c r="AM128" s="144">
        <v>5.0</v>
      </c>
      <c r="AN128" s="144">
        <v>1.0</v>
      </c>
      <c r="AO128" s="144">
        <v>5.0</v>
      </c>
      <c r="AP128" s="144">
        <v>221.0</v>
      </c>
      <c r="AQ128" s="144">
        <v>693.0</v>
      </c>
      <c r="AR128" s="144">
        <v>41.0</v>
      </c>
      <c r="AS128" s="144">
        <v>41.0</v>
      </c>
      <c r="AT128" s="144">
        <v>39.0</v>
      </c>
      <c r="AU128" s="144">
        <v>83.0</v>
      </c>
      <c r="AV128" s="144">
        <f>IFERROR(__xludf.DUMMYFUNCTION("""COMPUTED_VALUE"""),164.0)</f>
        <v>164</v>
      </c>
      <c r="AW128" s="144">
        <v>31.0</v>
      </c>
      <c r="AX128" s="144">
        <v>18.0</v>
      </c>
      <c r="AY128" s="144">
        <v>16.0</v>
      </c>
      <c r="AZ128" s="144">
        <v>8.0</v>
      </c>
      <c r="BA128" s="144">
        <v>4.0</v>
      </c>
      <c r="BB128" s="144">
        <v>293.0</v>
      </c>
      <c r="BC128" s="144">
        <v>357.0</v>
      </c>
      <c r="BD128" s="144">
        <v>12.0</v>
      </c>
      <c r="BE128" s="144">
        <v>11.0</v>
      </c>
      <c r="BF128" s="144">
        <v>22.0</v>
      </c>
      <c r="BG128" s="144">
        <v>41.0</v>
      </c>
      <c r="BH128" s="144">
        <f>IFERROR(__xludf.DUMMYFUNCTION("""COMPUTED_VALUE"""),24.0)</f>
        <v>24</v>
      </c>
      <c r="BI128" s="144"/>
      <c r="BJ128" s="144"/>
      <c r="BK128" s="144"/>
      <c r="BL128" s="144"/>
      <c r="BM128" s="144"/>
      <c r="BN128" s="144"/>
      <c r="BO128" s="144"/>
      <c r="BP128" s="63">
        <f t="shared" si="84"/>
        <v>2201</v>
      </c>
      <c r="BQ128" s="64">
        <f t="shared" si="85"/>
        <v>0.0203250531</v>
      </c>
    </row>
    <row r="129" outlineLevel="1">
      <c r="A129" s="60" t="s">
        <v>13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135"/>
      <c r="O129" s="135"/>
      <c r="P129" s="135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144">
        <v>24.0</v>
      </c>
      <c r="AK129" s="144">
        <v>11.0</v>
      </c>
      <c r="AL129" s="144">
        <v>7.0</v>
      </c>
      <c r="AM129" s="144">
        <v>5.0</v>
      </c>
      <c r="AN129" s="144">
        <v>4.0</v>
      </c>
      <c r="AO129" s="144">
        <v>26.0</v>
      </c>
      <c r="AP129" s="144">
        <v>197.0</v>
      </c>
      <c r="AQ129" s="144">
        <v>239.0</v>
      </c>
      <c r="AR129" s="144">
        <v>33.0</v>
      </c>
      <c r="AS129" s="144">
        <v>35.0</v>
      </c>
      <c r="AT129" s="144">
        <v>37.0</v>
      </c>
      <c r="AU129" s="144">
        <v>49.0</v>
      </c>
      <c r="AV129" s="144">
        <f>IFERROR(__xludf.DUMMYFUNCTION("""COMPUTED_VALUE"""),56.0)</f>
        <v>56</v>
      </c>
      <c r="AW129" s="144">
        <v>35.0</v>
      </c>
      <c r="AX129" s="144">
        <v>18.0</v>
      </c>
      <c r="AY129" s="144">
        <v>11.0</v>
      </c>
      <c r="AZ129" s="144">
        <v>6.0</v>
      </c>
      <c r="BA129" s="144">
        <v>7.0</v>
      </c>
      <c r="BB129" s="144">
        <v>188.0</v>
      </c>
      <c r="BC129" s="144">
        <v>234.0</v>
      </c>
      <c r="BD129" s="144">
        <v>10.0</v>
      </c>
      <c r="BE129" s="144">
        <v>15.0</v>
      </c>
      <c r="BF129" s="144">
        <v>19.0</v>
      </c>
      <c r="BG129" s="144">
        <v>29.0</v>
      </c>
      <c r="BH129" s="144">
        <f>IFERROR(__xludf.DUMMYFUNCTION("""COMPUTED_VALUE"""),34.0)</f>
        <v>34</v>
      </c>
      <c r="BI129" s="144"/>
      <c r="BJ129" s="144"/>
      <c r="BK129" s="144"/>
      <c r="BL129" s="144"/>
      <c r="BM129" s="144"/>
      <c r="BN129" s="144"/>
      <c r="BO129" s="144"/>
      <c r="BP129" s="63">
        <f t="shared" si="84"/>
        <v>1329</v>
      </c>
      <c r="BQ129" s="64">
        <f t="shared" si="85"/>
        <v>0.01227260135</v>
      </c>
    </row>
    <row r="130" outlineLevel="1">
      <c r="A130" s="60" t="s">
        <v>14</v>
      </c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135"/>
      <c r="O130" s="135"/>
      <c r="P130" s="135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144">
        <v>106.0</v>
      </c>
      <c r="AK130" s="144">
        <v>45.0</v>
      </c>
      <c r="AL130" s="144">
        <v>46.0</v>
      </c>
      <c r="AM130" s="144">
        <v>29.0</v>
      </c>
      <c r="AN130" s="144">
        <v>11.0</v>
      </c>
      <c r="AO130" s="144">
        <v>18.0</v>
      </c>
      <c r="AP130" s="144">
        <v>318.0</v>
      </c>
      <c r="AQ130" s="144">
        <v>388.0</v>
      </c>
      <c r="AR130" s="144">
        <v>137.0</v>
      </c>
      <c r="AS130" s="144">
        <v>93.0</v>
      </c>
      <c r="AT130" s="144">
        <v>56.0</v>
      </c>
      <c r="AU130" s="144">
        <v>82.0</v>
      </c>
      <c r="AV130" s="144">
        <f>IFERROR(__xludf.DUMMYFUNCTION("""COMPUTED_VALUE"""),85.0)</f>
        <v>85</v>
      </c>
      <c r="AW130" s="144">
        <v>51.0</v>
      </c>
      <c r="AX130" s="144">
        <v>22.0</v>
      </c>
      <c r="AY130" s="144">
        <v>39.0</v>
      </c>
      <c r="AZ130" s="144">
        <v>35.0</v>
      </c>
      <c r="BA130" s="144">
        <v>27.0</v>
      </c>
      <c r="BB130" s="144">
        <v>380.0</v>
      </c>
      <c r="BC130" s="144">
        <v>483.0</v>
      </c>
      <c r="BD130" s="144">
        <v>47.0</v>
      </c>
      <c r="BE130" s="144">
        <v>38.0</v>
      </c>
      <c r="BF130" s="144">
        <v>82.0</v>
      </c>
      <c r="BG130" s="144">
        <v>91.0</v>
      </c>
      <c r="BH130" s="144">
        <f>IFERROR(__xludf.DUMMYFUNCTION("""COMPUTED_VALUE"""),95.0)</f>
        <v>95</v>
      </c>
      <c r="BI130" s="144"/>
      <c r="BJ130" s="144"/>
      <c r="BK130" s="144"/>
      <c r="BL130" s="144"/>
      <c r="BM130" s="144"/>
      <c r="BN130" s="144"/>
      <c r="BO130" s="144"/>
      <c r="BP130" s="63">
        <f t="shared" si="84"/>
        <v>2804</v>
      </c>
      <c r="BQ130" s="64">
        <f t="shared" si="85"/>
        <v>0.0258934343</v>
      </c>
    </row>
    <row r="131" outlineLevel="1">
      <c r="A131" s="134" t="s">
        <v>16</v>
      </c>
      <c r="B131" s="92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144">
        <v>21.0</v>
      </c>
      <c r="AK131" s="144">
        <v>12.0</v>
      </c>
      <c r="AL131" s="144">
        <v>7.0</v>
      </c>
      <c r="AM131" s="144">
        <v>5.0</v>
      </c>
      <c r="AN131" s="144">
        <v>3.0</v>
      </c>
      <c r="AO131" s="144">
        <v>1.0</v>
      </c>
      <c r="AP131" s="144">
        <v>80.0</v>
      </c>
      <c r="AQ131" s="144">
        <v>147.0</v>
      </c>
      <c r="AR131" s="144">
        <v>20.0</v>
      </c>
      <c r="AS131" s="144">
        <v>22.0</v>
      </c>
      <c r="AT131" s="144">
        <v>18.0</v>
      </c>
      <c r="AU131" s="144">
        <v>27.0</v>
      </c>
      <c r="AV131" s="144">
        <f>IFERROR(__xludf.DUMMYFUNCTION("""COMPUTED_VALUE"""),36.0)</f>
        <v>36</v>
      </c>
      <c r="AW131" s="144">
        <v>20.0</v>
      </c>
      <c r="AX131" s="144">
        <v>12.0</v>
      </c>
      <c r="AY131" s="144">
        <v>12.0</v>
      </c>
      <c r="AZ131" s="144">
        <v>16.0</v>
      </c>
      <c r="BA131" s="144">
        <v>8.0</v>
      </c>
      <c r="BB131" s="144">
        <v>144.0</v>
      </c>
      <c r="BC131" s="144">
        <v>163.0</v>
      </c>
      <c r="BD131" s="144">
        <v>5.0</v>
      </c>
      <c r="BE131" s="144">
        <v>15.0</v>
      </c>
      <c r="BF131" s="144">
        <v>16.0</v>
      </c>
      <c r="BG131" s="144">
        <v>35.0</v>
      </c>
      <c r="BH131" s="144">
        <f>IFERROR(__xludf.DUMMYFUNCTION("""COMPUTED_VALUE"""),32.0)</f>
        <v>32</v>
      </c>
      <c r="BI131" s="144"/>
      <c r="BJ131" s="144"/>
      <c r="BK131" s="144"/>
      <c r="BL131" s="144"/>
      <c r="BM131" s="144"/>
      <c r="BN131" s="144"/>
      <c r="BO131" s="144"/>
      <c r="BP131" s="63">
        <f t="shared" si="84"/>
        <v>877</v>
      </c>
      <c r="BQ131" s="64">
        <f t="shared" si="85"/>
        <v>0.008098624065</v>
      </c>
    </row>
    <row r="132" outlineLevel="1">
      <c r="A132" s="60" t="s">
        <v>15</v>
      </c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144">
        <f>21+133
</f>
        <v>154</v>
      </c>
      <c r="AK132" s="144">
        <v>75.0</v>
      </c>
      <c r="AL132" s="144">
        <v>41.0</v>
      </c>
      <c r="AM132" s="144">
        <v>40.0</v>
      </c>
      <c r="AN132" s="144">
        <v>19.0</v>
      </c>
      <c r="AO132" s="144">
        <v>46.0</v>
      </c>
      <c r="AP132" s="144">
        <v>817.0</v>
      </c>
      <c r="AQ132" s="144">
        <v>1163.0</v>
      </c>
      <c r="AR132" s="144">
        <v>138.0</v>
      </c>
      <c r="AS132" s="144">
        <v>192.0</v>
      </c>
      <c r="AT132" s="144">
        <v>121.0</v>
      </c>
      <c r="AU132" s="144">
        <v>256.0</v>
      </c>
      <c r="AV132" s="144">
        <f>IFERROR(__xludf.DUMMYFUNCTION("""COMPUTED_VALUE"""),207.0)</f>
        <v>207</v>
      </c>
      <c r="AW132" s="144">
        <v>121.0</v>
      </c>
      <c r="AX132" s="144">
        <v>96.0</v>
      </c>
      <c r="AY132" s="144">
        <v>107.0</v>
      </c>
      <c r="AZ132" s="144">
        <v>58.0</v>
      </c>
      <c r="BA132" s="144">
        <v>51.0</v>
      </c>
      <c r="BB132" s="144">
        <v>1156.0</v>
      </c>
      <c r="BC132" s="144">
        <v>1437.0</v>
      </c>
      <c r="BD132" s="144">
        <v>107.0</v>
      </c>
      <c r="BE132" s="144">
        <v>82.0</v>
      </c>
      <c r="BF132" s="144">
        <v>211.0</v>
      </c>
      <c r="BG132" s="144">
        <v>242.0</v>
      </c>
      <c r="BH132" s="144">
        <f>IFERROR(__xludf.DUMMYFUNCTION("""COMPUTED_VALUE"""),209.0)</f>
        <v>209</v>
      </c>
      <c r="BI132" s="144"/>
      <c r="BJ132" s="144"/>
      <c r="BK132" s="144"/>
      <c r="BL132" s="144"/>
      <c r="BM132" s="144"/>
      <c r="BN132" s="144"/>
      <c r="BO132" s="144"/>
      <c r="BP132" s="63">
        <f t="shared" si="84"/>
        <v>7146</v>
      </c>
      <c r="BQ132" s="64">
        <f t="shared" si="85"/>
        <v>0.06598947271</v>
      </c>
    </row>
    <row r="133" outlineLevel="1">
      <c r="A133" s="60" t="s">
        <v>17</v>
      </c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144">
        <v>6.0</v>
      </c>
      <c r="AK133" s="144">
        <v>3.0</v>
      </c>
      <c r="AL133" s="144">
        <v>0.0</v>
      </c>
      <c r="AM133" s="144">
        <v>0.0</v>
      </c>
      <c r="AN133" s="144">
        <v>0.0</v>
      </c>
      <c r="AO133" s="144">
        <v>1.0</v>
      </c>
      <c r="AP133" s="144">
        <v>33.0</v>
      </c>
      <c r="AQ133" s="144">
        <v>48.0</v>
      </c>
      <c r="AR133" s="144">
        <v>10.0</v>
      </c>
      <c r="AS133" s="144">
        <v>7.0</v>
      </c>
      <c r="AT133" s="144">
        <v>4.0</v>
      </c>
      <c r="AU133" s="144">
        <v>3.0</v>
      </c>
      <c r="AV133" s="144">
        <f>IFERROR(__xludf.DUMMYFUNCTION("""COMPUTED_VALUE"""),5.0)</f>
        <v>5</v>
      </c>
      <c r="AW133" s="144">
        <v>2.0</v>
      </c>
      <c r="AX133" s="144">
        <v>1.0</v>
      </c>
      <c r="AY133" s="144">
        <v>5.0</v>
      </c>
      <c r="AZ133" s="144">
        <v>1.0</v>
      </c>
      <c r="BA133" s="144">
        <v>2.0</v>
      </c>
      <c r="BB133" s="144">
        <v>38.0</v>
      </c>
      <c r="BC133" s="144">
        <v>54.0</v>
      </c>
      <c r="BD133" s="144">
        <v>5.0</v>
      </c>
      <c r="BE133" s="144">
        <v>2.0</v>
      </c>
      <c r="BF133" s="144">
        <v>3.0</v>
      </c>
      <c r="BG133" s="144">
        <v>5.0</v>
      </c>
      <c r="BH133" s="144">
        <f>IFERROR(__xludf.DUMMYFUNCTION("""COMPUTED_VALUE"""),5.0)</f>
        <v>5</v>
      </c>
      <c r="BI133" s="144"/>
      <c r="BJ133" s="144"/>
      <c r="BK133" s="144"/>
      <c r="BL133" s="144"/>
      <c r="BM133" s="144"/>
      <c r="BN133" s="144"/>
      <c r="BO133" s="144"/>
      <c r="BP133" s="63">
        <f t="shared" si="84"/>
        <v>243</v>
      </c>
      <c r="BQ133" s="64">
        <f t="shared" si="85"/>
        <v>0.002243974513</v>
      </c>
    </row>
    <row r="134" outlineLevel="1">
      <c r="A134" s="93" t="s">
        <v>18</v>
      </c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5">
        <f t="shared" ref="AJ134:BO134" si="86">SUM(AJ126:AJ133)</f>
        <v>1434</v>
      </c>
      <c r="AK134" s="95">
        <f t="shared" si="86"/>
        <v>903</v>
      </c>
      <c r="AL134" s="95">
        <f t="shared" si="86"/>
        <v>521</v>
      </c>
      <c r="AM134" s="95">
        <f t="shared" si="86"/>
        <v>424</v>
      </c>
      <c r="AN134" s="95">
        <f t="shared" si="86"/>
        <v>224</v>
      </c>
      <c r="AO134" s="95">
        <f t="shared" si="86"/>
        <v>478</v>
      </c>
      <c r="AP134" s="95">
        <f t="shared" si="86"/>
        <v>18093</v>
      </c>
      <c r="AQ134" s="95">
        <f t="shared" si="86"/>
        <v>18653</v>
      </c>
      <c r="AR134" s="95">
        <f t="shared" si="86"/>
        <v>2184</v>
      </c>
      <c r="AS134" s="95">
        <f t="shared" si="86"/>
        <v>2529</v>
      </c>
      <c r="AT134" s="95">
        <f t="shared" si="86"/>
        <v>1856</v>
      </c>
      <c r="AU134" s="95">
        <f t="shared" si="86"/>
        <v>3533</v>
      </c>
      <c r="AV134" s="95">
        <f t="shared" si="86"/>
        <v>3414</v>
      </c>
      <c r="AW134" s="95">
        <f t="shared" si="86"/>
        <v>2015</v>
      </c>
      <c r="AX134" s="95">
        <f t="shared" si="86"/>
        <v>764</v>
      </c>
      <c r="AY134" s="95">
        <f t="shared" si="86"/>
        <v>780</v>
      </c>
      <c r="AZ134" s="95">
        <f t="shared" si="86"/>
        <v>540</v>
      </c>
      <c r="BA134" s="95">
        <f t="shared" si="86"/>
        <v>414</v>
      </c>
      <c r="BB134" s="95">
        <f t="shared" si="86"/>
        <v>18759</v>
      </c>
      <c r="BC134" s="95">
        <f t="shared" si="86"/>
        <v>21414</v>
      </c>
      <c r="BD134" s="95">
        <f t="shared" si="86"/>
        <v>1327</v>
      </c>
      <c r="BE134" s="95">
        <f t="shared" si="86"/>
        <v>1031</v>
      </c>
      <c r="BF134" s="95">
        <f t="shared" si="86"/>
        <v>2100</v>
      </c>
      <c r="BG134" s="95">
        <f t="shared" si="86"/>
        <v>2683</v>
      </c>
      <c r="BH134" s="95">
        <f t="shared" si="86"/>
        <v>2217</v>
      </c>
      <c r="BI134" s="95">
        <f t="shared" si="86"/>
        <v>0</v>
      </c>
      <c r="BJ134" s="95">
        <f t="shared" si="86"/>
        <v>0</v>
      </c>
      <c r="BK134" s="95">
        <f t="shared" si="86"/>
        <v>0</v>
      </c>
      <c r="BL134" s="95">
        <f t="shared" si="86"/>
        <v>0</v>
      </c>
      <c r="BM134" s="95">
        <f t="shared" si="86"/>
        <v>0</v>
      </c>
      <c r="BN134" s="95">
        <f t="shared" si="86"/>
        <v>0</v>
      </c>
      <c r="BO134" s="95">
        <f t="shared" si="86"/>
        <v>0</v>
      </c>
      <c r="BP134" s="96">
        <f t="shared" si="84"/>
        <v>108290</v>
      </c>
      <c r="BQ134" s="97">
        <f>SUM(BQ126:BQ133)</f>
        <v>1</v>
      </c>
    </row>
    <row r="135" outlineLevel="1">
      <c r="A135" s="72" t="s">
        <v>9</v>
      </c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81"/>
      <c r="BQ135" s="82"/>
    </row>
    <row r="136" outlineLevel="1">
      <c r="A136" s="78" t="s">
        <v>7</v>
      </c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79">
        <f t="shared" ref="AJ136:BO136" si="87">iferror(AJ126/AJ$134,"")</f>
        <v>0.2092050209</v>
      </c>
      <c r="AK136" s="79">
        <f t="shared" si="87"/>
        <v>0.2558139535</v>
      </c>
      <c r="AL136" s="79">
        <f t="shared" si="87"/>
        <v>0.2303262956</v>
      </c>
      <c r="AM136" s="79">
        <f t="shared" si="87"/>
        <v>0.2547169811</v>
      </c>
      <c r="AN136" s="79">
        <f t="shared" si="87"/>
        <v>0.3705357143</v>
      </c>
      <c r="AO136" s="79">
        <f t="shared" si="87"/>
        <v>0.4811715481</v>
      </c>
      <c r="AP136" s="79">
        <f t="shared" si="87"/>
        <v>0.7371359089</v>
      </c>
      <c r="AQ136" s="79">
        <f t="shared" si="87"/>
        <v>0.629282153</v>
      </c>
      <c r="AR136" s="79">
        <f t="shared" si="87"/>
        <v>0.3347069597</v>
      </c>
      <c r="AS136" s="79">
        <f t="shared" si="87"/>
        <v>0.4278370898</v>
      </c>
      <c r="AT136" s="79">
        <f t="shared" si="87"/>
        <v>0.385237069</v>
      </c>
      <c r="AU136" s="79">
        <f t="shared" si="87"/>
        <v>0.4794791962</v>
      </c>
      <c r="AV136" s="79">
        <f t="shared" si="87"/>
        <v>0.4214997071</v>
      </c>
      <c r="AW136" s="79">
        <f t="shared" si="87"/>
        <v>0.435235732</v>
      </c>
      <c r="AX136" s="79">
        <f t="shared" si="87"/>
        <v>0.2486910995</v>
      </c>
      <c r="AY136" s="79">
        <f t="shared" si="87"/>
        <v>0.2346153846</v>
      </c>
      <c r="AZ136" s="79">
        <f t="shared" si="87"/>
        <v>0.2333333333</v>
      </c>
      <c r="BA136" s="79">
        <f t="shared" si="87"/>
        <v>0.3309178744</v>
      </c>
      <c r="BB136" s="79">
        <f t="shared" si="87"/>
        <v>0.6771682926</v>
      </c>
      <c r="BC136" s="79">
        <f t="shared" si="87"/>
        <v>0.6646119361</v>
      </c>
      <c r="BD136" s="79">
        <f t="shared" si="87"/>
        <v>0.286360211</v>
      </c>
      <c r="BE136" s="79">
        <f t="shared" si="87"/>
        <v>0.3433559651</v>
      </c>
      <c r="BF136" s="79">
        <f t="shared" si="87"/>
        <v>0.439047619</v>
      </c>
      <c r="BG136" s="79">
        <f t="shared" si="87"/>
        <v>0.3950801342</v>
      </c>
      <c r="BH136" s="79">
        <f t="shared" si="87"/>
        <v>0.3576905728</v>
      </c>
      <c r="BI136" s="79" t="str">
        <f t="shared" si="87"/>
        <v/>
      </c>
      <c r="BJ136" s="79" t="str">
        <f t="shared" si="87"/>
        <v/>
      </c>
      <c r="BK136" s="79" t="str">
        <f t="shared" si="87"/>
        <v/>
      </c>
      <c r="BL136" s="79" t="str">
        <f t="shared" si="87"/>
        <v/>
      </c>
      <c r="BM136" s="79" t="str">
        <f t="shared" si="87"/>
        <v/>
      </c>
      <c r="BN136" s="79" t="str">
        <f t="shared" si="87"/>
        <v/>
      </c>
      <c r="BO136" s="79" t="str">
        <f t="shared" si="87"/>
        <v/>
      </c>
      <c r="BP136" s="81"/>
      <c r="BQ136" s="82"/>
    </row>
    <row r="137" outlineLevel="1">
      <c r="A137" s="78" t="s">
        <v>8</v>
      </c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79">
        <f t="shared" ref="AJ137:BO137" si="88">iferror(AJ127/AJ$134,"")</f>
        <v>0.540446304</v>
      </c>
      <c r="AK137" s="79">
        <f t="shared" si="88"/>
        <v>0.5603543743</v>
      </c>
      <c r="AL137" s="79">
        <f t="shared" si="88"/>
        <v>0.5700575816</v>
      </c>
      <c r="AM137" s="79">
        <f t="shared" si="88"/>
        <v>0.5471698113</v>
      </c>
      <c r="AN137" s="79">
        <f t="shared" si="88"/>
        <v>0.4598214286</v>
      </c>
      <c r="AO137" s="79">
        <f t="shared" si="88"/>
        <v>0.3158995816</v>
      </c>
      <c r="AP137" s="79">
        <f t="shared" si="88"/>
        <v>0.1707842812</v>
      </c>
      <c r="AQ137" s="79">
        <f t="shared" si="88"/>
        <v>0.227148448</v>
      </c>
      <c r="AR137" s="79">
        <f t="shared" si="88"/>
        <v>0.4917582418</v>
      </c>
      <c r="AS137" s="79">
        <f t="shared" si="88"/>
        <v>0.4179517596</v>
      </c>
      <c r="AT137" s="79">
        <f t="shared" si="88"/>
        <v>0.4665948276</v>
      </c>
      <c r="AU137" s="79">
        <f t="shared" si="88"/>
        <v>0.3789980187</v>
      </c>
      <c r="AV137" s="79">
        <f t="shared" si="88"/>
        <v>0.4165202109</v>
      </c>
      <c r="AW137" s="79">
        <f t="shared" si="88"/>
        <v>0.4357320099</v>
      </c>
      <c r="AX137" s="79">
        <f t="shared" si="88"/>
        <v>0.5327225131</v>
      </c>
      <c r="AY137" s="79">
        <f t="shared" si="88"/>
        <v>0.5217948718</v>
      </c>
      <c r="AZ137" s="79">
        <f t="shared" si="88"/>
        <v>0.537037037</v>
      </c>
      <c r="BA137" s="79">
        <f t="shared" si="88"/>
        <v>0.4299516908</v>
      </c>
      <c r="BB137" s="79">
        <f t="shared" si="88"/>
        <v>0.2056079748</v>
      </c>
      <c r="BC137" s="79">
        <f t="shared" si="88"/>
        <v>0.2079947698</v>
      </c>
      <c r="BD137" s="79">
        <f t="shared" si="88"/>
        <v>0.5734740015</v>
      </c>
      <c r="BE137" s="79">
        <f t="shared" si="88"/>
        <v>0.4985451018</v>
      </c>
      <c r="BF137" s="79">
        <f t="shared" si="88"/>
        <v>0.3928571429</v>
      </c>
      <c r="BG137" s="79">
        <f t="shared" si="88"/>
        <v>0.4398061871</v>
      </c>
      <c r="BH137" s="79">
        <f t="shared" si="88"/>
        <v>0.4623364908</v>
      </c>
      <c r="BI137" s="79" t="str">
        <f t="shared" si="88"/>
        <v/>
      </c>
      <c r="BJ137" s="79" t="str">
        <f t="shared" si="88"/>
        <v/>
      </c>
      <c r="BK137" s="79" t="str">
        <f t="shared" si="88"/>
        <v/>
      </c>
      <c r="BL137" s="79" t="str">
        <f t="shared" si="88"/>
        <v/>
      </c>
      <c r="BM137" s="79" t="str">
        <f t="shared" si="88"/>
        <v/>
      </c>
      <c r="BN137" s="79" t="str">
        <f t="shared" si="88"/>
        <v/>
      </c>
      <c r="BO137" s="79" t="str">
        <f t="shared" si="88"/>
        <v/>
      </c>
      <c r="BP137" s="81"/>
      <c r="BQ137" s="82"/>
    </row>
    <row r="138" outlineLevel="1">
      <c r="A138" s="78" t="s">
        <v>12</v>
      </c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79">
        <f t="shared" ref="AJ138:BO138" si="89">iferror(AJ128/AJ$134,"")</f>
        <v>0.03347280335</v>
      </c>
      <c r="AK138" s="79">
        <f t="shared" si="89"/>
        <v>0.02214839424</v>
      </c>
      <c r="AL138" s="79">
        <f t="shared" si="89"/>
        <v>0.00575815739</v>
      </c>
      <c r="AM138" s="79">
        <f t="shared" si="89"/>
        <v>0.01179245283</v>
      </c>
      <c r="AN138" s="79">
        <f t="shared" si="89"/>
        <v>0.004464285714</v>
      </c>
      <c r="AO138" s="79">
        <f t="shared" si="89"/>
        <v>0.01046025105</v>
      </c>
      <c r="AP138" s="79">
        <f t="shared" si="89"/>
        <v>0.01221466866</v>
      </c>
      <c r="AQ138" s="79">
        <f t="shared" si="89"/>
        <v>0.03715220072</v>
      </c>
      <c r="AR138" s="79">
        <f t="shared" si="89"/>
        <v>0.01877289377</v>
      </c>
      <c r="AS138" s="79">
        <f t="shared" si="89"/>
        <v>0.01621194148</v>
      </c>
      <c r="AT138" s="79">
        <f t="shared" si="89"/>
        <v>0.02101293103</v>
      </c>
      <c r="AU138" s="79">
        <f t="shared" si="89"/>
        <v>0.02349278234</v>
      </c>
      <c r="AV138" s="79">
        <f t="shared" si="89"/>
        <v>0.04803749268</v>
      </c>
      <c r="AW138" s="79">
        <f t="shared" si="89"/>
        <v>0.01538461538</v>
      </c>
      <c r="AX138" s="79">
        <f t="shared" si="89"/>
        <v>0.02356020942</v>
      </c>
      <c r="AY138" s="79">
        <f t="shared" si="89"/>
        <v>0.02051282051</v>
      </c>
      <c r="AZ138" s="79">
        <f t="shared" si="89"/>
        <v>0.01481481481</v>
      </c>
      <c r="BA138" s="79">
        <f t="shared" si="89"/>
        <v>0.009661835749</v>
      </c>
      <c r="BB138" s="79">
        <f t="shared" si="89"/>
        <v>0.01561916947</v>
      </c>
      <c r="BC138" s="79">
        <f t="shared" si="89"/>
        <v>0.01667133651</v>
      </c>
      <c r="BD138" s="79">
        <f t="shared" si="89"/>
        <v>0.009042954032</v>
      </c>
      <c r="BE138" s="79">
        <f t="shared" si="89"/>
        <v>0.01066925315</v>
      </c>
      <c r="BF138" s="79">
        <f t="shared" si="89"/>
        <v>0.01047619048</v>
      </c>
      <c r="BG138" s="79">
        <f t="shared" si="89"/>
        <v>0.01528140142</v>
      </c>
      <c r="BH138" s="79">
        <f t="shared" si="89"/>
        <v>0.01082543978</v>
      </c>
      <c r="BI138" s="79" t="str">
        <f t="shared" si="89"/>
        <v/>
      </c>
      <c r="BJ138" s="79" t="str">
        <f t="shared" si="89"/>
        <v/>
      </c>
      <c r="BK138" s="79" t="str">
        <f t="shared" si="89"/>
        <v/>
      </c>
      <c r="BL138" s="79" t="str">
        <f t="shared" si="89"/>
        <v/>
      </c>
      <c r="BM138" s="79" t="str">
        <f t="shared" si="89"/>
        <v/>
      </c>
      <c r="BN138" s="79" t="str">
        <f t="shared" si="89"/>
        <v/>
      </c>
      <c r="BO138" s="79" t="str">
        <f t="shared" si="89"/>
        <v/>
      </c>
      <c r="BP138" s="81"/>
      <c r="BQ138" s="82"/>
    </row>
    <row r="139" outlineLevel="1">
      <c r="A139" s="78" t="s">
        <v>13</v>
      </c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79">
        <f t="shared" ref="AJ139:BO139" si="90">iferror(AJ129/AJ$134,"")</f>
        <v>0.01673640167</v>
      </c>
      <c r="AK139" s="79">
        <f t="shared" si="90"/>
        <v>0.01218161683</v>
      </c>
      <c r="AL139" s="79">
        <f t="shared" si="90"/>
        <v>0.01343570058</v>
      </c>
      <c r="AM139" s="79">
        <f t="shared" si="90"/>
        <v>0.01179245283</v>
      </c>
      <c r="AN139" s="79">
        <f t="shared" si="90"/>
        <v>0.01785714286</v>
      </c>
      <c r="AO139" s="79">
        <f t="shared" si="90"/>
        <v>0.05439330544</v>
      </c>
      <c r="AP139" s="79">
        <f t="shared" si="90"/>
        <v>0.0108881888</v>
      </c>
      <c r="AQ139" s="79">
        <f t="shared" si="90"/>
        <v>0.01281295234</v>
      </c>
      <c r="AR139" s="79">
        <f t="shared" si="90"/>
        <v>0.01510989011</v>
      </c>
      <c r="AS139" s="79">
        <f t="shared" si="90"/>
        <v>0.01383946224</v>
      </c>
      <c r="AT139" s="79">
        <f t="shared" si="90"/>
        <v>0.01993534483</v>
      </c>
      <c r="AU139" s="79">
        <f t="shared" si="90"/>
        <v>0.01386923295</v>
      </c>
      <c r="AV139" s="79">
        <f t="shared" si="90"/>
        <v>0.01640304628</v>
      </c>
      <c r="AW139" s="79">
        <f t="shared" si="90"/>
        <v>0.01736972705</v>
      </c>
      <c r="AX139" s="79">
        <f t="shared" si="90"/>
        <v>0.02356020942</v>
      </c>
      <c r="AY139" s="79">
        <f t="shared" si="90"/>
        <v>0.0141025641</v>
      </c>
      <c r="AZ139" s="79">
        <f t="shared" si="90"/>
        <v>0.01111111111</v>
      </c>
      <c r="BA139" s="79">
        <f t="shared" si="90"/>
        <v>0.01690821256</v>
      </c>
      <c r="BB139" s="79">
        <f t="shared" si="90"/>
        <v>0.01002185618</v>
      </c>
      <c r="BC139" s="79">
        <f t="shared" si="90"/>
        <v>0.01092743065</v>
      </c>
      <c r="BD139" s="79">
        <f t="shared" si="90"/>
        <v>0.007535795026</v>
      </c>
      <c r="BE139" s="79">
        <f t="shared" si="90"/>
        <v>0.01454898157</v>
      </c>
      <c r="BF139" s="79">
        <f t="shared" si="90"/>
        <v>0.009047619048</v>
      </c>
      <c r="BG139" s="79">
        <f t="shared" si="90"/>
        <v>0.01080879612</v>
      </c>
      <c r="BH139" s="79">
        <f t="shared" si="90"/>
        <v>0.01533603969</v>
      </c>
      <c r="BI139" s="79" t="str">
        <f t="shared" si="90"/>
        <v/>
      </c>
      <c r="BJ139" s="79" t="str">
        <f t="shared" si="90"/>
        <v/>
      </c>
      <c r="BK139" s="79" t="str">
        <f t="shared" si="90"/>
        <v/>
      </c>
      <c r="BL139" s="79" t="str">
        <f t="shared" si="90"/>
        <v/>
      </c>
      <c r="BM139" s="79" t="str">
        <f t="shared" si="90"/>
        <v/>
      </c>
      <c r="BN139" s="79" t="str">
        <f t="shared" si="90"/>
        <v/>
      </c>
      <c r="BO139" s="79" t="str">
        <f t="shared" si="90"/>
        <v/>
      </c>
      <c r="BP139" s="81"/>
      <c r="BQ139" s="82"/>
    </row>
    <row r="140" outlineLevel="1">
      <c r="A140" s="78" t="s">
        <v>14</v>
      </c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79">
        <f t="shared" ref="AJ140:BO140" si="91">iferror(AJ130/AJ$134,"")</f>
        <v>0.07391910739</v>
      </c>
      <c r="AK140" s="79">
        <f t="shared" si="91"/>
        <v>0.04983388704</v>
      </c>
      <c r="AL140" s="79">
        <f t="shared" si="91"/>
        <v>0.08829174664</v>
      </c>
      <c r="AM140" s="79">
        <f t="shared" si="91"/>
        <v>0.06839622642</v>
      </c>
      <c r="AN140" s="79">
        <f t="shared" si="91"/>
        <v>0.04910714286</v>
      </c>
      <c r="AO140" s="79">
        <f t="shared" si="91"/>
        <v>0.03765690377</v>
      </c>
      <c r="AP140" s="79">
        <f t="shared" si="91"/>
        <v>0.01757585807</v>
      </c>
      <c r="AQ140" s="79">
        <f t="shared" si="91"/>
        <v>0.02080094355</v>
      </c>
      <c r="AR140" s="79">
        <f t="shared" si="91"/>
        <v>0.06272893773</v>
      </c>
      <c r="AS140" s="79">
        <f t="shared" si="91"/>
        <v>0.03677342823</v>
      </c>
      <c r="AT140" s="79">
        <f t="shared" si="91"/>
        <v>0.03017241379</v>
      </c>
      <c r="AU140" s="79">
        <f t="shared" si="91"/>
        <v>0.02320973677</v>
      </c>
      <c r="AV140" s="79">
        <f t="shared" si="91"/>
        <v>0.02489748096</v>
      </c>
      <c r="AW140" s="79">
        <f t="shared" si="91"/>
        <v>0.0253101737</v>
      </c>
      <c r="AX140" s="79">
        <f t="shared" si="91"/>
        <v>0.02879581152</v>
      </c>
      <c r="AY140" s="79">
        <f t="shared" si="91"/>
        <v>0.05</v>
      </c>
      <c r="AZ140" s="79">
        <f t="shared" si="91"/>
        <v>0.06481481481</v>
      </c>
      <c r="BA140" s="79">
        <f t="shared" si="91"/>
        <v>0.0652173913</v>
      </c>
      <c r="BB140" s="79">
        <f t="shared" si="91"/>
        <v>0.02025694333</v>
      </c>
      <c r="BC140" s="79">
        <f t="shared" si="91"/>
        <v>0.02255533763</v>
      </c>
      <c r="BD140" s="79">
        <f t="shared" si="91"/>
        <v>0.03541823662</v>
      </c>
      <c r="BE140" s="79">
        <f t="shared" si="91"/>
        <v>0.03685741998</v>
      </c>
      <c r="BF140" s="79">
        <f t="shared" si="91"/>
        <v>0.03904761905</v>
      </c>
      <c r="BG140" s="79">
        <f t="shared" si="91"/>
        <v>0.0339172568</v>
      </c>
      <c r="BH140" s="79">
        <f t="shared" si="91"/>
        <v>0.04285069914</v>
      </c>
      <c r="BI140" s="79" t="str">
        <f t="shared" si="91"/>
        <v/>
      </c>
      <c r="BJ140" s="79" t="str">
        <f t="shared" si="91"/>
        <v/>
      </c>
      <c r="BK140" s="79" t="str">
        <f t="shared" si="91"/>
        <v/>
      </c>
      <c r="BL140" s="79" t="str">
        <f t="shared" si="91"/>
        <v/>
      </c>
      <c r="BM140" s="79" t="str">
        <f t="shared" si="91"/>
        <v/>
      </c>
      <c r="BN140" s="79" t="str">
        <f t="shared" si="91"/>
        <v/>
      </c>
      <c r="BO140" s="79" t="str">
        <f t="shared" si="91"/>
        <v/>
      </c>
      <c r="BP140" s="81"/>
      <c r="BQ140" s="82"/>
    </row>
    <row r="141" outlineLevel="1">
      <c r="A141" s="136" t="s">
        <v>16</v>
      </c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79">
        <f t="shared" ref="AJ141:BO141" si="92">iferror(AJ131/AJ$134,"")</f>
        <v>0.01464435146</v>
      </c>
      <c r="AK141" s="79">
        <f t="shared" si="92"/>
        <v>0.01328903654</v>
      </c>
      <c r="AL141" s="79">
        <f t="shared" si="92"/>
        <v>0.01343570058</v>
      </c>
      <c r="AM141" s="79">
        <f t="shared" si="92"/>
        <v>0.01179245283</v>
      </c>
      <c r="AN141" s="79">
        <f t="shared" si="92"/>
        <v>0.01339285714</v>
      </c>
      <c r="AO141" s="79">
        <f t="shared" si="92"/>
        <v>0.002092050209</v>
      </c>
      <c r="AP141" s="79">
        <f t="shared" si="92"/>
        <v>0.004421599514</v>
      </c>
      <c r="AQ141" s="79">
        <f t="shared" si="92"/>
        <v>0.007880769849</v>
      </c>
      <c r="AR141" s="79">
        <f t="shared" si="92"/>
        <v>0.009157509158</v>
      </c>
      <c r="AS141" s="79">
        <f t="shared" si="92"/>
        <v>0.00869909055</v>
      </c>
      <c r="AT141" s="79">
        <f t="shared" si="92"/>
        <v>0.009698275862</v>
      </c>
      <c r="AU141" s="79">
        <f t="shared" si="92"/>
        <v>0.007642230399</v>
      </c>
      <c r="AV141" s="79">
        <f t="shared" si="92"/>
        <v>0.01054481547</v>
      </c>
      <c r="AW141" s="79">
        <f t="shared" si="92"/>
        <v>0.009925558313</v>
      </c>
      <c r="AX141" s="79">
        <f t="shared" si="92"/>
        <v>0.01570680628</v>
      </c>
      <c r="AY141" s="79">
        <f t="shared" si="92"/>
        <v>0.01538461538</v>
      </c>
      <c r="AZ141" s="79">
        <f t="shared" si="92"/>
        <v>0.02962962963</v>
      </c>
      <c r="BA141" s="79">
        <f t="shared" si="92"/>
        <v>0.0193236715</v>
      </c>
      <c r="BB141" s="79">
        <f t="shared" si="92"/>
        <v>0.007676315369</v>
      </c>
      <c r="BC141" s="79">
        <f t="shared" si="92"/>
        <v>0.00761184272</v>
      </c>
      <c r="BD141" s="79">
        <f t="shared" si="92"/>
        <v>0.003767897513</v>
      </c>
      <c r="BE141" s="79">
        <f t="shared" si="92"/>
        <v>0.01454898157</v>
      </c>
      <c r="BF141" s="79">
        <f t="shared" si="92"/>
        <v>0.007619047619</v>
      </c>
      <c r="BG141" s="79">
        <f t="shared" si="92"/>
        <v>0.01304509877</v>
      </c>
      <c r="BH141" s="79">
        <f t="shared" si="92"/>
        <v>0.01443391971</v>
      </c>
      <c r="BI141" s="79" t="str">
        <f t="shared" si="92"/>
        <v/>
      </c>
      <c r="BJ141" s="79" t="str">
        <f t="shared" si="92"/>
        <v/>
      </c>
      <c r="BK141" s="79" t="str">
        <f t="shared" si="92"/>
        <v/>
      </c>
      <c r="BL141" s="79" t="str">
        <f t="shared" si="92"/>
        <v/>
      </c>
      <c r="BM141" s="79" t="str">
        <f t="shared" si="92"/>
        <v/>
      </c>
      <c r="BN141" s="79" t="str">
        <f t="shared" si="92"/>
        <v/>
      </c>
      <c r="BO141" s="79" t="str">
        <f t="shared" si="92"/>
        <v/>
      </c>
      <c r="BP141" s="81"/>
      <c r="BQ141" s="82"/>
    </row>
    <row r="142" outlineLevel="1">
      <c r="A142" s="136" t="s">
        <v>53</v>
      </c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79">
        <f t="shared" ref="AJ142:BO142" si="93">iferror(AJ132/AJ$134,"")</f>
        <v>0.1073919107</v>
      </c>
      <c r="AK142" s="79">
        <f t="shared" si="93"/>
        <v>0.08305647841</v>
      </c>
      <c r="AL142" s="79">
        <f t="shared" si="93"/>
        <v>0.07869481766</v>
      </c>
      <c r="AM142" s="79">
        <f t="shared" si="93"/>
        <v>0.09433962264</v>
      </c>
      <c r="AN142" s="79">
        <f t="shared" si="93"/>
        <v>0.08482142857</v>
      </c>
      <c r="AO142" s="79">
        <f t="shared" si="93"/>
        <v>0.09623430962</v>
      </c>
      <c r="AP142" s="79">
        <f t="shared" si="93"/>
        <v>0.04515558503</v>
      </c>
      <c r="AQ142" s="79">
        <f t="shared" si="93"/>
        <v>0.06234921996</v>
      </c>
      <c r="AR142" s="79">
        <f t="shared" si="93"/>
        <v>0.06318681319</v>
      </c>
      <c r="AS142" s="79">
        <f t="shared" si="93"/>
        <v>0.07591933571</v>
      </c>
      <c r="AT142" s="79">
        <f t="shared" si="93"/>
        <v>0.06519396552</v>
      </c>
      <c r="AU142" s="79">
        <f t="shared" si="93"/>
        <v>0.07245966601</v>
      </c>
      <c r="AV142" s="79">
        <f t="shared" si="93"/>
        <v>0.06063268893</v>
      </c>
      <c r="AW142" s="79">
        <f t="shared" si="93"/>
        <v>0.06004962779</v>
      </c>
      <c r="AX142" s="79">
        <f t="shared" si="93"/>
        <v>0.1256544503</v>
      </c>
      <c r="AY142" s="79">
        <f t="shared" si="93"/>
        <v>0.1371794872</v>
      </c>
      <c r="AZ142" s="79">
        <f t="shared" si="93"/>
        <v>0.1074074074</v>
      </c>
      <c r="BA142" s="79">
        <f t="shared" si="93"/>
        <v>0.1231884058</v>
      </c>
      <c r="BB142" s="79">
        <f t="shared" si="93"/>
        <v>0.06162375393</v>
      </c>
      <c r="BC142" s="79">
        <f t="shared" si="93"/>
        <v>0.06710563183</v>
      </c>
      <c r="BD142" s="79">
        <f t="shared" si="93"/>
        <v>0.08063300678</v>
      </c>
      <c r="BE142" s="79">
        <f t="shared" si="93"/>
        <v>0.07953443259</v>
      </c>
      <c r="BF142" s="79">
        <f t="shared" si="93"/>
        <v>0.1004761905</v>
      </c>
      <c r="BG142" s="79">
        <f t="shared" si="93"/>
        <v>0.09019754007</v>
      </c>
      <c r="BH142" s="79">
        <f t="shared" si="93"/>
        <v>0.09427153811</v>
      </c>
      <c r="BI142" s="79" t="str">
        <f t="shared" si="93"/>
        <v/>
      </c>
      <c r="BJ142" s="79" t="str">
        <f t="shared" si="93"/>
        <v/>
      </c>
      <c r="BK142" s="79" t="str">
        <f t="shared" si="93"/>
        <v/>
      </c>
      <c r="BL142" s="79" t="str">
        <f t="shared" si="93"/>
        <v/>
      </c>
      <c r="BM142" s="79" t="str">
        <f t="shared" si="93"/>
        <v/>
      </c>
      <c r="BN142" s="79" t="str">
        <f t="shared" si="93"/>
        <v/>
      </c>
      <c r="BO142" s="79" t="str">
        <f t="shared" si="93"/>
        <v/>
      </c>
      <c r="BP142" s="81"/>
      <c r="BQ142" s="82"/>
    </row>
    <row r="143" outlineLevel="1">
      <c r="A143" s="137" t="s">
        <v>17</v>
      </c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79">
        <f t="shared" ref="AJ143:BO143" si="94">iferror(AJ133/AJ$134,"")</f>
        <v>0.004184100418</v>
      </c>
      <c r="AK143" s="79">
        <f t="shared" si="94"/>
        <v>0.003322259136</v>
      </c>
      <c r="AL143" s="79">
        <f t="shared" si="94"/>
        <v>0</v>
      </c>
      <c r="AM143" s="79">
        <f t="shared" si="94"/>
        <v>0</v>
      </c>
      <c r="AN143" s="79">
        <f t="shared" si="94"/>
        <v>0</v>
      </c>
      <c r="AO143" s="79">
        <f t="shared" si="94"/>
        <v>0.002092050209</v>
      </c>
      <c r="AP143" s="79">
        <f t="shared" si="94"/>
        <v>0.001823909799</v>
      </c>
      <c r="AQ143" s="79">
        <f t="shared" si="94"/>
        <v>0.002573312604</v>
      </c>
      <c r="AR143" s="79">
        <f t="shared" si="94"/>
        <v>0.004578754579</v>
      </c>
      <c r="AS143" s="79">
        <f t="shared" si="94"/>
        <v>0.002767892448</v>
      </c>
      <c r="AT143" s="79">
        <f t="shared" si="94"/>
        <v>0.002155172414</v>
      </c>
      <c r="AU143" s="79">
        <f t="shared" si="94"/>
        <v>0.000849136711</v>
      </c>
      <c r="AV143" s="79">
        <f t="shared" si="94"/>
        <v>0.001464557704</v>
      </c>
      <c r="AW143" s="79">
        <f t="shared" si="94"/>
        <v>0.0009925558313</v>
      </c>
      <c r="AX143" s="79">
        <f t="shared" si="94"/>
        <v>0.001308900524</v>
      </c>
      <c r="AY143" s="79">
        <f t="shared" si="94"/>
        <v>0.00641025641</v>
      </c>
      <c r="AZ143" s="79">
        <f t="shared" si="94"/>
        <v>0.001851851852</v>
      </c>
      <c r="BA143" s="79">
        <f t="shared" si="94"/>
        <v>0.004830917874</v>
      </c>
      <c r="BB143" s="79">
        <f t="shared" si="94"/>
        <v>0.002025694333</v>
      </c>
      <c r="BC143" s="79">
        <f t="shared" si="94"/>
        <v>0.002521714766</v>
      </c>
      <c r="BD143" s="79">
        <f t="shared" si="94"/>
        <v>0.003767897513</v>
      </c>
      <c r="BE143" s="79">
        <f t="shared" si="94"/>
        <v>0.00193986421</v>
      </c>
      <c r="BF143" s="79">
        <f t="shared" si="94"/>
        <v>0.001428571429</v>
      </c>
      <c r="BG143" s="79">
        <f t="shared" si="94"/>
        <v>0.001863585539</v>
      </c>
      <c r="BH143" s="79">
        <f t="shared" si="94"/>
        <v>0.002255299955</v>
      </c>
      <c r="BI143" s="79" t="str">
        <f t="shared" si="94"/>
        <v/>
      </c>
      <c r="BJ143" s="79" t="str">
        <f t="shared" si="94"/>
        <v/>
      </c>
      <c r="BK143" s="79" t="str">
        <f t="shared" si="94"/>
        <v/>
      </c>
      <c r="BL143" s="79" t="str">
        <f t="shared" si="94"/>
        <v/>
      </c>
      <c r="BM143" s="79" t="str">
        <f t="shared" si="94"/>
        <v/>
      </c>
      <c r="BN143" s="79" t="str">
        <f t="shared" si="94"/>
        <v/>
      </c>
      <c r="BO143" s="79" t="str">
        <f t="shared" si="94"/>
        <v/>
      </c>
      <c r="BP143" s="87"/>
      <c r="BQ143" s="139"/>
    </row>
    <row r="144" outlineLevel="1">
      <c r="A144" s="56" t="s">
        <v>19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8"/>
      <c r="BQ144" s="59"/>
    </row>
    <row r="145" outlineLevel="1">
      <c r="A145" s="60" t="s">
        <v>20</v>
      </c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2"/>
      <c r="O145" s="92"/>
      <c r="P145" s="92"/>
      <c r="Q145" s="92"/>
      <c r="R145" s="92"/>
      <c r="S145" s="92"/>
      <c r="T145" s="92"/>
      <c r="U145" s="90"/>
      <c r="V145" s="90"/>
      <c r="W145" s="90"/>
      <c r="X145" s="90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144">
        <v>229.0</v>
      </c>
      <c r="AK145" s="144">
        <v>173.0</v>
      </c>
      <c r="AL145" s="144">
        <v>92.0</v>
      </c>
      <c r="AM145" s="144">
        <v>82.0</v>
      </c>
      <c r="AN145" s="144">
        <v>63.0</v>
      </c>
      <c r="AO145" s="144">
        <v>197.0</v>
      </c>
      <c r="AP145" s="144">
        <v>11587.0</v>
      </c>
      <c r="AQ145" s="144">
        <v>10133.0</v>
      </c>
      <c r="AR145" s="144">
        <v>556.0</v>
      </c>
      <c r="AS145" s="144">
        <v>839.0</v>
      </c>
      <c r="AT145" s="144">
        <v>543.0</v>
      </c>
      <c r="AU145" s="144">
        <v>1390.0</v>
      </c>
      <c r="AV145" s="144">
        <f>IFERROR(__xludf.DUMMYFUNCTION("IMPORTRANGE(""1FsAayhXBhwQWWhxaeEf32srJkqMhPcXdSHpT-eTbsHA"",""PP - Data!AG91:AG93"")"),1169.0)</f>
        <v>1169</v>
      </c>
      <c r="AW145" s="144">
        <v>726.0</v>
      </c>
      <c r="AX145" s="144">
        <v>144.0</v>
      </c>
      <c r="AY145" s="144">
        <v>131.0</v>
      </c>
      <c r="AZ145" s="144">
        <v>92.0</v>
      </c>
      <c r="BA145" s="144">
        <v>101.0</v>
      </c>
      <c r="BB145" s="144">
        <v>10975.0</v>
      </c>
      <c r="BC145" s="144">
        <v>12238.0</v>
      </c>
      <c r="BD145" s="144">
        <v>283.0</v>
      </c>
      <c r="BE145" s="144">
        <v>272.0</v>
      </c>
      <c r="BF145" s="144">
        <v>738.0</v>
      </c>
      <c r="BG145" s="144">
        <v>868.0</v>
      </c>
      <c r="BH145" s="144">
        <f>IFERROR(__xludf.DUMMYFUNCTION("IMPORTRANGE(""1Z2ZLDM0_m0NNnV5_jRvcRNtM9Z5AZ7o_A94RnrBGQUE"",""PP - Data!AG91:AG93"")"),633.0)</f>
        <v>633</v>
      </c>
      <c r="BI145" s="144"/>
      <c r="BJ145" s="144"/>
      <c r="BK145" s="144"/>
      <c r="BL145" s="144"/>
      <c r="BM145" s="144"/>
      <c r="BN145" s="144"/>
      <c r="BO145" s="144"/>
      <c r="BP145" s="63">
        <f t="shared" ref="BP145:BP148" si="95">SUM(B145:BO145)</f>
        <v>54254</v>
      </c>
      <c r="BQ145" s="64">
        <f t="shared" ref="BQ145:BQ147" si="96">iferror(BP145/BP$148,"")</f>
        <v>0.8508429389</v>
      </c>
    </row>
    <row r="146" outlineLevel="1">
      <c r="A146" s="65" t="s">
        <v>21</v>
      </c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144">
        <v>45.0</v>
      </c>
      <c r="AK146" s="144">
        <v>37.0</v>
      </c>
      <c r="AL146" s="144">
        <v>18.0</v>
      </c>
      <c r="AM146" s="144">
        <v>12.0</v>
      </c>
      <c r="AN146" s="144">
        <v>9.0</v>
      </c>
      <c r="AO146" s="144">
        <v>8.0</v>
      </c>
      <c r="AP146" s="144">
        <v>582.0</v>
      </c>
      <c r="AQ146" s="144">
        <v>516.0</v>
      </c>
      <c r="AR146" s="144">
        <v>92.0</v>
      </c>
      <c r="AS146" s="144">
        <v>109.0</v>
      </c>
      <c r="AT146" s="144">
        <v>90.0</v>
      </c>
      <c r="AU146" s="144">
        <v>138.0</v>
      </c>
      <c r="AV146" s="144">
        <f>IFERROR(__xludf.DUMMYFUNCTION("""COMPUTED_VALUE"""),130.0)</f>
        <v>130</v>
      </c>
      <c r="AW146" s="144">
        <v>60.0</v>
      </c>
      <c r="AX146" s="144">
        <v>22.0</v>
      </c>
      <c r="AY146" s="144">
        <v>32.0</v>
      </c>
      <c r="AZ146" s="144">
        <v>15.0</v>
      </c>
      <c r="BA146" s="144">
        <v>13.0</v>
      </c>
      <c r="BB146" s="144">
        <v>522.0</v>
      </c>
      <c r="BC146" s="144">
        <v>571.0</v>
      </c>
      <c r="BD146" s="144">
        <v>48.0</v>
      </c>
      <c r="BE146" s="144">
        <v>39.0</v>
      </c>
      <c r="BF146" s="144">
        <v>62.0</v>
      </c>
      <c r="BG146" s="144">
        <v>86.0</v>
      </c>
      <c r="BH146" s="144">
        <f>IFERROR(__xludf.DUMMYFUNCTION("""COMPUTED_VALUE"""),73.0)</f>
        <v>73</v>
      </c>
      <c r="BI146" s="144"/>
      <c r="BJ146" s="144"/>
      <c r="BK146" s="144"/>
      <c r="BL146" s="144"/>
      <c r="BM146" s="144"/>
      <c r="BN146" s="144"/>
      <c r="BO146" s="144"/>
      <c r="BP146" s="63">
        <f t="shared" si="95"/>
        <v>3329</v>
      </c>
      <c r="BQ146" s="64">
        <f t="shared" si="96"/>
        <v>0.05220732377</v>
      </c>
    </row>
    <row r="147" outlineLevel="1">
      <c r="A147" s="67" t="s">
        <v>22</v>
      </c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144">
        <v>26.0</v>
      </c>
      <c r="AK147" s="144">
        <v>21.0</v>
      </c>
      <c r="AL147" s="144">
        <v>10.0</v>
      </c>
      <c r="AM147" s="144">
        <v>14.0</v>
      </c>
      <c r="AN147" s="144">
        <v>11.0</v>
      </c>
      <c r="AO147" s="144">
        <v>25.0</v>
      </c>
      <c r="AP147" s="144">
        <v>1168.0</v>
      </c>
      <c r="AQ147" s="144">
        <v>1089.0</v>
      </c>
      <c r="AR147" s="144">
        <v>83.0</v>
      </c>
      <c r="AS147" s="144">
        <v>134.0</v>
      </c>
      <c r="AT147" s="144">
        <v>82.0</v>
      </c>
      <c r="AU147" s="144">
        <v>166.0</v>
      </c>
      <c r="AV147" s="144">
        <f>IFERROR(__xludf.DUMMYFUNCTION("""COMPUTED_VALUE"""),140.0)</f>
        <v>140</v>
      </c>
      <c r="AW147" s="144">
        <v>91.0</v>
      </c>
      <c r="AX147" s="144">
        <v>24.0</v>
      </c>
      <c r="AY147" s="144">
        <v>20.0</v>
      </c>
      <c r="AZ147" s="144">
        <v>19.0</v>
      </c>
      <c r="BA147" s="144">
        <v>23.0</v>
      </c>
      <c r="BB147" s="144">
        <v>1206.0</v>
      </c>
      <c r="BC147" s="144">
        <v>1423.0</v>
      </c>
      <c r="BD147" s="144">
        <v>49.0</v>
      </c>
      <c r="BE147" s="144">
        <v>43.0</v>
      </c>
      <c r="BF147" s="144">
        <v>122.0</v>
      </c>
      <c r="BG147" s="144">
        <v>106.0</v>
      </c>
      <c r="BH147" s="144">
        <f>IFERROR(__xludf.DUMMYFUNCTION("""COMPUTED_VALUE"""),87.0)</f>
        <v>87</v>
      </c>
      <c r="BI147" s="144"/>
      <c r="BJ147" s="144"/>
      <c r="BK147" s="144"/>
      <c r="BL147" s="144"/>
      <c r="BM147" s="144"/>
      <c r="BN147" s="144"/>
      <c r="BO147" s="144"/>
      <c r="BP147" s="63">
        <f t="shared" si="95"/>
        <v>6182</v>
      </c>
      <c r="BQ147" s="64">
        <f t="shared" si="96"/>
        <v>0.09694973732</v>
      </c>
    </row>
    <row r="148" outlineLevel="1">
      <c r="A148" s="68" t="s">
        <v>18</v>
      </c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69">
        <f t="shared" ref="AJ148:BO148" si="97">SUM(AJ145:AJ147)</f>
        <v>300</v>
      </c>
      <c r="AK148" s="69">
        <f t="shared" si="97"/>
        <v>231</v>
      </c>
      <c r="AL148" s="69">
        <f t="shared" si="97"/>
        <v>120</v>
      </c>
      <c r="AM148" s="69">
        <f t="shared" si="97"/>
        <v>108</v>
      </c>
      <c r="AN148" s="69">
        <f t="shared" si="97"/>
        <v>83</v>
      </c>
      <c r="AO148" s="69">
        <f t="shared" si="97"/>
        <v>230</v>
      </c>
      <c r="AP148" s="69">
        <f t="shared" si="97"/>
        <v>13337</v>
      </c>
      <c r="AQ148" s="69">
        <f t="shared" si="97"/>
        <v>11738</v>
      </c>
      <c r="AR148" s="69">
        <f t="shared" si="97"/>
        <v>731</v>
      </c>
      <c r="AS148" s="69">
        <f t="shared" si="97"/>
        <v>1082</v>
      </c>
      <c r="AT148" s="69">
        <f t="shared" si="97"/>
        <v>715</v>
      </c>
      <c r="AU148" s="69">
        <f t="shared" si="97"/>
        <v>1694</v>
      </c>
      <c r="AV148" s="69">
        <f t="shared" si="97"/>
        <v>1439</v>
      </c>
      <c r="AW148" s="69">
        <f t="shared" si="97"/>
        <v>877</v>
      </c>
      <c r="AX148" s="69">
        <f t="shared" si="97"/>
        <v>190</v>
      </c>
      <c r="AY148" s="69">
        <f t="shared" si="97"/>
        <v>183</v>
      </c>
      <c r="AZ148" s="69">
        <f t="shared" si="97"/>
        <v>126</v>
      </c>
      <c r="BA148" s="69">
        <f t="shared" si="97"/>
        <v>137</v>
      </c>
      <c r="BB148" s="69">
        <f t="shared" si="97"/>
        <v>12703</v>
      </c>
      <c r="BC148" s="69">
        <f t="shared" si="97"/>
        <v>14232</v>
      </c>
      <c r="BD148" s="69">
        <f t="shared" si="97"/>
        <v>380</v>
      </c>
      <c r="BE148" s="69">
        <f t="shared" si="97"/>
        <v>354</v>
      </c>
      <c r="BF148" s="69">
        <f t="shared" si="97"/>
        <v>922</v>
      </c>
      <c r="BG148" s="69">
        <f t="shared" si="97"/>
        <v>1060</v>
      </c>
      <c r="BH148" s="69">
        <f t="shared" si="97"/>
        <v>793</v>
      </c>
      <c r="BI148" s="69">
        <f t="shared" si="97"/>
        <v>0</v>
      </c>
      <c r="BJ148" s="69">
        <f t="shared" si="97"/>
        <v>0</v>
      </c>
      <c r="BK148" s="69">
        <f t="shared" si="97"/>
        <v>0</v>
      </c>
      <c r="BL148" s="69">
        <f t="shared" si="97"/>
        <v>0</v>
      </c>
      <c r="BM148" s="69">
        <f t="shared" si="97"/>
        <v>0</v>
      </c>
      <c r="BN148" s="69">
        <f t="shared" si="97"/>
        <v>0</v>
      </c>
      <c r="BO148" s="69">
        <f t="shared" si="97"/>
        <v>0</v>
      </c>
      <c r="BP148" s="70">
        <f t="shared" si="95"/>
        <v>63765</v>
      </c>
      <c r="BQ148" s="71">
        <f>SUM(BQ145:BQ147)</f>
        <v>1</v>
      </c>
    </row>
    <row r="149" outlineLevel="1">
      <c r="A149" s="72" t="s">
        <v>23</v>
      </c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76"/>
      <c r="BQ149" s="77"/>
    </row>
    <row r="150" outlineLevel="1">
      <c r="A150" s="78" t="s">
        <v>20</v>
      </c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79">
        <f t="shared" ref="AJ150:BO150" si="98">iferror(AJ145/AJ$148,"")</f>
        <v>0.7633333333</v>
      </c>
      <c r="AK150" s="79">
        <f t="shared" si="98"/>
        <v>0.7489177489</v>
      </c>
      <c r="AL150" s="79">
        <f t="shared" si="98"/>
        <v>0.7666666667</v>
      </c>
      <c r="AM150" s="79">
        <f t="shared" si="98"/>
        <v>0.7592592593</v>
      </c>
      <c r="AN150" s="79">
        <f t="shared" si="98"/>
        <v>0.7590361446</v>
      </c>
      <c r="AO150" s="79">
        <f t="shared" si="98"/>
        <v>0.8565217391</v>
      </c>
      <c r="AP150" s="79">
        <f t="shared" si="98"/>
        <v>0.8687860838</v>
      </c>
      <c r="AQ150" s="79">
        <f t="shared" si="98"/>
        <v>0.8632646107</v>
      </c>
      <c r="AR150" s="79">
        <f t="shared" si="98"/>
        <v>0.7606019152</v>
      </c>
      <c r="AS150" s="79">
        <f t="shared" si="98"/>
        <v>0.7754158965</v>
      </c>
      <c r="AT150" s="79">
        <f t="shared" si="98"/>
        <v>0.7594405594</v>
      </c>
      <c r="AU150" s="79">
        <f t="shared" si="98"/>
        <v>0.8205430933</v>
      </c>
      <c r="AV150" s="79">
        <f t="shared" si="98"/>
        <v>0.8123697012</v>
      </c>
      <c r="AW150" s="79">
        <f t="shared" si="98"/>
        <v>0.8278221209</v>
      </c>
      <c r="AX150" s="79">
        <f t="shared" si="98"/>
        <v>0.7578947368</v>
      </c>
      <c r="AY150" s="79">
        <f t="shared" si="98"/>
        <v>0.7158469945</v>
      </c>
      <c r="AZ150" s="79">
        <f t="shared" si="98"/>
        <v>0.7301587302</v>
      </c>
      <c r="BA150" s="79">
        <f t="shared" si="98"/>
        <v>0.7372262774</v>
      </c>
      <c r="BB150" s="79">
        <f t="shared" si="98"/>
        <v>0.8639691411</v>
      </c>
      <c r="BC150" s="79">
        <f t="shared" si="98"/>
        <v>0.8598931984</v>
      </c>
      <c r="BD150" s="79">
        <f t="shared" si="98"/>
        <v>0.7447368421</v>
      </c>
      <c r="BE150" s="79">
        <f t="shared" si="98"/>
        <v>0.7683615819</v>
      </c>
      <c r="BF150" s="79">
        <f t="shared" si="98"/>
        <v>0.8004338395</v>
      </c>
      <c r="BG150" s="79">
        <f t="shared" si="98"/>
        <v>0.8188679245</v>
      </c>
      <c r="BH150" s="79">
        <f t="shared" si="98"/>
        <v>0.7982345523</v>
      </c>
      <c r="BI150" s="79" t="str">
        <f t="shared" si="98"/>
        <v/>
      </c>
      <c r="BJ150" s="79" t="str">
        <f t="shared" si="98"/>
        <v/>
      </c>
      <c r="BK150" s="79" t="str">
        <f t="shared" si="98"/>
        <v/>
      </c>
      <c r="BL150" s="79" t="str">
        <f t="shared" si="98"/>
        <v/>
      </c>
      <c r="BM150" s="79" t="str">
        <f t="shared" si="98"/>
        <v/>
      </c>
      <c r="BN150" s="79" t="str">
        <f t="shared" si="98"/>
        <v/>
      </c>
      <c r="BO150" s="79" t="str">
        <f t="shared" si="98"/>
        <v/>
      </c>
      <c r="BP150" s="81"/>
      <c r="BQ150" s="82"/>
    </row>
    <row r="151" outlineLevel="1">
      <c r="A151" s="78" t="s">
        <v>21</v>
      </c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79">
        <f t="shared" ref="AJ151:BO151" si="99">iferror(AJ146/AJ$148,"")</f>
        <v>0.15</v>
      </c>
      <c r="AK151" s="79">
        <f t="shared" si="99"/>
        <v>0.1601731602</v>
      </c>
      <c r="AL151" s="79">
        <f t="shared" si="99"/>
        <v>0.15</v>
      </c>
      <c r="AM151" s="79">
        <f t="shared" si="99"/>
        <v>0.1111111111</v>
      </c>
      <c r="AN151" s="79">
        <f t="shared" si="99"/>
        <v>0.1084337349</v>
      </c>
      <c r="AO151" s="79">
        <f t="shared" si="99"/>
        <v>0.0347826087</v>
      </c>
      <c r="AP151" s="79">
        <f t="shared" si="99"/>
        <v>0.04363799955</v>
      </c>
      <c r="AQ151" s="79">
        <f t="shared" si="99"/>
        <v>0.04395978872</v>
      </c>
      <c r="AR151" s="79">
        <f t="shared" si="99"/>
        <v>0.1258549932</v>
      </c>
      <c r="AS151" s="79">
        <f t="shared" si="99"/>
        <v>0.1007393715</v>
      </c>
      <c r="AT151" s="79">
        <f t="shared" si="99"/>
        <v>0.1258741259</v>
      </c>
      <c r="AU151" s="79">
        <f t="shared" si="99"/>
        <v>0.08146399055</v>
      </c>
      <c r="AV151" s="79">
        <f t="shared" si="99"/>
        <v>0.09034051425</v>
      </c>
      <c r="AW151" s="79">
        <f t="shared" si="99"/>
        <v>0.06841505131</v>
      </c>
      <c r="AX151" s="79">
        <f t="shared" si="99"/>
        <v>0.1157894737</v>
      </c>
      <c r="AY151" s="79">
        <f t="shared" si="99"/>
        <v>0.174863388</v>
      </c>
      <c r="AZ151" s="79">
        <f t="shared" si="99"/>
        <v>0.119047619</v>
      </c>
      <c r="BA151" s="79">
        <f t="shared" si="99"/>
        <v>0.09489051095</v>
      </c>
      <c r="BB151" s="79">
        <f t="shared" si="99"/>
        <v>0.04109265528</v>
      </c>
      <c r="BC151" s="79">
        <f t="shared" si="99"/>
        <v>0.04012085441</v>
      </c>
      <c r="BD151" s="79">
        <f t="shared" si="99"/>
        <v>0.1263157895</v>
      </c>
      <c r="BE151" s="79">
        <f t="shared" si="99"/>
        <v>0.1101694915</v>
      </c>
      <c r="BF151" s="79">
        <f t="shared" si="99"/>
        <v>0.06724511931</v>
      </c>
      <c r="BG151" s="79">
        <f t="shared" si="99"/>
        <v>0.08113207547</v>
      </c>
      <c r="BH151" s="79">
        <f t="shared" si="99"/>
        <v>0.0920554855</v>
      </c>
      <c r="BI151" s="79" t="str">
        <f t="shared" si="99"/>
        <v/>
      </c>
      <c r="BJ151" s="79" t="str">
        <f t="shared" si="99"/>
        <v/>
      </c>
      <c r="BK151" s="79" t="str">
        <f t="shared" si="99"/>
        <v/>
      </c>
      <c r="BL151" s="79" t="str">
        <f t="shared" si="99"/>
        <v/>
      </c>
      <c r="BM151" s="79" t="str">
        <f t="shared" si="99"/>
        <v/>
      </c>
      <c r="BN151" s="79" t="str">
        <f t="shared" si="99"/>
        <v/>
      </c>
      <c r="BO151" s="79" t="str">
        <f t="shared" si="99"/>
        <v/>
      </c>
      <c r="BP151" s="83"/>
      <c r="BQ151" s="82"/>
    </row>
    <row r="152" outlineLevel="1">
      <c r="A152" s="84" t="s">
        <v>22</v>
      </c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79">
        <f t="shared" ref="AJ152:BO152" si="100">iferror(AJ147/AJ$148,"")</f>
        <v>0.08666666667</v>
      </c>
      <c r="AK152" s="79">
        <f t="shared" si="100"/>
        <v>0.09090909091</v>
      </c>
      <c r="AL152" s="79">
        <f t="shared" si="100"/>
        <v>0.08333333333</v>
      </c>
      <c r="AM152" s="79">
        <f t="shared" si="100"/>
        <v>0.1296296296</v>
      </c>
      <c r="AN152" s="79">
        <f t="shared" si="100"/>
        <v>0.1325301205</v>
      </c>
      <c r="AO152" s="79">
        <f t="shared" si="100"/>
        <v>0.1086956522</v>
      </c>
      <c r="AP152" s="79">
        <f t="shared" si="100"/>
        <v>0.08757591662</v>
      </c>
      <c r="AQ152" s="79">
        <f t="shared" si="100"/>
        <v>0.09277560061</v>
      </c>
      <c r="AR152" s="79">
        <f t="shared" si="100"/>
        <v>0.1135430917</v>
      </c>
      <c r="AS152" s="79">
        <f t="shared" si="100"/>
        <v>0.123844732</v>
      </c>
      <c r="AT152" s="79">
        <f t="shared" si="100"/>
        <v>0.1146853147</v>
      </c>
      <c r="AU152" s="79">
        <f t="shared" si="100"/>
        <v>0.09799291617</v>
      </c>
      <c r="AV152" s="79">
        <f t="shared" si="100"/>
        <v>0.09728978457</v>
      </c>
      <c r="AW152" s="79">
        <f t="shared" si="100"/>
        <v>0.1037628278</v>
      </c>
      <c r="AX152" s="79">
        <f t="shared" si="100"/>
        <v>0.1263157895</v>
      </c>
      <c r="AY152" s="79">
        <f t="shared" si="100"/>
        <v>0.1092896175</v>
      </c>
      <c r="AZ152" s="79">
        <f t="shared" si="100"/>
        <v>0.1507936508</v>
      </c>
      <c r="BA152" s="79">
        <f t="shared" si="100"/>
        <v>0.1678832117</v>
      </c>
      <c r="BB152" s="79">
        <f t="shared" si="100"/>
        <v>0.09493820357</v>
      </c>
      <c r="BC152" s="79">
        <f t="shared" si="100"/>
        <v>0.09998594716</v>
      </c>
      <c r="BD152" s="79">
        <f t="shared" si="100"/>
        <v>0.1289473684</v>
      </c>
      <c r="BE152" s="79">
        <f t="shared" si="100"/>
        <v>0.1214689266</v>
      </c>
      <c r="BF152" s="79">
        <f t="shared" si="100"/>
        <v>0.1323210412</v>
      </c>
      <c r="BG152" s="79">
        <f t="shared" si="100"/>
        <v>0.1</v>
      </c>
      <c r="BH152" s="79">
        <f t="shared" si="100"/>
        <v>0.1097099622</v>
      </c>
      <c r="BI152" s="79" t="str">
        <f t="shared" si="100"/>
        <v/>
      </c>
      <c r="BJ152" s="79" t="str">
        <f t="shared" si="100"/>
        <v/>
      </c>
      <c r="BK152" s="79" t="str">
        <f t="shared" si="100"/>
        <v/>
      </c>
      <c r="BL152" s="79" t="str">
        <f t="shared" si="100"/>
        <v/>
      </c>
      <c r="BM152" s="79" t="str">
        <f t="shared" si="100"/>
        <v/>
      </c>
      <c r="BN152" s="79" t="str">
        <f t="shared" si="100"/>
        <v/>
      </c>
      <c r="BO152" s="79" t="str">
        <f t="shared" si="100"/>
        <v/>
      </c>
      <c r="BP152" s="83"/>
      <c r="BQ152" s="82"/>
    </row>
    <row r="153" ht="42.75" customHeight="1">
      <c r="A153" s="140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/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2"/>
      <c r="BQ153" s="142"/>
    </row>
    <row r="154">
      <c r="A154" s="131" t="s">
        <v>54</v>
      </c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132"/>
      <c r="AK154" s="132"/>
      <c r="AL154" s="132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32"/>
      <c r="BA154" s="132"/>
      <c r="BB154" s="132"/>
      <c r="BC154" s="132"/>
      <c r="BD154" s="132"/>
      <c r="BE154" s="132"/>
      <c r="BF154" s="132"/>
      <c r="BG154" s="132"/>
      <c r="BH154" s="132"/>
      <c r="BI154" s="132"/>
      <c r="BJ154" s="132"/>
      <c r="BK154" s="132"/>
      <c r="BL154" s="132"/>
      <c r="BM154" s="132"/>
      <c r="BN154" s="132"/>
      <c r="BO154" s="132"/>
      <c r="BP154" s="82"/>
      <c r="BQ154" s="82"/>
    </row>
    <row r="155"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  <c r="AJ155" s="132"/>
      <c r="AK155" s="132"/>
      <c r="AL155" s="132"/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2"/>
      <c r="AW155" s="132"/>
      <c r="AX155" s="132"/>
      <c r="AY155" s="132"/>
      <c r="AZ155" s="132"/>
      <c r="BA155" s="132"/>
      <c r="BB155" s="132"/>
      <c r="BC155" s="132"/>
      <c r="BD155" s="132"/>
      <c r="BE155" s="132"/>
      <c r="BF155" s="132"/>
      <c r="BG155" s="132"/>
      <c r="BH155" s="132"/>
      <c r="BI155" s="132"/>
      <c r="BJ155" s="132"/>
      <c r="BK155" s="132"/>
      <c r="BL155" s="132"/>
      <c r="BM155" s="132"/>
      <c r="BN155" s="132"/>
      <c r="BO155" s="132"/>
      <c r="BP155" s="82"/>
      <c r="BQ155" s="82"/>
    </row>
    <row r="156" outlineLevel="1">
      <c r="A156" s="56" t="s">
        <v>24</v>
      </c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8"/>
      <c r="BQ156" s="59"/>
    </row>
    <row r="157" outlineLevel="1">
      <c r="A157" s="89" t="s">
        <v>25</v>
      </c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144">
        <v>283.0</v>
      </c>
      <c r="AK157" s="144">
        <v>151.0</v>
      </c>
      <c r="AL157" s="144">
        <v>215.0</v>
      </c>
      <c r="AM157" s="144">
        <v>184.0</v>
      </c>
      <c r="AN157" s="144">
        <v>90.0</v>
      </c>
      <c r="AO157" s="144">
        <v>244.0</v>
      </c>
      <c r="AP157" s="144">
        <v>310.0</v>
      </c>
      <c r="AQ157" s="144">
        <v>623.0</v>
      </c>
      <c r="AR157" s="144">
        <v>497.0</v>
      </c>
      <c r="AS157" s="144">
        <v>558.0</v>
      </c>
      <c r="AT157" s="144">
        <v>917.0</v>
      </c>
      <c r="AU157" s="144">
        <v>744.0</v>
      </c>
      <c r="AV157" s="144">
        <f>IFERROR(__xludf.DUMMYFUNCTION("IMPORTRANGE(""1FsAayhXBhwQWWhxaeEf32srJkqMhPcXdSHpT-eTbsHA"",""PP - Data!AG103:AG106"")"),618.0)</f>
        <v>618</v>
      </c>
      <c r="AW157" s="144">
        <v>320.0</v>
      </c>
      <c r="AX157" s="144">
        <v>243.0</v>
      </c>
      <c r="AY157" s="144">
        <v>230.0</v>
      </c>
      <c r="AZ157" s="144">
        <v>61.0</v>
      </c>
      <c r="BA157" s="144">
        <v>5.0</v>
      </c>
      <c r="BB157" s="144">
        <v>23.0</v>
      </c>
      <c r="BC157" s="144">
        <v>54.0</v>
      </c>
      <c r="BD157" s="144">
        <v>9.0</v>
      </c>
      <c r="BE157" s="144">
        <v>16.0</v>
      </c>
      <c r="BF157" s="144">
        <v>35.0</v>
      </c>
      <c r="BG157" s="144">
        <v>33.0</v>
      </c>
      <c r="BH157" s="144">
        <f>IFERROR(__xludf.DUMMYFUNCTION("IMPORTRANGE(""1Z2ZLDM0_m0NNnV5_jRvcRNtM9Z5AZ7o_A94RnrBGQUE"",""PP - Data!AG103:AG106"")"),39.0)</f>
        <v>39</v>
      </c>
      <c r="BI157" s="144"/>
      <c r="BJ157" s="144"/>
      <c r="BK157" s="144"/>
      <c r="BL157" s="144"/>
      <c r="BM157" s="144"/>
      <c r="BN157" s="144"/>
      <c r="BO157" s="144"/>
      <c r="BP157" s="63">
        <f t="shared" ref="BP157:BP161" si="101">SUM(B157:BO157)</f>
        <v>6502</v>
      </c>
      <c r="BQ157" s="64">
        <f t="shared" ref="BQ157:BQ160" si="102">iferror(BP157/BP$161,"")</f>
        <v>0.2270885722</v>
      </c>
    </row>
    <row r="158" outlineLevel="1">
      <c r="A158" s="60" t="s">
        <v>26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144">
        <v>365.0</v>
      </c>
      <c r="AK158" s="144">
        <v>136.0</v>
      </c>
      <c r="AL158" s="144">
        <v>69.0</v>
      </c>
      <c r="AM158" s="144">
        <v>71.0</v>
      </c>
      <c r="AN158" s="144">
        <v>22.0</v>
      </c>
      <c r="AO158" s="144">
        <v>40.0</v>
      </c>
      <c r="AP158" s="144">
        <v>480.0</v>
      </c>
      <c r="AQ158" s="144">
        <v>711.0</v>
      </c>
      <c r="AR158" s="144">
        <v>153.0</v>
      </c>
      <c r="AS158" s="144">
        <v>187.0</v>
      </c>
      <c r="AT158" s="144">
        <v>248.0</v>
      </c>
      <c r="AU158" s="144">
        <v>410.0</v>
      </c>
      <c r="AV158" s="144">
        <f>IFERROR(__xludf.DUMMYFUNCTION("""COMPUTED_VALUE"""),391.0)</f>
        <v>391</v>
      </c>
      <c r="AW158" s="144">
        <v>197.0</v>
      </c>
      <c r="AX158" s="144">
        <v>66.0</v>
      </c>
      <c r="AY158" s="144">
        <v>73.0</v>
      </c>
      <c r="AZ158" s="144">
        <v>183.0</v>
      </c>
      <c r="BA158" s="144">
        <v>29.0</v>
      </c>
      <c r="BB158" s="144">
        <v>530.0</v>
      </c>
      <c r="BC158" s="144">
        <v>672.0</v>
      </c>
      <c r="BD158" s="144">
        <v>105.0</v>
      </c>
      <c r="BE158" s="144">
        <v>76.0</v>
      </c>
      <c r="BF158" s="144">
        <v>176.0</v>
      </c>
      <c r="BG158" s="144">
        <v>343.0</v>
      </c>
      <c r="BH158" s="144">
        <f>IFERROR(__xludf.DUMMYFUNCTION("""COMPUTED_VALUE"""),318.0)</f>
        <v>318</v>
      </c>
      <c r="BI158" s="144"/>
      <c r="BJ158" s="144"/>
      <c r="BK158" s="144"/>
      <c r="BL158" s="144"/>
      <c r="BM158" s="144"/>
      <c r="BN158" s="144"/>
      <c r="BO158" s="144"/>
      <c r="BP158" s="63">
        <f t="shared" si="101"/>
        <v>6051</v>
      </c>
      <c r="BQ158" s="64">
        <f t="shared" si="102"/>
        <v>0.2113369656</v>
      </c>
    </row>
    <row r="159" outlineLevel="1">
      <c r="A159" s="60" t="s">
        <v>27</v>
      </c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144">
        <v>171.0</v>
      </c>
      <c r="AK159" s="144">
        <v>77.0</v>
      </c>
      <c r="AL159" s="144">
        <v>78.0</v>
      </c>
      <c r="AM159" s="144">
        <v>75.0</v>
      </c>
      <c r="AN159" s="144">
        <v>27.0</v>
      </c>
      <c r="AO159" s="144">
        <v>98.0</v>
      </c>
      <c r="AP159" s="144">
        <v>326.0</v>
      </c>
      <c r="AQ159" s="144">
        <v>543.0</v>
      </c>
      <c r="AR159" s="144">
        <v>211.0</v>
      </c>
      <c r="AS159" s="144">
        <v>338.0</v>
      </c>
      <c r="AT159" s="144">
        <v>540.0</v>
      </c>
      <c r="AU159" s="144">
        <v>504.0</v>
      </c>
      <c r="AV159" s="144">
        <f>IFERROR(__xludf.DUMMYFUNCTION("""COMPUTED_VALUE"""),456.0)</f>
        <v>456</v>
      </c>
      <c r="AW159" s="144">
        <v>178.0</v>
      </c>
      <c r="AX159" s="144">
        <v>89.0</v>
      </c>
      <c r="AY159" s="144">
        <v>107.0</v>
      </c>
      <c r="AZ159" s="144">
        <v>394.0</v>
      </c>
      <c r="BA159" s="144">
        <v>41.0</v>
      </c>
      <c r="BB159" s="144">
        <v>342.0</v>
      </c>
      <c r="BC159" s="144">
        <v>494.0</v>
      </c>
      <c r="BD159" s="144">
        <v>92.0</v>
      </c>
      <c r="BE159" s="144">
        <v>131.0</v>
      </c>
      <c r="BF159" s="144">
        <v>295.0</v>
      </c>
      <c r="BG159" s="144">
        <v>405.0</v>
      </c>
      <c r="BH159" s="144">
        <f>IFERROR(__xludf.DUMMYFUNCTION("""COMPUTED_VALUE"""),484.0)</f>
        <v>484</v>
      </c>
      <c r="BI159" s="144"/>
      <c r="BJ159" s="144"/>
      <c r="BK159" s="144"/>
      <c r="BL159" s="144"/>
      <c r="BM159" s="144"/>
      <c r="BN159" s="144"/>
      <c r="BO159" s="144"/>
      <c r="BP159" s="63">
        <f t="shared" si="101"/>
        <v>6496</v>
      </c>
      <c r="BQ159" s="64">
        <f t="shared" si="102"/>
        <v>0.2268790165</v>
      </c>
    </row>
    <row r="160" outlineLevel="1">
      <c r="A160" s="60" t="s">
        <v>28</v>
      </c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144">
        <v>273.0</v>
      </c>
      <c r="AK160" s="144">
        <v>195.0</v>
      </c>
      <c r="AL160" s="144">
        <v>266.0</v>
      </c>
      <c r="AM160" s="144">
        <v>240.0</v>
      </c>
      <c r="AN160" s="144">
        <v>80.0</v>
      </c>
      <c r="AO160" s="144">
        <v>256.0</v>
      </c>
      <c r="AP160" s="144">
        <v>523.0</v>
      </c>
      <c r="AQ160" s="144">
        <v>877.0</v>
      </c>
      <c r="AR160" s="144">
        <v>547.0</v>
      </c>
      <c r="AS160" s="144">
        <v>653.0</v>
      </c>
      <c r="AT160" s="144">
        <v>1118.0</v>
      </c>
      <c r="AU160" s="144">
        <v>874.0</v>
      </c>
      <c r="AV160" s="144">
        <f>IFERROR(__xludf.DUMMYFUNCTION("""COMPUTED_VALUE"""),673.0)</f>
        <v>673</v>
      </c>
      <c r="AW160" s="144">
        <v>356.0</v>
      </c>
      <c r="AX160" s="144">
        <v>256.0</v>
      </c>
      <c r="AY160" s="144">
        <v>287.0</v>
      </c>
      <c r="AZ160" s="144">
        <v>273.0</v>
      </c>
      <c r="BA160" s="144">
        <v>32.0</v>
      </c>
      <c r="BB160" s="144">
        <v>400.0</v>
      </c>
      <c r="BC160" s="144">
        <v>487.0</v>
      </c>
      <c r="BD160" s="144">
        <v>132.0</v>
      </c>
      <c r="BE160" s="144">
        <v>90.0</v>
      </c>
      <c r="BF160" s="144">
        <v>186.0</v>
      </c>
      <c r="BG160" s="144">
        <v>257.0</v>
      </c>
      <c r="BH160" s="144">
        <f>IFERROR(__xludf.DUMMYFUNCTION("""COMPUTED_VALUE"""),252.0)</f>
        <v>252</v>
      </c>
      <c r="BI160" s="144"/>
      <c r="BJ160" s="144"/>
      <c r="BK160" s="144"/>
      <c r="BL160" s="144"/>
      <c r="BM160" s="144"/>
      <c r="BN160" s="144"/>
      <c r="BO160" s="144"/>
      <c r="BP160" s="63">
        <f t="shared" si="101"/>
        <v>9583</v>
      </c>
      <c r="BQ160" s="64">
        <f t="shared" si="102"/>
        <v>0.3346954457</v>
      </c>
    </row>
    <row r="161" outlineLevel="1">
      <c r="A161" s="93" t="s">
        <v>18</v>
      </c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5">
        <f t="shared" ref="AJ161:BO161" si="103">SUM(AJ157:AJ160)</f>
        <v>1092</v>
      </c>
      <c r="AK161" s="95">
        <f t="shared" si="103"/>
        <v>559</v>
      </c>
      <c r="AL161" s="95">
        <f t="shared" si="103"/>
        <v>628</v>
      </c>
      <c r="AM161" s="95">
        <f t="shared" si="103"/>
        <v>570</v>
      </c>
      <c r="AN161" s="95">
        <f t="shared" si="103"/>
        <v>219</v>
      </c>
      <c r="AO161" s="95">
        <f t="shared" si="103"/>
        <v>638</v>
      </c>
      <c r="AP161" s="95">
        <f t="shared" si="103"/>
        <v>1639</v>
      </c>
      <c r="AQ161" s="95">
        <f t="shared" si="103"/>
        <v>2754</v>
      </c>
      <c r="AR161" s="95">
        <f t="shared" si="103"/>
        <v>1408</v>
      </c>
      <c r="AS161" s="95">
        <f t="shared" si="103"/>
        <v>1736</v>
      </c>
      <c r="AT161" s="95">
        <f t="shared" si="103"/>
        <v>2823</v>
      </c>
      <c r="AU161" s="95">
        <f t="shared" si="103"/>
        <v>2532</v>
      </c>
      <c r="AV161" s="95">
        <f t="shared" si="103"/>
        <v>2138</v>
      </c>
      <c r="AW161" s="95">
        <f t="shared" si="103"/>
        <v>1051</v>
      </c>
      <c r="AX161" s="95">
        <f t="shared" si="103"/>
        <v>654</v>
      </c>
      <c r="AY161" s="95">
        <f t="shared" si="103"/>
        <v>697</v>
      </c>
      <c r="AZ161" s="95">
        <f t="shared" si="103"/>
        <v>911</v>
      </c>
      <c r="BA161" s="95">
        <f t="shared" si="103"/>
        <v>107</v>
      </c>
      <c r="BB161" s="95">
        <f t="shared" si="103"/>
        <v>1295</v>
      </c>
      <c r="BC161" s="95">
        <f t="shared" si="103"/>
        <v>1707</v>
      </c>
      <c r="BD161" s="95">
        <f t="shared" si="103"/>
        <v>338</v>
      </c>
      <c r="BE161" s="95">
        <f t="shared" si="103"/>
        <v>313</v>
      </c>
      <c r="BF161" s="95">
        <f t="shared" si="103"/>
        <v>692</v>
      </c>
      <c r="BG161" s="95">
        <f t="shared" si="103"/>
        <v>1038</v>
      </c>
      <c r="BH161" s="95">
        <f t="shared" si="103"/>
        <v>1093</v>
      </c>
      <c r="BI161" s="95">
        <f t="shared" si="103"/>
        <v>0</v>
      </c>
      <c r="BJ161" s="95">
        <f t="shared" si="103"/>
        <v>0</v>
      </c>
      <c r="BK161" s="95">
        <f t="shared" si="103"/>
        <v>0</v>
      </c>
      <c r="BL161" s="95">
        <f t="shared" si="103"/>
        <v>0</v>
      </c>
      <c r="BM161" s="95">
        <f t="shared" si="103"/>
        <v>0</v>
      </c>
      <c r="BN161" s="95">
        <f t="shared" si="103"/>
        <v>0</v>
      </c>
      <c r="BO161" s="95">
        <f t="shared" si="103"/>
        <v>0</v>
      </c>
      <c r="BP161" s="96">
        <f t="shared" si="101"/>
        <v>28632</v>
      </c>
      <c r="BQ161" s="97">
        <f>SUM(BQ157:BQ160)</f>
        <v>1</v>
      </c>
    </row>
    <row r="162" outlineLevel="1">
      <c r="A162" s="72" t="s">
        <v>29</v>
      </c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81"/>
      <c r="BQ162" s="82"/>
    </row>
    <row r="163" outlineLevel="1">
      <c r="A163" s="78" t="s">
        <v>25</v>
      </c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79">
        <f t="shared" ref="AJ163:BO163" si="104">iferror(AJ157/AJ$161,"")</f>
        <v>0.2591575092</v>
      </c>
      <c r="AK163" s="79">
        <f t="shared" si="104"/>
        <v>0.2701252236</v>
      </c>
      <c r="AL163" s="79">
        <f t="shared" si="104"/>
        <v>0.3423566879</v>
      </c>
      <c r="AM163" s="79">
        <f t="shared" si="104"/>
        <v>0.3228070175</v>
      </c>
      <c r="AN163" s="79">
        <f t="shared" si="104"/>
        <v>0.4109589041</v>
      </c>
      <c r="AO163" s="79">
        <f t="shared" si="104"/>
        <v>0.3824451411</v>
      </c>
      <c r="AP163" s="79">
        <f t="shared" si="104"/>
        <v>0.1891397193</v>
      </c>
      <c r="AQ163" s="79">
        <f t="shared" si="104"/>
        <v>0.2262164125</v>
      </c>
      <c r="AR163" s="79">
        <f t="shared" si="104"/>
        <v>0.3529829545</v>
      </c>
      <c r="AS163" s="79">
        <f t="shared" si="104"/>
        <v>0.3214285714</v>
      </c>
      <c r="AT163" s="79">
        <f t="shared" si="104"/>
        <v>0.3248317393</v>
      </c>
      <c r="AU163" s="79">
        <f t="shared" si="104"/>
        <v>0.2938388626</v>
      </c>
      <c r="AV163" s="79">
        <f t="shared" si="104"/>
        <v>0.2890551918</v>
      </c>
      <c r="AW163" s="79">
        <f t="shared" si="104"/>
        <v>0.3044719315</v>
      </c>
      <c r="AX163" s="79">
        <f t="shared" si="104"/>
        <v>0.371559633</v>
      </c>
      <c r="AY163" s="79">
        <f t="shared" si="104"/>
        <v>0.3299856528</v>
      </c>
      <c r="AZ163" s="79">
        <f t="shared" si="104"/>
        <v>0.06695938529</v>
      </c>
      <c r="BA163" s="79">
        <f t="shared" si="104"/>
        <v>0.04672897196</v>
      </c>
      <c r="BB163" s="79">
        <f t="shared" si="104"/>
        <v>0.01776061776</v>
      </c>
      <c r="BC163" s="79">
        <f t="shared" si="104"/>
        <v>0.0316344464</v>
      </c>
      <c r="BD163" s="79">
        <f t="shared" si="104"/>
        <v>0.02662721893</v>
      </c>
      <c r="BE163" s="79">
        <f t="shared" si="104"/>
        <v>0.05111821086</v>
      </c>
      <c r="BF163" s="79">
        <f t="shared" si="104"/>
        <v>0.05057803468</v>
      </c>
      <c r="BG163" s="79">
        <f t="shared" si="104"/>
        <v>0.03179190751</v>
      </c>
      <c r="BH163" s="79">
        <f t="shared" si="104"/>
        <v>0.03568161025</v>
      </c>
      <c r="BI163" s="79" t="str">
        <f t="shared" si="104"/>
        <v/>
      </c>
      <c r="BJ163" s="79" t="str">
        <f t="shared" si="104"/>
        <v/>
      </c>
      <c r="BK163" s="79" t="str">
        <f t="shared" si="104"/>
        <v/>
      </c>
      <c r="BL163" s="79" t="str">
        <f t="shared" si="104"/>
        <v/>
      </c>
      <c r="BM163" s="79" t="str">
        <f t="shared" si="104"/>
        <v/>
      </c>
      <c r="BN163" s="79" t="str">
        <f t="shared" si="104"/>
        <v/>
      </c>
      <c r="BO163" s="79" t="str">
        <f t="shared" si="104"/>
        <v/>
      </c>
      <c r="BP163" s="81"/>
      <c r="BQ163" s="82"/>
    </row>
    <row r="164" outlineLevel="1">
      <c r="A164" s="78" t="s">
        <v>26</v>
      </c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79">
        <f t="shared" ref="AJ164:BO164" si="105">iferror(AJ158/AJ$161,"")</f>
        <v>0.3342490842</v>
      </c>
      <c r="AK164" s="79">
        <f t="shared" si="105"/>
        <v>0.2432915921</v>
      </c>
      <c r="AL164" s="79">
        <f t="shared" si="105"/>
        <v>0.1098726115</v>
      </c>
      <c r="AM164" s="79">
        <f t="shared" si="105"/>
        <v>0.1245614035</v>
      </c>
      <c r="AN164" s="79">
        <f t="shared" si="105"/>
        <v>0.100456621</v>
      </c>
      <c r="AO164" s="79">
        <f t="shared" si="105"/>
        <v>0.06269592476</v>
      </c>
      <c r="AP164" s="79">
        <f t="shared" si="105"/>
        <v>0.2928615009</v>
      </c>
      <c r="AQ164" s="79">
        <f t="shared" si="105"/>
        <v>0.2581699346</v>
      </c>
      <c r="AR164" s="79">
        <f t="shared" si="105"/>
        <v>0.1086647727</v>
      </c>
      <c r="AS164" s="79">
        <f t="shared" si="105"/>
        <v>0.107718894</v>
      </c>
      <c r="AT164" s="79">
        <f t="shared" si="105"/>
        <v>0.08784980517</v>
      </c>
      <c r="AU164" s="79">
        <f t="shared" si="105"/>
        <v>0.1619273302</v>
      </c>
      <c r="AV164" s="79">
        <f t="shared" si="105"/>
        <v>0.1828811974</v>
      </c>
      <c r="AW164" s="79">
        <f t="shared" si="105"/>
        <v>0.1874405328</v>
      </c>
      <c r="AX164" s="79">
        <f t="shared" si="105"/>
        <v>0.1009174312</v>
      </c>
      <c r="AY164" s="79">
        <f t="shared" si="105"/>
        <v>0.1047345768</v>
      </c>
      <c r="AZ164" s="79">
        <f t="shared" si="105"/>
        <v>0.2008781559</v>
      </c>
      <c r="BA164" s="79">
        <f t="shared" si="105"/>
        <v>0.2710280374</v>
      </c>
      <c r="BB164" s="79">
        <f t="shared" si="105"/>
        <v>0.4092664093</v>
      </c>
      <c r="BC164" s="79">
        <f t="shared" si="105"/>
        <v>0.3936731107</v>
      </c>
      <c r="BD164" s="79">
        <f t="shared" si="105"/>
        <v>0.3106508876</v>
      </c>
      <c r="BE164" s="79">
        <f t="shared" si="105"/>
        <v>0.2428115016</v>
      </c>
      <c r="BF164" s="79">
        <f t="shared" si="105"/>
        <v>0.2543352601</v>
      </c>
      <c r="BG164" s="79">
        <f t="shared" si="105"/>
        <v>0.3304431599</v>
      </c>
      <c r="BH164" s="79">
        <f t="shared" si="105"/>
        <v>0.2909423605</v>
      </c>
      <c r="BI164" s="79" t="str">
        <f t="shared" si="105"/>
        <v/>
      </c>
      <c r="BJ164" s="79" t="str">
        <f t="shared" si="105"/>
        <v/>
      </c>
      <c r="BK164" s="79" t="str">
        <f t="shared" si="105"/>
        <v/>
      </c>
      <c r="BL164" s="79" t="str">
        <f t="shared" si="105"/>
        <v/>
      </c>
      <c r="BM164" s="79" t="str">
        <f t="shared" si="105"/>
        <v/>
      </c>
      <c r="BN164" s="79" t="str">
        <f t="shared" si="105"/>
        <v/>
      </c>
      <c r="BO164" s="79" t="str">
        <f t="shared" si="105"/>
        <v/>
      </c>
      <c r="BP164" s="81"/>
      <c r="BQ164" s="82"/>
    </row>
    <row r="165" outlineLevel="1">
      <c r="A165" s="78" t="s">
        <v>27</v>
      </c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79">
        <f t="shared" ref="AJ165:BO165" si="106">iferror(AJ159/AJ$161,"")</f>
        <v>0.1565934066</v>
      </c>
      <c r="AK165" s="79">
        <f t="shared" si="106"/>
        <v>0.137745975</v>
      </c>
      <c r="AL165" s="79">
        <f t="shared" si="106"/>
        <v>0.1242038217</v>
      </c>
      <c r="AM165" s="79">
        <f t="shared" si="106"/>
        <v>0.1315789474</v>
      </c>
      <c r="AN165" s="79">
        <f t="shared" si="106"/>
        <v>0.1232876712</v>
      </c>
      <c r="AO165" s="79">
        <f t="shared" si="106"/>
        <v>0.1536050157</v>
      </c>
      <c r="AP165" s="79">
        <f t="shared" si="106"/>
        <v>0.1989017694</v>
      </c>
      <c r="AQ165" s="79">
        <f t="shared" si="106"/>
        <v>0.197167756</v>
      </c>
      <c r="AR165" s="79">
        <f t="shared" si="106"/>
        <v>0.1498579545</v>
      </c>
      <c r="AS165" s="79">
        <f t="shared" si="106"/>
        <v>0.1947004608</v>
      </c>
      <c r="AT165" s="79">
        <f t="shared" si="106"/>
        <v>0.1912858661</v>
      </c>
      <c r="AU165" s="79">
        <f t="shared" si="106"/>
        <v>0.1990521327</v>
      </c>
      <c r="AV165" s="79">
        <f t="shared" si="106"/>
        <v>0.2132834425</v>
      </c>
      <c r="AW165" s="79">
        <f t="shared" si="106"/>
        <v>0.1693625119</v>
      </c>
      <c r="AX165" s="79">
        <f t="shared" si="106"/>
        <v>0.1360856269</v>
      </c>
      <c r="AY165" s="79">
        <f t="shared" si="106"/>
        <v>0.1535150646</v>
      </c>
      <c r="AZ165" s="79">
        <f t="shared" si="106"/>
        <v>0.4324917673</v>
      </c>
      <c r="BA165" s="79">
        <f t="shared" si="106"/>
        <v>0.3831775701</v>
      </c>
      <c r="BB165" s="79">
        <f t="shared" si="106"/>
        <v>0.2640926641</v>
      </c>
      <c r="BC165" s="79">
        <f t="shared" si="106"/>
        <v>0.2893966022</v>
      </c>
      <c r="BD165" s="79">
        <f t="shared" si="106"/>
        <v>0.2721893491</v>
      </c>
      <c r="BE165" s="79">
        <f t="shared" si="106"/>
        <v>0.4185303514</v>
      </c>
      <c r="BF165" s="79">
        <f t="shared" si="106"/>
        <v>0.426300578</v>
      </c>
      <c r="BG165" s="79">
        <f t="shared" si="106"/>
        <v>0.3901734104</v>
      </c>
      <c r="BH165" s="79">
        <f t="shared" si="106"/>
        <v>0.4428179323</v>
      </c>
      <c r="BI165" s="79" t="str">
        <f t="shared" si="106"/>
        <v/>
      </c>
      <c r="BJ165" s="79" t="str">
        <f t="shared" si="106"/>
        <v/>
      </c>
      <c r="BK165" s="79" t="str">
        <f t="shared" si="106"/>
        <v/>
      </c>
      <c r="BL165" s="79" t="str">
        <f t="shared" si="106"/>
        <v/>
      </c>
      <c r="BM165" s="79" t="str">
        <f t="shared" si="106"/>
        <v/>
      </c>
      <c r="BN165" s="79" t="str">
        <f t="shared" si="106"/>
        <v/>
      </c>
      <c r="BO165" s="79" t="str">
        <f t="shared" si="106"/>
        <v/>
      </c>
      <c r="BP165" s="81"/>
      <c r="BQ165" s="82"/>
    </row>
    <row r="166" outlineLevel="1">
      <c r="A166" s="78" t="s">
        <v>28</v>
      </c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79">
        <f t="shared" ref="AJ166:BO166" si="107">iferror(AJ160/AJ$161,"")</f>
        <v>0.25</v>
      </c>
      <c r="AK166" s="79">
        <f t="shared" si="107"/>
        <v>0.3488372093</v>
      </c>
      <c r="AL166" s="79">
        <f t="shared" si="107"/>
        <v>0.423566879</v>
      </c>
      <c r="AM166" s="79">
        <f t="shared" si="107"/>
        <v>0.4210526316</v>
      </c>
      <c r="AN166" s="79">
        <f t="shared" si="107"/>
        <v>0.3652968037</v>
      </c>
      <c r="AO166" s="79">
        <f t="shared" si="107"/>
        <v>0.4012539185</v>
      </c>
      <c r="AP166" s="79">
        <f t="shared" si="107"/>
        <v>0.3190970104</v>
      </c>
      <c r="AQ166" s="79">
        <f t="shared" si="107"/>
        <v>0.3184458969</v>
      </c>
      <c r="AR166" s="79">
        <f t="shared" si="107"/>
        <v>0.3884943182</v>
      </c>
      <c r="AS166" s="79">
        <f t="shared" si="107"/>
        <v>0.3761520737</v>
      </c>
      <c r="AT166" s="79">
        <f t="shared" si="107"/>
        <v>0.3960325894</v>
      </c>
      <c r="AU166" s="79">
        <f t="shared" si="107"/>
        <v>0.3451816746</v>
      </c>
      <c r="AV166" s="79">
        <f t="shared" si="107"/>
        <v>0.3147801684</v>
      </c>
      <c r="AW166" s="79">
        <f t="shared" si="107"/>
        <v>0.3387250238</v>
      </c>
      <c r="AX166" s="79">
        <f t="shared" si="107"/>
        <v>0.3914373089</v>
      </c>
      <c r="AY166" s="79">
        <f t="shared" si="107"/>
        <v>0.4117647059</v>
      </c>
      <c r="AZ166" s="79">
        <f t="shared" si="107"/>
        <v>0.2996706915</v>
      </c>
      <c r="BA166" s="79">
        <f t="shared" si="107"/>
        <v>0.2990654206</v>
      </c>
      <c r="BB166" s="79">
        <f t="shared" si="107"/>
        <v>0.3088803089</v>
      </c>
      <c r="BC166" s="79">
        <f t="shared" si="107"/>
        <v>0.2852958407</v>
      </c>
      <c r="BD166" s="79">
        <f t="shared" si="107"/>
        <v>0.3905325444</v>
      </c>
      <c r="BE166" s="79">
        <f t="shared" si="107"/>
        <v>0.2875399361</v>
      </c>
      <c r="BF166" s="79">
        <f t="shared" si="107"/>
        <v>0.2687861272</v>
      </c>
      <c r="BG166" s="79">
        <f t="shared" si="107"/>
        <v>0.2475915222</v>
      </c>
      <c r="BH166" s="79">
        <f t="shared" si="107"/>
        <v>0.230558097</v>
      </c>
      <c r="BI166" s="79" t="str">
        <f t="shared" si="107"/>
        <v/>
      </c>
      <c r="BJ166" s="79" t="str">
        <f t="shared" si="107"/>
        <v/>
      </c>
      <c r="BK166" s="79" t="str">
        <f t="shared" si="107"/>
        <v/>
      </c>
      <c r="BL166" s="79" t="str">
        <f t="shared" si="107"/>
        <v/>
      </c>
      <c r="BM166" s="79" t="str">
        <f t="shared" si="107"/>
        <v/>
      </c>
      <c r="BN166" s="79" t="str">
        <f t="shared" si="107"/>
        <v/>
      </c>
      <c r="BO166" s="79" t="str">
        <f t="shared" si="107"/>
        <v/>
      </c>
      <c r="BP166" s="81"/>
      <c r="BQ166" s="82"/>
    </row>
    <row r="167" outlineLevel="1">
      <c r="A167" s="56" t="s">
        <v>6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8"/>
      <c r="BQ167" s="59"/>
    </row>
    <row r="168" outlineLevel="1">
      <c r="A168" s="89" t="s">
        <v>7</v>
      </c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135"/>
      <c r="O168" s="92"/>
      <c r="P168" s="92"/>
      <c r="Q168" s="92"/>
      <c r="R168" s="92"/>
      <c r="S168" s="92"/>
      <c r="T168" s="92"/>
      <c r="U168" s="90"/>
      <c r="V168" s="90"/>
      <c r="W168" s="90"/>
      <c r="X168" s="90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144">
        <v>303.0</v>
      </c>
      <c r="AK168" s="144">
        <v>200.0</v>
      </c>
      <c r="AL168" s="144">
        <v>192.0</v>
      </c>
      <c r="AM168" s="144">
        <v>175.0</v>
      </c>
      <c r="AN168" s="144">
        <v>52.0</v>
      </c>
      <c r="AO168" s="144">
        <v>212.0</v>
      </c>
      <c r="AP168" s="144">
        <v>634.0</v>
      </c>
      <c r="AQ168" s="144">
        <v>1084.0</v>
      </c>
      <c r="AR168" s="144">
        <v>549.0</v>
      </c>
      <c r="AS168" s="144">
        <v>676.0</v>
      </c>
      <c r="AT168" s="144">
        <v>969.0</v>
      </c>
      <c r="AU168" s="144">
        <v>920.0</v>
      </c>
      <c r="AV168" s="144">
        <f>IFERROR(__xludf.DUMMYFUNCTION("IMPORTRANGE(""1FsAayhXBhwQWWhxaeEf32srJkqMhPcXdSHpT-eTbsHA"",""PP - Data!AG114:AG121"")"),749.0)</f>
        <v>749</v>
      </c>
      <c r="AW168" s="144">
        <v>389.0</v>
      </c>
      <c r="AX168" s="144">
        <v>196.0</v>
      </c>
      <c r="AY168" s="144">
        <v>204.0</v>
      </c>
      <c r="AZ168" s="144">
        <v>851.0</v>
      </c>
      <c r="BA168" s="144">
        <v>67.0</v>
      </c>
      <c r="BB168" s="144">
        <v>698.0</v>
      </c>
      <c r="BC168" s="144">
        <v>918.0</v>
      </c>
      <c r="BD168" s="144">
        <v>335.0</v>
      </c>
      <c r="BE168" s="144">
        <v>284.0</v>
      </c>
      <c r="BF168" s="144">
        <v>686.0</v>
      </c>
      <c r="BG168" s="144">
        <v>797.0</v>
      </c>
      <c r="BH168" s="144">
        <f>IFERROR(__xludf.DUMMYFUNCTION("IMPORTRANGE(""1Z2ZLDM0_m0NNnV5_jRvcRNtM9Z5AZ7o_A94RnrBGQUE"",""PP - Data!AG114:AG121"")"),969.0)</f>
        <v>969</v>
      </c>
      <c r="BI168" s="144"/>
      <c r="BJ168" s="144"/>
      <c r="BK168" s="144"/>
      <c r="BL168" s="144"/>
      <c r="BM168" s="144"/>
      <c r="BN168" s="144"/>
      <c r="BO168" s="144"/>
      <c r="BP168" s="63">
        <f t="shared" ref="BP168:BP176" si="108">SUM(B168:BO168)</f>
        <v>13109</v>
      </c>
      <c r="BQ168" s="64">
        <f t="shared" ref="BQ168:BQ175" si="109">iferror(BP168/BP$176,"")</f>
        <v>0.3504424306</v>
      </c>
    </row>
    <row r="169" outlineLevel="1">
      <c r="A169" s="60" t="s">
        <v>8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135"/>
      <c r="O169" s="135"/>
      <c r="P169" s="135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144">
        <v>541.0</v>
      </c>
      <c r="AK169" s="144">
        <v>269.0</v>
      </c>
      <c r="AL169" s="144">
        <v>298.0</v>
      </c>
      <c r="AM169" s="144">
        <v>282.0</v>
      </c>
      <c r="AN169" s="144">
        <v>119.0</v>
      </c>
      <c r="AO169" s="144">
        <v>241.0</v>
      </c>
      <c r="AP169" s="144">
        <v>692.0</v>
      </c>
      <c r="AQ169" s="144">
        <v>1149.0</v>
      </c>
      <c r="AR169" s="144">
        <v>689.0</v>
      </c>
      <c r="AS169" s="144">
        <v>788.0</v>
      </c>
      <c r="AT169" s="144">
        <v>1345.0</v>
      </c>
      <c r="AU169" s="144">
        <v>1183.0</v>
      </c>
      <c r="AV169" s="144">
        <f>IFERROR(__xludf.DUMMYFUNCTION("""COMPUTED_VALUE"""),984.0)</f>
        <v>984</v>
      </c>
      <c r="AW169" s="144">
        <v>491.0</v>
      </c>
      <c r="AX169" s="144">
        <v>352.0</v>
      </c>
      <c r="AY169" s="144">
        <v>362.0</v>
      </c>
      <c r="AZ169" s="144">
        <v>1302.0</v>
      </c>
      <c r="BA169" s="144">
        <v>136.0</v>
      </c>
      <c r="BB169" s="144">
        <v>724.0</v>
      </c>
      <c r="BC169" s="144">
        <v>1095.0</v>
      </c>
      <c r="BD169" s="144">
        <v>574.0</v>
      </c>
      <c r="BE169" s="144">
        <v>436.0</v>
      </c>
      <c r="BF169" s="144">
        <v>1115.0</v>
      </c>
      <c r="BG169" s="144">
        <v>1186.0</v>
      </c>
      <c r="BH169" s="144">
        <f>IFERROR(__xludf.DUMMYFUNCTION("""COMPUTED_VALUE"""),1412.0)</f>
        <v>1412</v>
      </c>
      <c r="BI169" s="144"/>
      <c r="BJ169" s="144"/>
      <c r="BK169" s="144"/>
      <c r="BL169" s="144"/>
      <c r="BM169" s="144"/>
      <c r="BN169" s="144"/>
      <c r="BO169" s="144"/>
      <c r="BP169" s="63">
        <f t="shared" si="108"/>
        <v>17765</v>
      </c>
      <c r="BQ169" s="64">
        <f t="shared" si="109"/>
        <v>0.4749111129</v>
      </c>
    </row>
    <row r="170" outlineLevel="1">
      <c r="A170" s="60" t="s">
        <v>12</v>
      </c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135"/>
      <c r="O170" s="135"/>
      <c r="P170" s="135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144">
        <v>22.0</v>
      </c>
      <c r="AK170" s="144">
        <v>7.0</v>
      </c>
      <c r="AL170" s="144">
        <v>2.0</v>
      </c>
      <c r="AM170" s="144">
        <v>3.0</v>
      </c>
      <c r="AN170" s="144">
        <v>3.0</v>
      </c>
      <c r="AO170" s="144">
        <v>1.0</v>
      </c>
      <c r="AP170" s="144">
        <v>20.0</v>
      </c>
      <c r="AQ170" s="144">
        <v>40.0</v>
      </c>
      <c r="AR170" s="144">
        <v>25.0</v>
      </c>
      <c r="AS170" s="144">
        <v>21.0</v>
      </c>
      <c r="AT170" s="144">
        <v>46.0</v>
      </c>
      <c r="AU170" s="144">
        <v>29.0</v>
      </c>
      <c r="AV170" s="144">
        <f>IFERROR(__xludf.DUMMYFUNCTION("""COMPUTED_VALUE"""),41.0)</f>
        <v>41</v>
      </c>
      <c r="AW170" s="144">
        <v>18.0</v>
      </c>
      <c r="AX170" s="144">
        <v>8.0</v>
      </c>
      <c r="AY170" s="144">
        <v>12.0</v>
      </c>
      <c r="AZ170" s="144">
        <v>16.0</v>
      </c>
      <c r="BA170" s="144">
        <v>1.0</v>
      </c>
      <c r="BB170" s="144">
        <v>19.0</v>
      </c>
      <c r="BC170" s="144">
        <v>35.0</v>
      </c>
      <c r="BD170" s="144">
        <v>11.0</v>
      </c>
      <c r="BE170" s="144">
        <v>13.0</v>
      </c>
      <c r="BF170" s="144">
        <v>16.0</v>
      </c>
      <c r="BG170" s="144">
        <v>25.0</v>
      </c>
      <c r="BH170" s="144">
        <f>IFERROR(__xludf.DUMMYFUNCTION("""COMPUTED_VALUE"""),44.0)</f>
        <v>44</v>
      </c>
      <c r="BI170" s="144"/>
      <c r="BJ170" s="144"/>
      <c r="BK170" s="144"/>
      <c r="BL170" s="144"/>
      <c r="BM170" s="144"/>
      <c r="BN170" s="144"/>
      <c r="BO170" s="144"/>
      <c r="BP170" s="63">
        <f t="shared" si="108"/>
        <v>478</v>
      </c>
      <c r="BQ170" s="64">
        <f t="shared" si="109"/>
        <v>0.01277835699</v>
      </c>
    </row>
    <row r="171" outlineLevel="1">
      <c r="A171" s="60" t="s">
        <v>13</v>
      </c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135"/>
      <c r="O171" s="135"/>
      <c r="P171" s="135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144">
        <v>20.0</v>
      </c>
      <c r="AK171" s="144">
        <v>14.0</v>
      </c>
      <c r="AL171" s="144">
        <v>5.0</v>
      </c>
      <c r="AM171" s="144">
        <v>6.0</v>
      </c>
      <c r="AN171" s="144">
        <v>2.0</v>
      </c>
      <c r="AO171" s="144">
        <v>10.0</v>
      </c>
      <c r="AP171" s="144">
        <v>24.0</v>
      </c>
      <c r="AQ171" s="144">
        <v>39.0</v>
      </c>
      <c r="AR171" s="144">
        <v>9.0</v>
      </c>
      <c r="AS171" s="144">
        <v>19.0</v>
      </c>
      <c r="AT171" s="144">
        <v>48.0</v>
      </c>
      <c r="AU171" s="144">
        <v>32.0</v>
      </c>
      <c r="AV171" s="144">
        <f>IFERROR(__xludf.DUMMYFUNCTION("""COMPUTED_VALUE"""),31.0)</f>
        <v>31</v>
      </c>
      <c r="AW171" s="144">
        <v>16.0</v>
      </c>
      <c r="AX171" s="144">
        <v>6.0</v>
      </c>
      <c r="AY171" s="144">
        <v>8.0</v>
      </c>
      <c r="AZ171" s="144">
        <v>33.0</v>
      </c>
      <c r="BA171" s="144">
        <v>5.0</v>
      </c>
      <c r="BB171" s="144">
        <v>31.0</v>
      </c>
      <c r="BC171" s="144">
        <v>35.0</v>
      </c>
      <c r="BD171" s="144">
        <v>11.0</v>
      </c>
      <c r="BE171" s="144">
        <v>11.0</v>
      </c>
      <c r="BF171" s="144">
        <v>16.0</v>
      </c>
      <c r="BG171" s="144">
        <v>22.0</v>
      </c>
      <c r="BH171" s="144">
        <f>IFERROR(__xludf.DUMMYFUNCTION("""COMPUTED_VALUE"""),34.0)</f>
        <v>34</v>
      </c>
      <c r="BI171" s="144"/>
      <c r="BJ171" s="144"/>
      <c r="BK171" s="144"/>
      <c r="BL171" s="144"/>
      <c r="BM171" s="144"/>
      <c r="BN171" s="144"/>
      <c r="BO171" s="144"/>
      <c r="BP171" s="63">
        <f t="shared" si="108"/>
        <v>487</v>
      </c>
      <c r="BQ171" s="64">
        <f t="shared" si="109"/>
        <v>0.01301895367</v>
      </c>
    </row>
    <row r="172" outlineLevel="1">
      <c r="A172" s="60" t="s">
        <v>14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135"/>
      <c r="O172" s="135"/>
      <c r="P172" s="135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144">
        <v>68.0</v>
      </c>
      <c r="AK172" s="144">
        <v>25.0</v>
      </c>
      <c r="AL172" s="144">
        <v>69.0</v>
      </c>
      <c r="AM172" s="144">
        <v>47.0</v>
      </c>
      <c r="AN172" s="144">
        <v>20.0</v>
      </c>
      <c r="AO172" s="144">
        <v>98.0</v>
      </c>
      <c r="AP172" s="144">
        <v>109.0</v>
      </c>
      <c r="AQ172" s="144">
        <v>170.0</v>
      </c>
      <c r="AR172" s="144">
        <v>50.0</v>
      </c>
      <c r="AS172" s="144">
        <v>84.0</v>
      </c>
      <c r="AT172" s="144">
        <v>150.0</v>
      </c>
      <c r="AU172" s="144">
        <v>129.0</v>
      </c>
      <c r="AV172" s="144">
        <f>IFERROR(__xludf.DUMMYFUNCTION("""COMPUTED_VALUE"""),126.0)</f>
        <v>126</v>
      </c>
      <c r="AW172" s="144">
        <v>45.0</v>
      </c>
      <c r="AX172" s="144">
        <v>37.0</v>
      </c>
      <c r="AY172" s="144">
        <v>31.0</v>
      </c>
      <c r="AZ172" s="144">
        <v>294.0</v>
      </c>
      <c r="BA172" s="144">
        <v>19.0</v>
      </c>
      <c r="BB172" s="144">
        <v>72.0</v>
      </c>
      <c r="BC172" s="144">
        <v>81.0</v>
      </c>
      <c r="BD172" s="144">
        <v>25.0</v>
      </c>
      <c r="BE172" s="144">
        <v>28.0</v>
      </c>
      <c r="BF172" s="144">
        <v>68.0</v>
      </c>
      <c r="BG172" s="144">
        <v>85.0</v>
      </c>
      <c r="BH172" s="144">
        <f>IFERROR(__xludf.DUMMYFUNCTION("""COMPUTED_VALUE"""),159.0)</f>
        <v>159</v>
      </c>
      <c r="BI172" s="144"/>
      <c r="BJ172" s="144"/>
      <c r="BK172" s="144"/>
      <c r="BL172" s="144"/>
      <c r="BM172" s="144"/>
      <c r="BN172" s="144"/>
      <c r="BO172" s="144"/>
      <c r="BP172" s="63">
        <f t="shared" si="108"/>
        <v>2089</v>
      </c>
      <c r="BQ172" s="64">
        <f t="shared" si="109"/>
        <v>0.05584516267</v>
      </c>
    </row>
    <row r="173" outlineLevel="1">
      <c r="A173" s="134" t="s">
        <v>16</v>
      </c>
      <c r="B173" s="92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144">
        <v>7.0</v>
      </c>
      <c r="AK173" s="144">
        <v>3.0</v>
      </c>
      <c r="AL173" s="144">
        <v>4.0</v>
      </c>
      <c r="AM173" s="144">
        <v>7.0</v>
      </c>
      <c r="AN173" s="144">
        <v>3.0</v>
      </c>
      <c r="AO173" s="144">
        <v>6.0</v>
      </c>
      <c r="AP173" s="144">
        <v>15.0</v>
      </c>
      <c r="AQ173" s="144">
        <v>29.0</v>
      </c>
      <c r="AR173" s="144">
        <v>10.0</v>
      </c>
      <c r="AS173" s="144">
        <v>16.0</v>
      </c>
      <c r="AT173" s="144">
        <v>25.0</v>
      </c>
      <c r="AU173" s="144">
        <v>25.0</v>
      </c>
      <c r="AV173" s="144">
        <f>IFERROR(__xludf.DUMMYFUNCTION("""COMPUTED_VALUE"""),22.0)</f>
        <v>22</v>
      </c>
      <c r="AW173" s="144">
        <v>14.0</v>
      </c>
      <c r="AX173" s="144">
        <v>2.0</v>
      </c>
      <c r="AY173" s="144">
        <v>10.0</v>
      </c>
      <c r="AZ173" s="144">
        <v>52.0</v>
      </c>
      <c r="BA173" s="144">
        <v>1.0</v>
      </c>
      <c r="BB173" s="144">
        <v>14.0</v>
      </c>
      <c r="BC173" s="144">
        <v>26.0</v>
      </c>
      <c r="BD173" s="144">
        <v>6.0</v>
      </c>
      <c r="BE173" s="144">
        <v>4.0</v>
      </c>
      <c r="BF173" s="144">
        <v>17.0</v>
      </c>
      <c r="BG173" s="144">
        <v>25.0</v>
      </c>
      <c r="BH173" s="144">
        <f>IFERROR(__xludf.DUMMYFUNCTION("""COMPUTED_VALUE"""),34.0)</f>
        <v>34</v>
      </c>
      <c r="BI173" s="144"/>
      <c r="BJ173" s="144"/>
      <c r="BK173" s="144"/>
      <c r="BL173" s="144"/>
      <c r="BM173" s="144"/>
      <c r="BN173" s="144"/>
      <c r="BO173" s="144"/>
      <c r="BP173" s="63">
        <f t="shared" si="108"/>
        <v>377</v>
      </c>
      <c r="BQ173" s="64">
        <f t="shared" si="109"/>
        <v>0.01007832759</v>
      </c>
    </row>
    <row r="174" outlineLevel="1">
      <c r="A174" s="60" t="s">
        <v>15</v>
      </c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144">
        <v>27.0</v>
      </c>
      <c r="AK174" s="144">
        <v>38.0</v>
      </c>
      <c r="AL174" s="144">
        <v>57.0</v>
      </c>
      <c r="AM174" s="144">
        <v>47.0</v>
      </c>
      <c r="AN174" s="144">
        <v>20.0</v>
      </c>
      <c r="AO174" s="144">
        <v>65.0</v>
      </c>
      <c r="AP174" s="144">
        <v>143.0</v>
      </c>
      <c r="AQ174" s="144">
        <v>227.0</v>
      </c>
      <c r="AR174" s="144">
        <v>74.0</v>
      </c>
      <c r="AS174" s="144">
        <v>127.0</v>
      </c>
      <c r="AT174" s="144">
        <v>226.0</v>
      </c>
      <c r="AU174" s="144">
        <v>207.0</v>
      </c>
      <c r="AV174" s="144">
        <f>IFERROR(__xludf.DUMMYFUNCTION("""COMPUTED_VALUE"""),182.0)</f>
        <v>182</v>
      </c>
      <c r="AW174" s="144">
        <v>74.0</v>
      </c>
      <c r="AX174" s="144">
        <v>48.0</v>
      </c>
      <c r="AY174" s="144">
        <v>67.0</v>
      </c>
      <c r="AZ174" s="144">
        <v>310.0</v>
      </c>
      <c r="BA174" s="144">
        <v>26.0</v>
      </c>
      <c r="BB174" s="144">
        <v>134.0</v>
      </c>
      <c r="BC174" s="144">
        <v>165.0</v>
      </c>
      <c r="BD174" s="144">
        <v>70.0</v>
      </c>
      <c r="BE174" s="144">
        <v>55.0</v>
      </c>
      <c r="BF174" s="144">
        <v>131.0</v>
      </c>
      <c r="BG174" s="144">
        <v>182.0</v>
      </c>
      <c r="BH174" s="144">
        <f>IFERROR(__xludf.DUMMYFUNCTION("""COMPUTED_VALUE"""),246.0)</f>
        <v>246</v>
      </c>
      <c r="BI174" s="144"/>
      <c r="BJ174" s="144"/>
      <c r="BK174" s="144"/>
      <c r="BL174" s="144"/>
      <c r="BM174" s="144"/>
      <c r="BN174" s="144"/>
      <c r="BO174" s="144"/>
      <c r="BP174" s="63">
        <f t="shared" si="108"/>
        <v>2948</v>
      </c>
      <c r="BQ174" s="64">
        <f t="shared" si="109"/>
        <v>0.07880877911</v>
      </c>
    </row>
    <row r="175" outlineLevel="1">
      <c r="A175" s="60" t="s">
        <v>17</v>
      </c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144">
        <v>1.0</v>
      </c>
      <c r="AK175" s="144">
        <v>2.0</v>
      </c>
      <c r="AL175" s="144">
        <v>1.0</v>
      </c>
      <c r="AM175" s="144">
        <v>3.0</v>
      </c>
      <c r="AN175" s="144">
        <v>0.0</v>
      </c>
      <c r="AO175" s="144">
        <v>5.0</v>
      </c>
      <c r="AP175" s="144">
        <v>2.0</v>
      </c>
      <c r="AQ175" s="144">
        <v>16.0</v>
      </c>
      <c r="AR175" s="144">
        <v>2.0</v>
      </c>
      <c r="AS175" s="144">
        <v>5.0</v>
      </c>
      <c r="AT175" s="144">
        <v>14.0</v>
      </c>
      <c r="AU175" s="144">
        <v>7.0</v>
      </c>
      <c r="AV175" s="144">
        <f>IFERROR(__xludf.DUMMYFUNCTION("""COMPUTED_VALUE"""),3.0)</f>
        <v>3</v>
      </c>
      <c r="AW175" s="144">
        <v>4.0</v>
      </c>
      <c r="AX175" s="144">
        <v>5.0</v>
      </c>
      <c r="AY175" s="144">
        <v>3.0</v>
      </c>
      <c r="AZ175" s="144">
        <v>20.0</v>
      </c>
      <c r="BA175" s="144">
        <v>3.0</v>
      </c>
      <c r="BB175" s="144">
        <v>7.0</v>
      </c>
      <c r="BC175" s="144">
        <v>13.0</v>
      </c>
      <c r="BD175" s="144">
        <v>1.0</v>
      </c>
      <c r="BE175" s="144">
        <v>1.0</v>
      </c>
      <c r="BF175" s="144">
        <v>12.0</v>
      </c>
      <c r="BG175" s="144">
        <v>7.0</v>
      </c>
      <c r="BH175" s="144">
        <f>IFERROR(__xludf.DUMMYFUNCTION("""COMPUTED_VALUE"""),17.0)</f>
        <v>17</v>
      </c>
      <c r="BI175" s="144"/>
      <c r="BJ175" s="144"/>
      <c r="BK175" s="144"/>
      <c r="BL175" s="144"/>
      <c r="BM175" s="144"/>
      <c r="BN175" s="144"/>
      <c r="BO175" s="144"/>
      <c r="BP175" s="63">
        <f t="shared" si="108"/>
        <v>154</v>
      </c>
      <c r="BQ175" s="64">
        <f t="shared" si="109"/>
        <v>0.00411687652</v>
      </c>
    </row>
    <row r="176" outlineLevel="1">
      <c r="A176" s="93" t="s">
        <v>18</v>
      </c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5">
        <f t="shared" ref="AJ176:BO176" si="110">SUM(AJ168:AJ175)</f>
        <v>989</v>
      </c>
      <c r="AK176" s="95">
        <f t="shared" si="110"/>
        <v>558</v>
      </c>
      <c r="AL176" s="95">
        <f t="shared" si="110"/>
        <v>628</v>
      </c>
      <c r="AM176" s="95">
        <f t="shared" si="110"/>
        <v>570</v>
      </c>
      <c r="AN176" s="95">
        <f t="shared" si="110"/>
        <v>219</v>
      </c>
      <c r="AO176" s="95">
        <f t="shared" si="110"/>
        <v>638</v>
      </c>
      <c r="AP176" s="95">
        <f t="shared" si="110"/>
        <v>1639</v>
      </c>
      <c r="AQ176" s="95">
        <f t="shared" si="110"/>
        <v>2754</v>
      </c>
      <c r="AR176" s="95">
        <f t="shared" si="110"/>
        <v>1408</v>
      </c>
      <c r="AS176" s="95">
        <f t="shared" si="110"/>
        <v>1736</v>
      </c>
      <c r="AT176" s="95">
        <f t="shared" si="110"/>
        <v>2823</v>
      </c>
      <c r="AU176" s="95">
        <f t="shared" si="110"/>
        <v>2532</v>
      </c>
      <c r="AV176" s="95">
        <f t="shared" si="110"/>
        <v>2138</v>
      </c>
      <c r="AW176" s="95">
        <f t="shared" si="110"/>
        <v>1051</v>
      </c>
      <c r="AX176" s="95">
        <f t="shared" si="110"/>
        <v>654</v>
      </c>
      <c r="AY176" s="95">
        <f t="shared" si="110"/>
        <v>697</v>
      </c>
      <c r="AZ176" s="95">
        <f t="shared" si="110"/>
        <v>2878</v>
      </c>
      <c r="BA176" s="95">
        <f t="shared" si="110"/>
        <v>258</v>
      </c>
      <c r="BB176" s="95">
        <f t="shared" si="110"/>
        <v>1699</v>
      </c>
      <c r="BC176" s="95">
        <f t="shared" si="110"/>
        <v>2368</v>
      </c>
      <c r="BD176" s="95">
        <f t="shared" si="110"/>
        <v>1033</v>
      </c>
      <c r="BE176" s="95">
        <f t="shared" si="110"/>
        <v>832</v>
      </c>
      <c r="BF176" s="95">
        <f t="shared" si="110"/>
        <v>2061</v>
      </c>
      <c r="BG176" s="95">
        <f t="shared" si="110"/>
        <v>2329</v>
      </c>
      <c r="BH176" s="95">
        <f t="shared" si="110"/>
        <v>2915</v>
      </c>
      <c r="BI176" s="95">
        <f t="shared" si="110"/>
        <v>0</v>
      </c>
      <c r="BJ176" s="95">
        <f t="shared" si="110"/>
        <v>0</v>
      </c>
      <c r="BK176" s="95">
        <f t="shared" si="110"/>
        <v>0</v>
      </c>
      <c r="BL176" s="95">
        <f t="shared" si="110"/>
        <v>0</v>
      </c>
      <c r="BM176" s="95">
        <f t="shared" si="110"/>
        <v>0</v>
      </c>
      <c r="BN176" s="95">
        <f t="shared" si="110"/>
        <v>0</v>
      </c>
      <c r="BO176" s="95">
        <f t="shared" si="110"/>
        <v>0</v>
      </c>
      <c r="BP176" s="96">
        <f t="shared" si="108"/>
        <v>37407</v>
      </c>
      <c r="BQ176" s="97">
        <f>SUM(BQ168:BQ175)</f>
        <v>1</v>
      </c>
    </row>
    <row r="177" outlineLevel="1">
      <c r="A177" s="72" t="s">
        <v>9</v>
      </c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81"/>
      <c r="BQ177" s="82"/>
    </row>
    <row r="178" outlineLevel="1">
      <c r="A178" s="78" t="s">
        <v>7</v>
      </c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79">
        <f t="shared" ref="AJ178:BO178" si="111">iferror(AJ168/AJ$176,"")</f>
        <v>0.3063700708</v>
      </c>
      <c r="AK178" s="79">
        <f t="shared" si="111"/>
        <v>0.3584229391</v>
      </c>
      <c r="AL178" s="79">
        <f t="shared" si="111"/>
        <v>0.3057324841</v>
      </c>
      <c r="AM178" s="79">
        <f t="shared" si="111"/>
        <v>0.3070175439</v>
      </c>
      <c r="AN178" s="79">
        <f t="shared" si="111"/>
        <v>0.2374429224</v>
      </c>
      <c r="AO178" s="79">
        <f t="shared" si="111"/>
        <v>0.3322884013</v>
      </c>
      <c r="AP178" s="79">
        <f t="shared" si="111"/>
        <v>0.3868212325</v>
      </c>
      <c r="AQ178" s="79">
        <f t="shared" si="111"/>
        <v>0.3936092956</v>
      </c>
      <c r="AR178" s="79">
        <f t="shared" si="111"/>
        <v>0.3899147727</v>
      </c>
      <c r="AS178" s="79">
        <f t="shared" si="111"/>
        <v>0.3894009217</v>
      </c>
      <c r="AT178" s="79">
        <f t="shared" si="111"/>
        <v>0.3432518597</v>
      </c>
      <c r="AU178" s="79">
        <f t="shared" si="111"/>
        <v>0.3633491311</v>
      </c>
      <c r="AV178" s="79">
        <f t="shared" si="111"/>
        <v>0.3503274088</v>
      </c>
      <c r="AW178" s="79">
        <f t="shared" si="111"/>
        <v>0.3701236917</v>
      </c>
      <c r="AX178" s="79">
        <f t="shared" si="111"/>
        <v>0.2996941896</v>
      </c>
      <c r="AY178" s="79">
        <f t="shared" si="111"/>
        <v>0.2926829268</v>
      </c>
      <c r="AZ178" s="79">
        <f t="shared" si="111"/>
        <v>0.2956914524</v>
      </c>
      <c r="BA178" s="79">
        <f t="shared" si="111"/>
        <v>0.2596899225</v>
      </c>
      <c r="BB178" s="79">
        <f t="shared" si="111"/>
        <v>0.4108298999</v>
      </c>
      <c r="BC178" s="79">
        <f t="shared" si="111"/>
        <v>0.3876689189</v>
      </c>
      <c r="BD178" s="79">
        <f t="shared" si="111"/>
        <v>0.3242981607</v>
      </c>
      <c r="BE178" s="79">
        <f t="shared" si="111"/>
        <v>0.3413461538</v>
      </c>
      <c r="BF178" s="79">
        <f t="shared" si="111"/>
        <v>0.332848132</v>
      </c>
      <c r="BG178" s="79">
        <f t="shared" si="111"/>
        <v>0.3422069558</v>
      </c>
      <c r="BH178" s="79">
        <f t="shared" si="111"/>
        <v>0.3324185249</v>
      </c>
      <c r="BI178" s="79" t="str">
        <f t="shared" si="111"/>
        <v/>
      </c>
      <c r="BJ178" s="79" t="str">
        <f t="shared" si="111"/>
        <v/>
      </c>
      <c r="BK178" s="79" t="str">
        <f t="shared" si="111"/>
        <v/>
      </c>
      <c r="BL178" s="79" t="str">
        <f t="shared" si="111"/>
        <v/>
      </c>
      <c r="BM178" s="79" t="str">
        <f t="shared" si="111"/>
        <v/>
      </c>
      <c r="BN178" s="79" t="str">
        <f t="shared" si="111"/>
        <v/>
      </c>
      <c r="BO178" s="79" t="str">
        <f t="shared" si="111"/>
        <v/>
      </c>
      <c r="BP178" s="81"/>
      <c r="BQ178" s="82"/>
    </row>
    <row r="179" outlineLevel="1">
      <c r="A179" s="78" t="s">
        <v>8</v>
      </c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79">
        <f t="shared" ref="AJ179:BO179" si="112">iferror(AJ169/AJ$176,"")</f>
        <v>0.5470171891</v>
      </c>
      <c r="AK179" s="79">
        <f t="shared" si="112"/>
        <v>0.482078853</v>
      </c>
      <c r="AL179" s="79">
        <f t="shared" si="112"/>
        <v>0.474522293</v>
      </c>
      <c r="AM179" s="79">
        <f t="shared" si="112"/>
        <v>0.4947368421</v>
      </c>
      <c r="AN179" s="79">
        <f t="shared" si="112"/>
        <v>0.5433789954</v>
      </c>
      <c r="AO179" s="79">
        <f t="shared" si="112"/>
        <v>0.3777429467</v>
      </c>
      <c r="AP179" s="79">
        <f t="shared" si="112"/>
        <v>0.4222086638</v>
      </c>
      <c r="AQ179" s="79">
        <f t="shared" si="112"/>
        <v>0.417211329</v>
      </c>
      <c r="AR179" s="79">
        <f t="shared" si="112"/>
        <v>0.4893465909</v>
      </c>
      <c r="AS179" s="79">
        <f t="shared" si="112"/>
        <v>0.4539170507</v>
      </c>
      <c r="AT179" s="79">
        <f t="shared" si="112"/>
        <v>0.4764434998</v>
      </c>
      <c r="AU179" s="79">
        <f t="shared" si="112"/>
        <v>0.4672195893</v>
      </c>
      <c r="AV179" s="79">
        <f t="shared" si="112"/>
        <v>0.460243218</v>
      </c>
      <c r="AW179" s="79">
        <f t="shared" si="112"/>
        <v>0.4671741199</v>
      </c>
      <c r="AX179" s="79">
        <f t="shared" si="112"/>
        <v>0.5382262997</v>
      </c>
      <c r="AY179" s="79">
        <f t="shared" si="112"/>
        <v>0.5193687231</v>
      </c>
      <c r="AZ179" s="79">
        <f t="shared" si="112"/>
        <v>0.4523974983</v>
      </c>
      <c r="BA179" s="79">
        <f t="shared" si="112"/>
        <v>0.5271317829</v>
      </c>
      <c r="BB179" s="79">
        <f t="shared" si="112"/>
        <v>0.4261330194</v>
      </c>
      <c r="BC179" s="79">
        <f t="shared" si="112"/>
        <v>0.4624155405</v>
      </c>
      <c r="BD179" s="79">
        <f t="shared" si="112"/>
        <v>0.5556631171</v>
      </c>
      <c r="BE179" s="79">
        <f t="shared" si="112"/>
        <v>0.5240384615</v>
      </c>
      <c r="BF179" s="79">
        <f t="shared" si="112"/>
        <v>0.5409995148</v>
      </c>
      <c r="BG179" s="79">
        <f t="shared" si="112"/>
        <v>0.5092314298</v>
      </c>
      <c r="BH179" s="79">
        <f t="shared" si="112"/>
        <v>0.4843910806</v>
      </c>
      <c r="BI179" s="79" t="str">
        <f t="shared" si="112"/>
        <v/>
      </c>
      <c r="BJ179" s="79" t="str">
        <f t="shared" si="112"/>
        <v/>
      </c>
      <c r="BK179" s="79" t="str">
        <f t="shared" si="112"/>
        <v/>
      </c>
      <c r="BL179" s="79" t="str">
        <f t="shared" si="112"/>
        <v/>
      </c>
      <c r="BM179" s="79" t="str">
        <f t="shared" si="112"/>
        <v/>
      </c>
      <c r="BN179" s="79" t="str">
        <f t="shared" si="112"/>
        <v/>
      </c>
      <c r="BO179" s="79" t="str">
        <f t="shared" si="112"/>
        <v/>
      </c>
      <c r="BP179" s="81"/>
      <c r="BQ179" s="82"/>
    </row>
    <row r="180" outlineLevel="1">
      <c r="A180" s="78" t="s">
        <v>12</v>
      </c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79">
        <f t="shared" ref="AJ180:BO180" si="113">iferror(AJ170/AJ$176,"")</f>
        <v>0.02224469161</v>
      </c>
      <c r="AK180" s="79">
        <f t="shared" si="113"/>
        <v>0.01254480287</v>
      </c>
      <c r="AL180" s="79">
        <f t="shared" si="113"/>
        <v>0.003184713376</v>
      </c>
      <c r="AM180" s="79">
        <f t="shared" si="113"/>
        <v>0.005263157895</v>
      </c>
      <c r="AN180" s="79">
        <f t="shared" si="113"/>
        <v>0.01369863014</v>
      </c>
      <c r="AO180" s="79">
        <f t="shared" si="113"/>
        <v>0.001567398119</v>
      </c>
      <c r="AP180" s="79">
        <f t="shared" si="113"/>
        <v>0.01220256254</v>
      </c>
      <c r="AQ180" s="79">
        <f t="shared" si="113"/>
        <v>0.01452432825</v>
      </c>
      <c r="AR180" s="79">
        <f t="shared" si="113"/>
        <v>0.01775568182</v>
      </c>
      <c r="AS180" s="79">
        <f t="shared" si="113"/>
        <v>0.01209677419</v>
      </c>
      <c r="AT180" s="79">
        <f t="shared" si="113"/>
        <v>0.01629472193</v>
      </c>
      <c r="AU180" s="79">
        <f t="shared" si="113"/>
        <v>0.01145339652</v>
      </c>
      <c r="AV180" s="79">
        <f t="shared" si="113"/>
        <v>0.01917680075</v>
      </c>
      <c r="AW180" s="79">
        <f t="shared" si="113"/>
        <v>0.01712654615</v>
      </c>
      <c r="AX180" s="79">
        <f t="shared" si="113"/>
        <v>0.0122324159</v>
      </c>
      <c r="AY180" s="79">
        <f t="shared" si="113"/>
        <v>0.01721664275</v>
      </c>
      <c r="AZ180" s="79">
        <f t="shared" si="113"/>
        <v>0.005559416261</v>
      </c>
      <c r="BA180" s="79">
        <f t="shared" si="113"/>
        <v>0.003875968992</v>
      </c>
      <c r="BB180" s="79">
        <f t="shared" si="113"/>
        <v>0.01118304885</v>
      </c>
      <c r="BC180" s="79">
        <f t="shared" si="113"/>
        <v>0.01478040541</v>
      </c>
      <c r="BD180" s="79">
        <f t="shared" si="113"/>
        <v>0.01064859632</v>
      </c>
      <c r="BE180" s="79">
        <f t="shared" si="113"/>
        <v>0.015625</v>
      </c>
      <c r="BF180" s="79">
        <f t="shared" si="113"/>
        <v>0.007763221737</v>
      </c>
      <c r="BG180" s="79">
        <f t="shared" si="113"/>
        <v>0.0107342207</v>
      </c>
      <c r="BH180" s="79">
        <f t="shared" si="113"/>
        <v>0.01509433962</v>
      </c>
      <c r="BI180" s="79" t="str">
        <f t="shared" si="113"/>
        <v/>
      </c>
      <c r="BJ180" s="79" t="str">
        <f t="shared" si="113"/>
        <v/>
      </c>
      <c r="BK180" s="79" t="str">
        <f t="shared" si="113"/>
        <v/>
      </c>
      <c r="BL180" s="79" t="str">
        <f t="shared" si="113"/>
        <v/>
      </c>
      <c r="BM180" s="79" t="str">
        <f t="shared" si="113"/>
        <v/>
      </c>
      <c r="BN180" s="79" t="str">
        <f t="shared" si="113"/>
        <v/>
      </c>
      <c r="BO180" s="79" t="str">
        <f t="shared" si="113"/>
        <v/>
      </c>
      <c r="BP180" s="81"/>
      <c r="BQ180" s="82"/>
    </row>
    <row r="181" outlineLevel="1">
      <c r="A181" s="78" t="s">
        <v>13</v>
      </c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79">
        <f t="shared" ref="AJ181:BO181" si="114">iferror(AJ171/AJ$176,"")</f>
        <v>0.02022244692</v>
      </c>
      <c r="AK181" s="79">
        <f t="shared" si="114"/>
        <v>0.02508960573</v>
      </c>
      <c r="AL181" s="79">
        <f t="shared" si="114"/>
        <v>0.007961783439</v>
      </c>
      <c r="AM181" s="79">
        <f t="shared" si="114"/>
        <v>0.01052631579</v>
      </c>
      <c r="AN181" s="79">
        <f t="shared" si="114"/>
        <v>0.009132420091</v>
      </c>
      <c r="AO181" s="79">
        <f t="shared" si="114"/>
        <v>0.01567398119</v>
      </c>
      <c r="AP181" s="79">
        <f t="shared" si="114"/>
        <v>0.01464307505</v>
      </c>
      <c r="AQ181" s="79">
        <f t="shared" si="114"/>
        <v>0.01416122004</v>
      </c>
      <c r="AR181" s="79">
        <f t="shared" si="114"/>
        <v>0.006392045455</v>
      </c>
      <c r="AS181" s="79">
        <f t="shared" si="114"/>
        <v>0.01094470046</v>
      </c>
      <c r="AT181" s="79">
        <f t="shared" si="114"/>
        <v>0.0170031881</v>
      </c>
      <c r="AU181" s="79">
        <f t="shared" si="114"/>
        <v>0.01263823065</v>
      </c>
      <c r="AV181" s="79">
        <f t="shared" si="114"/>
        <v>0.01449953227</v>
      </c>
      <c r="AW181" s="79">
        <f t="shared" si="114"/>
        <v>0.01522359657</v>
      </c>
      <c r="AX181" s="79">
        <f t="shared" si="114"/>
        <v>0.009174311927</v>
      </c>
      <c r="AY181" s="79">
        <f t="shared" si="114"/>
        <v>0.01147776184</v>
      </c>
      <c r="AZ181" s="79">
        <f t="shared" si="114"/>
        <v>0.01146629604</v>
      </c>
      <c r="BA181" s="79">
        <f t="shared" si="114"/>
        <v>0.01937984496</v>
      </c>
      <c r="BB181" s="79">
        <f t="shared" si="114"/>
        <v>0.01824602707</v>
      </c>
      <c r="BC181" s="79">
        <f t="shared" si="114"/>
        <v>0.01478040541</v>
      </c>
      <c r="BD181" s="79">
        <f t="shared" si="114"/>
        <v>0.01064859632</v>
      </c>
      <c r="BE181" s="79">
        <f t="shared" si="114"/>
        <v>0.01322115385</v>
      </c>
      <c r="BF181" s="79">
        <f t="shared" si="114"/>
        <v>0.007763221737</v>
      </c>
      <c r="BG181" s="79">
        <f t="shared" si="114"/>
        <v>0.009446114212</v>
      </c>
      <c r="BH181" s="79">
        <f t="shared" si="114"/>
        <v>0.01166380789</v>
      </c>
      <c r="BI181" s="79" t="str">
        <f t="shared" si="114"/>
        <v/>
      </c>
      <c r="BJ181" s="79" t="str">
        <f t="shared" si="114"/>
        <v/>
      </c>
      <c r="BK181" s="79" t="str">
        <f t="shared" si="114"/>
        <v/>
      </c>
      <c r="BL181" s="79" t="str">
        <f t="shared" si="114"/>
        <v/>
      </c>
      <c r="BM181" s="79" t="str">
        <f t="shared" si="114"/>
        <v/>
      </c>
      <c r="BN181" s="79" t="str">
        <f t="shared" si="114"/>
        <v/>
      </c>
      <c r="BO181" s="79" t="str">
        <f t="shared" si="114"/>
        <v/>
      </c>
      <c r="BP181" s="81"/>
      <c r="BQ181" s="82"/>
    </row>
    <row r="182" outlineLevel="1">
      <c r="A182" s="78" t="s">
        <v>14</v>
      </c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79">
        <f t="shared" ref="AJ182:BO182" si="115">iferror(AJ172/AJ$176,"")</f>
        <v>0.06875631951</v>
      </c>
      <c r="AK182" s="79">
        <f t="shared" si="115"/>
        <v>0.04480286738</v>
      </c>
      <c r="AL182" s="79">
        <f t="shared" si="115"/>
        <v>0.1098726115</v>
      </c>
      <c r="AM182" s="79">
        <f t="shared" si="115"/>
        <v>0.08245614035</v>
      </c>
      <c r="AN182" s="79">
        <f t="shared" si="115"/>
        <v>0.09132420091</v>
      </c>
      <c r="AO182" s="79">
        <f t="shared" si="115"/>
        <v>0.1536050157</v>
      </c>
      <c r="AP182" s="79">
        <f t="shared" si="115"/>
        <v>0.06650396583</v>
      </c>
      <c r="AQ182" s="79">
        <f t="shared" si="115"/>
        <v>0.06172839506</v>
      </c>
      <c r="AR182" s="79">
        <f t="shared" si="115"/>
        <v>0.03551136364</v>
      </c>
      <c r="AS182" s="79">
        <f t="shared" si="115"/>
        <v>0.04838709677</v>
      </c>
      <c r="AT182" s="79">
        <f t="shared" si="115"/>
        <v>0.05313496281</v>
      </c>
      <c r="AU182" s="79">
        <f t="shared" si="115"/>
        <v>0.0509478673</v>
      </c>
      <c r="AV182" s="79">
        <f t="shared" si="115"/>
        <v>0.05893358279</v>
      </c>
      <c r="AW182" s="79">
        <f t="shared" si="115"/>
        <v>0.04281636537</v>
      </c>
      <c r="AX182" s="79">
        <f t="shared" si="115"/>
        <v>0.05657492355</v>
      </c>
      <c r="AY182" s="79">
        <f t="shared" si="115"/>
        <v>0.04447632712</v>
      </c>
      <c r="AZ182" s="79">
        <f t="shared" si="115"/>
        <v>0.1021542738</v>
      </c>
      <c r="BA182" s="79">
        <f t="shared" si="115"/>
        <v>0.07364341085</v>
      </c>
      <c r="BB182" s="79">
        <f t="shared" si="115"/>
        <v>0.04237786933</v>
      </c>
      <c r="BC182" s="79">
        <f t="shared" si="115"/>
        <v>0.03420608108</v>
      </c>
      <c r="BD182" s="79">
        <f t="shared" si="115"/>
        <v>0.02420135528</v>
      </c>
      <c r="BE182" s="79">
        <f t="shared" si="115"/>
        <v>0.03365384615</v>
      </c>
      <c r="BF182" s="79">
        <f t="shared" si="115"/>
        <v>0.03299369238</v>
      </c>
      <c r="BG182" s="79">
        <f t="shared" si="115"/>
        <v>0.03649635036</v>
      </c>
      <c r="BH182" s="79">
        <f t="shared" si="115"/>
        <v>0.05454545455</v>
      </c>
      <c r="BI182" s="79" t="str">
        <f t="shared" si="115"/>
        <v/>
      </c>
      <c r="BJ182" s="79" t="str">
        <f t="shared" si="115"/>
        <v/>
      </c>
      <c r="BK182" s="79" t="str">
        <f t="shared" si="115"/>
        <v/>
      </c>
      <c r="BL182" s="79" t="str">
        <f t="shared" si="115"/>
        <v/>
      </c>
      <c r="BM182" s="79" t="str">
        <f t="shared" si="115"/>
        <v/>
      </c>
      <c r="BN182" s="79" t="str">
        <f t="shared" si="115"/>
        <v/>
      </c>
      <c r="BO182" s="79" t="str">
        <f t="shared" si="115"/>
        <v/>
      </c>
      <c r="BP182" s="81"/>
      <c r="BQ182" s="82"/>
    </row>
    <row r="183" outlineLevel="1">
      <c r="A183" s="136" t="s">
        <v>16</v>
      </c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79">
        <f t="shared" ref="AJ183:BO183" si="116">iferror(AJ173/AJ$176,"")</f>
        <v>0.007077856421</v>
      </c>
      <c r="AK183" s="79">
        <f t="shared" si="116"/>
        <v>0.005376344086</v>
      </c>
      <c r="AL183" s="79">
        <f t="shared" si="116"/>
        <v>0.006369426752</v>
      </c>
      <c r="AM183" s="79">
        <f t="shared" si="116"/>
        <v>0.01228070175</v>
      </c>
      <c r="AN183" s="79">
        <f t="shared" si="116"/>
        <v>0.01369863014</v>
      </c>
      <c r="AO183" s="79">
        <f t="shared" si="116"/>
        <v>0.009404388715</v>
      </c>
      <c r="AP183" s="79">
        <f t="shared" si="116"/>
        <v>0.009151921904</v>
      </c>
      <c r="AQ183" s="79">
        <f t="shared" si="116"/>
        <v>0.01053013798</v>
      </c>
      <c r="AR183" s="79">
        <f t="shared" si="116"/>
        <v>0.007102272727</v>
      </c>
      <c r="AS183" s="79">
        <f t="shared" si="116"/>
        <v>0.009216589862</v>
      </c>
      <c r="AT183" s="79">
        <f t="shared" si="116"/>
        <v>0.008855827134</v>
      </c>
      <c r="AU183" s="79">
        <f t="shared" si="116"/>
        <v>0.009873617694</v>
      </c>
      <c r="AV183" s="79">
        <f t="shared" si="116"/>
        <v>0.01028999065</v>
      </c>
      <c r="AW183" s="79">
        <f t="shared" si="116"/>
        <v>0.013320647</v>
      </c>
      <c r="AX183" s="79">
        <f t="shared" si="116"/>
        <v>0.003058103976</v>
      </c>
      <c r="AY183" s="79">
        <f t="shared" si="116"/>
        <v>0.0143472023</v>
      </c>
      <c r="AZ183" s="79">
        <f t="shared" si="116"/>
        <v>0.01806810285</v>
      </c>
      <c r="BA183" s="79">
        <f t="shared" si="116"/>
        <v>0.003875968992</v>
      </c>
      <c r="BB183" s="79">
        <f t="shared" si="116"/>
        <v>0.00824014126</v>
      </c>
      <c r="BC183" s="79">
        <f t="shared" si="116"/>
        <v>0.01097972973</v>
      </c>
      <c r="BD183" s="79">
        <f t="shared" si="116"/>
        <v>0.005808325266</v>
      </c>
      <c r="BE183" s="79">
        <f t="shared" si="116"/>
        <v>0.004807692308</v>
      </c>
      <c r="BF183" s="79">
        <f t="shared" si="116"/>
        <v>0.008248423096</v>
      </c>
      <c r="BG183" s="79">
        <f t="shared" si="116"/>
        <v>0.0107342207</v>
      </c>
      <c r="BH183" s="79">
        <f t="shared" si="116"/>
        <v>0.01166380789</v>
      </c>
      <c r="BI183" s="79" t="str">
        <f t="shared" si="116"/>
        <v/>
      </c>
      <c r="BJ183" s="79" t="str">
        <f t="shared" si="116"/>
        <v/>
      </c>
      <c r="BK183" s="79" t="str">
        <f t="shared" si="116"/>
        <v/>
      </c>
      <c r="BL183" s="79" t="str">
        <f t="shared" si="116"/>
        <v/>
      </c>
      <c r="BM183" s="79" t="str">
        <f t="shared" si="116"/>
        <v/>
      </c>
      <c r="BN183" s="79" t="str">
        <f t="shared" si="116"/>
        <v/>
      </c>
      <c r="BO183" s="79" t="str">
        <f t="shared" si="116"/>
        <v/>
      </c>
      <c r="BP183" s="81"/>
      <c r="BQ183" s="82"/>
    </row>
    <row r="184" outlineLevel="1">
      <c r="A184" s="136" t="s">
        <v>53</v>
      </c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79">
        <f t="shared" ref="AJ184:BO184" si="117">iferror(AJ174/AJ$176,"")</f>
        <v>0.02730030334</v>
      </c>
      <c r="AK184" s="79">
        <f t="shared" si="117"/>
        <v>0.06810035842</v>
      </c>
      <c r="AL184" s="79">
        <f t="shared" si="117"/>
        <v>0.09076433121</v>
      </c>
      <c r="AM184" s="79">
        <f t="shared" si="117"/>
        <v>0.08245614035</v>
      </c>
      <c r="AN184" s="79">
        <f t="shared" si="117"/>
        <v>0.09132420091</v>
      </c>
      <c r="AO184" s="79">
        <f t="shared" si="117"/>
        <v>0.1018808777</v>
      </c>
      <c r="AP184" s="79">
        <f t="shared" si="117"/>
        <v>0.08724832215</v>
      </c>
      <c r="AQ184" s="79">
        <f t="shared" si="117"/>
        <v>0.08242556282</v>
      </c>
      <c r="AR184" s="79">
        <f t="shared" si="117"/>
        <v>0.05255681818</v>
      </c>
      <c r="AS184" s="79">
        <f t="shared" si="117"/>
        <v>0.07315668203</v>
      </c>
      <c r="AT184" s="79">
        <f t="shared" si="117"/>
        <v>0.08005667729</v>
      </c>
      <c r="AU184" s="79">
        <f t="shared" si="117"/>
        <v>0.0817535545</v>
      </c>
      <c r="AV184" s="79">
        <f t="shared" si="117"/>
        <v>0.08512628625</v>
      </c>
      <c r="AW184" s="79">
        <f t="shared" si="117"/>
        <v>0.07040913416</v>
      </c>
      <c r="AX184" s="79">
        <f t="shared" si="117"/>
        <v>0.07339449541</v>
      </c>
      <c r="AY184" s="79">
        <f t="shared" si="117"/>
        <v>0.09612625538</v>
      </c>
      <c r="AZ184" s="79">
        <f t="shared" si="117"/>
        <v>0.1077136901</v>
      </c>
      <c r="BA184" s="79">
        <f t="shared" si="117"/>
        <v>0.1007751938</v>
      </c>
      <c r="BB184" s="79">
        <f t="shared" si="117"/>
        <v>0.07886992348</v>
      </c>
      <c r="BC184" s="79">
        <f t="shared" si="117"/>
        <v>0.06967905405</v>
      </c>
      <c r="BD184" s="79">
        <f t="shared" si="117"/>
        <v>0.06776379477</v>
      </c>
      <c r="BE184" s="79">
        <f t="shared" si="117"/>
        <v>0.06610576923</v>
      </c>
      <c r="BF184" s="79">
        <f t="shared" si="117"/>
        <v>0.06356137797</v>
      </c>
      <c r="BG184" s="79">
        <f t="shared" si="117"/>
        <v>0.07814512666</v>
      </c>
      <c r="BH184" s="79">
        <f t="shared" si="117"/>
        <v>0.08439108062</v>
      </c>
      <c r="BI184" s="79" t="str">
        <f t="shared" si="117"/>
        <v/>
      </c>
      <c r="BJ184" s="79" t="str">
        <f t="shared" si="117"/>
        <v/>
      </c>
      <c r="BK184" s="79" t="str">
        <f t="shared" si="117"/>
        <v/>
      </c>
      <c r="BL184" s="79" t="str">
        <f t="shared" si="117"/>
        <v/>
      </c>
      <c r="BM184" s="79" t="str">
        <f t="shared" si="117"/>
        <v/>
      </c>
      <c r="BN184" s="79" t="str">
        <f t="shared" si="117"/>
        <v/>
      </c>
      <c r="BO184" s="79" t="str">
        <f t="shared" si="117"/>
        <v/>
      </c>
      <c r="BP184" s="81"/>
      <c r="BQ184" s="82"/>
    </row>
    <row r="185" outlineLevel="1">
      <c r="A185" s="84" t="s">
        <v>17</v>
      </c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79">
        <f t="shared" ref="AJ185:BO185" si="118">iferror(AJ175/AJ$176,"")</f>
        <v>0.001011122346</v>
      </c>
      <c r="AK185" s="79">
        <f t="shared" si="118"/>
        <v>0.003584229391</v>
      </c>
      <c r="AL185" s="79">
        <f t="shared" si="118"/>
        <v>0.001592356688</v>
      </c>
      <c r="AM185" s="79">
        <f t="shared" si="118"/>
        <v>0.005263157895</v>
      </c>
      <c r="AN185" s="79">
        <f t="shared" si="118"/>
        <v>0</v>
      </c>
      <c r="AO185" s="79">
        <f t="shared" si="118"/>
        <v>0.007836990596</v>
      </c>
      <c r="AP185" s="79">
        <f t="shared" si="118"/>
        <v>0.001220256254</v>
      </c>
      <c r="AQ185" s="79">
        <f t="shared" si="118"/>
        <v>0.0058097313</v>
      </c>
      <c r="AR185" s="79">
        <f t="shared" si="118"/>
        <v>0.001420454545</v>
      </c>
      <c r="AS185" s="79">
        <f t="shared" si="118"/>
        <v>0.002880184332</v>
      </c>
      <c r="AT185" s="79">
        <f t="shared" si="118"/>
        <v>0.004959263195</v>
      </c>
      <c r="AU185" s="79">
        <f t="shared" si="118"/>
        <v>0.002764612954</v>
      </c>
      <c r="AV185" s="79">
        <f t="shared" si="118"/>
        <v>0.001403180543</v>
      </c>
      <c r="AW185" s="79">
        <f t="shared" si="118"/>
        <v>0.003805899144</v>
      </c>
      <c r="AX185" s="79">
        <f t="shared" si="118"/>
        <v>0.007645259939</v>
      </c>
      <c r="AY185" s="79">
        <f t="shared" si="118"/>
        <v>0.004304160689</v>
      </c>
      <c r="AZ185" s="79">
        <f t="shared" si="118"/>
        <v>0.006949270327</v>
      </c>
      <c r="BA185" s="79">
        <f t="shared" si="118"/>
        <v>0.01162790698</v>
      </c>
      <c r="BB185" s="79">
        <f t="shared" si="118"/>
        <v>0.00412007063</v>
      </c>
      <c r="BC185" s="79">
        <f t="shared" si="118"/>
        <v>0.005489864865</v>
      </c>
      <c r="BD185" s="79">
        <f t="shared" si="118"/>
        <v>0.000968054211</v>
      </c>
      <c r="BE185" s="79">
        <f t="shared" si="118"/>
        <v>0.001201923077</v>
      </c>
      <c r="BF185" s="79">
        <f t="shared" si="118"/>
        <v>0.005822416303</v>
      </c>
      <c r="BG185" s="79">
        <f t="shared" si="118"/>
        <v>0.003005581795</v>
      </c>
      <c r="BH185" s="79">
        <f t="shared" si="118"/>
        <v>0.005831903945</v>
      </c>
      <c r="BI185" s="79" t="str">
        <f t="shared" si="118"/>
        <v/>
      </c>
      <c r="BJ185" s="79" t="str">
        <f t="shared" si="118"/>
        <v/>
      </c>
      <c r="BK185" s="79" t="str">
        <f t="shared" si="118"/>
        <v/>
      </c>
      <c r="BL185" s="79" t="str">
        <f t="shared" si="118"/>
        <v/>
      </c>
      <c r="BM185" s="79" t="str">
        <f t="shared" si="118"/>
        <v/>
      </c>
      <c r="BN185" s="79" t="str">
        <f t="shared" si="118"/>
        <v/>
      </c>
      <c r="BO185" s="79" t="str">
        <f t="shared" si="118"/>
        <v/>
      </c>
      <c r="BP185" s="81"/>
      <c r="BQ185" s="143"/>
    </row>
    <row r="186" outlineLevel="1">
      <c r="A186" s="56" t="s">
        <v>19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8"/>
      <c r="BQ186" s="59"/>
    </row>
    <row r="187" outlineLevel="1">
      <c r="A187" s="60" t="s">
        <v>20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2"/>
      <c r="O187" s="92"/>
      <c r="P187" s="92"/>
      <c r="Q187" s="92"/>
      <c r="R187" s="92"/>
      <c r="S187" s="92"/>
      <c r="T187" s="92"/>
      <c r="U187" s="90"/>
      <c r="V187" s="90"/>
      <c r="W187" s="90"/>
      <c r="X187" s="90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144">
        <v>222.0</v>
      </c>
      <c r="AK187" s="144">
        <v>151.0</v>
      </c>
      <c r="AL187" s="144">
        <v>131.0</v>
      </c>
      <c r="AM187" s="144">
        <v>129.0</v>
      </c>
      <c r="AN187" s="144">
        <v>43.0</v>
      </c>
      <c r="AO187" s="144">
        <v>138.0</v>
      </c>
      <c r="AP187" s="144">
        <v>491.0</v>
      </c>
      <c r="AQ187" s="144">
        <v>854.0</v>
      </c>
      <c r="AR187" s="144">
        <v>421.0</v>
      </c>
      <c r="AS187" s="144">
        <v>516.0</v>
      </c>
      <c r="AT187" s="144">
        <v>731.0</v>
      </c>
      <c r="AU187" s="144">
        <v>685.0</v>
      </c>
      <c r="AV187" s="144">
        <f>IFERROR(__xludf.DUMMYFUNCTION("IMPORTRANGE(""1FsAayhXBhwQWWhxaeEf32srJkqMhPcXdSHpT-eTbsHA"",""PP - Data!AG133:AG135"")"),576.0)</f>
        <v>576</v>
      </c>
      <c r="AW187" s="144">
        <v>299.0</v>
      </c>
      <c r="AX187" s="144">
        <v>150.0</v>
      </c>
      <c r="AY187" s="144">
        <v>151.0</v>
      </c>
      <c r="AZ187" s="144">
        <v>572.0</v>
      </c>
      <c r="BA187" s="144">
        <v>48.0</v>
      </c>
      <c r="BB187" s="144">
        <v>548.0</v>
      </c>
      <c r="BC187" s="144">
        <v>723.0</v>
      </c>
      <c r="BD187" s="144">
        <v>269.0</v>
      </c>
      <c r="BE187" s="144">
        <v>218.0</v>
      </c>
      <c r="BF187" s="144">
        <v>545.0</v>
      </c>
      <c r="BG187" s="144">
        <v>612.0</v>
      </c>
      <c r="BH187" s="144">
        <f>IFERROR(__xludf.DUMMYFUNCTION("IMPORTRANGE(""1Z2ZLDM0_m0NNnV5_jRvcRNtM9Z5AZ7o_A94RnrBGQUE"",""PP - Data!AG133:AG135"")"),734.0)</f>
        <v>734</v>
      </c>
      <c r="BI187" s="144"/>
      <c r="BJ187" s="144"/>
      <c r="BK187" s="144"/>
      <c r="BL187" s="144"/>
      <c r="BM187" s="144"/>
      <c r="BN187" s="144"/>
      <c r="BO187" s="144"/>
      <c r="BP187" s="63">
        <f t="shared" ref="BP187:BP190" si="119">SUM(B187:BO187)</f>
        <v>9957</v>
      </c>
      <c r="BQ187" s="64">
        <f t="shared" ref="BQ187:BQ189" si="120">iferror(BP187/BP$190,"")</f>
        <v>0.7594965675</v>
      </c>
    </row>
    <row r="188" outlineLevel="1">
      <c r="A188" s="65" t="s">
        <v>21</v>
      </c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144">
        <v>25.0</v>
      </c>
      <c r="AK188" s="144">
        <v>23.0</v>
      </c>
      <c r="AL188" s="144">
        <v>22.0</v>
      </c>
      <c r="AM188" s="144">
        <v>7.0</v>
      </c>
      <c r="AN188" s="144">
        <v>1.0</v>
      </c>
      <c r="AO188" s="144">
        <v>21.0</v>
      </c>
      <c r="AP188" s="144">
        <v>47.0</v>
      </c>
      <c r="AQ188" s="144">
        <v>51.0</v>
      </c>
      <c r="AR188" s="144">
        <v>39.0</v>
      </c>
      <c r="AS188" s="144">
        <v>55.0</v>
      </c>
      <c r="AT188" s="144">
        <v>64.0</v>
      </c>
      <c r="AU188" s="144">
        <v>73.0</v>
      </c>
      <c r="AV188" s="144">
        <f>IFERROR(__xludf.DUMMYFUNCTION("""COMPUTED_VALUE"""),52.0)</f>
        <v>52</v>
      </c>
      <c r="AW188" s="144">
        <v>32.0</v>
      </c>
      <c r="AX188" s="144">
        <v>8.0</v>
      </c>
      <c r="AY188" s="144">
        <v>23.0</v>
      </c>
      <c r="AZ188" s="144">
        <v>60.0</v>
      </c>
      <c r="BA188" s="144">
        <v>6.0</v>
      </c>
      <c r="BB188" s="144">
        <v>46.0</v>
      </c>
      <c r="BC188" s="144">
        <v>51.0</v>
      </c>
      <c r="BD188" s="144">
        <v>20.0</v>
      </c>
      <c r="BE188" s="144">
        <v>21.0</v>
      </c>
      <c r="BF188" s="144">
        <v>41.0</v>
      </c>
      <c r="BG188" s="144">
        <v>58.0</v>
      </c>
      <c r="BH188" s="144">
        <f>IFERROR(__xludf.DUMMYFUNCTION("""COMPUTED_VALUE"""),58.0)</f>
        <v>58</v>
      </c>
      <c r="BI188" s="144"/>
      <c r="BJ188" s="144"/>
      <c r="BK188" s="144"/>
      <c r="BL188" s="144"/>
      <c r="BM188" s="144"/>
      <c r="BN188" s="144"/>
      <c r="BO188" s="144"/>
      <c r="BP188" s="63">
        <f t="shared" si="119"/>
        <v>904</v>
      </c>
      <c r="BQ188" s="64">
        <f t="shared" si="120"/>
        <v>0.06895499619</v>
      </c>
    </row>
    <row r="189" outlineLevel="1">
      <c r="A189" s="67" t="s">
        <v>22</v>
      </c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144">
        <v>56.0</v>
      </c>
      <c r="AK189" s="144">
        <v>26.0</v>
      </c>
      <c r="AL189" s="144">
        <v>39.0</v>
      </c>
      <c r="AM189" s="144">
        <v>39.0</v>
      </c>
      <c r="AN189" s="144">
        <v>8.0</v>
      </c>
      <c r="AO189" s="144">
        <v>53.0</v>
      </c>
      <c r="AP189" s="144">
        <v>96.0</v>
      </c>
      <c r="AQ189" s="144">
        <v>179.0</v>
      </c>
      <c r="AR189" s="144">
        <v>89.0</v>
      </c>
      <c r="AS189" s="144">
        <v>105.0</v>
      </c>
      <c r="AT189" s="144">
        <v>174.0</v>
      </c>
      <c r="AU189" s="144">
        <v>162.0</v>
      </c>
      <c r="AV189" s="144">
        <f>IFERROR(__xludf.DUMMYFUNCTION("""COMPUTED_VALUE"""),121.0)</f>
        <v>121</v>
      </c>
      <c r="AW189" s="144">
        <v>59.0</v>
      </c>
      <c r="AX189" s="144">
        <v>38.0</v>
      </c>
      <c r="AY189" s="144">
        <v>30.0</v>
      </c>
      <c r="AZ189" s="144">
        <v>219.0</v>
      </c>
      <c r="BA189" s="144">
        <v>13.0</v>
      </c>
      <c r="BB189" s="144">
        <v>104.0</v>
      </c>
      <c r="BC189" s="144">
        <v>144.0</v>
      </c>
      <c r="BD189" s="144">
        <v>46.0</v>
      </c>
      <c r="BE189" s="144">
        <v>45.0</v>
      </c>
      <c r="BF189" s="144">
        <v>100.0</v>
      </c>
      <c r="BG189" s="144">
        <v>127.0</v>
      </c>
      <c r="BH189" s="144">
        <f>IFERROR(__xludf.DUMMYFUNCTION("""COMPUTED_VALUE"""),177.0)</f>
        <v>177</v>
      </c>
      <c r="BI189" s="144"/>
      <c r="BJ189" s="144"/>
      <c r="BK189" s="144"/>
      <c r="BL189" s="144"/>
      <c r="BM189" s="144"/>
      <c r="BN189" s="144"/>
      <c r="BO189" s="144"/>
      <c r="BP189" s="63">
        <f t="shared" si="119"/>
        <v>2249</v>
      </c>
      <c r="BQ189" s="64">
        <f t="shared" si="120"/>
        <v>0.1715484363</v>
      </c>
    </row>
    <row r="190" outlineLevel="1">
      <c r="A190" s="68" t="s">
        <v>18</v>
      </c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69">
        <f t="shared" ref="AJ190:BO190" si="121">SUM(AJ187:AJ189)</f>
        <v>303</v>
      </c>
      <c r="AK190" s="69">
        <f t="shared" si="121"/>
        <v>200</v>
      </c>
      <c r="AL190" s="69">
        <f t="shared" si="121"/>
        <v>192</v>
      </c>
      <c r="AM190" s="69">
        <f t="shared" si="121"/>
        <v>175</v>
      </c>
      <c r="AN190" s="69">
        <f t="shared" si="121"/>
        <v>52</v>
      </c>
      <c r="AO190" s="69">
        <f t="shared" si="121"/>
        <v>212</v>
      </c>
      <c r="AP190" s="69">
        <f t="shared" si="121"/>
        <v>634</v>
      </c>
      <c r="AQ190" s="69">
        <f t="shared" si="121"/>
        <v>1084</v>
      </c>
      <c r="AR190" s="69">
        <f t="shared" si="121"/>
        <v>549</v>
      </c>
      <c r="AS190" s="69">
        <f t="shared" si="121"/>
        <v>676</v>
      </c>
      <c r="AT190" s="69">
        <f t="shared" si="121"/>
        <v>969</v>
      </c>
      <c r="AU190" s="69">
        <f t="shared" si="121"/>
        <v>920</v>
      </c>
      <c r="AV190" s="69">
        <f t="shared" si="121"/>
        <v>749</v>
      </c>
      <c r="AW190" s="69">
        <f t="shared" si="121"/>
        <v>390</v>
      </c>
      <c r="AX190" s="69">
        <f t="shared" si="121"/>
        <v>196</v>
      </c>
      <c r="AY190" s="69">
        <f t="shared" si="121"/>
        <v>204</v>
      </c>
      <c r="AZ190" s="69">
        <f t="shared" si="121"/>
        <v>851</v>
      </c>
      <c r="BA190" s="69">
        <f t="shared" si="121"/>
        <v>67</v>
      </c>
      <c r="BB190" s="69">
        <f t="shared" si="121"/>
        <v>698</v>
      </c>
      <c r="BC190" s="69">
        <f t="shared" si="121"/>
        <v>918</v>
      </c>
      <c r="BD190" s="69">
        <f t="shared" si="121"/>
        <v>335</v>
      </c>
      <c r="BE190" s="69">
        <f t="shared" si="121"/>
        <v>284</v>
      </c>
      <c r="BF190" s="69">
        <f t="shared" si="121"/>
        <v>686</v>
      </c>
      <c r="BG190" s="69">
        <f t="shared" si="121"/>
        <v>797</v>
      </c>
      <c r="BH190" s="69">
        <f t="shared" si="121"/>
        <v>969</v>
      </c>
      <c r="BI190" s="69">
        <f t="shared" si="121"/>
        <v>0</v>
      </c>
      <c r="BJ190" s="69">
        <f t="shared" si="121"/>
        <v>0</v>
      </c>
      <c r="BK190" s="69">
        <f t="shared" si="121"/>
        <v>0</v>
      </c>
      <c r="BL190" s="69">
        <f t="shared" si="121"/>
        <v>0</v>
      </c>
      <c r="BM190" s="69">
        <f t="shared" si="121"/>
        <v>0</v>
      </c>
      <c r="BN190" s="69">
        <f t="shared" si="121"/>
        <v>0</v>
      </c>
      <c r="BO190" s="69">
        <f t="shared" si="121"/>
        <v>0</v>
      </c>
      <c r="BP190" s="70">
        <f t="shared" si="119"/>
        <v>13110</v>
      </c>
      <c r="BQ190" s="71">
        <f>SUM(BQ187:BQ189)</f>
        <v>1</v>
      </c>
    </row>
    <row r="191" outlineLevel="1">
      <c r="A191" s="72" t="s">
        <v>23</v>
      </c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76"/>
      <c r="BQ191" s="77"/>
    </row>
    <row r="192" outlineLevel="1">
      <c r="A192" s="78" t="s">
        <v>20</v>
      </c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79">
        <f t="shared" ref="AJ192:BO192" si="122">iferror(AJ187/AJ$190,"")</f>
        <v>0.7326732673</v>
      </c>
      <c r="AK192" s="79">
        <f t="shared" si="122"/>
        <v>0.755</v>
      </c>
      <c r="AL192" s="79">
        <f t="shared" si="122"/>
        <v>0.6822916667</v>
      </c>
      <c r="AM192" s="79">
        <f t="shared" si="122"/>
        <v>0.7371428571</v>
      </c>
      <c r="AN192" s="79">
        <f t="shared" si="122"/>
        <v>0.8269230769</v>
      </c>
      <c r="AO192" s="79">
        <f t="shared" si="122"/>
        <v>0.6509433962</v>
      </c>
      <c r="AP192" s="79">
        <f t="shared" si="122"/>
        <v>0.7744479495</v>
      </c>
      <c r="AQ192" s="79">
        <f t="shared" si="122"/>
        <v>0.7878228782</v>
      </c>
      <c r="AR192" s="79">
        <f t="shared" si="122"/>
        <v>0.766848816</v>
      </c>
      <c r="AS192" s="79">
        <f t="shared" si="122"/>
        <v>0.7633136095</v>
      </c>
      <c r="AT192" s="79">
        <f t="shared" si="122"/>
        <v>0.7543859649</v>
      </c>
      <c r="AU192" s="79">
        <f t="shared" si="122"/>
        <v>0.7445652174</v>
      </c>
      <c r="AV192" s="79">
        <f t="shared" si="122"/>
        <v>0.7690253672</v>
      </c>
      <c r="AW192" s="79">
        <f t="shared" si="122"/>
        <v>0.7666666667</v>
      </c>
      <c r="AX192" s="79">
        <f t="shared" si="122"/>
        <v>0.7653061224</v>
      </c>
      <c r="AY192" s="79">
        <f t="shared" si="122"/>
        <v>0.7401960784</v>
      </c>
      <c r="AZ192" s="79">
        <f t="shared" si="122"/>
        <v>0.6721504113</v>
      </c>
      <c r="BA192" s="79">
        <f t="shared" si="122"/>
        <v>0.7164179104</v>
      </c>
      <c r="BB192" s="79">
        <f t="shared" si="122"/>
        <v>0.7851002865</v>
      </c>
      <c r="BC192" s="79">
        <f t="shared" si="122"/>
        <v>0.7875816993</v>
      </c>
      <c r="BD192" s="79">
        <f t="shared" si="122"/>
        <v>0.8029850746</v>
      </c>
      <c r="BE192" s="79">
        <f t="shared" si="122"/>
        <v>0.7676056338</v>
      </c>
      <c r="BF192" s="79">
        <f t="shared" si="122"/>
        <v>0.7944606414</v>
      </c>
      <c r="BG192" s="79">
        <f t="shared" si="122"/>
        <v>0.7678795483</v>
      </c>
      <c r="BH192" s="79">
        <f t="shared" si="122"/>
        <v>0.7574819401</v>
      </c>
      <c r="BI192" s="79" t="str">
        <f t="shared" si="122"/>
        <v/>
      </c>
      <c r="BJ192" s="79" t="str">
        <f t="shared" si="122"/>
        <v/>
      </c>
      <c r="BK192" s="79" t="str">
        <f t="shared" si="122"/>
        <v/>
      </c>
      <c r="BL192" s="79" t="str">
        <f t="shared" si="122"/>
        <v/>
      </c>
      <c r="BM192" s="79" t="str">
        <f t="shared" si="122"/>
        <v/>
      </c>
      <c r="BN192" s="79" t="str">
        <f t="shared" si="122"/>
        <v/>
      </c>
      <c r="BO192" s="79" t="str">
        <f t="shared" si="122"/>
        <v/>
      </c>
      <c r="BP192" s="81"/>
      <c r="BQ192" s="82"/>
    </row>
    <row r="193" outlineLevel="1">
      <c r="A193" s="78" t="s">
        <v>21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79">
        <f t="shared" ref="AJ193:BO193" si="123">iferror(AJ188/AJ$190,"")</f>
        <v>0.08250825083</v>
      </c>
      <c r="AK193" s="79">
        <f t="shared" si="123"/>
        <v>0.115</v>
      </c>
      <c r="AL193" s="79">
        <f t="shared" si="123"/>
        <v>0.1145833333</v>
      </c>
      <c r="AM193" s="79">
        <f t="shared" si="123"/>
        <v>0.04</v>
      </c>
      <c r="AN193" s="79">
        <f t="shared" si="123"/>
        <v>0.01923076923</v>
      </c>
      <c r="AO193" s="79">
        <f t="shared" si="123"/>
        <v>0.09905660377</v>
      </c>
      <c r="AP193" s="79">
        <f t="shared" si="123"/>
        <v>0.07413249211</v>
      </c>
      <c r="AQ193" s="79">
        <f t="shared" si="123"/>
        <v>0.04704797048</v>
      </c>
      <c r="AR193" s="79">
        <f t="shared" si="123"/>
        <v>0.07103825137</v>
      </c>
      <c r="AS193" s="79">
        <f t="shared" si="123"/>
        <v>0.08136094675</v>
      </c>
      <c r="AT193" s="79">
        <f t="shared" si="123"/>
        <v>0.06604747162</v>
      </c>
      <c r="AU193" s="79">
        <f t="shared" si="123"/>
        <v>0.07934782609</v>
      </c>
      <c r="AV193" s="79">
        <f t="shared" si="123"/>
        <v>0.0694259012</v>
      </c>
      <c r="AW193" s="79">
        <f t="shared" si="123"/>
        <v>0.08205128205</v>
      </c>
      <c r="AX193" s="79">
        <f t="shared" si="123"/>
        <v>0.04081632653</v>
      </c>
      <c r="AY193" s="79">
        <f t="shared" si="123"/>
        <v>0.112745098</v>
      </c>
      <c r="AZ193" s="79">
        <f t="shared" si="123"/>
        <v>0.0705052879</v>
      </c>
      <c r="BA193" s="79">
        <f t="shared" si="123"/>
        <v>0.08955223881</v>
      </c>
      <c r="BB193" s="79">
        <f t="shared" si="123"/>
        <v>0.0659025788</v>
      </c>
      <c r="BC193" s="79">
        <f t="shared" si="123"/>
        <v>0.05555555556</v>
      </c>
      <c r="BD193" s="79">
        <f t="shared" si="123"/>
        <v>0.05970149254</v>
      </c>
      <c r="BE193" s="79">
        <f t="shared" si="123"/>
        <v>0.07394366197</v>
      </c>
      <c r="BF193" s="79">
        <f t="shared" si="123"/>
        <v>0.05976676385</v>
      </c>
      <c r="BG193" s="79">
        <f t="shared" si="123"/>
        <v>0.07277289837</v>
      </c>
      <c r="BH193" s="79">
        <f t="shared" si="123"/>
        <v>0.05985552116</v>
      </c>
      <c r="BI193" s="79" t="str">
        <f t="shared" si="123"/>
        <v/>
      </c>
      <c r="BJ193" s="79" t="str">
        <f t="shared" si="123"/>
        <v/>
      </c>
      <c r="BK193" s="79" t="str">
        <f t="shared" si="123"/>
        <v/>
      </c>
      <c r="BL193" s="79" t="str">
        <f t="shared" si="123"/>
        <v/>
      </c>
      <c r="BM193" s="79" t="str">
        <f t="shared" si="123"/>
        <v/>
      </c>
      <c r="BN193" s="79" t="str">
        <f t="shared" si="123"/>
        <v/>
      </c>
      <c r="BO193" s="79" t="str">
        <f t="shared" si="123"/>
        <v/>
      </c>
      <c r="BP193" s="83"/>
      <c r="BQ193" s="82"/>
    </row>
    <row r="194" outlineLevel="1">
      <c r="A194" s="84" t="s">
        <v>22</v>
      </c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79">
        <f t="shared" ref="AJ194:BO194" si="124">iferror(AJ189/AJ$190,"")</f>
        <v>0.1848184818</v>
      </c>
      <c r="AK194" s="79">
        <f t="shared" si="124"/>
        <v>0.13</v>
      </c>
      <c r="AL194" s="79">
        <f t="shared" si="124"/>
        <v>0.203125</v>
      </c>
      <c r="AM194" s="79">
        <f t="shared" si="124"/>
        <v>0.2228571429</v>
      </c>
      <c r="AN194" s="79">
        <f t="shared" si="124"/>
        <v>0.1538461538</v>
      </c>
      <c r="AO194" s="79">
        <f t="shared" si="124"/>
        <v>0.25</v>
      </c>
      <c r="AP194" s="79">
        <f t="shared" si="124"/>
        <v>0.1514195584</v>
      </c>
      <c r="AQ194" s="79">
        <f t="shared" si="124"/>
        <v>0.1651291513</v>
      </c>
      <c r="AR194" s="79">
        <f t="shared" si="124"/>
        <v>0.1621129326</v>
      </c>
      <c r="AS194" s="79">
        <f t="shared" si="124"/>
        <v>0.1553254438</v>
      </c>
      <c r="AT194" s="79">
        <f t="shared" si="124"/>
        <v>0.1795665635</v>
      </c>
      <c r="AU194" s="79">
        <f t="shared" si="124"/>
        <v>0.1760869565</v>
      </c>
      <c r="AV194" s="79">
        <f t="shared" si="124"/>
        <v>0.1615487316</v>
      </c>
      <c r="AW194" s="79">
        <f t="shared" si="124"/>
        <v>0.1512820513</v>
      </c>
      <c r="AX194" s="79">
        <f t="shared" si="124"/>
        <v>0.193877551</v>
      </c>
      <c r="AY194" s="79">
        <f t="shared" si="124"/>
        <v>0.1470588235</v>
      </c>
      <c r="AZ194" s="79">
        <f t="shared" si="124"/>
        <v>0.2573443008</v>
      </c>
      <c r="BA194" s="79">
        <f t="shared" si="124"/>
        <v>0.1940298507</v>
      </c>
      <c r="BB194" s="79">
        <f t="shared" si="124"/>
        <v>0.1489971347</v>
      </c>
      <c r="BC194" s="79">
        <f t="shared" si="124"/>
        <v>0.1568627451</v>
      </c>
      <c r="BD194" s="79">
        <f t="shared" si="124"/>
        <v>0.1373134328</v>
      </c>
      <c r="BE194" s="79">
        <f t="shared" si="124"/>
        <v>0.1584507042</v>
      </c>
      <c r="BF194" s="79">
        <f t="shared" si="124"/>
        <v>0.1457725948</v>
      </c>
      <c r="BG194" s="79">
        <f t="shared" si="124"/>
        <v>0.1593475533</v>
      </c>
      <c r="BH194" s="79">
        <f t="shared" si="124"/>
        <v>0.1826625387</v>
      </c>
      <c r="BI194" s="79" t="str">
        <f t="shared" si="124"/>
        <v/>
      </c>
      <c r="BJ194" s="79" t="str">
        <f t="shared" si="124"/>
        <v/>
      </c>
      <c r="BK194" s="79" t="str">
        <f t="shared" si="124"/>
        <v/>
      </c>
      <c r="BL194" s="79" t="str">
        <f t="shared" si="124"/>
        <v/>
      </c>
      <c r="BM194" s="79" t="str">
        <f t="shared" si="124"/>
        <v/>
      </c>
      <c r="BN194" s="79" t="str">
        <f t="shared" si="124"/>
        <v/>
      </c>
      <c r="BO194" s="79" t="str">
        <f t="shared" si="124"/>
        <v/>
      </c>
      <c r="BP194" s="83"/>
      <c r="BQ194" s="82"/>
    </row>
    <row r="198">
      <c r="B198" s="150">
        <f t="shared" ref="B198:BO198" si="125">1-B4</f>
        <v>0.3806866953</v>
      </c>
      <c r="C198" s="150">
        <f t="shared" si="125"/>
        <v>0.4031746032</v>
      </c>
      <c r="D198" s="150">
        <f t="shared" si="125"/>
        <v>0.4313253012</v>
      </c>
      <c r="E198" s="150">
        <f t="shared" si="125"/>
        <v>0.4226361032</v>
      </c>
      <c r="F198" s="150">
        <f t="shared" si="125"/>
        <v>0.5284450063</v>
      </c>
      <c r="G198" s="150">
        <f t="shared" si="125"/>
        <v>0.5014492754</v>
      </c>
      <c r="H198" s="150">
        <f t="shared" si="125"/>
        <v>0.508030934</v>
      </c>
      <c r="I198" s="150">
        <f t="shared" si="125"/>
        <v>0.5231023102</v>
      </c>
      <c r="J198" s="150">
        <f t="shared" si="125"/>
        <v>0.5295007564</v>
      </c>
      <c r="K198" s="150">
        <f t="shared" si="125"/>
        <v>0.563744564</v>
      </c>
      <c r="L198" s="150">
        <f t="shared" si="125"/>
        <v>0.5641673687</v>
      </c>
      <c r="M198" s="150">
        <f t="shared" si="125"/>
        <v>0.5999115827</v>
      </c>
      <c r="N198" s="150">
        <f t="shared" si="125"/>
        <v>0.52</v>
      </c>
      <c r="O198" s="150">
        <f t="shared" si="125"/>
        <v>0.6082474227</v>
      </c>
      <c r="P198" s="150">
        <f t="shared" si="125"/>
        <v>0.6201550388</v>
      </c>
      <c r="Q198" s="150">
        <f t="shared" si="125"/>
        <v>0.6520964648</v>
      </c>
      <c r="R198" s="150">
        <f t="shared" si="125"/>
        <v>0.6625330688</v>
      </c>
      <c r="S198" s="150">
        <f t="shared" si="125"/>
        <v>0.6919323357</v>
      </c>
      <c r="T198" s="150">
        <f t="shared" si="125"/>
        <v>0.7010839611</v>
      </c>
      <c r="U198" s="150">
        <f t="shared" si="125"/>
        <v>0.6951609866</v>
      </c>
      <c r="V198" s="150">
        <f t="shared" si="125"/>
        <v>0.6708860759</v>
      </c>
      <c r="W198" s="150">
        <f t="shared" si="125"/>
        <v>0.6627797409</v>
      </c>
      <c r="X198" s="150">
        <f t="shared" si="125"/>
        <v>0.6787815126</v>
      </c>
      <c r="Y198" s="150">
        <f t="shared" si="125"/>
        <v>0.6854676837</v>
      </c>
      <c r="Z198" s="150">
        <f t="shared" si="125"/>
        <v>0.8123725357</v>
      </c>
      <c r="AA198" s="150">
        <f t="shared" si="125"/>
        <v>0.3479071344</v>
      </c>
      <c r="AB198" s="150">
        <f t="shared" si="125"/>
        <v>0.3623039342</v>
      </c>
      <c r="AC198" s="150">
        <f t="shared" si="125"/>
        <v>0.3785953177</v>
      </c>
      <c r="AD198" s="150">
        <f t="shared" si="125"/>
        <v>0.4146130278</v>
      </c>
      <c r="AE198" s="150">
        <f t="shared" si="125"/>
        <v>0.402248268</v>
      </c>
      <c r="AF198" s="150">
        <f t="shared" si="125"/>
        <v>0.373289407</v>
      </c>
      <c r="AG198" s="150">
        <f t="shared" si="125"/>
        <v>0.4241835148</v>
      </c>
      <c r="AH198" s="150">
        <f t="shared" si="125"/>
        <v>0.3816864498</v>
      </c>
      <c r="AI198" s="150">
        <f t="shared" si="125"/>
        <v>0.334841629</v>
      </c>
      <c r="AJ198" s="150">
        <f t="shared" si="125"/>
        <v>0.4510647938</v>
      </c>
      <c r="AK198" s="150">
        <f t="shared" si="125"/>
        <v>0.6391701655</v>
      </c>
      <c r="AL198" s="150">
        <f t="shared" si="125"/>
        <v>0.6423902894</v>
      </c>
      <c r="AM198" s="150">
        <f t="shared" si="125"/>
        <v>0.5689505637</v>
      </c>
      <c r="AN198" s="150">
        <f t="shared" si="125"/>
        <v>0.7040748163</v>
      </c>
      <c r="AO198" s="150">
        <f t="shared" si="125"/>
        <v>0.5709342561</v>
      </c>
      <c r="AP198" s="150">
        <f t="shared" si="125"/>
        <v>0.5206607555</v>
      </c>
      <c r="AQ198" s="150">
        <f t="shared" si="125"/>
        <v>0.4584071244</v>
      </c>
      <c r="AR198" s="150">
        <f t="shared" si="125"/>
        <v>0.3585714286</v>
      </c>
      <c r="AS198" s="150">
        <f t="shared" si="125"/>
        <v>0.3637177383</v>
      </c>
      <c r="AT198" s="150">
        <f t="shared" si="125"/>
        <v>0.3314759251</v>
      </c>
      <c r="AU198" s="150">
        <f t="shared" si="125"/>
        <v>0.3890399919</v>
      </c>
      <c r="AV198" s="150">
        <f t="shared" si="125"/>
        <v>0.4438545527</v>
      </c>
      <c r="AW198" s="150">
        <f t="shared" si="125"/>
        <v>0.4229249012</v>
      </c>
      <c r="AX198" s="150">
        <f t="shared" si="125"/>
        <v>0.4289166331</v>
      </c>
      <c r="AY198" s="150">
        <f t="shared" si="125"/>
        <v>0.4277411856</v>
      </c>
      <c r="AZ198" s="150">
        <f t="shared" si="125"/>
        <v>0.3816931983</v>
      </c>
      <c r="BA198" s="150">
        <f t="shared" si="125"/>
        <v>0.473354232</v>
      </c>
      <c r="BB198" s="150">
        <f t="shared" si="125"/>
        <v>0.5049605575</v>
      </c>
      <c r="BC198" s="150">
        <f t="shared" si="125"/>
        <v>0.5877979028</v>
      </c>
      <c r="BD198" s="150">
        <f t="shared" si="125"/>
        <v>0.4619243046</v>
      </c>
      <c r="BE198" s="150">
        <f t="shared" si="125"/>
        <v>0.4465240642</v>
      </c>
      <c r="BF198" s="150">
        <f t="shared" si="125"/>
        <v>0.4735576923</v>
      </c>
      <c r="BG198" s="150">
        <f t="shared" si="125"/>
        <v>0.4834587241</v>
      </c>
      <c r="BH198" s="150">
        <f t="shared" si="125"/>
        <v>0.4856169189</v>
      </c>
      <c r="BI198" s="151" t="str">
        <f t="shared" si="125"/>
        <v>#DIV/0!</v>
      </c>
      <c r="BJ198" s="151" t="str">
        <f t="shared" si="125"/>
        <v>#DIV/0!</v>
      </c>
      <c r="BK198" s="151" t="str">
        <f t="shared" si="125"/>
        <v>#DIV/0!</v>
      </c>
      <c r="BL198" s="151" t="str">
        <f t="shared" si="125"/>
        <v>#DIV/0!</v>
      </c>
      <c r="BM198" s="151" t="str">
        <f t="shared" si="125"/>
        <v>#DIV/0!</v>
      </c>
      <c r="BN198" s="151" t="str">
        <f t="shared" si="125"/>
        <v>#DIV/0!</v>
      </c>
      <c r="BO198" s="151" t="str">
        <f t="shared" si="125"/>
        <v>#DIV/0!</v>
      </c>
    </row>
  </sheetData>
  <mergeCells count="7">
    <mergeCell ref="B1:G1"/>
    <mergeCell ref="H1:S1"/>
    <mergeCell ref="T1:AE1"/>
    <mergeCell ref="AF1:AQ1"/>
    <mergeCell ref="A5:A6"/>
    <mergeCell ref="A112:A113"/>
    <mergeCell ref="A154:A1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Row="1"/>
  <cols>
    <col customWidth="1" min="1" max="1" width="55.38"/>
    <col customWidth="1" min="20" max="20" width="11.5"/>
    <col customWidth="1" min="21" max="21" width="12.25"/>
    <col customWidth="1" min="22" max="22" width="10.13"/>
    <col customWidth="1" min="23" max="23" width="9.0"/>
    <col customWidth="1" min="24" max="24" width="8.38"/>
    <col customWidth="1" min="25" max="25" width="9.0"/>
    <col customWidth="1" min="26" max="26" width="8.5"/>
    <col customWidth="1" min="27" max="27" width="10.88"/>
    <col customWidth="1" min="28" max="28" width="17.0"/>
  </cols>
  <sheetData>
    <row r="1">
      <c r="A1" s="1"/>
      <c r="B1" s="2">
        <v>2021.0</v>
      </c>
      <c r="H1" s="3">
        <v>2022.0</v>
      </c>
      <c r="T1" s="2">
        <v>2023.0</v>
      </c>
      <c r="AF1" s="3">
        <v>2024.0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11"/>
      <c r="BQ1" s="11"/>
    </row>
    <row r="2">
      <c r="A2" s="4" t="s">
        <v>0</v>
      </c>
      <c r="B2" s="12">
        <v>44392.0</v>
      </c>
      <c r="C2" s="12">
        <v>44419.0</v>
      </c>
      <c r="D2" s="12">
        <v>44446.0</v>
      </c>
      <c r="E2" s="12">
        <v>44473.0</v>
      </c>
      <c r="F2" s="12">
        <v>44527.0</v>
      </c>
      <c r="G2" s="12">
        <v>44554.0</v>
      </c>
      <c r="H2" s="12">
        <v>44581.0</v>
      </c>
      <c r="I2" s="12">
        <v>44608.0</v>
      </c>
      <c r="J2" s="12">
        <v>44635.0</v>
      </c>
      <c r="K2" s="12">
        <v>44662.0</v>
      </c>
      <c r="L2" s="12">
        <v>44689.0</v>
      </c>
      <c r="M2" s="12">
        <v>44716.0</v>
      </c>
      <c r="N2" s="12">
        <v>44743.0</v>
      </c>
      <c r="O2" s="12">
        <v>44797.0</v>
      </c>
      <c r="P2" s="12">
        <v>44824.0</v>
      </c>
      <c r="Q2" s="12">
        <v>44851.0</v>
      </c>
      <c r="R2" s="12">
        <v>44878.0</v>
      </c>
      <c r="S2" s="12">
        <v>44905.0</v>
      </c>
      <c r="T2" s="12">
        <v>44932.0</v>
      </c>
      <c r="U2" s="12">
        <v>44959.0</v>
      </c>
      <c r="V2" s="12">
        <v>44986.0</v>
      </c>
      <c r="W2" s="12">
        <v>45040.0</v>
      </c>
      <c r="X2" s="12">
        <v>45057.0</v>
      </c>
      <c r="Y2" s="12">
        <v>45098.0</v>
      </c>
      <c r="Z2" s="12">
        <v>45113.0</v>
      </c>
      <c r="AA2" s="12">
        <v>45155.0</v>
      </c>
      <c r="AB2" s="12">
        <v>45175.0</v>
      </c>
      <c r="AC2" s="12">
        <v>45217.0</v>
      </c>
      <c r="AD2" s="12">
        <v>45246.0</v>
      </c>
      <c r="AE2" s="12">
        <v>45266.0</v>
      </c>
      <c r="AF2" s="12">
        <v>45310.0</v>
      </c>
      <c r="AG2" s="12">
        <v>45330.0</v>
      </c>
      <c r="AH2" s="12">
        <v>45357.0</v>
      </c>
      <c r="AI2" s="12">
        <v>45399.0</v>
      </c>
      <c r="AJ2" s="12">
        <v>45427.0</v>
      </c>
      <c r="AK2" s="12">
        <v>45448.0</v>
      </c>
      <c r="AL2" s="12">
        <v>45484.0</v>
      </c>
      <c r="AM2" s="12">
        <v>45511.0</v>
      </c>
      <c r="AN2" s="12">
        <v>45540.0</v>
      </c>
      <c r="AO2" s="12">
        <v>45573.0</v>
      </c>
      <c r="AP2" s="12">
        <v>45607.0</v>
      </c>
      <c r="AQ2" s="12">
        <v>45637.0</v>
      </c>
      <c r="AR2" s="12">
        <v>45664.0</v>
      </c>
      <c r="AS2" s="12">
        <v>45692.0</v>
      </c>
      <c r="AT2" s="12">
        <v>45720.0</v>
      </c>
      <c r="AU2" s="12">
        <v>45748.0</v>
      </c>
      <c r="AV2" s="12">
        <v>45804.0</v>
      </c>
      <c r="AW2" s="12">
        <v>45832.0</v>
      </c>
      <c r="AX2" s="12">
        <v>45860.0</v>
      </c>
      <c r="AY2" s="12">
        <v>45888.0</v>
      </c>
      <c r="AZ2" s="12">
        <v>45916.0</v>
      </c>
      <c r="BA2" s="12">
        <v>45944.0</v>
      </c>
      <c r="BB2" s="12">
        <v>45972.0</v>
      </c>
      <c r="BC2" s="12">
        <v>46000.0</v>
      </c>
      <c r="BD2" s="12">
        <v>46028.0</v>
      </c>
      <c r="BE2" s="12">
        <v>46056.0</v>
      </c>
      <c r="BF2" s="12">
        <v>46112.0</v>
      </c>
      <c r="BG2" s="12">
        <v>46140.0</v>
      </c>
      <c r="BH2" s="12">
        <v>46168.0</v>
      </c>
      <c r="BI2" s="12">
        <v>46196.0</v>
      </c>
      <c r="BJ2" s="12">
        <v>46224.0</v>
      </c>
      <c r="BK2" s="12">
        <v>46252.0</v>
      </c>
      <c r="BL2" s="12">
        <v>46280.0</v>
      </c>
      <c r="BM2" s="12">
        <v>46308.0</v>
      </c>
      <c r="BN2" s="12">
        <v>46336.0</v>
      </c>
      <c r="BO2" s="12">
        <v>46357.0</v>
      </c>
      <c r="BP2" s="7" t="s">
        <v>1</v>
      </c>
      <c r="BQ2" s="8" t="s">
        <v>2</v>
      </c>
    </row>
    <row r="3">
      <c r="A3" s="17" t="s">
        <v>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9"/>
      <c r="BQ3" s="19"/>
    </row>
    <row r="4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9"/>
      <c r="BQ4" s="19"/>
    </row>
    <row r="5">
      <c r="A5" s="31" t="s">
        <v>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4"/>
      <c r="BQ5" s="19"/>
    </row>
    <row r="6">
      <c r="A6" s="35" t="s">
        <v>7</v>
      </c>
      <c r="B6" s="36">
        <f>'PP - Data'!B20</f>
        <v>0.8364518365</v>
      </c>
      <c r="C6" s="36">
        <f>'PP - Data'!C20</f>
        <v>0.6861702128</v>
      </c>
      <c r="D6" s="36">
        <f>'PP - Data'!D20</f>
        <v>0.563559322</v>
      </c>
      <c r="E6" s="36">
        <f>'PP - Data'!E20</f>
        <v>0.4156327543</v>
      </c>
      <c r="F6" s="36">
        <f>'PP - Data'!F20</f>
        <v>0.5951742627</v>
      </c>
      <c r="G6" s="36">
        <f>'PP - Data'!G20</f>
        <v>0.2921511628</v>
      </c>
      <c r="H6" s="36">
        <f>'PP - Data'!H20</f>
        <v>0.215235792</v>
      </c>
      <c r="I6" s="36">
        <f>'PP - Data'!I20</f>
        <v>0.6903114187</v>
      </c>
      <c r="J6" s="36">
        <f>'PP - Data'!J20</f>
        <v>0.6733118971</v>
      </c>
      <c r="K6" s="36">
        <f>'PP - Data'!K20</f>
        <v>0.7812172088</v>
      </c>
      <c r="L6" s="36">
        <f>'PP - Data'!L20</f>
        <v>0.7847938144</v>
      </c>
      <c r="M6" s="36">
        <f>'PP - Data'!M20</f>
        <v>0.7458563536</v>
      </c>
      <c r="N6" s="36">
        <f>'PP - Data'!N20</f>
        <v>0.5694444444</v>
      </c>
      <c r="O6" s="36">
        <f>'PP - Data'!O20</f>
        <v>0.6052631579</v>
      </c>
      <c r="P6" s="36">
        <f>'PP - Data'!P20</f>
        <v>0.7346938776</v>
      </c>
      <c r="Q6" s="36">
        <f>'PP - Data'!Q20</f>
        <v>0.6683733753</v>
      </c>
      <c r="R6" s="36">
        <f>'PP - Data'!R20</f>
        <v>0.5368283521</v>
      </c>
      <c r="S6" s="36">
        <f>'PP - Data'!S20</f>
        <v>0.3474128828</v>
      </c>
      <c r="T6" s="36">
        <f>'PP - Data'!T20</f>
        <v>0.2532267978</v>
      </c>
      <c r="U6" s="36">
        <f>'PP - Data'!U20</f>
        <v>0.490426189</v>
      </c>
      <c r="V6" s="36">
        <f>'PP - Data'!V20</f>
        <v>0.5664715719</v>
      </c>
      <c r="W6" s="36">
        <f>'PP - Data'!W20</f>
        <v>0.4610548376</v>
      </c>
      <c r="X6" s="36">
        <f>'PP - Data'!X20</f>
        <v>0.4483322433</v>
      </c>
      <c r="Y6" s="36">
        <f>'PP - Data'!Y20</f>
        <v>0.3886407147</v>
      </c>
      <c r="Z6" s="36">
        <f>'PP - Data'!Z20</f>
        <v>0.3586956522</v>
      </c>
      <c r="AA6" s="36">
        <f>'PP - Data'!AA20</f>
        <v>0.4851871102</v>
      </c>
      <c r="AB6" s="36">
        <f>'PP - Data'!AB20</f>
        <v>0.3423387097</v>
      </c>
      <c r="AC6" s="36">
        <f>'PP - Data'!AC20</f>
        <v>0.4529601722</v>
      </c>
      <c r="AD6" s="36">
        <f>'PP - Data'!AD20</f>
        <v>0.5142223234</v>
      </c>
      <c r="AE6" s="36">
        <f>'PP - Data'!AE20</f>
        <v>0.419782783</v>
      </c>
      <c r="AF6" s="36">
        <f>'PP - Data'!AF20</f>
        <v>0.2539425799</v>
      </c>
      <c r="AG6" s="36">
        <f>'PP - Data'!AG20</f>
        <v>0.3337834796</v>
      </c>
      <c r="AH6" s="36">
        <f>'PP - Data'!AH20</f>
        <v>0.2705061082</v>
      </c>
      <c r="AI6" s="36">
        <f>'PP - Data'!AI20</f>
        <v>0.1963718821</v>
      </c>
      <c r="AJ6" s="36">
        <f>'PP - Data'!AJ20</f>
        <v>0.2488650433</v>
      </c>
      <c r="AK6" s="36">
        <f>'PP - Data'!AK20</f>
        <v>0.2950034223</v>
      </c>
      <c r="AL6" s="36">
        <f>'PP - Data'!AL20</f>
        <v>0.27154047</v>
      </c>
      <c r="AM6" s="36">
        <f>'PP - Data'!AM20</f>
        <v>0.2847082495</v>
      </c>
      <c r="AN6" s="36">
        <f>'PP - Data'!AN20</f>
        <v>0.3047404063</v>
      </c>
      <c r="AO6" s="36">
        <f>'PP - Data'!AO20</f>
        <v>0.3960573477</v>
      </c>
      <c r="AP6" s="36">
        <f>'PP - Data'!AP20</f>
        <v>0.7080377053</v>
      </c>
      <c r="AQ6" s="36">
        <f>'PP - Data'!AQ20</f>
        <v>0.598962956</v>
      </c>
      <c r="AR6" s="36">
        <f>'PP - Data'!AR20</f>
        <v>0.3563474388</v>
      </c>
      <c r="AS6" s="36">
        <f>'PP - Data'!AS20</f>
        <v>0.4121922626</v>
      </c>
      <c r="AT6" s="36">
        <f>'PP - Data'!AT20</f>
        <v>0.3599059628</v>
      </c>
      <c r="AU6" s="36">
        <f>'PP - Data'!AU20</f>
        <v>0.4309975268</v>
      </c>
      <c r="AV6" s="36">
        <f>'PP - Data'!AV20</f>
        <v>0.394092219</v>
      </c>
      <c r="AW6" s="36">
        <f>'PP - Data'!AW20</f>
        <v>0.4129158513</v>
      </c>
      <c r="AX6" s="36">
        <f>'PP - Data'!AX20</f>
        <v>0.2722143865</v>
      </c>
      <c r="AY6" s="36">
        <f>'PP - Data'!AY20</f>
        <v>0.2620176032</v>
      </c>
      <c r="AZ6" s="36">
        <f>'PP - Data'!AZ20</f>
        <v>0.2858396723</v>
      </c>
      <c r="BA6" s="36">
        <f>'PP - Data'!BA20</f>
        <v>0.3035714286</v>
      </c>
      <c r="BB6" s="36">
        <f>'PP - Data'!BB20</f>
        <v>0.6550493694</v>
      </c>
      <c r="BC6" s="36">
        <f>'PP - Data'!BC20</f>
        <v>0.6370364141</v>
      </c>
      <c r="BD6" s="36">
        <f>'PP - Data'!BD20</f>
        <v>0.3029661017</v>
      </c>
      <c r="BE6" s="36">
        <f>'PP - Data'!BE20</f>
        <v>0.3424584004</v>
      </c>
      <c r="BF6" s="36">
        <f>'PP - Data'!BF20</f>
        <v>0.386445566</v>
      </c>
      <c r="BG6" s="36">
        <f>'PP - Data'!BG20</f>
        <v>0.3705107741</v>
      </c>
      <c r="BH6" s="36">
        <f>'PP - Data'!BH20</f>
        <v>0.3433359314</v>
      </c>
      <c r="BI6" s="36" t="str">
        <f>'PP - Data'!BI20</f>
        <v/>
      </c>
      <c r="BJ6" s="36" t="str">
        <f>'PP - Data'!BJ20</f>
        <v/>
      </c>
      <c r="BK6" s="36" t="str">
        <f>'PP - Data'!BK20</f>
        <v/>
      </c>
      <c r="BL6" s="36" t="str">
        <f>'PP - Data'!BL20</f>
        <v/>
      </c>
      <c r="BM6" s="36" t="str">
        <f>'PP - Data'!BM20</f>
        <v/>
      </c>
      <c r="BN6" s="36" t="str">
        <f>'PP - Data'!BN20</f>
        <v/>
      </c>
      <c r="BO6" s="36" t="str">
        <f>'PP - Data'!BO20</f>
        <v/>
      </c>
      <c r="BP6" s="34"/>
      <c r="BQ6" s="19"/>
    </row>
    <row r="7">
      <c r="A7" s="35" t="s">
        <v>8</v>
      </c>
      <c r="B7" s="36">
        <f>'PP - Data'!B21</f>
        <v>0.09147609148</v>
      </c>
      <c r="C7" s="36">
        <f>'PP - Data'!C21</f>
        <v>0.1897163121</v>
      </c>
      <c r="D7" s="36">
        <f>'PP - Data'!D21</f>
        <v>0.2033898305</v>
      </c>
      <c r="E7" s="36">
        <f>'PP - Data'!E21</f>
        <v>0.08560794045</v>
      </c>
      <c r="F7" s="36">
        <f>'PP - Data'!F21</f>
        <v>0.1890080429</v>
      </c>
      <c r="G7" s="36">
        <f>'PP - Data'!G21</f>
        <v>0.1831395349</v>
      </c>
      <c r="H7" s="36">
        <f>'PP - Data'!H21</f>
        <v>0.1390568319</v>
      </c>
      <c r="I7" s="36">
        <f>'PP - Data'!I21</f>
        <v>0.107266436</v>
      </c>
      <c r="J7" s="36">
        <f>'PP - Data'!J21</f>
        <v>0.1106109325</v>
      </c>
      <c r="K7" s="36">
        <f>'PP - Data'!K21</f>
        <v>0.0981112277</v>
      </c>
      <c r="L7" s="36">
        <f>'PP - Data'!L21</f>
        <v>0.1076030928</v>
      </c>
      <c r="M7" s="36">
        <f>'PP - Data'!M21</f>
        <v>0.1104972376</v>
      </c>
      <c r="N7" s="36">
        <f>'PP - Data'!N21</f>
        <v>0.162037037</v>
      </c>
      <c r="O7" s="36">
        <f>'PP - Data'!O21</f>
        <v>0.1736842105</v>
      </c>
      <c r="P7" s="36">
        <f>'PP - Data'!P21</f>
        <v>0.119047619</v>
      </c>
      <c r="Q7" s="36">
        <f>'PP - Data'!Q21</f>
        <v>0.1244584482</v>
      </c>
      <c r="R7" s="36">
        <f>'PP - Data'!R21</f>
        <v>0.2230932549</v>
      </c>
      <c r="S7" s="36">
        <f>'PP - Data'!S21</f>
        <v>0.510031679</v>
      </c>
      <c r="T7" s="36">
        <f>'PP - Data'!T21</f>
        <v>0.4634296251</v>
      </c>
      <c r="U7" s="36">
        <f>'PP - Data'!U21</f>
        <v>0.3705991353</v>
      </c>
      <c r="V7" s="36">
        <f>'PP - Data'!V21</f>
        <v>0.3277591973</v>
      </c>
      <c r="W7" s="36">
        <f>'PP - Data'!W21</f>
        <v>0.3202933985</v>
      </c>
      <c r="X7" s="36">
        <f>'PP - Data'!X21</f>
        <v>0.3368214519</v>
      </c>
      <c r="Y7" s="36">
        <f>'PP - Data'!Y21</f>
        <v>0.4148053606</v>
      </c>
      <c r="Z7" s="36">
        <f>'PP - Data'!Z21</f>
        <v>0.5190217391</v>
      </c>
      <c r="AA7" s="36">
        <f>'PP - Data'!AA21</f>
        <v>0.4124220374</v>
      </c>
      <c r="AB7" s="36">
        <f>'PP - Data'!AB21</f>
        <v>0.4669354839</v>
      </c>
      <c r="AC7" s="36">
        <f>'PP - Data'!AC21</f>
        <v>0.4049515608</v>
      </c>
      <c r="AD7" s="36">
        <f>'PP - Data'!AD21</f>
        <v>0.292752304</v>
      </c>
      <c r="AE7" s="36">
        <f>'PP - Data'!AE21</f>
        <v>0.3387273125</v>
      </c>
      <c r="AF7" s="36">
        <f>'PP - Data'!AF21</f>
        <v>0.5661140315</v>
      </c>
      <c r="AG7" s="36">
        <f>'PP - Data'!AG21</f>
        <v>0.5286968265</v>
      </c>
      <c r="AH7" s="36">
        <f>'PP - Data'!AH21</f>
        <v>0.5410122164</v>
      </c>
      <c r="AI7" s="36">
        <f>'PP - Data'!AI21</f>
        <v>0.5528344671</v>
      </c>
      <c r="AJ7" s="36">
        <f>'PP - Data'!AJ21</f>
        <v>0.5431283533</v>
      </c>
      <c r="AK7" s="36">
        <f>'PP - Data'!AK21</f>
        <v>0.53045859</v>
      </c>
      <c r="AL7" s="36">
        <f>'PP - Data'!AL21</f>
        <v>0.5178416014</v>
      </c>
      <c r="AM7" s="36">
        <f>'PP - Data'!AM21</f>
        <v>0.5171026157</v>
      </c>
      <c r="AN7" s="36">
        <f>'PP - Data'!AN21</f>
        <v>0.5011286682</v>
      </c>
      <c r="AO7" s="36">
        <f>'PP - Data'!AO21</f>
        <v>0.3512544803</v>
      </c>
      <c r="AP7" s="36">
        <f>'PP - Data'!AP21</f>
        <v>0.191668356</v>
      </c>
      <c r="AQ7" s="36">
        <f>'PP - Data'!AQ21</f>
        <v>0.2515999439</v>
      </c>
      <c r="AR7" s="36">
        <f>'PP - Data'!AR21</f>
        <v>0.4908129176</v>
      </c>
      <c r="AS7" s="36">
        <f>'PP - Data'!AS21</f>
        <v>0.4325908558</v>
      </c>
      <c r="AT7" s="36">
        <f>'PP - Data'!AT21</f>
        <v>0.4725368669</v>
      </c>
      <c r="AU7" s="36">
        <f>'PP - Data'!AU21</f>
        <v>0.4158285243</v>
      </c>
      <c r="AV7" s="36">
        <f>'PP - Data'!AV21</f>
        <v>0.4333573487</v>
      </c>
      <c r="AW7" s="36">
        <f>'PP - Data'!AW21</f>
        <v>0.4465101109</v>
      </c>
      <c r="AX7" s="36">
        <f>'PP - Data'!AX21</f>
        <v>0.5352609309</v>
      </c>
      <c r="AY7" s="36">
        <f>'PP - Data'!AY21</f>
        <v>0.5206499661</v>
      </c>
      <c r="AZ7" s="36">
        <f>'PP - Data'!AZ21</f>
        <v>0.4657694558</v>
      </c>
      <c r="BA7" s="36">
        <f>'PP - Data'!BA21</f>
        <v>0.4672619048</v>
      </c>
      <c r="BB7" s="36">
        <f>'PP - Data'!BB21</f>
        <v>0.223922182</v>
      </c>
      <c r="BC7" s="36">
        <f>'PP - Data'!BC21</f>
        <v>0.2333277269</v>
      </c>
      <c r="BD7" s="36">
        <f>'PP - Data'!BD21</f>
        <v>0.5656779661</v>
      </c>
      <c r="BE7" s="36">
        <f>'PP - Data'!BE21</f>
        <v>0.5099302201</v>
      </c>
      <c r="BF7" s="36">
        <f>'PP - Data'!BF21</f>
        <v>0.4662340783</v>
      </c>
      <c r="BG7" s="36">
        <f>'PP - Data'!BG21</f>
        <v>0.4720670391</v>
      </c>
      <c r="BH7" s="36">
        <f>'PP - Data'!BH21</f>
        <v>0.4748636009</v>
      </c>
      <c r="BI7" s="36" t="str">
        <f>'PP - Data'!BI21</f>
        <v/>
      </c>
      <c r="BJ7" s="36" t="str">
        <f>'PP - Data'!BJ21</f>
        <v/>
      </c>
      <c r="BK7" s="36" t="str">
        <f>'PP - Data'!BK21</f>
        <v/>
      </c>
      <c r="BL7" s="36" t="str">
        <f>'PP - Data'!BL21</f>
        <v/>
      </c>
      <c r="BM7" s="36" t="str">
        <f>'PP - Data'!BM21</f>
        <v/>
      </c>
      <c r="BN7" s="36" t="str">
        <f>'PP - Data'!BN21</f>
        <v/>
      </c>
      <c r="BO7" s="36" t="str">
        <f>'PP - Data'!BO21</f>
        <v/>
      </c>
      <c r="BP7" s="34"/>
      <c r="BQ7" s="19"/>
    </row>
    <row r="8">
      <c r="A8" s="35" t="s">
        <v>10</v>
      </c>
      <c r="B8" s="36">
        <f>'PP - Data'!B22</f>
        <v>0.02633402633</v>
      </c>
      <c r="C8" s="36">
        <f>'PP - Data'!C22</f>
        <v>0.05141843972</v>
      </c>
      <c r="D8" s="36">
        <f>'PP - Data'!D22</f>
        <v>0.1228813559</v>
      </c>
      <c r="E8" s="36">
        <f>'PP - Data'!E22</f>
        <v>0.04094292804</v>
      </c>
      <c r="F8" s="36">
        <f>'PP - Data'!F22</f>
        <v>0.09115281501</v>
      </c>
      <c r="G8" s="36">
        <f>'PP - Data'!G22</f>
        <v>0.1046511628</v>
      </c>
      <c r="H8" s="36">
        <f>'PP - Data'!H22</f>
        <v>0.1172914148</v>
      </c>
      <c r="I8" s="36">
        <f>'PP - Data'!I22</f>
        <v>0.07093425606</v>
      </c>
      <c r="J8" s="36">
        <f>'PP - Data'!J22</f>
        <v>0.04823151125</v>
      </c>
      <c r="K8" s="36">
        <f>'PP - Data'!K22</f>
        <v>0.04197271773</v>
      </c>
      <c r="L8" s="36">
        <f>'PP - Data'!L22</f>
        <v>0.05025773196</v>
      </c>
      <c r="M8" s="36">
        <f>'PP - Data'!M22</f>
        <v>0.05303867403</v>
      </c>
      <c r="N8" s="36">
        <f>'PP - Data'!N22</f>
        <v>0.08796296296</v>
      </c>
      <c r="O8" s="36">
        <f>'PP - Data'!O22</f>
        <v>0.1157894737</v>
      </c>
      <c r="P8" s="36">
        <f>'PP - Data'!P22</f>
        <v>0.05102040816</v>
      </c>
      <c r="Q8" s="36">
        <f>'PP - Data'!Q22</f>
        <v>0.02678219772</v>
      </c>
      <c r="R8" s="36">
        <f>'PP - Data'!R22</f>
        <v>0.02841744243</v>
      </c>
      <c r="S8" s="36">
        <f>'PP - Data'!S22</f>
        <v>0.0343189018</v>
      </c>
      <c r="T8" s="36">
        <f>'PP - Data'!T22</f>
        <v>0.0626920713</v>
      </c>
      <c r="U8" s="36">
        <f>'PP - Data'!U22</f>
        <v>0.03026559605</v>
      </c>
      <c r="V8" s="36">
        <f>'PP - Data'!V22</f>
        <v>0.03051839465</v>
      </c>
      <c r="W8" s="36">
        <f>'PP - Data'!W22</f>
        <v>0.01571777855</v>
      </c>
      <c r="X8" s="36" t="str">
        <f>'PP - Data'!X22</f>
        <v/>
      </c>
      <c r="Y8" s="36" t="str">
        <f>'PP - Data'!Y22</f>
        <v/>
      </c>
      <c r="Z8" s="36" t="str">
        <f>'PP - Data'!Z22</f>
        <v/>
      </c>
      <c r="AA8" s="36" t="str">
        <f>'PP - Data'!AA22</f>
        <v/>
      </c>
      <c r="AB8" s="36" t="str">
        <f>'PP - Data'!AB22</f>
        <v/>
      </c>
      <c r="AC8" s="36" t="str">
        <f>'PP - Data'!AC22</f>
        <v/>
      </c>
      <c r="AD8" s="36" t="str">
        <f>'PP - Data'!AD22</f>
        <v/>
      </c>
      <c r="AE8" s="36" t="str">
        <f>'PP - Data'!AE22</f>
        <v/>
      </c>
      <c r="AF8" s="36" t="str">
        <f>'PP - Data'!AF22</f>
        <v/>
      </c>
      <c r="AG8" s="36" t="str">
        <f>'PP - Data'!AG22</f>
        <v/>
      </c>
      <c r="AH8" s="36" t="str">
        <f>'PP - Data'!AH22</f>
        <v/>
      </c>
      <c r="AI8" s="36" t="str">
        <f>'PP - Data'!AI22</f>
        <v/>
      </c>
      <c r="AJ8" s="36" t="str">
        <f>'PP - Data'!AJ22</f>
        <v/>
      </c>
      <c r="AK8" s="36" t="str">
        <f>'PP - Data'!AK22</f>
        <v/>
      </c>
      <c r="AL8" s="36" t="str">
        <f>'PP - Data'!AL22</f>
        <v/>
      </c>
      <c r="AM8" s="36" t="str">
        <f>'PP - Data'!AM22</f>
        <v/>
      </c>
      <c r="AN8" s="36" t="str">
        <f>'PP - Data'!AN22</f>
        <v/>
      </c>
      <c r="AO8" s="36" t="str">
        <f>'PP - Data'!AO22</f>
        <v/>
      </c>
      <c r="AP8" s="36" t="str">
        <f>'PP - Data'!AP22</f>
        <v/>
      </c>
      <c r="AQ8" s="36" t="str">
        <f>'PP - Data'!AQ22</f>
        <v/>
      </c>
      <c r="AR8" s="36" t="str">
        <f>'PP - Data'!AR22</f>
        <v/>
      </c>
      <c r="AS8" s="36" t="str">
        <f>'PP - Data'!AS22</f>
        <v/>
      </c>
      <c r="AT8" s="36" t="str">
        <f>'PP - Data'!AT22</f>
        <v/>
      </c>
      <c r="AU8" s="36" t="str">
        <f>'PP - Data'!AU22</f>
        <v/>
      </c>
      <c r="AV8" s="36" t="str">
        <f>'PP - Data'!AV22</f>
        <v/>
      </c>
      <c r="AW8" s="36" t="str">
        <f>'PP - Data'!AW22</f>
        <v/>
      </c>
      <c r="AX8" s="36" t="str">
        <f>'PP - Data'!AX22</f>
        <v/>
      </c>
      <c r="AY8" s="36" t="str">
        <f>'PP - Data'!AY22</f>
        <v/>
      </c>
      <c r="AZ8" s="36" t="str">
        <f>'PP - Data'!AZ22</f>
        <v/>
      </c>
      <c r="BA8" s="36" t="str">
        <f>'PP - Data'!BA22</f>
        <v/>
      </c>
      <c r="BB8" s="36" t="str">
        <f>'PP - Data'!BB22</f>
        <v/>
      </c>
      <c r="BC8" s="36" t="str">
        <f>'PP - Data'!BC22</f>
        <v/>
      </c>
      <c r="BD8" s="36" t="str">
        <f>'PP - Data'!BD22</f>
        <v/>
      </c>
      <c r="BE8" s="36" t="str">
        <f>'PP - Data'!BE22</f>
        <v/>
      </c>
      <c r="BF8" s="36" t="str">
        <f>'PP - Data'!BF22</f>
        <v/>
      </c>
      <c r="BG8" s="36" t="str">
        <f>'PP - Data'!BG22</f>
        <v/>
      </c>
      <c r="BH8" s="36" t="str">
        <f>'PP - Data'!BH22</f>
        <v/>
      </c>
      <c r="BI8" s="36" t="str">
        <f>'PP - Data'!BI22</f>
        <v/>
      </c>
      <c r="BJ8" s="36" t="str">
        <f>'PP - Data'!BJ22</f>
        <v/>
      </c>
      <c r="BK8" s="36" t="str">
        <f>'PP - Data'!BK22</f>
        <v/>
      </c>
      <c r="BL8" s="36" t="str">
        <f>'PP - Data'!BL22</f>
        <v/>
      </c>
      <c r="BM8" s="36" t="str">
        <f>'PP - Data'!BM22</f>
        <v/>
      </c>
      <c r="BN8" s="36" t="str">
        <f>'PP - Data'!BN22</f>
        <v/>
      </c>
      <c r="BO8" s="36" t="str">
        <f>'PP - Data'!BO22</f>
        <v/>
      </c>
      <c r="BP8" s="34"/>
      <c r="BQ8" s="19"/>
    </row>
    <row r="9">
      <c r="A9" s="35" t="s">
        <v>11</v>
      </c>
      <c r="B9" s="36">
        <f>'PP - Data'!B23</f>
        <v>0.02633402633</v>
      </c>
      <c r="C9" s="36">
        <f>'PP - Data'!C23</f>
        <v>0.005319148936</v>
      </c>
      <c r="D9" s="36">
        <f>'PP - Data'!D23</f>
        <v>0.02966101695</v>
      </c>
      <c r="E9" s="36">
        <f>'PP - Data'!E23</f>
        <v>0.002481389578</v>
      </c>
      <c r="F9" s="36">
        <f>'PP - Data'!F23</f>
        <v>0.01206434316</v>
      </c>
      <c r="G9" s="36">
        <f>'PP - Data'!G23</f>
        <v>0.01744186047</v>
      </c>
      <c r="H9" s="36">
        <f>'PP - Data'!H23</f>
        <v>0.004836759371</v>
      </c>
      <c r="I9" s="36">
        <f>'PP - Data'!I23</f>
        <v>0.005190311419</v>
      </c>
      <c r="J9" s="36">
        <f>'PP - Data'!J23</f>
        <v>0.0038585209</v>
      </c>
      <c r="K9" s="36">
        <f>'PP - Data'!K23</f>
        <v>0.004197271773</v>
      </c>
      <c r="L9" s="36">
        <f>'PP - Data'!L23</f>
        <v>0.003865979381</v>
      </c>
      <c r="M9" s="36">
        <f>'PP - Data'!M23</f>
        <v>0.001104972376</v>
      </c>
      <c r="N9" s="36">
        <f>'PP - Data'!N23</f>
        <v>0.00462962963</v>
      </c>
      <c r="O9" s="36">
        <f>'PP - Data'!O23</f>
        <v>0.005263157895</v>
      </c>
      <c r="P9" s="36">
        <f>'PP - Data'!P23</f>
        <v>0.006802721088</v>
      </c>
      <c r="Q9" s="36">
        <f>'PP - Data'!Q23</f>
        <v>0.004726270185</v>
      </c>
      <c r="R9" s="36">
        <f>'PP - Data'!R23</f>
        <v>0.003266372693</v>
      </c>
      <c r="S9" s="36">
        <f>'PP - Data'!S23</f>
        <v>0.002639915523</v>
      </c>
      <c r="T9" s="36">
        <f>'PP - Data'!T23</f>
        <v>0.0012292563</v>
      </c>
      <c r="U9" s="36">
        <f>'PP - Data'!U23</f>
        <v>0.002470660902</v>
      </c>
      <c r="V9" s="36">
        <f>'PP - Data'!V23</f>
        <v>0.004180602007</v>
      </c>
      <c r="W9" s="36">
        <f>'PP - Data'!W23</f>
        <v>0.0006985679357</v>
      </c>
      <c r="X9" s="36" t="str">
        <f>'PP - Data'!X23</f>
        <v/>
      </c>
      <c r="Y9" s="36" t="str">
        <f>'PP - Data'!Y23</f>
        <v/>
      </c>
      <c r="Z9" s="36" t="str">
        <f>'PP - Data'!Z23</f>
        <v/>
      </c>
      <c r="AA9" s="36" t="str">
        <f>'PP - Data'!AA23</f>
        <v/>
      </c>
      <c r="AB9" s="36" t="str">
        <f>'PP - Data'!AB23</f>
        <v/>
      </c>
      <c r="AC9" s="36" t="str">
        <f>'PP - Data'!AC23</f>
        <v/>
      </c>
      <c r="AD9" s="36" t="str">
        <f>'PP - Data'!AD23</f>
        <v/>
      </c>
      <c r="AE9" s="36" t="str">
        <f>'PP - Data'!AE23</f>
        <v/>
      </c>
      <c r="AF9" s="36" t="str">
        <f>'PP - Data'!AF23</f>
        <v/>
      </c>
      <c r="AG9" s="36" t="str">
        <f>'PP - Data'!AG23</f>
        <v/>
      </c>
      <c r="AH9" s="36" t="str">
        <f>'PP - Data'!AH23</f>
        <v/>
      </c>
      <c r="AI9" s="36" t="str">
        <f>'PP - Data'!AI23</f>
        <v/>
      </c>
      <c r="AJ9" s="36" t="str">
        <f>'PP - Data'!AJ23</f>
        <v/>
      </c>
      <c r="AK9" s="36" t="str">
        <f>'PP - Data'!AK23</f>
        <v/>
      </c>
      <c r="AL9" s="36" t="str">
        <f>'PP - Data'!AL23</f>
        <v/>
      </c>
      <c r="AM9" s="36" t="str">
        <f>'PP - Data'!AM23</f>
        <v/>
      </c>
      <c r="AN9" s="36" t="str">
        <f>'PP - Data'!AN23</f>
        <v/>
      </c>
      <c r="AO9" s="36" t="str">
        <f>'PP - Data'!AO23</f>
        <v/>
      </c>
      <c r="AP9" s="36" t="str">
        <f>'PP - Data'!AP23</f>
        <v/>
      </c>
      <c r="AQ9" s="36" t="str">
        <f>'PP - Data'!AQ23</f>
        <v/>
      </c>
      <c r="AR9" s="36" t="str">
        <f>'PP - Data'!AR23</f>
        <v/>
      </c>
      <c r="AS9" s="36" t="str">
        <f>'PP - Data'!AS23</f>
        <v/>
      </c>
      <c r="AT9" s="36" t="str">
        <f>'PP - Data'!AT23</f>
        <v/>
      </c>
      <c r="AU9" s="36" t="str">
        <f>'PP - Data'!AU23</f>
        <v/>
      </c>
      <c r="AV9" s="36" t="str">
        <f>'PP - Data'!AV23</f>
        <v/>
      </c>
      <c r="AW9" s="36" t="str">
        <f>'PP - Data'!AW23</f>
        <v/>
      </c>
      <c r="AX9" s="36" t="str">
        <f>'PP - Data'!AX23</f>
        <v/>
      </c>
      <c r="AY9" s="36" t="str">
        <f>'PP - Data'!AY23</f>
        <v/>
      </c>
      <c r="AZ9" s="36" t="str">
        <f>'PP - Data'!AZ23</f>
        <v/>
      </c>
      <c r="BA9" s="36" t="str">
        <f>'PP - Data'!BA23</f>
        <v/>
      </c>
      <c r="BB9" s="36" t="str">
        <f>'PP - Data'!BB23</f>
        <v/>
      </c>
      <c r="BC9" s="36" t="str">
        <f>'PP - Data'!BC23</f>
        <v/>
      </c>
      <c r="BD9" s="36" t="str">
        <f>'PP - Data'!BD23</f>
        <v/>
      </c>
      <c r="BE9" s="36" t="str">
        <f>'PP - Data'!BE23</f>
        <v/>
      </c>
      <c r="BF9" s="36" t="str">
        <f>'PP - Data'!BF23</f>
        <v/>
      </c>
      <c r="BG9" s="36" t="str">
        <f>'PP - Data'!BG23</f>
        <v/>
      </c>
      <c r="BH9" s="36" t="str">
        <f>'PP - Data'!BH23</f>
        <v/>
      </c>
      <c r="BI9" s="36" t="str">
        <f>'PP - Data'!BI23</f>
        <v/>
      </c>
      <c r="BJ9" s="36" t="str">
        <f>'PP - Data'!BJ23</f>
        <v/>
      </c>
      <c r="BK9" s="36" t="str">
        <f>'PP - Data'!BK23</f>
        <v/>
      </c>
      <c r="BL9" s="36" t="str">
        <f>'PP - Data'!BL23</f>
        <v/>
      </c>
      <c r="BM9" s="36" t="str">
        <f>'PP - Data'!BM23</f>
        <v/>
      </c>
      <c r="BN9" s="36" t="str">
        <f>'PP - Data'!BN23</f>
        <v/>
      </c>
      <c r="BO9" s="36" t="str">
        <f>'PP - Data'!BO23</f>
        <v/>
      </c>
      <c r="BP9" s="34"/>
      <c r="BQ9" s="19"/>
    </row>
    <row r="10">
      <c r="A10" s="35" t="s">
        <v>12</v>
      </c>
      <c r="B10" s="36">
        <f>'PP - Data'!B24</f>
        <v>0.0103950104</v>
      </c>
      <c r="C10" s="36">
        <f>'PP - Data'!C24</f>
        <v>0.01595744681</v>
      </c>
      <c r="D10" s="36">
        <f>'PP - Data'!D24</f>
        <v>0.004237288136</v>
      </c>
      <c r="E10" s="36">
        <f>'PP - Data'!E24</f>
        <v>0.004962779156</v>
      </c>
      <c r="F10" s="36">
        <f>'PP - Data'!F24</f>
        <v>0.009383378016</v>
      </c>
      <c r="G10" s="36">
        <f>'PP - Data'!G24</f>
        <v>0.005813953488</v>
      </c>
      <c r="H10" s="36">
        <f>'PP - Data'!H24</f>
        <v>0.002418379686</v>
      </c>
      <c r="I10" s="36">
        <f>'PP - Data'!I24</f>
        <v>0.006920415225</v>
      </c>
      <c r="J10" s="36">
        <f>'PP - Data'!J24</f>
        <v>0.0463022508</v>
      </c>
      <c r="K10" s="36">
        <f>'PP - Data'!K24</f>
        <v>0.01783840504</v>
      </c>
      <c r="L10" s="36">
        <f>'PP - Data'!L24</f>
        <v>0.01224226804</v>
      </c>
      <c r="M10" s="36">
        <f>'PP - Data'!M24</f>
        <v>0.0453038674</v>
      </c>
      <c r="N10" s="36">
        <f>'PP - Data'!N24</f>
        <v>0.01388888889</v>
      </c>
      <c r="O10" s="36">
        <f>'PP - Data'!O24</f>
        <v>0.02105263158</v>
      </c>
      <c r="P10" s="36">
        <f>'PP - Data'!P24</f>
        <v>0.02040816327</v>
      </c>
      <c r="Q10" s="36">
        <f>'PP - Data'!Q24</f>
        <v>0.1547853486</v>
      </c>
      <c r="R10" s="36">
        <f>'PP - Data'!R24</f>
        <v>0.187326474</v>
      </c>
      <c r="S10" s="36">
        <f>'PP - Data'!S24</f>
        <v>0.05227032735</v>
      </c>
      <c r="T10" s="36">
        <f>'PP - Data'!T24</f>
        <v>0.01290719115</v>
      </c>
      <c r="U10" s="36">
        <f>'PP - Data'!U24</f>
        <v>0.02285361334</v>
      </c>
      <c r="V10" s="36">
        <f>'PP - Data'!V24</f>
        <v>0.01463210702</v>
      </c>
      <c r="W10" s="36">
        <f>'PP - Data'!W24</f>
        <v>0.03492839679</v>
      </c>
      <c r="X10" s="36">
        <f>'PP - Data'!X24</f>
        <v>0.07096141269</v>
      </c>
      <c r="Y10" s="36">
        <f>'PP - Data'!Y24</f>
        <v>0.02488832163</v>
      </c>
      <c r="Z10" s="36">
        <f>'PP - Data'!Z24</f>
        <v>0.01539855072</v>
      </c>
      <c r="AA10" s="36">
        <f>'PP - Data'!AA24</f>
        <v>0.01221413721</v>
      </c>
      <c r="AB10" s="36">
        <f>'PP - Data'!AB24</f>
        <v>0.02258064516</v>
      </c>
      <c r="AC10" s="36">
        <f>'PP - Data'!AC24</f>
        <v>0.01033369214</v>
      </c>
      <c r="AD10" s="36">
        <f>'PP - Data'!AD24</f>
        <v>0.01888724542</v>
      </c>
      <c r="AE10" s="36">
        <f>'PP - Data'!AE24</f>
        <v>0.02237772432</v>
      </c>
      <c r="AF10" s="36">
        <f>'PP - Data'!AF24</f>
        <v>0.01496158512</v>
      </c>
      <c r="AG10" s="36">
        <f>'PP - Data'!AG24</f>
        <v>0.01057843799</v>
      </c>
      <c r="AH10" s="36">
        <f>'PP - Data'!AH24</f>
        <v>0.0137122912</v>
      </c>
      <c r="AI10" s="36">
        <f>'PP - Data'!AI24</f>
        <v>0.01904761905</v>
      </c>
      <c r="AJ10" s="36">
        <f>'PP - Data'!AJ24</f>
        <v>0.02888980603</v>
      </c>
      <c r="AK10" s="36">
        <f>'PP - Data'!AK24</f>
        <v>0.01848049281</v>
      </c>
      <c r="AL10" s="36">
        <f>'PP - Data'!AL24</f>
        <v>0.004351610096</v>
      </c>
      <c r="AM10" s="36">
        <f>'PP - Data'!AM24</f>
        <v>0.008048289738</v>
      </c>
      <c r="AN10" s="36">
        <f>'PP - Data'!AN24</f>
        <v>0.009029345372</v>
      </c>
      <c r="AO10" s="36">
        <f>'PP - Data'!AO24</f>
        <v>0.005376344086</v>
      </c>
      <c r="AP10" s="36">
        <f>'PP - Data'!AP24</f>
        <v>0.01221366309</v>
      </c>
      <c r="AQ10" s="36">
        <f>'PP - Data'!AQ24</f>
        <v>0.03424113608</v>
      </c>
      <c r="AR10" s="36">
        <f>'PP - Data'!AR24</f>
        <v>0.01837416481</v>
      </c>
      <c r="AS10" s="36">
        <f>'PP - Data'!AS24</f>
        <v>0.01453692849</v>
      </c>
      <c r="AT10" s="36">
        <f>'PP - Data'!AT24</f>
        <v>0.01816627485</v>
      </c>
      <c r="AU10" s="36">
        <f>'PP - Data'!AU24</f>
        <v>0.01846661171</v>
      </c>
      <c r="AV10" s="36">
        <f>'PP - Data'!AV24</f>
        <v>0.03692363112</v>
      </c>
      <c r="AW10" s="36">
        <f>'PP - Data'!AW24</f>
        <v>0.01598173516</v>
      </c>
      <c r="AX10" s="36">
        <f>'PP - Data'!AX24</f>
        <v>0.01833568406</v>
      </c>
      <c r="AY10" s="36">
        <f>'PP - Data'!AY24</f>
        <v>0.01895734597</v>
      </c>
      <c r="AZ10" s="36">
        <f>'PP - Data'!AZ24</f>
        <v>0.007021650088</v>
      </c>
      <c r="BA10" s="36">
        <f>'PP - Data'!BA24</f>
        <v>0.00744047619</v>
      </c>
      <c r="BB10" s="36">
        <f>'PP - Data'!BB24</f>
        <v>0.01525075765</v>
      </c>
      <c r="BC10" s="36">
        <f>'PP - Data'!BC24</f>
        <v>0.01648305441</v>
      </c>
      <c r="BD10" s="36">
        <f>'PP - Data'!BD24</f>
        <v>0.009745762712</v>
      </c>
      <c r="BE10" s="36">
        <f>'PP - Data'!BE24</f>
        <v>0.01288244767</v>
      </c>
      <c r="BF10" s="36">
        <f>'PP - Data'!BF24</f>
        <v>0.009132420091</v>
      </c>
      <c r="BG10" s="36">
        <f>'PP - Data'!BG24</f>
        <v>0.01316839585</v>
      </c>
      <c r="BH10" s="36">
        <f>'PP - Data'!BH24</f>
        <v>0.01325019486</v>
      </c>
      <c r="BI10" s="36" t="str">
        <f>'PP - Data'!BI24</f>
        <v/>
      </c>
      <c r="BJ10" s="36" t="str">
        <f>'PP - Data'!BJ24</f>
        <v/>
      </c>
      <c r="BK10" s="36" t="str">
        <f>'PP - Data'!BK24</f>
        <v/>
      </c>
      <c r="BL10" s="36" t="str">
        <f>'PP - Data'!BL24</f>
        <v/>
      </c>
      <c r="BM10" s="36" t="str">
        <f>'PP - Data'!BM24</f>
        <v/>
      </c>
      <c r="BN10" s="36" t="str">
        <f>'PP - Data'!BN24</f>
        <v/>
      </c>
      <c r="BO10" s="36" t="str">
        <f>'PP - Data'!BO24</f>
        <v/>
      </c>
      <c r="BP10" s="34"/>
      <c r="BQ10" s="19"/>
    </row>
    <row r="11">
      <c r="A11" s="35" t="s">
        <v>13</v>
      </c>
      <c r="B11" s="36">
        <f>'PP - Data'!B25</f>
        <v>0.007623007623</v>
      </c>
      <c r="C11" s="36">
        <f>'PP - Data'!C25</f>
        <v>0.01595744681</v>
      </c>
      <c r="D11" s="36">
        <f>'PP - Data'!D25</f>
        <v>0.01694915254</v>
      </c>
      <c r="E11" s="36">
        <f>'PP - Data'!E25</f>
        <v>0.4181141439</v>
      </c>
      <c r="F11" s="36">
        <f>'PP - Data'!F25</f>
        <v>0.04155495979</v>
      </c>
      <c r="G11" s="36">
        <f>'PP - Data'!G25</f>
        <v>0.3154069767</v>
      </c>
      <c r="H11" s="36">
        <f>'PP - Data'!H25</f>
        <v>0.1039903265</v>
      </c>
      <c r="I11" s="36">
        <f>'PP - Data'!I25</f>
        <v>0.0276816609</v>
      </c>
      <c r="J11" s="36">
        <f>'PP - Data'!J25</f>
        <v>0.01093247588</v>
      </c>
      <c r="K11" s="36">
        <f>'PP - Data'!K25</f>
        <v>0.01311647429</v>
      </c>
      <c r="L11" s="36">
        <f>'PP - Data'!L25</f>
        <v>0.01095360825</v>
      </c>
      <c r="M11" s="36">
        <f>'PP - Data'!M25</f>
        <v>0.009944751381</v>
      </c>
      <c r="N11" s="36">
        <f>'PP - Data'!N25</f>
        <v>0.06018518519</v>
      </c>
      <c r="O11" s="36">
        <f>'PP - Data'!O25</f>
        <v>0.02105263158</v>
      </c>
      <c r="P11" s="36">
        <f>'PP - Data'!P25</f>
        <v>0.01700680272</v>
      </c>
      <c r="Q11" s="36">
        <f>'PP - Data'!Q25</f>
        <v>0.004726270185</v>
      </c>
      <c r="R11" s="36">
        <f>'PP - Data'!R25</f>
        <v>0.006042789482</v>
      </c>
      <c r="S11" s="36">
        <f>'PP - Data'!S25</f>
        <v>0.02217529039</v>
      </c>
      <c r="T11" s="36">
        <f>'PP - Data'!T25</f>
        <v>0.04363859865</v>
      </c>
      <c r="U11" s="36">
        <f>'PP - Data'!U25</f>
        <v>0.01358863496</v>
      </c>
      <c r="V11" s="36">
        <f>'PP - Data'!V25</f>
        <v>0.01086956522</v>
      </c>
      <c r="W11" s="36">
        <f>'PP - Data'!W25</f>
        <v>0.09814879497</v>
      </c>
      <c r="X11" s="36">
        <f>'PP - Data'!X25</f>
        <v>0.01635055592</v>
      </c>
      <c r="Y11" s="36">
        <f>'PP - Data'!Y25</f>
        <v>0.0280791321</v>
      </c>
      <c r="Z11" s="36">
        <f>'PP - Data'!Z25</f>
        <v>0.007246376812</v>
      </c>
      <c r="AA11" s="36">
        <f>'PP - Data'!AA25</f>
        <v>0.009095634096</v>
      </c>
      <c r="AB11" s="36">
        <f>'PP - Data'!AB25</f>
        <v>0.03870967742</v>
      </c>
      <c r="AC11" s="36">
        <f>'PP - Data'!AC25</f>
        <v>0.01119483315</v>
      </c>
      <c r="AD11" s="36">
        <f>'PP - Data'!AD25</f>
        <v>0.01979747412</v>
      </c>
      <c r="AE11" s="36">
        <f>'PP - Data'!AE25</f>
        <v>0.06859100518</v>
      </c>
      <c r="AF11" s="36">
        <f>'PP - Data'!AF25</f>
        <v>0.02143145977</v>
      </c>
      <c r="AG11" s="36">
        <f>'PP - Data'!AG25</f>
        <v>0.01485482782</v>
      </c>
      <c r="AH11" s="36">
        <f>'PP - Data'!AH25</f>
        <v>0.01520817751</v>
      </c>
      <c r="AI11" s="36">
        <f>'PP - Data'!AI25</f>
        <v>0.01315192744</v>
      </c>
      <c r="AJ11" s="36">
        <f>'PP - Data'!AJ25</f>
        <v>0.01815930664</v>
      </c>
      <c r="AK11" s="36">
        <f>'PP - Data'!AK25</f>
        <v>0.01711156742</v>
      </c>
      <c r="AL11" s="36">
        <f>'PP - Data'!AL25</f>
        <v>0.01044386423</v>
      </c>
      <c r="AM11" s="36">
        <f>'PP - Data'!AM25</f>
        <v>0.01106639839</v>
      </c>
      <c r="AN11" s="36">
        <f>'PP - Data'!AN25</f>
        <v>0.01354401806</v>
      </c>
      <c r="AO11" s="36">
        <f>'PP - Data'!AO25</f>
        <v>0.03225806452</v>
      </c>
      <c r="AP11" s="36">
        <f>'PP - Data'!AP25</f>
        <v>0.01120008109</v>
      </c>
      <c r="AQ11" s="36">
        <f>'PP - Data'!AQ25</f>
        <v>0.01298640632</v>
      </c>
      <c r="AR11" s="36">
        <f>'PP - Data'!AR25</f>
        <v>0.01169265033</v>
      </c>
      <c r="AS11" s="36">
        <f>'PP - Data'!AS25</f>
        <v>0.01266119578</v>
      </c>
      <c r="AT11" s="36">
        <f>'PP - Data'!AT25</f>
        <v>0.01816627485</v>
      </c>
      <c r="AU11" s="36">
        <f>'PP - Data'!AU25</f>
        <v>0.01335531739</v>
      </c>
      <c r="AV11" s="36">
        <f>'PP - Data'!AV25</f>
        <v>0.01567002882</v>
      </c>
      <c r="AW11" s="36">
        <f>'PP - Data'!AW25</f>
        <v>0.01663405088</v>
      </c>
      <c r="AX11" s="36">
        <f>'PP - Data'!AX25</f>
        <v>0.01692524683</v>
      </c>
      <c r="AY11" s="36">
        <f>'PP - Data'!AY25</f>
        <v>0.01286391334</v>
      </c>
      <c r="AZ11" s="36">
        <f>'PP - Data'!AZ25</f>
        <v>0.01141018139</v>
      </c>
      <c r="BA11" s="36">
        <f>'PP - Data'!BA25</f>
        <v>0.01785714286</v>
      </c>
      <c r="BB11" s="36">
        <f>'PP - Data'!BB25</f>
        <v>0.01070485873</v>
      </c>
      <c r="BC11" s="36">
        <f>'PP - Data'!BC25</f>
        <v>0.0113110756</v>
      </c>
      <c r="BD11" s="36">
        <f>'PP - Data'!BD25</f>
        <v>0.008898305085</v>
      </c>
      <c r="BE11" s="36">
        <f>'PP - Data'!BE25</f>
        <v>0.01395598497</v>
      </c>
      <c r="BF11" s="36">
        <f>'PP - Data'!BF25</f>
        <v>0.008411439558</v>
      </c>
      <c r="BG11" s="36">
        <f>'PP - Data'!BG25</f>
        <v>0.01017557861</v>
      </c>
      <c r="BH11" s="36">
        <f>'PP - Data'!BH25</f>
        <v>0.01325019486</v>
      </c>
      <c r="BI11" s="36" t="str">
        <f>'PP - Data'!BI25</f>
        <v/>
      </c>
      <c r="BJ11" s="36" t="str">
        <f>'PP - Data'!BJ25</f>
        <v/>
      </c>
      <c r="BK11" s="36" t="str">
        <f>'PP - Data'!BK25</f>
        <v/>
      </c>
      <c r="BL11" s="36" t="str">
        <f>'PP - Data'!BL25</f>
        <v/>
      </c>
      <c r="BM11" s="36" t="str">
        <f>'PP - Data'!BM25</f>
        <v/>
      </c>
      <c r="BN11" s="36" t="str">
        <f>'PP - Data'!BN25</f>
        <v/>
      </c>
      <c r="BO11" s="36" t="str">
        <f>'PP - Data'!BO25</f>
        <v/>
      </c>
      <c r="BP11" s="34"/>
      <c r="BQ11" s="19"/>
    </row>
    <row r="12">
      <c r="A12" s="35" t="s">
        <v>14</v>
      </c>
      <c r="B12" s="36">
        <f>'PP - Data'!B26</f>
        <v>0.001386001386</v>
      </c>
      <c r="C12" s="36">
        <f>'PP - Data'!C26</f>
        <v>0.03546099291</v>
      </c>
      <c r="D12" s="36">
        <f>'PP - Data'!D26</f>
        <v>0.0593220339</v>
      </c>
      <c r="E12" s="36">
        <f>'PP - Data'!E26</f>
        <v>0.03225806452</v>
      </c>
      <c r="F12" s="36">
        <f>'PP - Data'!F26</f>
        <v>0.06166219839</v>
      </c>
      <c r="G12" s="36">
        <f>'PP - Data'!G26</f>
        <v>0.08139534884</v>
      </c>
      <c r="H12" s="36">
        <f>'PP - Data'!H26</f>
        <v>0.4171704958</v>
      </c>
      <c r="I12" s="36">
        <f>'PP - Data'!I26</f>
        <v>0.09169550173</v>
      </c>
      <c r="J12" s="36">
        <f>'PP - Data'!J26</f>
        <v>0.1067524116</v>
      </c>
      <c r="K12" s="36">
        <f>'PP - Data'!K26</f>
        <v>0.04354669465</v>
      </c>
      <c r="L12" s="36">
        <f>'PP - Data'!L26</f>
        <v>0.03028350515</v>
      </c>
      <c r="M12" s="36">
        <f>'PP - Data'!M26</f>
        <v>0.03425414365</v>
      </c>
      <c r="N12" s="36">
        <f>'PP - Data'!N26</f>
        <v>0.1018518519</v>
      </c>
      <c r="O12" s="36">
        <f>'PP - Data'!O26</f>
        <v>0.05789473684</v>
      </c>
      <c r="P12" s="36">
        <f>'PP - Data'!P26</f>
        <v>0.05102040816</v>
      </c>
      <c r="Q12" s="36">
        <f>'PP - Data'!Q26</f>
        <v>0.0161480898</v>
      </c>
      <c r="R12" s="36">
        <f>'PP - Data'!R26</f>
        <v>0.01502531439</v>
      </c>
      <c r="S12" s="36">
        <f>'PP - Data'!S26</f>
        <v>0.02798310454</v>
      </c>
      <c r="T12" s="36">
        <f>'PP - Data'!T26</f>
        <v>0.1555009219</v>
      </c>
      <c r="U12" s="36">
        <f>'PP - Data'!U26</f>
        <v>0.06361951822</v>
      </c>
      <c r="V12" s="36">
        <f>'PP - Data'!V26</f>
        <v>0.03929765886</v>
      </c>
      <c r="W12" s="36">
        <f>'PP - Data'!W26</f>
        <v>0.03946908837</v>
      </c>
      <c r="X12" s="36">
        <f>'PP - Data'!X26</f>
        <v>0.06245912361</v>
      </c>
      <c r="Y12" s="36">
        <f>'PP - Data'!Y26</f>
        <v>0.07530312699</v>
      </c>
      <c r="Z12" s="36">
        <f>'PP - Data'!Z26</f>
        <v>0.03623188406</v>
      </c>
      <c r="AA12" s="36">
        <f>'PP - Data'!AA26</f>
        <v>0.03092515593</v>
      </c>
      <c r="AB12" s="36">
        <f>'PP - Data'!AB26</f>
        <v>0.06532258065</v>
      </c>
      <c r="AC12" s="36">
        <f>'PP - Data'!AC26</f>
        <v>0.04951560818</v>
      </c>
      <c r="AD12" s="36">
        <f>'PP - Data'!AD26</f>
        <v>0.06997383093</v>
      </c>
      <c r="AE12" s="36">
        <f>'PP - Data'!AE26</f>
        <v>0.06326991763</v>
      </c>
      <c r="AF12" s="36">
        <f>'PP - Data'!AF26</f>
        <v>0.05822887182</v>
      </c>
      <c r="AG12" s="36">
        <f>'PP - Data'!AG26</f>
        <v>0.05311726311</v>
      </c>
      <c r="AH12" s="36">
        <f>'PP - Data'!AH26</f>
        <v>0.06108202443</v>
      </c>
      <c r="AI12" s="36">
        <f>'PP - Data'!AI26</f>
        <v>0.1047619048</v>
      </c>
      <c r="AJ12" s="36">
        <f>'PP - Data'!AJ26</f>
        <v>0.07181180355</v>
      </c>
      <c r="AK12" s="36">
        <f>'PP - Data'!AK26</f>
        <v>0.04791238877</v>
      </c>
      <c r="AL12" s="36">
        <f>'PP - Data'!AL26</f>
        <v>0.1000870322</v>
      </c>
      <c r="AM12" s="36">
        <f>'PP - Data'!AM26</f>
        <v>0.07645875252</v>
      </c>
      <c r="AN12" s="133"/>
      <c r="AO12" s="36">
        <f>'PP - Data'!AO26</f>
        <v>0.1039426523</v>
      </c>
      <c r="AP12" s="36">
        <f>'PP - Data'!AP26</f>
        <v>0.02163997567</v>
      </c>
      <c r="AQ12" s="36">
        <f>'PP - Data'!AQ26</f>
        <v>0.02606624001</v>
      </c>
      <c r="AR12" s="36">
        <f>'PP - Data'!AR26</f>
        <v>0.05206013363</v>
      </c>
      <c r="AS12" s="36">
        <f>'PP - Data'!AS26</f>
        <v>0.04150058617</v>
      </c>
      <c r="AT12" s="36">
        <f>'PP - Data'!AT26</f>
        <v>0.04402650139</v>
      </c>
      <c r="AU12" s="36">
        <f>'PP - Data'!AU26</f>
        <v>0.03478977741</v>
      </c>
      <c r="AV12" s="36">
        <f>'PP - Data'!AV26</f>
        <v>0.03800432277</v>
      </c>
      <c r="AW12" s="36">
        <f>'PP - Data'!AW26</f>
        <v>0.0313111546</v>
      </c>
      <c r="AX12" s="36">
        <f>'PP - Data'!AX26</f>
        <v>0.04160789845</v>
      </c>
      <c r="AY12" s="36">
        <f>'PP - Data'!AY26</f>
        <v>0.04739336493</v>
      </c>
      <c r="AZ12" s="36">
        <f>'PP - Data'!AZ26</f>
        <v>0.09625511995</v>
      </c>
      <c r="BA12" s="36">
        <f>'PP - Data'!BA26</f>
        <v>0.06845238095</v>
      </c>
      <c r="BB12" s="36">
        <f>'PP - Data'!BB26</f>
        <v>0.02209404634</v>
      </c>
      <c r="BC12" s="36">
        <f>'PP - Data'!BC26</f>
        <v>0.02371541502</v>
      </c>
      <c r="BD12" s="36">
        <f>'PP - Data'!BD26</f>
        <v>0.03050847458</v>
      </c>
      <c r="BE12" s="36">
        <f>'PP - Data'!BE26</f>
        <v>0.03542673108</v>
      </c>
      <c r="BF12" s="36">
        <f>'PP - Data'!BF26</f>
        <v>0.03604902668</v>
      </c>
      <c r="BG12" s="36">
        <f>'PP - Data'!BG26</f>
        <v>0.03511572227</v>
      </c>
      <c r="BH12" s="36">
        <f>'PP - Data'!BH26</f>
        <v>0.0494933749</v>
      </c>
      <c r="BI12" s="36" t="str">
        <f>'PP - Data'!BI26</f>
        <v/>
      </c>
      <c r="BJ12" s="36" t="str">
        <f>'PP - Data'!BJ26</f>
        <v/>
      </c>
      <c r="BK12" s="36" t="str">
        <f>'PP - Data'!BK26</f>
        <v/>
      </c>
      <c r="BL12" s="36" t="str">
        <f>'PP - Data'!BL26</f>
        <v/>
      </c>
      <c r="BM12" s="36" t="str">
        <f>'PP - Data'!BM26</f>
        <v/>
      </c>
      <c r="BN12" s="36" t="str">
        <f>'PP - Data'!BN26</f>
        <v/>
      </c>
      <c r="BO12" s="36" t="str">
        <f>'PP - Data'!BO26</f>
        <v/>
      </c>
      <c r="BP12" s="34"/>
      <c r="BQ12" s="19"/>
    </row>
    <row r="13">
      <c r="A13" s="47" t="s">
        <v>15</v>
      </c>
      <c r="B13" s="36" t="str">
        <f>'PP - Data'!B27</f>
        <v/>
      </c>
      <c r="C13" s="36" t="str">
        <f>'PP - Data'!C27</f>
        <v/>
      </c>
      <c r="D13" s="36" t="str">
        <f>'PP - Data'!D27</f>
        <v/>
      </c>
      <c r="E13" s="36" t="str">
        <f>'PP - Data'!E27</f>
        <v/>
      </c>
      <c r="F13" s="36" t="str">
        <f>'PP - Data'!F27</f>
        <v/>
      </c>
      <c r="G13" s="36" t="str">
        <f>'PP - Data'!G27</f>
        <v/>
      </c>
      <c r="H13" s="36" t="str">
        <f>'PP - Data'!H27</f>
        <v/>
      </c>
      <c r="I13" s="36" t="str">
        <f>'PP - Data'!I27</f>
        <v/>
      </c>
      <c r="J13" s="36" t="str">
        <f>'PP - Data'!J27</f>
        <v/>
      </c>
      <c r="K13" s="36" t="str">
        <f>'PP - Data'!K27</f>
        <v/>
      </c>
      <c r="L13" s="36" t="str">
        <f>'PP - Data'!L27</f>
        <v/>
      </c>
      <c r="M13" s="36" t="str">
        <f>'PP - Data'!M27</f>
        <v/>
      </c>
      <c r="N13" s="36" t="str">
        <f>'PP - Data'!N27</f>
        <v/>
      </c>
      <c r="O13" s="36" t="str">
        <f>'PP - Data'!O27</f>
        <v/>
      </c>
      <c r="P13" s="36" t="str">
        <f>'PP - Data'!P27</f>
        <v/>
      </c>
      <c r="Q13" s="36" t="str">
        <f>'PP - Data'!Q27</f>
        <v/>
      </c>
      <c r="R13" s="36" t="str">
        <f>'PP - Data'!R27</f>
        <v/>
      </c>
      <c r="S13" s="36">
        <f>'PP - Data'!S27</f>
        <v>0.003167898627</v>
      </c>
      <c r="T13" s="36">
        <f>'PP - Data'!T27</f>
        <v>0.0061462815</v>
      </c>
      <c r="U13" s="36">
        <f>'PP - Data'!U27</f>
        <v>0.005558987029</v>
      </c>
      <c r="V13" s="36">
        <f>'PP - Data'!V27</f>
        <v>0.005852842809</v>
      </c>
      <c r="W13" s="36">
        <f>'PP - Data'!W27</f>
        <v>0.02759343346</v>
      </c>
      <c r="X13" s="36">
        <f>'PP - Data'!X27</f>
        <v>0.05493786789</v>
      </c>
      <c r="Y13" s="36">
        <f>'PP - Data'!Y27</f>
        <v>0.05871091257</v>
      </c>
      <c r="Z13" s="36">
        <f>'PP - Data'!Z27</f>
        <v>0.05525362319</v>
      </c>
      <c r="AA13" s="36">
        <f>'PP - Data'!AA27</f>
        <v>0.04235966736</v>
      </c>
      <c r="AB13" s="36">
        <f>'PP - Data'!AB27</f>
        <v>0.05483870968</v>
      </c>
      <c r="AC13" s="36">
        <f>'PP - Data'!AC27</f>
        <v>0.06243272336</v>
      </c>
      <c r="AD13" s="36">
        <f>'PP - Data'!AD27</f>
        <v>0.07458186369</v>
      </c>
      <c r="AE13" s="36">
        <f>'PP - Data'!AE27</f>
        <v>0.07216269407</v>
      </c>
      <c r="AF13" s="36">
        <f>'PP - Data'!AF27</f>
        <v>0.0735948241</v>
      </c>
      <c r="AG13" s="36">
        <f>'PP - Data'!AG27</f>
        <v>0.04951609273</v>
      </c>
      <c r="AH13" s="36">
        <f>'PP - Data'!AH27</f>
        <v>0.08202443281</v>
      </c>
      <c r="AI13" s="36">
        <f>'PP - Data'!AI27</f>
        <v>0.09569160998</v>
      </c>
      <c r="AJ13" s="36">
        <f>'PP - Data'!AJ27</f>
        <v>0.07470078415</v>
      </c>
      <c r="AK13" s="36">
        <f>'PP - Data'!AK27</f>
        <v>0.07734428474</v>
      </c>
      <c r="AL13" s="36">
        <f>'PP - Data'!AL27</f>
        <v>0.08529155788</v>
      </c>
      <c r="AM13" s="36">
        <f>'PP - Data'!AM27</f>
        <v>0.08752515091</v>
      </c>
      <c r="AN13" s="36">
        <f>'PP - Data'!AN27</f>
        <v>0.08803611738</v>
      </c>
      <c r="AO13" s="36">
        <f>'PP - Data'!AO27</f>
        <v>0.09946236559</v>
      </c>
      <c r="AP13" s="36">
        <f>'PP - Data'!AP27</f>
        <v>0.04865193594</v>
      </c>
      <c r="AQ13" s="36">
        <f>'PP - Data'!AQ27</f>
        <v>0.06493203158</v>
      </c>
      <c r="AR13" s="36">
        <f>'PP - Data'!AR27</f>
        <v>0.05902004454</v>
      </c>
      <c r="AS13" s="36">
        <f>'PP - Data'!AS27</f>
        <v>0.07479484174</v>
      </c>
      <c r="AT13" s="36">
        <f>'PP - Data'!AT27</f>
        <v>0.07416114554</v>
      </c>
      <c r="AU13" s="36">
        <f>'PP - Data'!AU27</f>
        <v>0.07633965375</v>
      </c>
      <c r="AV13" s="36">
        <f>'PP - Data'!AV27</f>
        <v>0.0700648415</v>
      </c>
      <c r="AW13" s="36">
        <f>'PP - Data'!AW27</f>
        <v>0.06360078278</v>
      </c>
      <c r="AX13" s="36">
        <f>'PP - Data'!AX27</f>
        <v>0.101551481</v>
      </c>
      <c r="AY13" s="36">
        <f>'PP - Data'!AY27</f>
        <v>0.1178063643</v>
      </c>
      <c r="AZ13" s="36">
        <f>'PP - Data'!AZ27</f>
        <v>0.1076653013</v>
      </c>
      <c r="BA13" s="36">
        <f>'PP - Data'!BA27</f>
        <v>0.1145833333</v>
      </c>
      <c r="BB13" s="36">
        <f>'PP - Data'!BB27</f>
        <v>0.06305601721</v>
      </c>
      <c r="BC13" s="36">
        <f>'PP - Data'!BC27</f>
        <v>0.06736187032</v>
      </c>
      <c r="BD13" s="36">
        <f>'PP - Data'!BD27</f>
        <v>0.075</v>
      </c>
      <c r="BE13" s="36">
        <f>'PP - Data'!BE27</f>
        <v>0.07353730542</v>
      </c>
      <c r="BF13" s="36">
        <f>'PP - Data'!BF27</f>
        <v>0.08219178082</v>
      </c>
      <c r="BG13" s="36">
        <f>'PP - Data'!BG27</f>
        <v>0.08459696728</v>
      </c>
      <c r="BH13" s="36">
        <f>'PP - Data'!BH27</f>
        <v>0.08865939205</v>
      </c>
      <c r="BI13" s="36" t="str">
        <f>'PP - Data'!BI27</f>
        <v/>
      </c>
      <c r="BJ13" s="36" t="str">
        <f>'PP - Data'!BJ27</f>
        <v/>
      </c>
      <c r="BK13" s="36" t="str">
        <f>'PP - Data'!BK27</f>
        <v/>
      </c>
      <c r="BL13" s="36" t="str">
        <f>'PP - Data'!BL27</f>
        <v/>
      </c>
      <c r="BM13" s="36" t="str">
        <f>'PP - Data'!BM27</f>
        <v/>
      </c>
      <c r="BN13" s="36" t="str">
        <f>'PP - Data'!BN27</f>
        <v/>
      </c>
      <c r="BO13" s="36" t="str">
        <f>'PP - Data'!BO27</f>
        <v/>
      </c>
      <c r="BP13" s="34"/>
      <c r="BQ13" s="50"/>
    </row>
    <row r="14">
      <c r="A14" s="47" t="s">
        <v>16</v>
      </c>
      <c r="B14" s="36" t="str">
        <f>'PP - Data'!B28</f>
        <v/>
      </c>
      <c r="C14" s="36" t="str">
        <f>'PP - Data'!C28</f>
        <v/>
      </c>
      <c r="D14" s="36" t="str">
        <f>'PP - Data'!D28</f>
        <v/>
      </c>
      <c r="E14" s="36" t="str">
        <f>'PP - Data'!E28</f>
        <v/>
      </c>
      <c r="F14" s="36" t="str">
        <f>'PP - Data'!F28</f>
        <v/>
      </c>
      <c r="G14" s="36" t="str">
        <f>'PP - Data'!G28</f>
        <v/>
      </c>
      <c r="H14" s="36" t="str">
        <f>'PP - Data'!H28</f>
        <v/>
      </c>
      <c r="I14" s="36" t="str">
        <f>'PP - Data'!I28</f>
        <v/>
      </c>
      <c r="J14" s="36" t="str">
        <f>'PP - Data'!J28</f>
        <v/>
      </c>
      <c r="K14" s="36" t="str">
        <f>'PP - Data'!K28</f>
        <v/>
      </c>
      <c r="L14" s="36" t="str">
        <f>'PP - Data'!L28</f>
        <v/>
      </c>
      <c r="M14" s="36" t="str">
        <f>'PP - Data'!M28</f>
        <v/>
      </c>
      <c r="N14" s="36" t="str">
        <f>'PP - Data'!N28</f>
        <v/>
      </c>
      <c r="O14" s="36" t="str">
        <f>'PP - Data'!O28</f>
        <v/>
      </c>
      <c r="P14" s="36" t="str">
        <f>'PP - Data'!P28</f>
        <v/>
      </c>
      <c r="Q14" s="36" t="str">
        <f>'PP - Data'!Q28</f>
        <v/>
      </c>
      <c r="R14" s="36" t="str">
        <f>'PP - Data'!R28</f>
        <v/>
      </c>
      <c r="S14" s="36" t="str">
        <f>'PP - Data'!S28</f>
        <v/>
      </c>
      <c r="T14" s="36">
        <f>'PP - Data'!T28</f>
        <v>0.0012292563</v>
      </c>
      <c r="U14" s="36">
        <f>'PP - Data'!U28</f>
        <v>0.0006176652254</v>
      </c>
      <c r="V14" s="36">
        <f>'PP - Data'!V28</f>
        <v>0.0004180602007</v>
      </c>
      <c r="W14" s="36">
        <f>'PP - Data'!W28</f>
        <v>0.002095703807</v>
      </c>
      <c r="X14" s="36">
        <f>'PP - Data'!X28</f>
        <v>0.008829300196</v>
      </c>
      <c r="Y14" s="36">
        <f>'PP - Data'!Y28</f>
        <v>0.007657945118</v>
      </c>
      <c r="Z14" s="36">
        <f>'PP - Data'!Z28</f>
        <v>0.005434782609</v>
      </c>
      <c r="AA14" s="36">
        <f>'PP - Data'!AA28</f>
        <v>0.005977130977</v>
      </c>
      <c r="AB14" s="36">
        <f>'PP - Data'!AB28</f>
        <v>0.005241935484</v>
      </c>
      <c r="AC14" s="36">
        <f>'PP - Data'!AC28</f>
        <v>0.005166846071</v>
      </c>
      <c r="AD14" s="36">
        <f>'PP - Data'!AD28</f>
        <v>0.007224940266</v>
      </c>
      <c r="AE14" s="36">
        <f>'PP - Data'!AE28</f>
        <v>0.01129819958</v>
      </c>
      <c r="AF14" s="36">
        <f>'PP - Data'!AF28</f>
        <v>0.008896077638</v>
      </c>
      <c r="AG14" s="36">
        <f>'PP - Data'!AG28</f>
        <v>0.008552779653</v>
      </c>
      <c r="AH14" s="36">
        <f>'PP - Data'!AH28</f>
        <v>0.009473946647</v>
      </c>
      <c r="AI14" s="36">
        <f>'PP - Data'!AI28</f>
        <v>0.0126984127</v>
      </c>
      <c r="AJ14" s="36">
        <f>'PP - Data'!AJ28</f>
        <v>0.01155592241</v>
      </c>
      <c r="AK14" s="36">
        <f>'PP - Data'!AK28</f>
        <v>0.01026694045</v>
      </c>
      <c r="AL14" s="36">
        <f>'PP - Data'!AL28</f>
        <v>0.009573542211</v>
      </c>
      <c r="AM14" s="36">
        <f>'PP - Data'!AM28</f>
        <v>0.01207243461</v>
      </c>
      <c r="AN14" s="36">
        <f>'PP - Data'!AN28</f>
        <v>0.01354401806</v>
      </c>
      <c r="AO14" s="36">
        <f>'PP - Data'!AO28</f>
        <v>0.006272401434</v>
      </c>
      <c r="AP14" s="36">
        <f>'PP - Data'!AP28</f>
        <v>0.004814514494</v>
      </c>
      <c r="AQ14" s="36">
        <f>'PP - Data'!AQ28</f>
        <v>0.008221609754</v>
      </c>
      <c r="AR14" s="36">
        <f>'PP - Data'!AR28</f>
        <v>0.008351893096</v>
      </c>
      <c r="AS14" s="36">
        <f>'PP - Data'!AS28</f>
        <v>0.008909730363</v>
      </c>
      <c r="AT14" s="36">
        <f>'PP - Data'!AT28</f>
        <v>0.009189997863</v>
      </c>
      <c r="AU14" s="36">
        <f>'PP - Data'!AU28</f>
        <v>0.008573784007</v>
      </c>
      <c r="AV14" s="36">
        <f>'PP - Data'!AV28</f>
        <v>0.01044668588</v>
      </c>
      <c r="AW14" s="36">
        <f>'PP - Data'!AW28</f>
        <v>0.01108936725</v>
      </c>
      <c r="AX14" s="36">
        <f>'PP - Data'!AX28</f>
        <v>0.009873060649</v>
      </c>
      <c r="AY14" s="36">
        <f>'PP - Data'!AY28</f>
        <v>0.01489505755</v>
      </c>
      <c r="AZ14" s="36">
        <f>'PP - Data'!AZ28</f>
        <v>0.01989467525</v>
      </c>
      <c r="BA14" s="36">
        <f>'PP - Data'!BA28</f>
        <v>0.01339285714</v>
      </c>
      <c r="BB14" s="36">
        <f>'PP - Data'!BB28</f>
        <v>0.007723140092</v>
      </c>
      <c r="BC14" s="36">
        <f>'PP - Data'!BC28</f>
        <v>0.007947186948</v>
      </c>
      <c r="BD14" s="36">
        <f>'PP - Data'!BD28</f>
        <v>0.004661016949</v>
      </c>
      <c r="BE14" s="36">
        <f>'PP - Data'!BE28</f>
        <v>0.0101986044</v>
      </c>
      <c r="BF14" s="36">
        <f>'PP - Data'!BF28</f>
        <v>0.007930785869</v>
      </c>
      <c r="BG14" s="36">
        <f>'PP - Data'!BG28</f>
        <v>0.01197126895</v>
      </c>
      <c r="BH14" s="36">
        <f>'PP - Data'!BH28</f>
        <v>0.01286048324</v>
      </c>
      <c r="BI14" s="36" t="str">
        <f>'PP - Data'!BI28</f>
        <v/>
      </c>
      <c r="BJ14" s="36" t="str">
        <f>'PP - Data'!BJ28</f>
        <v/>
      </c>
      <c r="BK14" s="36" t="str">
        <f>'PP - Data'!BK28</f>
        <v/>
      </c>
      <c r="BL14" s="36" t="str">
        <f>'PP - Data'!BL28</f>
        <v/>
      </c>
      <c r="BM14" s="36" t="str">
        <f>'PP - Data'!BM28</f>
        <v/>
      </c>
      <c r="BN14" s="36" t="str">
        <f>'PP - Data'!BN28</f>
        <v/>
      </c>
      <c r="BO14" s="36" t="str">
        <f>'PP - Data'!BO28</f>
        <v/>
      </c>
      <c r="BP14" s="34"/>
      <c r="BQ14" s="50"/>
    </row>
    <row r="15">
      <c r="A15" s="51" t="s">
        <v>17</v>
      </c>
      <c r="B15" s="36" t="str">
        <f>'PP - Data'!B29</f>
        <v/>
      </c>
      <c r="C15" s="36" t="str">
        <f>'PP - Data'!C29</f>
        <v/>
      </c>
      <c r="D15" s="36" t="str">
        <f>'PP - Data'!D29</f>
        <v/>
      </c>
      <c r="E15" s="36" t="str">
        <f>'PP - Data'!E29</f>
        <v/>
      </c>
      <c r="F15" s="36" t="str">
        <f>'PP - Data'!F29</f>
        <v/>
      </c>
      <c r="G15" s="36" t="str">
        <f>'PP - Data'!G29</f>
        <v/>
      </c>
      <c r="H15" s="36" t="str">
        <f>'PP - Data'!H29</f>
        <v/>
      </c>
      <c r="I15" s="36" t="str">
        <f>'PP - Data'!I29</f>
        <v/>
      </c>
      <c r="J15" s="36" t="str">
        <f>'PP - Data'!J29</f>
        <v/>
      </c>
      <c r="K15" s="36" t="str">
        <f>'PP - Data'!K29</f>
        <v/>
      </c>
      <c r="L15" s="36" t="str">
        <f>'PP - Data'!L29</f>
        <v/>
      </c>
      <c r="M15" s="36" t="str">
        <f>'PP - Data'!M29</f>
        <v/>
      </c>
      <c r="N15" s="36" t="str">
        <f>'PP - Data'!N29</f>
        <v/>
      </c>
      <c r="O15" s="36" t="str">
        <f>'PP - Data'!O29</f>
        <v/>
      </c>
      <c r="P15" s="36" t="str">
        <f>'PP - Data'!P29</f>
        <v/>
      </c>
      <c r="Q15" s="36" t="str">
        <f>'PP - Data'!Q29</f>
        <v/>
      </c>
      <c r="R15" s="36" t="str">
        <f>'PP - Data'!R29</f>
        <v/>
      </c>
      <c r="S15" s="36" t="str">
        <f>'PP - Data'!S29</f>
        <v/>
      </c>
      <c r="T15" s="36" t="str">
        <f>'PP - Data'!T29</f>
        <v/>
      </c>
      <c r="U15" s="36" t="str">
        <f>'PP - Data'!U29</f>
        <v/>
      </c>
      <c r="V15" s="36" t="str">
        <f>'PP - Data'!V29</f>
        <v/>
      </c>
      <c r="W15" s="36" t="str">
        <f>'PP - Data'!W29</f>
        <v/>
      </c>
      <c r="X15" s="36">
        <f>'PP - Data'!X29</f>
        <v>0.001308044474</v>
      </c>
      <c r="Y15" s="36">
        <f>'PP - Data'!Y29</f>
        <v>0.00191448628</v>
      </c>
      <c r="Z15" s="36">
        <f>'PP - Data'!Z29</f>
        <v>0.002717391304</v>
      </c>
      <c r="AA15" s="36">
        <f>'PP - Data'!AA29</f>
        <v>0.001819126819</v>
      </c>
      <c r="AB15" s="36">
        <f>'PP - Data'!AB29</f>
        <v>0.004032258065</v>
      </c>
      <c r="AC15" s="36">
        <f>'PP - Data'!AC29</f>
        <v>0.003444564047</v>
      </c>
      <c r="AD15" s="36">
        <f>'PP - Data'!AD29</f>
        <v>0.002560018205</v>
      </c>
      <c r="AE15" s="36">
        <f>'PP - Data'!AE29</f>
        <v>0.003790363729</v>
      </c>
      <c r="AF15" s="36">
        <f>'PP - Data'!AF29</f>
        <v>0.002830570158</v>
      </c>
      <c r="AG15" s="36">
        <f>'PP - Data'!AG29</f>
        <v>0.0009002925951</v>
      </c>
      <c r="AH15" s="36">
        <f>'PP - Data'!AH29</f>
        <v>0.006980802792</v>
      </c>
      <c r="AI15" s="36">
        <f>'PP - Data'!AI29</f>
        <v>0.005442176871</v>
      </c>
      <c r="AJ15" s="36">
        <f>'PP - Data'!AJ29</f>
        <v>0.002888980603</v>
      </c>
      <c r="AK15" s="36">
        <f>'PP - Data'!AK29</f>
        <v>0.003422313484</v>
      </c>
      <c r="AL15" s="36">
        <f>'PP - Data'!AL29</f>
        <v>0.0008703220191</v>
      </c>
      <c r="AM15" s="36">
        <f>'PP - Data'!AM29</f>
        <v>0.003018108652</v>
      </c>
      <c r="AN15" s="36">
        <f>'PP - Data'!AN29</f>
        <v>0</v>
      </c>
      <c r="AO15" s="36">
        <f>'PP - Data'!AO29</f>
        <v>0.005376344086</v>
      </c>
      <c r="AP15" s="36">
        <f>'PP - Data'!AP29</f>
        <v>0.001773768498</v>
      </c>
      <c r="AQ15" s="36">
        <f>'PP - Data'!AQ29</f>
        <v>0.002989676274</v>
      </c>
      <c r="AR15" s="36">
        <f>'PP - Data'!AR29</f>
        <v>0.003340757238</v>
      </c>
      <c r="AS15" s="36">
        <f>'PP - Data'!AS29</f>
        <v>0.002813599062</v>
      </c>
      <c r="AT15" s="36">
        <f>'PP - Data'!AT29</f>
        <v>0.00384697585</v>
      </c>
      <c r="AU15" s="36">
        <f>'PP - Data'!AU29</f>
        <v>0.001648804617</v>
      </c>
      <c r="AV15" s="36">
        <f>'PP - Data'!AV29</f>
        <v>0.00144092219</v>
      </c>
      <c r="AW15" s="36">
        <f>'PP - Data'!AW29</f>
        <v>0.001956947162</v>
      </c>
      <c r="AX15" s="36">
        <f>'PP - Data'!AX29</f>
        <v>0.004231311707</v>
      </c>
      <c r="AY15" s="36">
        <f>'PP - Data'!AY29</f>
        <v>0.005416384563</v>
      </c>
      <c r="AZ15" s="36">
        <f>'PP - Data'!AZ29</f>
        <v>0.006143943827</v>
      </c>
      <c r="BA15" s="36">
        <f>'PP - Data'!BA29</f>
        <v>0.00744047619</v>
      </c>
      <c r="BB15" s="36">
        <f>'PP - Data'!BB29</f>
        <v>0.002199628507</v>
      </c>
      <c r="BC15" s="36">
        <f>'PP - Data'!BC29</f>
        <v>0.002817256749</v>
      </c>
      <c r="BD15" s="36">
        <f>'PP - Data'!BD29</f>
        <v>0.002542372881</v>
      </c>
      <c r="BE15" s="36">
        <f>'PP - Data'!BE29</f>
        <v>0.001610305958</v>
      </c>
      <c r="BF15" s="36">
        <f>'PP - Data'!BF29</f>
        <v>0.003604902668</v>
      </c>
      <c r="BG15" s="36">
        <f>'PP - Data'!BG29</f>
        <v>0.002394253791</v>
      </c>
      <c r="BH15" s="36">
        <f>'PP - Data'!BH29</f>
        <v>0.004286827747</v>
      </c>
      <c r="BI15" s="36" t="str">
        <f>'PP - Data'!BI29</f>
        <v/>
      </c>
      <c r="BJ15" s="36" t="str">
        <f>'PP - Data'!BJ29</f>
        <v/>
      </c>
      <c r="BK15" s="36" t="str">
        <f>'PP - Data'!BK29</f>
        <v/>
      </c>
      <c r="BL15" s="36" t="str">
        <f>'PP - Data'!BL29</f>
        <v/>
      </c>
      <c r="BM15" s="36" t="str">
        <f>'PP - Data'!BM29</f>
        <v/>
      </c>
      <c r="BN15" s="36" t="str">
        <f>'PP - Data'!BN29</f>
        <v/>
      </c>
      <c r="BO15" s="36" t="str">
        <f>'PP - Data'!BO29</f>
        <v/>
      </c>
      <c r="BP15" s="54"/>
      <c r="BQ15" s="55"/>
    </row>
    <row r="18">
      <c r="A18" s="72" t="s">
        <v>23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76"/>
      <c r="BQ18" s="77"/>
    </row>
    <row r="19">
      <c r="A19" s="78" t="s">
        <v>20</v>
      </c>
      <c r="B19" s="100" t="str">
        <f>'PP - Data'!B38</f>
        <v/>
      </c>
      <c r="C19" s="100" t="str">
        <f>'PP - Data'!C38</f>
        <v/>
      </c>
      <c r="D19" s="100" t="str">
        <f>'PP - Data'!D38</f>
        <v/>
      </c>
      <c r="E19" s="100" t="str">
        <f>'PP - Data'!E38</f>
        <v/>
      </c>
      <c r="F19" s="100" t="str">
        <f>'PP - Data'!F38</f>
        <v/>
      </c>
      <c r="G19" s="100" t="str">
        <f>'PP - Data'!G38</f>
        <v/>
      </c>
      <c r="H19" s="100" t="str">
        <f>'PP - Data'!H38</f>
        <v/>
      </c>
      <c r="I19" s="100" t="str">
        <f>'PP - Data'!I38</f>
        <v/>
      </c>
      <c r="J19" s="100" t="str">
        <f>'PP - Data'!J38</f>
        <v/>
      </c>
      <c r="K19" s="100" t="str">
        <f>'PP - Data'!K38</f>
        <v/>
      </c>
      <c r="L19" s="100" t="str">
        <f>'PP - Data'!L38</f>
        <v/>
      </c>
      <c r="M19" s="100" t="str">
        <f>'PP - Data'!M38</f>
        <v/>
      </c>
      <c r="N19" s="100" t="str">
        <f>'PP - Data'!N38</f>
        <v/>
      </c>
      <c r="O19" s="100" t="str">
        <f>'PP - Data'!O38</f>
        <v/>
      </c>
      <c r="P19" s="100" t="str">
        <f>'PP - Data'!P38</f>
        <v/>
      </c>
      <c r="Q19" s="100" t="str">
        <f>'PP - Data'!Q38</f>
        <v/>
      </c>
      <c r="R19" s="100" t="str">
        <f>'PP - Data'!R38</f>
        <v/>
      </c>
      <c r="S19" s="100" t="str">
        <f>'PP - Data'!S38</f>
        <v/>
      </c>
      <c r="T19" s="100" t="str">
        <f>'PP - Data'!T38</f>
        <v/>
      </c>
      <c r="U19" s="100" t="str">
        <f>'PP - Data'!U38</f>
        <v/>
      </c>
      <c r="V19" s="100" t="str">
        <f>'PP - Data'!V38</f>
        <v/>
      </c>
      <c r="W19" s="100" t="str">
        <f>'PP - Data'!W38</f>
        <v/>
      </c>
      <c r="X19" s="100" t="str">
        <f>'PP - Data'!X38</f>
        <v/>
      </c>
      <c r="Y19" s="100" t="str">
        <f>'PP - Data'!Y38</f>
        <v/>
      </c>
      <c r="Z19" s="100" t="str">
        <f>'PP - Data'!Z38</f>
        <v/>
      </c>
      <c r="AA19" s="100" t="str">
        <f>'PP - Data'!AA38</f>
        <v/>
      </c>
      <c r="AB19" s="101" t="s">
        <v>20</v>
      </c>
      <c r="AC19" s="100">
        <f>'PP - Data'!AC38</f>
        <v>0.8155096936</v>
      </c>
      <c r="AD19" s="100">
        <f>'PP - Data'!AD38</f>
        <v>0.8671313198</v>
      </c>
      <c r="AE19" s="100">
        <f>'PP - Data'!AE38</f>
        <v>0.8451702091</v>
      </c>
      <c r="AF19" s="100">
        <f>'PP - Data'!AF38</f>
        <v>0.724522293</v>
      </c>
      <c r="AG19" s="100">
        <f>'PP - Data'!AG38</f>
        <v>0.7123197903</v>
      </c>
      <c r="AH19" s="100">
        <f>'PP - Data'!AH38</f>
        <v>0.7387127762</v>
      </c>
      <c r="AI19" s="100">
        <f>'PP - Data'!AI38</f>
        <v>0.7037037037</v>
      </c>
      <c r="AJ19" s="100">
        <f>'PP - Data'!AJ38</f>
        <v>0.7479270315</v>
      </c>
      <c r="AK19" s="100">
        <f>'PP - Data'!AK38</f>
        <v>0.7517401392</v>
      </c>
      <c r="AL19" s="100">
        <f>'PP - Data'!AL38</f>
        <v>0.7147435897</v>
      </c>
      <c r="AM19" s="100">
        <f>'PP - Data'!AM38</f>
        <v>0.7455830389</v>
      </c>
      <c r="AN19" s="100">
        <f>'PP - Data'!AN38</f>
        <v>0.7851851852</v>
      </c>
      <c r="AO19" s="100">
        <f>'PP - Data'!AO38</f>
        <v>0.757918552</v>
      </c>
      <c r="AP19" s="100">
        <f>'PP - Data'!AP38</f>
        <v>0.8645050462</v>
      </c>
      <c r="AQ19" s="100">
        <f>'PP - Data'!AQ38</f>
        <v>0.8568866012</v>
      </c>
      <c r="AR19" s="100">
        <f>'PP - Data'!AR38</f>
        <v>0.76328125</v>
      </c>
      <c r="AS19" s="100">
        <f>'PP - Data'!AS38</f>
        <v>0.7707622298</v>
      </c>
      <c r="AT19" s="100">
        <f>'PP - Data'!AT38</f>
        <v>0.7565320665</v>
      </c>
      <c r="AU19" s="100">
        <f>'PP - Data'!AU38</f>
        <v>0.7938026014</v>
      </c>
      <c r="AV19" s="100">
        <f>'PP - Data'!AV38</f>
        <v>0.7975319927</v>
      </c>
      <c r="AW19" s="100">
        <f>'PP - Data'!AW38</f>
        <v>0.8089976322</v>
      </c>
      <c r="AX19" s="100">
        <f>'PP - Data'!AX38</f>
        <v>0.7616580311</v>
      </c>
      <c r="AY19" s="100">
        <f>'PP - Data'!AY38</f>
        <v>0.7286821705</v>
      </c>
      <c r="AZ19" s="100">
        <f>'PP - Data'!AZ38</f>
        <v>0.6796315251</v>
      </c>
      <c r="BA19" s="100">
        <f>'PP - Data'!BA38</f>
        <v>0.7303921569</v>
      </c>
      <c r="BB19" s="100">
        <f>'PP - Data'!BB38</f>
        <v>0.8598612044</v>
      </c>
      <c r="BC19" s="100">
        <f>'PP - Data'!BC38</f>
        <v>0.8555115512</v>
      </c>
      <c r="BD19" s="100">
        <f>'PP - Data'!BD38</f>
        <v>0.772027972</v>
      </c>
      <c r="BE19" s="100">
        <f>'PP - Data'!BE38</f>
        <v>0.7680250784</v>
      </c>
      <c r="BF19" s="100">
        <f>'PP - Data'!BF38</f>
        <v>0.7978855721</v>
      </c>
      <c r="BG19" s="100">
        <f>'PP - Data'!BG38</f>
        <v>0.7969843834</v>
      </c>
      <c r="BH19" s="100">
        <f>'PP - Data'!BH38</f>
        <v>0.7758229285</v>
      </c>
      <c r="BI19" s="100" t="str">
        <f>'PP - Data'!BI38</f>
        <v/>
      </c>
      <c r="BJ19" s="100" t="str">
        <f>'PP - Data'!BJ38</f>
        <v/>
      </c>
      <c r="BK19" s="100" t="str">
        <f>'PP - Data'!BK38</f>
        <v/>
      </c>
      <c r="BL19" s="100" t="str">
        <f>'PP - Data'!BL38</f>
        <v/>
      </c>
      <c r="BM19" s="100" t="str">
        <f>'PP - Data'!BM38</f>
        <v/>
      </c>
      <c r="BN19" s="100" t="str">
        <f>'PP - Data'!BN38</f>
        <v/>
      </c>
      <c r="BO19" s="100" t="str">
        <f>'PP - Data'!BO38</f>
        <v/>
      </c>
      <c r="BP19" s="81"/>
      <c r="BQ19" s="82"/>
    </row>
    <row r="20">
      <c r="A20" s="78" t="s">
        <v>21</v>
      </c>
      <c r="B20" s="100" t="str">
        <f>'PP - Data'!B39</f>
        <v/>
      </c>
      <c r="C20" s="100" t="str">
        <f>'PP - Data'!C39</f>
        <v/>
      </c>
      <c r="D20" s="100" t="str">
        <f>'PP - Data'!D39</f>
        <v/>
      </c>
      <c r="E20" s="100" t="str">
        <f>'PP - Data'!E39</f>
        <v/>
      </c>
      <c r="F20" s="100" t="str">
        <f>'PP - Data'!F39</f>
        <v/>
      </c>
      <c r="G20" s="100" t="str">
        <f>'PP - Data'!G39</f>
        <v/>
      </c>
      <c r="H20" s="100" t="str">
        <f>'PP - Data'!H39</f>
        <v/>
      </c>
      <c r="I20" s="100" t="str">
        <f>'PP - Data'!I39</f>
        <v/>
      </c>
      <c r="J20" s="100" t="str">
        <f>'PP - Data'!J39</f>
        <v/>
      </c>
      <c r="K20" s="100" t="str">
        <f>'PP - Data'!K39</f>
        <v/>
      </c>
      <c r="L20" s="100" t="str">
        <f>'PP - Data'!L39</f>
        <v/>
      </c>
      <c r="M20" s="100" t="str">
        <f>'PP - Data'!M39</f>
        <v/>
      </c>
      <c r="N20" s="100" t="str">
        <f>'PP - Data'!N39</f>
        <v/>
      </c>
      <c r="O20" s="100" t="str">
        <f>'PP - Data'!O39</f>
        <v/>
      </c>
      <c r="P20" s="100" t="str">
        <f>'PP - Data'!P39</f>
        <v/>
      </c>
      <c r="Q20" s="100" t="str">
        <f>'PP - Data'!Q39</f>
        <v/>
      </c>
      <c r="R20" s="100" t="str">
        <f>'PP - Data'!R39</f>
        <v/>
      </c>
      <c r="S20" s="100" t="str">
        <f>'PP - Data'!S39</f>
        <v/>
      </c>
      <c r="T20" s="100" t="str">
        <f>'PP - Data'!T39</f>
        <v/>
      </c>
      <c r="U20" s="100" t="str">
        <f>'PP - Data'!U39</f>
        <v/>
      </c>
      <c r="V20" s="100" t="str">
        <f>'PP - Data'!V39</f>
        <v/>
      </c>
      <c r="W20" s="100" t="str">
        <f>'PP - Data'!W39</f>
        <v/>
      </c>
      <c r="X20" s="100" t="str">
        <f>'PP - Data'!X39</f>
        <v/>
      </c>
      <c r="Y20" s="100" t="str">
        <f>'PP - Data'!Y39</f>
        <v/>
      </c>
      <c r="Z20" s="100" t="str">
        <f>'PP - Data'!Z39</f>
        <v/>
      </c>
      <c r="AA20" s="100" t="str">
        <f>'PP - Data'!AA39</f>
        <v/>
      </c>
      <c r="AB20" s="101" t="s">
        <v>21</v>
      </c>
      <c r="AC20" s="100">
        <f>'PP - Data'!AC39</f>
        <v>0.06441525954</v>
      </c>
      <c r="AD20" s="100">
        <f>'PP - Data'!AD39</f>
        <v>0.0548733267</v>
      </c>
      <c r="AE20" s="100">
        <f>'PP - Data'!AE39</f>
        <v>0.06670122689</v>
      </c>
      <c r="AF20" s="100">
        <f>'PP - Data'!AF39</f>
        <v>0.1433121019</v>
      </c>
      <c r="AG20" s="100">
        <f>'PP - Data'!AG39</f>
        <v>0.129750983</v>
      </c>
      <c r="AH20" s="100">
        <f>'PP - Data'!AH39</f>
        <v>0.09317963497</v>
      </c>
      <c r="AI20" s="100">
        <f>'PP - Data'!AI39</f>
        <v>0.2098765432</v>
      </c>
      <c r="AJ20" s="100">
        <f>'PP - Data'!AJ39</f>
        <v>0.1160862355</v>
      </c>
      <c r="AK20" s="100">
        <f>'PP - Data'!AK39</f>
        <v>0.1392111369</v>
      </c>
      <c r="AL20" s="100">
        <f>'PP - Data'!AL39</f>
        <v>0.1282051282</v>
      </c>
      <c r="AM20" s="100">
        <f>'PP - Data'!AM39</f>
        <v>0.06713780919</v>
      </c>
      <c r="AN20" s="100">
        <f>'PP - Data'!AN39</f>
        <v>0.07407407407</v>
      </c>
      <c r="AO20" s="100">
        <f>'PP - Data'!AO39</f>
        <v>0.06561085973</v>
      </c>
      <c r="AP20" s="100">
        <f>'PP - Data'!AP39</f>
        <v>0.04502183094</v>
      </c>
      <c r="AQ20" s="100">
        <f>'PP - Data'!AQ39</f>
        <v>0.04422087038</v>
      </c>
      <c r="AR20" s="100">
        <f>'PP - Data'!AR39</f>
        <v>0.10234375</v>
      </c>
      <c r="AS20" s="100">
        <f>'PP - Data'!AS39</f>
        <v>0.09328782708</v>
      </c>
      <c r="AT20" s="100">
        <f>'PP - Data'!AT39</f>
        <v>0.09144893112</v>
      </c>
      <c r="AU20" s="100">
        <f>'PP - Data'!AU39</f>
        <v>0.08071920428</v>
      </c>
      <c r="AV20" s="100">
        <f>'PP - Data'!AV39</f>
        <v>0.0831809872</v>
      </c>
      <c r="AW20" s="100">
        <f>'PP - Data'!AW39</f>
        <v>0.0726124704</v>
      </c>
      <c r="AX20" s="100">
        <f>'PP - Data'!AX39</f>
        <v>0.07772020725</v>
      </c>
      <c r="AY20" s="100">
        <f>'PP - Data'!AY39</f>
        <v>0.142118863</v>
      </c>
      <c r="AZ20" s="100">
        <f>'PP - Data'!AZ39</f>
        <v>0.07676560901</v>
      </c>
      <c r="BA20" s="100">
        <f>'PP - Data'!BA39</f>
        <v>0.0931372549</v>
      </c>
      <c r="BB20" s="100">
        <f>'PP - Data'!BB39</f>
        <v>0.04238489665</v>
      </c>
      <c r="BC20" s="100">
        <f>'PP - Data'!BC39</f>
        <v>0.04105610561</v>
      </c>
      <c r="BD20" s="100">
        <f>'PP - Data'!BD39</f>
        <v>0.0951048951</v>
      </c>
      <c r="BE20" s="100">
        <f>'PP - Data'!BE39</f>
        <v>0.09404388715</v>
      </c>
      <c r="BF20" s="100">
        <f>'PP - Data'!BF39</f>
        <v>0.06405472637</v>
      </c>
      <c r="BG20" s="100">
        <f>'PP - Data'!BG39</f>
        <v>0.07754442649</v>
      </c>
      <c r="BH20" s="100">
        <f>'PP - Data'!BH39</f>
        <v>0.07434733258</v>
      </c>
      <c r="BI20" s="100" t="str">
        <f>'PP - Data'!BI39</f>
        <v/>
      </c>
      <c r="BJ20" s="100" t="str">
        <f>'PP - Data'!BJ39</f>
        <v/>
      </c>
      <c r="BK20" s="100" t="str">
        <f>'PP - Data'!BK39</f>
        <v/>
      </c>
      <c r="BL20" s="100" t="str">
        <f>'PP - Data'!BL39</f>
        <v/>
      </c>
      <c r="BM20" s="100" t="str">
        <f>'PP - Data'!BM39</f>
        <v/>
      </c>
      <c r="BN20" s="100" t="str">
        <f>'PP - Data'!BN39</f>
        <v/>
      </c>
      <c r="BO20" s="100" t="str">
        <f>'PP - Data'!BO39</f>
        <v/>
      </c>
      <c r="BP20" s="83"/>
      <c r="BQ20" s="82"/>
    </row>
    <row r="21">
      <c r="A21" s="84" t="s">
        <v>22</v>
      </c>
      <c r="B21" s="100" t="str">
        <f>'PP - Data'!B40</f>
        <v/>
      </c>
      <c r="C21" s="100" t="str">
        <f>'PP - Data'!C40</f>
        <v/>
      </c>
      <c r="D21" s="100" t="str">
        <f>'PP - Data'!D40</f>
        <v/>
      </c>
      <c r="E21" s="100" t="str">
        <f>'PP - Data'!E40</f>
        <v/>
      </c>
      <c r="F21" s="100" t="str">
        <f>'PP - Data'!F40</f>
        <v/>
      </c>
      <c r="G21" s="100" t="str">
        <f>'PP - Data'!G40</f>
        <v/>
      </c>
      <c r="H21" s="100" t="str">
        <f>'PP - Data'!H40</f>
        <v/>
      </c>
      <c r="I21" s="100" t="str">
        <f>'PP - Data'!I40</f>
        <v/>
      </c>
      <c r="J21" s="100" t="str">
        <f>'PP - Data'!J40</f>
        <v/>
      </c>
      <c r="K21" s="100" t="str">
        <f>'PP - Data'!K40</f>
        <v/>
      </c>
      <c r="L21" s="100" t="str">
        <f>'PP - Data'!L40</f>
        <v/>
      </c>
      <c r="M21" s="100" t="str">
        <f>'PP - Data'!M40</f>
        <v/>
      </c>
      <c r="N21" s="100" t="str">
        <f>'PP - Data'!N40</f>
        <v/>
      </c>
      <c r="O21" s="100" t="str">
        <f>'PP - Data'!O40</f>
        <v/>
      </c>
      <c r="P21" s="100" t="str">
        <f>'PP - Data'!P40</f>
        <v/>
      </c>
      <c r="Q21" s="100" t="str">
        <f>'PP - Data'!Q40</f>
        <v/>
      </c>
      <c r="R21" s="100" t="str">
        <f>'PP - Data'!R40</f>
        <v/>
      </c>
      <c r="S21" s="100" t="str">
        <f>'PP - Data'!S40</f>
        <v/>
      </c>
      <c r="T21" s="100" t="str">
        <f>'PP - Data'!T40</f>
        <v/>
      </c>
      <c r="U21" s="100" t="str">
        <f>'PP - Data'!U40</f>
        <v/>
      </c>
      <c r="V21" s="100" t="str">
        <f>'PP - Data'!V40</f>
        <v/>
      </c>
      <c r="W21" s="100" t="str">
        <f>'PP - Data'!W40</f>
        <v/>
      </c>
      <c r="X21" s="100" t="str">
        <f>'PP - Data'!X40</f>
        <v/>
      </c>
      <c r="Y21" s="100" t="str">
        <f>'PP - Data'!Y40</f>
        <v/>
      </c>
      <c r="Z21" s="100" t="str">
        <f>'PP - Data'!Z40</f>
        <v/>
      </c>
      <c r="AA21" s="100" t="str">
        <f>'PP - Data'!AA40</f>
        <v/>
      </c>
      <c r="AB21" s="101" t="s">
        <v>22</v>
      </c>
      <c r="AC21" s="100">
        <f>'PP - Data'!AC40</f>
        <v>0.1200750469</v>
      </c>
      <c r="AD21" s="100">
        <f>'PP - Data'!AD40</f>
        <v>0.07799535347</v>
      </c>
      <c r="AE21" s="100">
        <f>'PP - Data'!AE40</f>
        <v>0.08812856402</v>
      </c>
      <c r="AF21" s="100">
        <f>'PP - Data'!AF40</f>
        <v>0.1321656051</v>
      </c>
      <c r="AG21" s="100">
        <f>'PP - Data'!AG40</f>
        <v>0.1579292267</v>
      </c>
      <c r="AH21" s="100">
        <f>'PP - Data'!AH40</f>
        <v>0.1681075889</v>
      </c>
      <c r="AI21" s="100">
        <f>'PP - Data'!AI40</f>
        <v>0.08641975309</v>
      </c>
      <c r="AJ21" s="100">
        <f>'PP - Data'!AJ40</f>
        <v>0.135986733</v>
      </c>
      <c r="AK21" s="100">
        <f>'PP - Data'!AK40</f>
        <v>0.1090487239</v>
      </c>
      <c r="AL21" s="100">
        <f>'PP - Data'!AL40</f>
        <v>0.1570512821</v>
      </c>
      <c r="AM21" s="100">
        <f>'PP - Data'!AM40</f>
        <v>0.1872791519</v>
      </c>
      <c r="AN21" s="100">
        <f>'PP - Data'!AN40</f>
        <v>0.1407407407</v>
      </c>
      <c r="AO21" s="100">
        <f>'PP - Data'!AO40</f>
        <v>0.1764705882</v>
      </c>
      <c r="AP21" s="100">
        <f>'PP - Data'!AP40</f>
        <v>0.0904731229</v>
      </c>
      <c r="AQ21" s="100">
        <f>'PP - Data'!AQ40</f>
        <v>0.09889252847</v>
      </c>
      <c r="AR21" s="100">
        <f>'PP - Data'!AR40</f>
        <v>0.134375</v>
      </c>
      <c r="AS21" s="100">
        <f>'PP - Data'!AS40</f>
        <v>0.1359499431</v>
      </c>
      <c r="AT21" s="100">
        <f>'PP - Data'!AT40</f>
        <v>0.1520190024</v>
      </c>
      <c r="AU21" s="100">
        <f>'PP - Data'!AU40</f>
        <v>0.1254781943</v>
      </c>
      <c r="AV21" s="100">
        <f>'PP - Data'!AV40</f>
        <v>0.1192870201</v>
      </c>
      <c r="AW21" s="100">
        <f>'PP - Data'!AW40</f>
        <v>0.1183898974</v>
      </c>
      <c r="AX21" s="100">
        <f>'PP - Data'!AX40</f>
        <v>0.1606217617</v>
      </c>
      <c r="AY21" s="100">
        <f>'PP - Data'!AY40</f>
        <v>0.1291989664</v>
      </c>
      <c r="AZ21" s="100">
        <f>'PP - Data'!AZ40</f>
        <v>0.2436028659</v>
      </c>
      <c r="BA21" s="100">
        <f>'PP - Data'!BA40</f>
        <v>0.1764705882</v>
      </c>
      <c r="BB21" s="100">
        <f>'PP - Data'!BB40</f>
        <v>0.09775389896</v>
      </c>
      <c r="BC21" s="100">
        <f>'PP - Data'!BC40</f>
        <v>0.1034323432</v>
      </c>
      <c r="BD21" s="100">
        <f>'PP - Data'!BD40</f>
        <v>0.1328671329</v>
      </c>
      <c r="BE21" s="100">
        <f>'PP - Data'!BE40</f>
        <v>0.1379310345</v>
      </c>
      <c r="BF21" s="100">
        <f>'PP - Data'!BF40</f>
        <v>0.1380597015</v>
      </c>
      <c r="BG21" s="100">
        <f>'PP - Data'!BG40</f>
        <v>0.1254711901</v>
      </c>
      <c r="BH21" s="100">
        <f>'PP - Data'!BH40</f>
        <v>0.1498297389</v>
      </c>
      <c r="BI21" s="100" t="str">
        <f>'PP - Data'!BI40</f>
        <v/>
      </c>
      <c r="BJ21" s="100" t="str">
        <f>'PP - Data'!BJ40</f>
        <v/>
      </c>
      <c r="BK21" s="100" t="str">
        <f>'PP - Data'!BK40</f>
        <v/>
      </c>
      <c r="BL21" s="100" t="str">
        <f>'PP - Data'!BL40</f>
        <v/>
      </c>
      <c r="BM21" s="100" t="str">
        <f>'PP - Data'!BM40</f>
        <v/>
      </c>
      <c r="BN21" s="100" t="str">
        <f>'PP - Data'!BN40</f>
        <v/>
      </c>
      <c r="BO21" s="100" t="str">
        <f>'PP - Data'!BO40</f>
        <v/>
      </c>
      <c r="BP21" s="83"/>
      <c r="BQ21" s="82"/>
    </row>
    <row r="24">
      <c r="A24" s="72" t="s">
        <v>29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81"/>
      <c r="BQ24" s="82"/>
    </row>
    <row r="25">
      <c r="A25" s="78" t="s">
        <v>25</v>
      </c>
      <c r="B25" s="100" t="str">
        <f>'PP - Data'!B50</f>
        <v/>
      </c>
      <c r="C25" s="100" t="str">
        <f>'PP - Data'!C50</f>
        <v/>
      </c>
      <c r="D25" s="100" t="str">
        <f>'PP - Data'!D50</f>
        <v/>
      </c>
      <c r="E25" s="100" t="str">
        <f>'PP - Data'!E50</f>
        <v/>
      </c>
      <c r="F25" s="100" t="str">
        <f>'PP - Data'!F50</f>
        <v/>
      </c>
      <c r="G25" s="100" t="str">
        <f>'PP - Data'!G50</f>
        <v/>
      </c>
      <c r="H25" s="100" t="str">
        <f>'PP - Data'!H50</f>
        <v/>
      </c>
      <c r="I25" s="100" t="str">
        <f>'PP - Data'!I50</f>
        <v/>
      </c>
      <c r="J25" s="100" t="str">
        <f>'PP - Data'!J50</f>
        <v/>
      </c>
      <c r="K25" s="100" t="str">
        <f>'PP - Data'!K50</f>
        <v/>
      </c>
      <c r="L25" s="100" t="str">
        <f>'PP - Data'!L50</f>
        <v/>
      </c>
      <c r="M25" s="100" t="str">
        <f>'PP - Data'!M50</f>
        <v/>
      </c>
      <c r="N25" s="100" t="str">
        <f>'PP - Data'!N50</f>
        <v/>
      </c>
      <c r="O25" s="100" t="str">
        <f>'PP - Data'!O50</f>
        <v/>
      </c>
      <c r="P25" s="100" t="str">
        <f>'PP - Data'!P50</f>
        <v/>
      </c>
      <c r="Q25" s="100" t="str">
        <f>'PP - Data'!Q50</f>
        <v/>
      </c>
      <c r="R25" s="100" t="str">
        <f>'PP - Data'!R50</f>
        <v/>
      </c>
      <c r="S25" s="100" t="str">
        <f>'PP - Data'!S50</f>
        <v/>
      </c>
      <c r="T25" s="100" t="str">
        <f>'PP - Data'!T50</f>
        <v/>
      </c>
      <c r="U25" s="100" t="str">
        <f>'PP - Data'!U50</f>
        <v/>
      </c>
      <c r="V25" s="100" t="str">
        <f>'PP - Data'!V50</f>
        <v/>
      </c>
      <c r="W25" s="100" t="str">
        <f>'PP - Data'!W50</f>
        <v/>
      </c>
      <c r="X25" s="100" t="str">
        <f>'PP - Data'!X50</f>
        <v/>
      </c>
      <c r="Y25" s="100" t="str">
        <f>'PP - Data'!Y50</f>
        <v/>
      </c>
      <c r="Z25" s="100" t="str">
        <f>'PP - Data'!Z50</f>
        <v/>
      </c>
      <c r="AA25" s="100" t="str">
        <f>'PP - Data'!AA50</f>
        <v/>
      </c>
      <c r="AB25" s="100" t="str">
        <f>'PP - Data'!AB50</f>
        <v/>
      </c>
      <c r="AC25" s="101" t="s">
        <v>25</v>
      </c>
      <c r="AD25" s="100">
        <f>'PP - Data'!AD50</f>
        <v>0.04671920232</v>
      </c>
      <c r="AE25" s="100">
        <f>'PP - Data'!AE50</f>
        <v>0.04599030379</v>
      </c>
      <c r="AF25" s="100">
        <f>'PP - Data'!AF50</f>
        <v>0.2871607938</v>
      </c>
      <c r="AG25" s="100">
        <f>'PP - Data'!AG50</f>
        <v>0.3192201368</v>
      </c>
      <c r="AH25" s="100">
        <f>'PP - Data'!AH50</f>
        <v>0.2866390471</v>
      </c>
      <c r="AI25" s="100">
        <f>'PP - Data'!AI50</f>
        <v>0.2454780362</v>
      </c>
      <c r="AJ25" s="100">
        <f>'PP - Data'!AJ50</f>
        <v>0.170229612</v>
      </c>
      <c r="AK25" s="100">
        <f>'PP - Data'!AK50</f>
        <v>0.1703146375</v>
      </c>
      <c r="AL25" s="100">
        <f>'PP - Data'!AL50</f>
        <v>0.2811140122</v>
      </c>
      <c r="AM25" s="100">
        <f>'PP - Data'!AM50</f>
        <v>0.2575452716</v>
      </c>
      <c r="AN25" s="100">
        <f>'PP - Data'!AN50</f>
        <v>0.2708803612</v>
      </c>
      <c r="AO25" s="100">
        <f>'PP - Data'!AO50</f>
        <v>0.267921147</v>
      </c>
      <c r="AP25" s="100">
        <f>'PP - Data'!AP50</f>
        <v>0.05518953983</v>
      </c>
      <c r="AQ25" s="100">
        <f>'PP - Data'!AQ50</f>
        <v>0.05727098613</v>
      </c>
      <c r="AR25" s="100">
        <f>'PP - Data'!AR50</f>
        <v>0.291481069</v>
      </c>
      <c r="AS25" s="100">
        <f>'PP - Data'!AS50</f>
        <v>0.2656506448</v>
      </c>
      <c r="AT25" s="100">
        <f>'PP - Data'!AT50</f>
        <v>0.3034836504</v>
      </c>
      <c r="AU25" s="100">
        <f>'PP - Data'!AU50</f>
        <v>0.2263808739</v>
      </c>
      <c r="AV25" s="100">
        <f>'PP - Data'!AV50</f>
        <v>0.1822766571</v>
      </c>
      <c r="AW25" s="100">
        <f>'PP - Data'!AW50</f>
        <v>0.1803652968</v>
      </c>
      <c r="AX25" s="100">
        <f>'PP - Data'!AX50</f>
        <v>0.2905500705</v>
      </c>
      <c r="AY25" s="100">
        <f>'PP - Data'!AY50</f>
        <v>0.2579553148</v>
      </c>
      <c r="AZ25" s="100">
        <f>'PP - Data'!AZ50</f>
        <v>0.07511737089</v>
      </c>
      <c r="BA25" s="100">
        <f>'PP - Data'!BA50</f>
        <v>0.02716049383</v>
      </c>
      <c r="BB25" s="100">
        <f>'PP - Data'!BB50</f>
        <v>0.01248913988</v>
      </c>
      <c r="BC25" s="100">
        <f>'PP - Data'!BC50</f>
        <v>0.01606722379</v>
      </c>
      <c r="BD25" s="100">
        <f>'PP - Data'!BD50</f>
        <v>0.03696303696</v>
      </c>
      <c r="BE25" s="100">
        <f>'PP - Data'!BE50</f>
        <v>0.03284258211</v>
      </c>
      <c r="BF25" s="100">
        <f>'PP - Data'!BF50</f>
        <v>0.0446991404</v>
      </c>
      <c r="BG25" s="100">
        <f>'PP - Data'!BG50</f>
        <v>0.02500880592</v>
      </c>
      <c r="BH25" s="100">
        <f>'PP - Data'!BH50</f>
        <v>0.0276119403</v>
      </c>
      <c r="BI25" s="100" t="str">
        <f>'PP - Data'!BI50</f>
        <v/>
      </c>
      <c r="BJ25" s="100" t="str">
        <f>'PP - Data'!BJ50</f>
        <v/>
      </c>
      <c r="BK25" s="100" t="str">
        <f>'PP - Data'!BK50</f>
        <v/>
      </c>
      <c r="BL25" s="100" t="str">
        <f>'PP - Data'!BL50</f>
        <v/>
      </c>
      <c r="BM25" s="100" t="str">
        <f>'PP - Data'!BM50</f>
        <v/>
      </c>
      <c r="BN25" s="100" t="str">
        <f>'PP - Data'!BN50</f>
        <v/>
      </c>
      <c r="BO25" s="100" t="str">
        <f>'PP - Data'!BO50</f>
        <v/>
      </c>
      <c r="BP25" s="81"/>
      <c r="BQ25" s="82"/>
    </row>
    <row r="26">
      <c r="A26" s="78" t="s">
        <v>26</v>
      </c>
      <c r="B26" s="100" t="str">
        <f>'PP - Data'!B51</f>
        <v/>
      </c>
      <c r="C26" s="100" t="str">
        <f>'PP - Data'!C51</f>
        <v/>
      </c>
      <c r="D26" s="100" t="str">
        <f>'PP - Data'!D51</f>
        <v/>
      </c>
      <c r="E26" s="100" t="str">
        <f>'PP - Data'!E51</f>
        <v/>
      </c>
      <c r="F26" s="100" t="str">
        <f>'PP - Data'!F51</f>
        <v/>
      </c>
      <c r="G26" s="100" t="str">
        <f>'PP - Data'!G51</f>
        <v/>
      </c>
      <c r="H26" s="100" t="str">
        <f>'PP - Data'!H51</f>
        <v/>
      </c>
      <c r="I26" s="100" t="str">
        <f>'PP - Data'!I51</f>
        <v/>
      </c>
      <c r="J26" s="100" t="str">
        <f>'PP - Data'!J51</f>
        <v/>
      </c>
      <c r="K26" s="100" t="str">
        <f>'PP - Data'!K51</f>
        <v/>
      </c>
      <c r="L26" s="100" t="str">
        <f>'PP - Data'!L51</f>
        <v/>
      </c>
      <c r="M26" s="100" t="str">
        <f>'PP - Data'!M51</f>
        <v/>
      </c>
      <c r="N26" s="100" t="str">
        <f>'PP - Data'!N51</f>
        <v/>
      </c>
      <c r="O26" s="100" t="str">
        <f>'PP - Data'!O51</f>
        <v/>
      </c>
      <c r="P26" s="100" t="str">
        <f>'PP - Data'!P51</f>
        <v/>
      </c>
      <c r="Q26" s="100" t="str">
        <f>'PP - Data'!Q51</f>
        <v/>
      </c>
      <c r="R26" s="100" t="str">
        <f>'PP - Data'!R51</f>
        <v/>
      </c>
      <c r="S26" s="100" t="str">
        <f>'PP - Data'!S51</f>
        <v/>
      </c>
      <c r="T26" s="100" t="str">
        <f>'PP - Data'!T51</f>
        <v/>
      </c>
      <c r="U26" s="100" t="str">
        <f>'PP - Data'!U51</f>
        <v/>
      </c>
      <c r="V26" s="100" t="str">
        <f>'PP - Data'!V51</f>
        <v/>
      </c>
      <c r="W26" s="100" t="str">
        <f>'PP - Data'!W51</f>
        <v/>
      </c>
      <c r="X26" s="100" t="str">
        <f>'PP - Data'!X51</f>
        <v/>
      </c>
      <c r="Y26" s="100" t="str">
        <f>'PP - Data'!Y51</f>
        <v/>
      </c>
      <c r="Z26" s="100" t="str">
        <f>'PP - Data'!Z51</f>
        <v/>
      </c>
      <c r="AA26" s="100" t="str">
        <f>'PP - Data'!AA51</f>
        <v/>
      </c>
      <c r="AB26" s="100" t="str">
        <f>'PP - Data'!AB51</f>
        <v/>
      </c>
      <c r="AC26" s="101" t="s">
        <v>26</v>
      </c>
      <c r="AD26" s="100">
        <f>'PP - Data'!AD51</f>
        <v>0.5139112255</v>
      </c>
      <c r="AE26" s="100">
        <f>'PP - Data'!AE51</f>
        <v>0.4690655162</v>
      </c>
      <c r="AF26" s="100">
        <f>'PP - Data'!AF51</f>
        <v>0.1960307817</v>
      </c>
      <c r="AG26" s="100">
        <f>'PP - Data'!AG51</f>
        <v>0.1331296377</v>
      </c>
      <c r="AH26" s="100">
        <f>'PP - Data'!AH51</f>
        <v>0.1703780425</v>
      </c>
      <c r="AI26" s="100">
        <f>'PP - Data'!AI51</f>
        <v>0.2273901809</v>
      </c>
      <c r="AJ26" s="100">
        <f>'PP - Data'!AJ51</f>
        <v>0.3836104513</v>
      </c>
      <c r="AK26" s="100">
        <f>'PP - Data'!AK51</f>
        <v>0.3262653899</v>
      </c>
      <c r="AL26" s="100">
        <f>'PP - Data'!AL51</f>
        <v>0.1740644038</v>
      </c>
      <c r="AM26" s="100">
        <f>'PP - Data'!AM51</f>
        <v>0.1820925553</v>
      </c>
      <c r="AN26" s="100">
        <f>'PP - Data'!AN51</f>
        <v>0.1760722348</v>
      </c>
      <c r="AO26" s="100">
        <f>'PP - Data'!AO51</f>
        <v>0.1559139785</v>
      </c>
      <c r="AP26" s="100">
        <f>'PP - Data'!AP51</f>
        <v>0.4441516319</v>
      </c>
      <c r="AQ26" s="100">
        <f>'PP - Data'!AQ51</f>
        <v>0.4745643948</v>
      </c>
      <c r="AR26" s="100">
        <f>'PP - Data'!AR51</f>
        <v>0.1567371938</v>
      </c>
      <c r="AS26" s="100">
        <f>'PP - Data'!AS51</f>
        <v>0.1570926143</v>
      </c>
      <c r="AT26" s="100">
        <f>'PP - Data'!AT51</f>
        <v>0.1320795042</v>
      </c>
      <c r="AU26" s="100">
        <f>'PP - Data'!AU51</f>
        <v>0.2191261336</v>
      </c>
      <c r="AV26" s="100">
        <f>'PP - Data'!AV51</f>
        <v>0.2658501441</v>
      </c>
      <c r="AW26" s="100">
        <f>'PP - Data'!AW51</f>
        <v>0.287345075</v>
      </c>
      <c r="AX26" s="100">
        <f>'PP - Data'!AX51</f>
        <v>0.1579689704</v>
      </c>
      <c r="AY26" s="100">
        <f>'PP - Data'!AY51</f>
        <v>0.1665538253</v>
      </c>
      <c r="AZ26" s="100">
        <f>'PP - Data'!AZ51</f>
        <v>0.2136150235</v>
      </c>
      <c r="BA26" s="100">
        <f>'PP - Data'!BA51</f>
        <v>0.2839506173</v>
      </c>
      <c r="BB26" s="100">
        <f>'PP - Data'!BB51</f>
        <v>0.4195807993</v>
      </c>
      <c r="BC26" s="100">
        <f>'PP - Data'!BC51</f>
        <v>0.4203795189</v>
      </c>
      <c r="BD26" s="100">
        <f>'PP - Data'!BD51</f>
        <v>0.2937062937</v>
      </c>
      <c r="BE26" s="100">
        <f>'PP - Data'!BE51</f>
        <v>0.2412231031</v>
      </c>
      <c r="BF26" s="100">
        <f>'PP - Data'!BF51</f>
        <v>0.2693409742</v>
      </c>
      <c r="BG26" s="100">
        <f>'PP - Data'!BG51</f>
        <v>0.3258189503</v>
      </c>
      <c r="BH26" s="100">
        <f>'PP - Data'!BH51</f>
        <v>0.3014925373</v>
      </c>
      <c r="BI26" s="100" t="str">
        <f>'PP - Data'!BI51</f>
        <v/>
      </c>
      <c r="BJ26" s="100" t="str">
        <f>'PP - Data'!BJ51</f>
        <v/>
      </c>
      <c r="BK26" s="100" t="str">
        <f>'PP - Data'!BK51</f>
        <v/>
      </c>
      <c r="BL26" s="100" t="str">
        <f>'PP - Data'!BL51</f>
        <v/>
      </c>
      <c r="BM26" s="100" t="str">
        <f>'PP - Data'!BM51</f>
        <v/>
      </c>
      <c r="BN26" s="100" t="str">
        <f>'PP - Data'!BN51</f>
        <v/>
      </c>
      <c r="BO26" s="100" t="str">
        <f>'PP - Data'!BO51</f>
        <v/>
      </c>
      <c r="BP26" s="81"/>
      <c r="BQ26" s="82"/>
    </row>
    <row r="27">
      <c r="A27" s="78" t="s">
        <v>27</v>
      </c>
      <c r="B27" s="100" t="str">
        <f>'PP - Data'!B52</f>
        <v/>
      </c>
      <c r="C27" s="100" t="str">
        <f>'PP - Data'!C52</f>
        <v/>
      </c>
      <c r="D27" s="100" t="str">
        <f>'PP - Data'!D52</f>
        <v/>
      </c>
      <c r="E27" s="100" t="str">
        <f>'PP - Data'!E52</f>
        <v/>
      </c>
      <c r="F27" s="100" t="str">
        <f>'PP - Data'!F52</f>
        <v/>
      </c>
      <c r="G27" s="100" t="str">
        <f>'PP - Data'!G52</f>
        <v/>
      </c>
      <c r="H27" s="100" t="str">
        <f>'PP - Data'!H52</f>
        <v/>
      </c>
      <c r="I27" s="100" t="str">
        <f>'PP - Data'!I52</f>
        <v/>
      </c>
      <c r="J27" s="100" t="str">
        <f>'PP - Data'!J52</f>
        <v/>
      </c>
      <c r="K27" s="100" t="str">
        <f>'PP - Data'!K52</f>
        <v/>
      </c>
      <c r="L27" s="100" t="str">
        <f>'PP - Data'!L52</f>
        <v/>
      </c>
      <c r="M27" s="100" t="str">
        <f>'PP - Data'!M52</f>
        <v/>
      </c>
      <c r="N27" s="100" t="str">
        <f>'PP - Data'!N52</f>
        <v/>
      </c>
      <c r="O27" s="100" t="str">
        <f>'PP - Data'!O52</f>
        <v/>
      </c>
      <c r="P27" s="100" t="str">
        <f>'PP - Data'!P52</f>
        <v/>
      </c>
      <c r="Q27" s="100" t="str">
        <f>'PP - Data'!Q52</f>
        <v/>
      </c>
      <c r="R27" s="100" t="str">
        <f>'PP - Data'!R52</f>
        <v/>
      </c>
      <c r="S27" s="100" t="str">
        <f>'PP - Data'!S52</f>
        <v/>
      </c>
      <c r="T27" s="100" t="str">
        <f>'PP - Data'!T52</f>
        <v/>
      </c>
      <c r="U27" s="100" t="str">
        <f>'PP - Data'!U52</f>
        <v/>
      </c>
      <c r="V27" s="100" t="str">
        <f>'PP - Data'!V52</f>
        <v/>
      </c>
      <c r="W27" s="100" t="str">
        <f>'PP - Data'!W52</f>
        <v/>
      </c>
      <c r="X27" s="100" t="str">
        <f>'PP - Data'!X52</f>
        <v/>
      </c>
      <c r="Y27" s="100" t="str">
        <f>'PP - Data'!Y52</f>
        <v/>
      </c>
      <c r="Z27" s="100" t="str">
        <f>'PP - Data'!Z52</f>
        <v/>
      </c>
      <c r="AA27" s="100" t="str">
        <f>'PP - Data'!AA52</f>
        <v/>
      </c>
      <c r="AB27" s="100" t="str">
        <f>'PP - Data'!AB52</f>
        <v/>
      </c>
      <c r="AC27" s="101" t="s">
        <v>27</v>
      </c>
      <c r="AD27" s="100">
        <f>'PP - Data'!AD52</f>
        <v>0.2545030556</v>
      </c>
      <c r="AE27" s="100">
        <f>'PP - Data'!AE52</f>
        <v>0.2980029356</v>
      </c>
      <c r="AF27" s="100">
        <f>'PP - Data'!AF52</f>
        <v>0.205346294</v>
      </c>
      <c r="AG27" s="100">
        <f>'PP - Data'!AG52</f>
        <v>0.1737232649</v>
      </c>
      <c r="AH27" s="100">
        <f>'PP - Data'!AH52</f>
        <v>0.2032625583</v>
      </c>
      <c r="AI27" s="100">
        <f>'PP - Data'!AI52</f>
        <v>0.2118863049</v>
      </c>
      <c r="AJ27" s="100">
        <f>'PP - Data'!AJ52</f>
        <v>0.242280285</v>
      </c>
      <c r="AK27" s="100">
        <f>'PP - Data'!AK52</f>
        <v>0.2462380301</v>
      </c>
      <c r="AL27" s="100">
        <f>'PP - Data'!AL52</f>
        <v>0.1853785901</v>
      </c>
      <c r="AM27" s="100">
        <f>'PP - Data'!AM52</f>
        <v>0.185110664</v>
      </c>
      <c r="AN27" s="100">
        <f>'PP - Data'!AN52</f>
        <v>0.1941309255</v>
      </c>
      <c r="AO27" s="100">
        <f>'PP - Data'!AO52</f>
        <v>0.2177419355</v>
      </c>
      <c r="AP27" s="100">
        <f>'PP - Data'!AP52</f>
        <v>0.3226231502</v>
      </c>
      <c r="AQ27" s="100">
        <f>'PP - Data'!AQ52</f>
        <v>0.3031718597</v>
      </c>
      <c r="AR27" s="100">
        <f>'PP - Data'!AR52</f>
        <v>0.2146436526</v>
      </c>
      <c r="AS27" s="100">
        <f>'PP - Data'!AS52</f>
        <v>0.2675263775</v>
      </c>
      <c r="AT27" s="100">
        <f>'PP - Data'!AT52</f>
        <v>0.2141483223</v>
      </c>
      <c r="AU27" s="100">
        <f>'PP - Data'!AU52</f>
        <v>0.2793075021</v>
      </c>
      <c r="AV27" s="100">
        <f>'PP - Data'!AV52</f>
        <v>0.3326729107</v>
      </c>
      <c r="AW27" s="100">
        <f>'PP - Data'!AW52</f>
        <v>0.3140900196</v>
      </c>
      <c r="AX27" s="100">
        <f>'PP - Data'!AX52</f>
        <v>0.206629055</v>
      </c>
      <c r="AY27" s="100">
        <f>'PP - Data'!AY52</f>
        <v>0.2247799594</v>
      </c>
      <c r="AZ27" s="100">
        <f>'PP - Data'!AZ52</f>
        <v>0.4217527387</v>
      </c>
      <c r="BA27" s="100">
        <f>'PP - Data'!BA52</f>
        <v>0.3950617284</v>
      </c>
      <c r="BB27" s="100">
        <f>'PP - Data'!BB52</f>
        <v>0.3776064292</v>
      </c>
      <c r="BC27" s="100">
        <f>'PP - Data'!BC52</f>
        <v>0.3769795466</v>
      </c>
      <c r="BD27" s="100">
        <f>'PP - Data'!BD52</f>
        <v>0.3806193806</v>
      </c>
      <c r="BE27" s="100">
        <f>'PP - Data'!BE52</f>
        <v>0.4881087203</v>
      </c>
      <c r="BF27" s="100">
        <f>'PP - Data'!BF52</f>
        <v>0.4458452722</v>
      </c>
      <c r="BG27" s="100">
        <f>'PP - Data'!BG52</f>
        <v>0.4793941529</v>
      </c>
      <c r="BH27" s="100">
        <f>'PP - Data'!BH52</f>
        <v>0.5007462687</v>
      </c>
      <c r="BI27" s="100" t="str">
        <f>'PP - Data'!BI52</f>
        <v/>
      </c>
      <c r="BJ27" s="100" t="str">
        <f>'PP - Data'!BJ52</f>
        <v/>
      </c>
      <c r="BK27" s="100" t="str">
        <f>'PP - Data'!BK52</f>
        <v/>
      </c>
      <c r="BL27" s="100" t="str">
        <f>'PP - Data'!BL52</f>
        <v/>
      </c>
      <c r="BM27" s="100" t="str">
        <f>'PP - Data'!BM52</f>
        <v/>
      </c>
      <c r="BN27" s="100" t="str">
        <f>'PP - Data'!BN52</f>
        <v/>
      </c>
      <c r="BO27" s="100" t="str">
        <f>'PP - Data'!BO52</f>
        <v/>
      </c>
      <c r="BP27" s="81"/>
      <c r="BQ27" s="82"/>
    </row>
    <row r="28">
      <c r="A28" s="78" t="s">
        <v>28</v>
      </c>
      <c r="B28" s="100" t="str">
        <f>'PP - Data'!B53</f>
        <v/>
      </c>
      <c r="C28" s="100" t="str">
        <f>'PP - Data'!C53</f>
        <v/>
      </c>
      <c r="D28" s="100" t="str">
        <f>'PP - Data'!D53</f>
        <v/>
      </c>
      <c r="E28" s="100" t="str">
        <f>'PP - Data'!E53</f>
        <v/>
      </c>
      <c r="F28" s="100" t="str">
        <f>'PP - Data'!F53</f>
        <v/>
      </c>
      <c r="G28" s="100" t="str">
        <f>'PP - Data'!G53</f>
        <v/>
      </c>
      <c r="H28" s="100" t="str">
        <f>'PP - Data'!H53</f>
        <v/>
      </c>
      <c r="I28" s="100" t="str">
        <f>'PP - Data'!I53</f>
        <v/>
      </c>
      <c r="J28" s="100" t="str">
        <f>'PP - Data'!J53</f>
        <v/>
      </c>
      <c r="K28" s="100" t="str">
        <f>'PP - Data'!K53</f>
        <v/>
      </c>
      <c r="L28" s="100" t="str">
        <f>'PP - Data'!L53</f>
        <v/>
      </c>
      <c r="M28" s="100" t="str">
        <f>'PP - Data'!M53</f>
        <v/>
      </c>
      <c r="N28" s="100" t="str">
        <f>'PP - Data'!N53</f>
        <v/>
      </c>
      <c r="O28" s="100" t="str">
        <f>'PP - Data'!O53</f>
        <v/>
      </c>
      <c r="P28" s="100" t="str">
        <f>'PP - Data'!P53</f>
        <v/>
      </c>
      <c r="Q28" s="100" t="str">
        <f>'PP - Data'!Q53</f>
        <v/>
      </c>
      <c r="R28" s="100" t="str">
        <f>'PP - Data'!R53</f>
        <v/>
      </c>
      <c r="S28" s="100" t="str">
        <f>'PP - Data'!S53</f>
        <v/>
      </c>
      <c r="T28" s="100" t="str">
        <f>'PP - Data'!T53</f>
        <v/>
      </c>
      <c r="U28" s="100" t="str">
        <f>'PP - Data'!U53</f>
        <v/>
      </c>
      <c r="V28" s="100" t="str">
        <f>'PP - Data'!V53</f>
        <v/>
      </c>
      <c r="W28" s="100" t="str">
        <f>'PP - Data'!W53</f>
        <v/>
      </c>
      <c r="X28" s="100" t="str">
        <f>'PP - Data'!X53</f>
        <v/>
      </c>
      <c r="Y28" s="100" t="str">
        <f>'PP - Data'!Y53</f>
        <v/>
      </c>
      <c r="Z28" s="100" t="str">
        <f>'PP - Data'!Z53</f>
        <v/>
      </c>
      <c r="AA28" s="100" t="str">
        <f>'PP - Data'!AA53</f>
        <v/>
      </c>
      <c r="AB28" s="100" t="str">
        <f>'PP - Data'!AB53</f>
        <v/>
      </c>
      <c r="AC28" s="101" t="s">
        <v>28</v>
      </c>
      <c r="AD28" s="100">
        <f>'PP - Data'!AD53</f>
        <v>0.1848665166</v>
      </c>
      <c r="AE28" s="100">
        <f>'PP - Data'!AE53</f>
        <v>0.1869412445</v>
      </c>
      <c r="AF28" s="100">
        <f>'PP - Data'!AF53</f>
        <v>0.3114621304</v>
      </c>
      <c r="AG28" s="100">
        <f>'PP - Data'!AG53</f>
        <v>0.3739269606</v>
      </c>
      <c r="AH28" s="100">
        <f>'PP - Data'!AH53</f>
        <v>0.3397203521</v>
      </c>
      <c r="AI28" s="100">
        <f>'PP - Data'!AI53</f>
        <v>0.315245478</v>
      </c>
      <c r="AJ28" s="100">
        <f>'PP - Data'!AJ53</f>
        <v>0.2038796516</v>
      </c>
      <c r="AK28" s="100">
        <f>'PP - Data'!AK53</f>
        <v>0.2571819425</v>
      </c>
      <c r="AL28" s="100">
        <f>'PP - Data'!AL53</f>
        <v>0.3594429939</v>
      </c>
      <c r="AM28" s="100">
        <f>'PP - Data'!AM53</f>
        <v>0.3752515091</v>
      </c>
      <c r="AN28" s="100">
        <f>'PP - Data'!AN53</f>
        <v>0.3589164786</v>
      </c>
      <c r="AO28" s="100">
        <f>'PP - Data'!AO53</f>
        <v>0.3584229391</v>
      </c>
      <c r="AP28" s="100">
        <f>'PP - Data'!AP53</f>
        <v>0.1780356781</v>
      </c>
      <c r="AQ28" s="100">
        <f>'PP - Data'!AQ53</f>
        <v>0.1649927594</v>
      </c>
      <c r="AR28" s="100">
        <f>'PP - Data'!AR53</f>
        <v>0.3371380846</v>
      </c>
      <c r="AS28" s="100">
        <f>'PP - Data'!AS53</f>
        <v>0.3097303634</v>
      </c>
      <c r="AT28" s="100">
        <f>'PP - Data'!AT53</f>
        <v>0.3502885232</v>
      </c>
      <c r="AU28" s="100">
        <f>'PP - Data'!AU53</f>
        <v>0.2751854905</v>
      </c>
      <c r="AV28" s="100">
        <f>'PP - Data'!AV53</f>
        <v>0.2192002882</v>
      </c>
      <c r="AW28" s="100">
        <f>'PP - Data'!AW53</f>
        <v>0.2181996086</v>
      </c>
      <c r="AX28" s="100">
        <f>'PP - Data'!AX53</f>
        <v>0.3448519041</v>
      </c>
      <c r="AY28" s="100">
        <f>'PP - Data'!AY53</f>
        <v>0.3507109005</v>
      </c>
      <c r="AZ28" s="100">
        <f>'PP - Data'!AZ53</f>
        <v>0.289514867</v>
      </c>
      <c r="BA28" s="100">
        <f>'PP - Data'!BA53</f>
        <v>0.2938271605</v>
      </c>
      <c r="BB28" s="100">
        <f>'PP - Data'!BB53</f>
        <v>0.1903236316</v>
      </c>
      <c r="BC28" s="100">
        <f>'PP - Data'!BC53</f>
        <v>0.1865737107</v>
      </c>
      <c r="BD28" s="100">
        <f>'PP - Data'!BD53</f>
        <v>0.2887112887</v>
      </c>
      <c r="BE28" s="100">
        <f>'PP - Data'!BE53</f>
        <v>0.2378255946</v>
      </c>
      <c r="BF28" s="100">
        <f>'PP - Data'!BF53</f>
        <v>0.2401146132</v>
      </c>
      <c r="BG28" s="100">
        <f>'PP - Data'!BG53</f>
        <v>0.1697780909</v>
      </c>
      <c r="BH28" s="100">
        <f>'PP - Data'!BH53</f>
        <v>0.1701492537</v>
      </c>
      <c r="BI28" s="100" t="str">
        <f>'PP - Data'!BI53</f>
        <v/>
      </c>
      <c r="BJ28" s="100" t="str">
        <f>'PP - Data'!BJ53</f>
        <v/>
      </c>
      <c r="BK28" s="100" t="str">
        <f>'PP - Data'!BK53</f>
        <v/>
      </c>
      <c r="BL28" s="100" t="str">
        <f>'PP - Data'!BL53</f>
        <v/>
      </c>
      <c r="BM28" s="100" t="str">
        <f>'PP - Data'!BM53</f>
        <v/>
      </c>
      <c r="BN28" s="100" t="str">
        <f>'PP - Data'!BN53</f>
        <v/>
      </c>
      <c r="BO28" s="100" t="str">
        <f>'PP - Data'!BO53</f>
        <v/>
      </c>
      <c r="BP28" s="81"/>
      <c r="BQ28" s="82"/>
    </row>
    <row r="31">
      <c r="A31" s="72" t="s">
        <v>33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76"/>
      <c r="BQ31" s="77"/>
    </row>
    <row r="32">
      <c r="A32" s="78" t="s">
        <v>31</v>
      </c>
      <c r="B32" s="100" t="str">
        <f>'PP - Data'!B61</f>
        <v/>
      </c>
      <c r="C32" s="100" t="str">
        <f>'PP - Data'!C61</f>
        <v/>
      </c>
      <c r="D32" s="100" t="str">
        <f>'PP - Data'!D61</f>
        <v/>
      </c>
      <c r="E32" s="100" t="str">
        <f>'PP - Data'!E61</f>
        <v/>
      </c>
      <c r="F32" s="100" t="str">
        <f>'PP - Data'!F61</f>
        <v/>
      </c>
      <c r="G32" s="100" t="str">
        <f>'PP - Data'!G61</f>
        <v/>
      </c>
      <c r="H32" s="100" t="str">
        <f>'PP - Data'!H61</f>
        <v/>
      </c>
      <c r="I32" s="100" t="str">
        <f>'PP - Data'!I61</f>
        <v/>
      </c>
      <c r="J32" s="100" t="str">
        <f>'PP - Data'!J61</f>
        <v/>
      </c>
      <c r="K32" s="100" t="str">
        <f>'PP - Data'!K61</f>
        <v/>
      </c>
      <c r="L32" s="100" t="str">
        <f>'PP - Data'!L61</f>
        <v/>
      </c>
      <c r="M32" s="100" t="str">
        <f>'PP - Data'!M61</f>
        <v/>
      </c>
      <c r="N32" s="100" t="str">
        <f>'PP - Data'!N61</f>
        <v/>
      </c>
      <c r="O32" s="100" t="str">
        <f>'PP - Data'!O61</f>
        <v/>
      </c>
      <c r="P32" s="100" t="str">
        <f>'PP - Data'!P61</f>
        <v/>
      </c>
      <c r="Q32" s="100" t="str">
        <f>'PP - Data'!Q61</f>
        <v/>
      </c>
      <c r="R32" s="100" t="str">
        <f>'PP - Data'!R61</f>
        <v/>
      </c>
      <c r="S32" s="100" t="str">
        <f>'PP - Data'!S61</f>
        <v/>
      </c>
      <c r="T32" s="100" t="str">
        <f>'PP - Data'!T61</f>
        <v/>
      </c>
      <c r="U32" s="100" t="str">
        <f>'PP - Data'!U61</f>
        <v/>
      </c>
      <c r="V32" s="100" t="str">
        <f>'PP - Data'!V61</f>
        <v/>
      </c>
      <c r="W32" s="100" t="str">
        <f>'PP - Data'!W61</f>
        <v/>
      </c>
      <c r="X32" s="100" t="str">
        <f>'PP - Data'!X61</f>
        <v/>
      </c>
      <c r="Y32" s="100" t="str">
        <f>'PP - Data'!Y61</f>
        <v/>
      </c>
      <c r="Z32" s="100" t="str">
        <f>'PP - Data'!Z61</f>
        <v/>
      </c>
      <c r="AA32" s="100" t="str">
        <f>'PP - Data'!AA61</f>
        <v/>
      </c>
      <c r="AB32" s="100" t="str">
        <f>'PP - Data'!AB61</f>
        <v/>
      </c>
      <c r="AC32" s="100" t="str">
        <f>'PP - Data'!AC61</f>
        <v/>
      </c>
      <c r="AD32" s="100" t="str">
        <f>'PP - Data'!AD61</f>
        <v/>
      </c>
      <c r="AE32" s="100" t="str">
        <f>'PP - Data'!AE61</f>
        <v/>
      </c>
      <c r="AF32" s="100" t="str">
        <f>'PP - Data'!AF61</f>
        <v/>
      </c>
      <c r="AG32" s="100" t="str">
        <f>'PP - Data'!AG61</f>
        <v/>
      </c>
      <c r="AH32" s="100" t="str">
        <f>'PP - Data'!AH61</f>
        <v/>
      </c>
      <c r="AI32" s="100" t="str">
        <f>'PP - Data'!AI61</f>
        <v/>
      </c>
      <c r="AJ32" s="101" t="s">
        <v>31</v>
      </c>
      <c r="AK32" s="100">
        <f>'PP - Data'!AK61</f>
        <v>0.6517857143</v>
      </c>
      <c r="AL32" s="100">
        <f>'PP - Data'!AL61</f>
        <v>0.7815491732</v>
      </c>
      <c r="AM32" s="100">
        <f>'PP - Data'!AM61</f>
        <v>0.7535211268</v>
      </c>
      <c r="AN32" s="100">
        <f>'PP - Data'!AN61</f>
        <v>0.7336343115</v>
      </c>
      <c r="AO32" s="100">
        <f>'PP - Data'!AO61</f>
        <v>0.7974910394</v>
      </c>
      <c r="AP32" s="100">
        <f>'PP - Data'!AP61</f>
        <v>0.5326880195</v>
      </c>
      <c r="AQ32" s="100">
        <f>'PP - Data'!AQ61</f>
        <v>0.5323025179</v>
      </c>
      <c r="AR32" s="100">
        <f>'PP - Data'!AR61</f>
        <v>0.8104120267</v>
      </c>
      <c r="AS32" s="100">
        <f>'PP - Data'!AS61</f>
        <v>0.807971864</v>
      </c>
      <c r="AT32" s="100">
        <f>'PP - Data'!AT61</f>
        <v>0.8441974781</v>
      </c>
      <c r="AU32" s="100">
        <f>'PP - Data'!AU61</f>
        <v>0.7755976917</v>
      </c>
      <c r="AV32" s="100">
        <f>'PP - Data'!AV61</f>
        <v>0.7483789625</v>
      </c>
      <c r="AW32" s="100">
        <f>'PP - Data'!AW61</f>
        <v>0.7129810828</v>
      </c>
      <c r="AX32" s="100">
        <f>'PP - Data'!AX61</f>
        <v>0.7834978843</v>
      </c>
      <c r="AY32" s="100">
        <f>'PP - Data'!AY61</f>
        <v>0.7603249831</v>
      </c>
      <c r="AZ32" s="100">
        <f>'PP - Data'!AZ61</f>
        <v>0.8888563908</v>
      </c>
      <c r="BA32" s="100">
        <f>'PP - Data'!BA61</f>
        <v>0.7410714286</v>
      </c>
      <c r="BB32" s="100">
        <f>'PP - Data'!BB61</f>
        <v>0.5611007919</v>
      </c>
      <c r="BC32" s="100">
        <f>'PP - Data'!BC61</f>
        <v>0.5696324952</v>
      </c>
      <c r="BD32" s="100">
        <f>'PP - Data'!BD61</f>
        <v>0.8088983051</v>
      </c>
      <c r="BE32" s="100">
        <f>'PP - Data'!BE61</f>
        <v>0.8357487923</v>
      </c>
      <c r="BF32" s="100">
        <f>'PP - Data'!BF61</f>
        <v>0.8389810142</v>
      </c>
      <c r="BG32" s="100">
        <f>'PP - Data'!BG61</f>
        <v>0.788707103</v>
      </c>
      <c r="BH32" s="100">
        <f>'PP - Data'!BH61</f>
        <v>0.8180046765</v>
      </c>
      <c r="BI32" s="100" t="str">
        <f>'PP - Data'!BI61</f>
        <v/>
      </c>
      <c r="BJ32" s="100" t="str">
        <f>'PP - Data'!BJ61</f>
        <v/>
      </c>
      <c r="BK32" s="100" t="str">
        <f>'PP - Data'!BK61</f>
        <v/>
      </c>
      <c r="BL32" s="100" t="str">
        <f>'PP - Data'!BL61</f>
        <v/>
      </c>
      <c r="BM32" s="100" t="str">
        <f>'PP - Data'!BM61</f>
        <v/>
      </c>
      <c r="BN32" s="100" t="str">
        <f>'PP - Data'!BN61</f>
        <v/>
      </c>
      <c r="BO32" s="100" t="str">
        <f>'PP - Data'!BO61</f>
        <v/>
      </c>
      <c r="BP32" s="81"/>
      <c r="BQ32" s="82"/>
    </row>
    <row r="33">
      <c r="A33" s="78" t="s">
        <v>32</v>
      </c>
      <c r="B33" s="100" t="str">
        <f>'PP - Data'!B62</f>
        <v/>
      </c>
      <c r="C33" s="100" t="str">
        <f>'PP - Data'!C62</f>
        <v/>
      </c>
      <c r="D33" s="100" t="str">
        <f>'PP - Data'!D62</f>
        <v/>
      </c>
      <c r="E33" s="100" t="str">
        <f>'PP - Data'!E62</f>
        <v/>
      </c>
      <c r="F33" s="100" t="str">
        <f>'PP - Data'!F62</f>
        <v/>
      </c>
      <c r="G33" s="100" t="str">
        <f>'PP - Data'!G62</f>
        <v/>
      </c>
      <c r="H33" s="100" t="str">
        <f>'PP - Data'!H62</f>
        <v/>
      </c>
      <c r="I33" s="100" t="str">
        <f>'PP - Data'!I62</f>
        <v/>
      </c>
      <c r="J33" s="100" t="str">
        <f>'PP - Data'!J62</f>
        <v/>
      </c>
      <c r="K33" s="100" t="str">
        <f>'PP - Data'!K62</f>
        <v/>
      </c>
      <c r="L33" s="100" t="str">
        <f>'PP - Data'!L62</f>
        <v/>
      </c>
      <c r="M33" s="100" t="str">
        <f>'PP - Data'!M62</f>
        <v/>
      </c>
      <c r="N33" s="100" t="str">
        <f>'PP - Data'!N62</f>
        <v/>
      </c>
      <c r="O33" s="100" t="str">
        <f>'PP - Data'!O62</f>
        <v/>
      </c>
      <c r="P33" s="100" t="str">
        <f>'PP - Data'!P62</f>
        <v/>
      </c>
      <c r="Q33" s="100" t="str">
        <f>'PP - Data'!Q62</f>
        <v/>
      </c>
      <c r="R33" s="100" t="str">
        <f>'PP - Data'!R62</f>
        <v/>
      </c>
      <c r="S33" s="100" t="str">
        <f>'PP - Data'!S62</f>
        <v/>
      </c>
      <c r="T33" s="100" t="str">
        <f>'PP - Data'!T62</f>
        <v/>
      </c>
      <c r="U33" s="100" t="str">
        <f>'PP - Data'!U62</f>
        <v/>
      </c>
      <c r="V33" s="100" t="str">
        <f>'PP - Data'!V62</f>
        <v/>
      </c>
      <c r="W33" s="100" t="str">
        <f>'PP - Data'!W62</f>
        <v/>
      </c>
      <c r="X33" s="100" t="str">
        <f>'PP - Data'!X62</f>
        <v/>
      </c>
      <c r="Y33" s="100" t="str">
        <f>'PP - Data'!Y62</f>
        <v/>
      </c>
      <c r="Z33" s="100" t="str">
        <f>'PP - Data'!Z62</f>
        <v/>
      </c>
      <c r="AA33" s="100" t="str">
        <f>'PP - Data'!AA62</f>
        <v/>
      </c>
      <c r="AB33" s="100" t="str">
        <f>'PP - Data'!AB62</f>
        <v/>
      </c>
      <c r="AC33" s="100" t="str">
        <f>'PP - Data'!AC62</f>
        <v/>
      </c>
      <c r="AD33" s="100" t="str">
        <f>'PP - Data'!AD62</f>
        <v/>
      </c>
      <c r="AE33" s="100" t="str">
        <f>'PP - Data'!AE62</f>
        <v/>
      </c>
      <c r="AF33" s="100" t="str">
        <f>'PP - Data'!AF62</f>
        <v/>
      </c>
      <c r="AG33" s="100" t="str">
        <f>'PP - Data'!AG62</f>
        <v/>
      </c>
      <c r="AH33" s="100" t="str">
        <f>'PP - Data'!AH62</f>
        <v/>
      </c>
      <c r="AI33" s="100" t="str">
        <f>'PP - Data'!AI62</f>
        <v/>
      </c>
      <c r="AJ33" s="101" t="s">
        <v>32</v>
      </c>
      <c r="AK33" s="100">
        <f>'PP - Data'!AK62</f>
        <v>0.3482142857</v>
      </c>
      <c r="AL33" s="100">
        <f>'PP - Data'!AL62</f>
        <v>0.2184508268</v>
      </c>
      <c r="AM33" s="100">
        <f>'PP - Data'!AM62</f>
        <v>0.2464788732</v>
      </c>
      <c r="AN33" s="100">
        <f>'PP - Data'!AN62</f>
        <v>0.2663656885</v>
      </c>
      <c r="AO33" s="100">
        <f>'PP - Data'!AO62</f>
        <v>0.2025089606</v>
      </c>
      <c r="AP33" s="100">
        <f>'PP - Data'!AP62</f>
        <v>0.4673119805</v>
      </c>
      <c r="AQ33" s="100">
        <f>'PP - Data'!AQ62</f>
        <v>0.4676974821</v>
      </c>
      <c r="AR33" s="100">
        <f>'PP - Data'!AR62</f>
        <v>0.1895879733</v>
      </c>
      <c r="AS33" s="100">
        <f>'PP - Data'!AS62</f>
        <v>0.192028136</v>
      </c>
      <c r="AT33" s="100">
        <f>'PP - Data'!AT62</f>
        <v>0.1558025219</v>
      </c>
      <c r="AU33" s="100">
        <f>'PP - Data'!AU62</f>
        <v>0.2244023083</v>
      </c>
      <c r="AV33" s="100">
        <f>'PP - Data'!AV62</f>
        <v>0.2516210375</v>
      </c>
      <c r="AW33" s="100">
        <f>'PP - Data'!AW62</f>
        <v>0.2870189172</v>
      </c>
      <c r="AX33" s="100">
        <f>'PP - Data'!AX62</f>
        <v>0.2165021157</v>
      </c>
      <c r="AY33" s="100">
        <f>'PP - Data'!AY62</f>
        <v>0.2396750169</v>
      </c>
      <c r="AZ33" s="100">
        <f>'PP - Data'!AZ62</f>
        <v>0.1111436092</v>
      </c>
      <c r="BA33" s="100">
        <f>'PP - Data'!BA62</f>
        <v>0.2589285714</v>
      </c>
      <c r="BB33" s="100">
        <f>'PP - Data'!BB62</f>
        <v>0.4388992081</v>
      </c>
      <c r="BC33" s="100">
        <f>'PP - Data'!BC62</f>
        <v>0.4303675048</v>
      </c>
      <c r="BD33" s="100">
        <f>'PP - Data'!BD62</f>
        <v>0.1911016949</v>
      </c>
      <c r="BE33" s="100">
        <f>'PP - Data'!BE62</f>
        <v>0.1642512077</v>
      </c>
      <c r="BF33" s="100">
        <f>'PP - Data'!BF62</f>
        <v>0.1610189858</v>
      </c>
      <c r="BG33" s="100">
        <f>'PP - Data'!BG62</f>
        <v>0.211292897</v>
      </c>
      <c r="BH33" s="100">
        <f>'PP - Data'!BH62</f>
        <v>0.1819953235</v>
      </c>
      <c r="BI33" s="100" t="str">
        <f>'PP - Data'!BI62</f>
        <v/>
      </c>
      <c r="BJ33" s="100" t="str">
        <f>'PP - Data'!BJ62</f>
        <v/>
      </c>
      <c r="BK33" s="100" t="str">
        <f>'PP - Data'!BK62</f>
        <v/>
      </c>
      <c r="BL33" s="100" t="str">
        <f>'PP - Data'!BL62</f>
        <v/>
      </c>
      <c r="BM33" s="100" t="str">
        <f>'PP - Data'!BM62</f>
        <v/>
      </c>
      <c r="BN33" s="100" t="str">
        <f>'PP - Data'!BN62</f>
        <v/>
      </c>
      <c r="BO33" s="100" t="str">
        <f>'PP - Data'!BO62</f>
        <v/>
      </c>
      <c r="BP33" s="83"/>
      <c r="BQ33" s="82"/>
    </row>
    <row r="34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81"/>
      <c r="BQ34" s="82"/>
    </row>
    <row r="35">
      <c r="A35" s="72" t="s">
        <v>35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76"/>
      <c r="BQ35" s="77"/>
    </row>
    <row r="36">
      <c r="A36" s="78" t="s">
        <v>31</v>
      </c>
      <c r="B36" s="100" t="str">
        <f>'PP - Data'!B69</f>
        <v/>
      </c>
      <c r="C36" s="100" t="str">
        <f>'PP - Data'!C69</f>
        <v/>
      </c>
      <c r="D36" s="100" t="str">
        <f>'PP - Data'!D69</f>
        <v/>
      </c>
      <c r="E36" s="100" t="str">
        <f>'PP - Data'!E69</f>
        <v/>
      </c>
      <c r="F36" s="100" t="str">
        <f>'PP - Data'!F69</f>
        <v/>
      </c>
      <c r="G36" s="100" t="str">
        <f>'PP - Data'!G69</f>
        <v/>
      </c>
      <c r="H36" s="100" t="str">
        <f>'PP - Data'!H69</f>
        <v/>
      </c>
      <c r="I36" s="100" t="str">
        <f>'PP - Data'!I69</f>
        <v/>
      </c>
      <c r="J36" s="100" t="str">
        <f>'PP - Data'!J69</f>
        <v/>
      </c>
      <c r="K36" s="100" t="str">
        <f>'PP - Data'!K69</f>
        <v/>
      </c>
      <c r="L36" s="100" t="str">
        <f>'PP - Data'!L69</f>
        <v/>
      </c>
      <c r="M36" s="100" t="str">
        <f>'PP - Data'!M69</f>
        <v/>
      </c>
      <c r="N36" s="100" t="str">
        <f>'PP - Data'!N69</f>
        <v/>
      </c>
      <c r="O36" s="100" t="str">
        <f>'PP - Data'!O69</f>
        <v/>
      </c>
      <c r="P36" s="100" t="str">
        <f>'PP - Data'!P69</f>
        <v/>
      </c>
      <c r="Q36" s="100" t="str">
        <f>'PP - Data'!Q69</f>
        <v/>
      </c>
      <c r="R36" s="100" t="str">
        <f>'PP - Data'!R69</f>
        <v/>
      </c>
      <c r="S36" s="100" t="str">
        <f>'PP - Data'!S69</f>
        <v/>
      </c>
      <c r="T36" s="100" t="str">
        <f>'PP - Data'!T69</f>
        <v/>
      </c>
      <c r="U36" s="100" t="str">
        <f>'PP - Data'!U69</f>
        <v/>
      </c>
      <c r="V36" s="100" t="str">
        <f>'PP - Data'!V69</f>
        <v/>
      </c>
      <c r="W36" s="100" t="str">
        <f>'PP - Data'!W69</f>
        <v/>
      </c>
      <c r="X36" s="100" t="str">
        <f>'PP - Data'!X69</f>
        <v/>
      </c>
      <c r="Y36" s="100" t="str">
        <f>'PP - Data'!Y69</f>
        <v/>
      </c>
      <c r="Z36" s="100" t="str">
        <f>'PP - Data'!Z69</f>
        <v/>
      </c>
      <c r="AA36" s="100" t="str">
        <f>'PP - Data'!AA69</f>
        <v/>
      </c>
      <c r="AB36" s="100" t="str">
        <f>'PP - Data'!AB69</f>
        <v/>
      </c>
      <c r="AC36" s="100" t="str">
        <f>'PP - Data'!AC69</f>
        <v/>
      </c>
      <c r="AD36" s="100" t="str">
        <f>'PP - Data'!AD69</f>
        <v/>
      </c>
      <c r="AE36" s="100" t="str">
        <f>'PP - Data'!AE69</f>
        <v/>
      </c>
      <c r="AF36" s="100" t="str">
        <f>'PP - Data'!AF69</f>
        <v/>
      </c>
      <c r="AG36" s="100" t="str">
        <f>'PP - Data'!AG69</f>
        <v/>
      </c>
      <c r="AH36" s="100" t="str">
        <f>'PP - Data'!AH69</f>
        <v/>
      </c>
      <c r="AI36" s="100" t="str">
        <f>'PP - Data'!AI69</f>
        <v/>
      </c>
      <c r="AJ36" s="101" t="s">
        <v>31</v>
      </c>
      <c r="AK36" s="100">
        <f>'PP - Data'!AK69</f>
        <v>0.6763392857</v>
      </c>
      <c r="AL36" s="100">
        <f>'PP - Data'!AL69</f>
        <v>0.4621409922</v>
      </c>
      <c r="AM36" s="100">
        <f>'PP - Data'!AM69</f>
        <v>0.4969818913</v>
      </c>
      <c r="AN36" s="100">
        <f>'PP - Data'!AN69</f>
        <v>0.5033860045</v>
      </c>
      <c r="AO36" s="100">
        <f>'PP - Data'!AO69</f>
        <v>0.4829749104</v>
      </c>
      <c r="AP36" s="100">
        <f>'PP - Data'!AP69</f>
        <v>0.9139975674</v>
      </c>
      <c r="AQ36" s="100">
        <f>'PP - Data'!AQ69</f>
        <v>0.9055916289</v>
      </c>
      <c r="AR36" s="100">
        <f>'PP - Data'!AR69</f>
        <v>0.4393095768</v>
      </c>
      <c r="AS36" s="100">
        <f>'PP - Data'!AS69</f>
        <v>0.5155920281</v>
      </c>
      <c r="AT36" s="100">
        <f>'PP - Data'!AT69</f>
        <v>0.4191066467</v>
      </c>
      <c r="AU36" s="100">
        <f>'PP - Data'!AU69</f>
        <v>0.5726298434</v>
      </c>
      <c r="AV36" s="100">
        <f>'PP - Data'!AV69</f>
        <v>0.6655259366</v>
      </c>
      <c r="AW36" s="100">
        <f>'PP - Data'!AW69</f>
        <v>0.6780821918</v>
      </c>
      <c r="AX36" s="100">
        <f>'PP - Data'!AX69</f>
        <v>0.4746121298</v>
      </c>
      <c r="AY36" s="100">
        <f>'PP - Data'!AY69</f>
        <v>0.5186188219</v>
      </c>
      <c r="AZ36" s="100">
        <f>'PP - Data'!AZ69</f>
        <v>0.3370392042</v>
      </c>
      <c r="BA36" s="100">
        <f>'PP - Data'!BA69</f>
        <v>0.6026785714</v>
      </c>
      <c r="BB36" s="100">
        <f>'PP - Data'!BB69</f>
        <v>0.9001857464</v>
      </c>
      <c r="BC36" s="100">
        <f>'PP - Data'!BC69</f>
        <v>0.9107308048</v>
      </c>
      <c r="BD36" s="100">
        <f>'PP - Data'!BD69</f>
        <v>0.4241525424</v>
      </c>
      <c r="BE36" s="100">
        <f>'PP - Data'!BE69</f>
        <v>0.4739667203</v>
      </c>
      <c r="BF36" s="100">
        <f>'PP - Data'!BF69</f>
        <v>0.4193703437</v>
      </c>
      <c r="BG36" s="100">
        <f>'PP - Data'!BG69</f>
        <v>0.5664405427</v>
      </c>
      <c r="BH36" s="100">
        <f>'PP - Data'!BH69</f>
        <v>0.522213562</v>
      </c>
      <c r="BI36" s="100" t="str">
        <f>'PP - Data'!BI69</f>
        <v/>
      </c>
      <c r="BJ36" s="100" t="str">
        <f>'PP - Data'!BJ69</f>
        <v/>
      </c>
      <c r="BK36" s="100" t="str">
        <f>'PP - Data'!BK69</f>
        <v/>
      </c>
      <c r="BL36" s="100" t="str">
        <f>'PP - Data'!BL69</f>
        <v/>
      </c>
      <c r="BM36" s="100" t="str">
        <f>'PP - Data'!BM69</f>
        <v/>
      </c>
      <c r="BN36" s="100" t="str">
        <f>'PP - Data'!BN69</f>
        <v/>
      </c>
      <c r="BO36" s="100" t="str">
        <f>'PP - Data'!BO69</f>
        <v/>
      </c>
      <c r="BP36" s="81"/>
      <c r="BQ36" s="82"/>
    </row>
    <row r="37">
      <c r="A37" s="78" t="s">
        <v>32</v>
      </c>
      <c r="B37" s="100" t="str">
        <f>'PP - Data'!B70</f>
        <v/>
      </c>
      <c r="C37" s="100" t="str">
        <f>'PP - Data'!C70</f>
        <v/>
      </c>
      <c r="D37" s="100" t="str">
        <f>'PP - Data'!D70</f>
        <v/>
      </c>
      <c r="E37" s="100" t="str">
        <f>'PP - Data'!E70</f>
        <v/>
      </c>
      <c r="F37" s="100" t="str">
        <f>'PP - Data'!F70</f>
        <v/>
      </c>
      <c r="G37" s="100" t="str">
        <f>'PP - Data'!G70</f>
        <v/>
      </c>
      <c r="H37" s="100" t="str">
        <f>'PP - Data'!H70</f>
        <v/>
      </c>
      <c r="I37" s="100" t="str">
        <f>'PP - Data'!I70</f>
        <v/>
      </c>
      <c r="J37" s="100" t="str">
        <f>'PP - Data'!J70</f>
        <v/>
      </c>
      <c r="K37" s="100" t="str">
        <f>'PP - Data'!K70</f>
        <v/>
      </c>
      <c r="L37" s="100" t="str">
        <f>'PP - Data'!L70</f>
        <v/>
      </c>
      <c r="M37" s="100" t="str">
        <f>'PP - Data'!M70</f>
        <v/>
      </c>
      <c r="N37" s="100" t="str">
        <f>'PP - Data'!N70</f>
        <v/>
      </c>
      <c r="O37" s="100" t="str">
        <f>'PP - Data'!O70</f>
        <v/>
      </c>
      <c r="P37" s="100" t="str">
        <f>'PP - Data'!P70</f>
        <v/>
      </c>
      <c r="Q37" s="100" t="str">
        <f>'PP - Data'!Q70</f>
        <v/>
      </c>
      <c r="R37" s="100" t="str">
        <f>'PP - Data'!R70</f>
        <v/>
      </c>
      <c r="S37" s="100" t="str">
        <f>'PP - Data'!S70</f>
        <v/>
      </c>
      <c r="T37" s="100" t="str">
        <f>'PP - Data'!T70</f>
        <v/>
      </c>
      <c r="U37" s="100" t="str">
        <f>'PP - Data'!U70</f>
        <v/>
      </c>
      <c r="V37" s="100" t="str">
        <f>'PP - Data'!V70</f>
        <v/>
      </c>
      <c r="W37" s="100" t="str">
        <f>'PP - Data'!W70</f>
        <v/>
      </c>
      <c r="X37" s="100" t="str">
        <f>'PP - Data'!X70</f>
        <v/>
      </c>
      <c r="Y37" s="100" t="str">
        <f>'PP - Data'!Y70</f>
        <v/>
      </c>
      <c r="Z37" s="100" t="str">
        <f>'PP - Data'!Z70</f>
        <v/>
      </c>
      <c r="AA37" s="100" t="str">
        <f>'PP - Data'!AA70</f>
        <v/>
      </c>
      <c r="AB37" s="100" t="str">
        <f>'PP - Data'!AB70</f>
        <v/>
      </c>
      <c r="AC37" s="100" t="str">
        <f>'PP - Data'!AC70</f>
        <v/>
      </c>
      <c r="AD37" s="100" t="str">
        <f>'PP - Data'!AD70</f>
        <v/>
      </c>
      <c r="AE37" s="100" t="str">
        <f>'PP - Data'!AE70</f>
        <v/>
      </c>
      <c r="AF37" s="100" t="str">
        <f>'PP - Data'!AF70</f>
        <v/>
      </c>
      <c r="AG37" s="100" t="str">
        <f>'PP - Data'!AG70</f>
        <v/>
      </c>
      <c r="AH37" s="100" t="str">
        <f>'PP - Data'!AH70</f>
        <v/>
      </c>
      <c r="AI37" s="100" t="str">
        <f>'PP - Data'!AI70</f>
        <v/>
      </c>
      <c r="AJ37" s="101" t="s">
        <v>32</v>
      </c>
      <c r="AK37" s="100">
        <f>'PP - Data'!AK70</f>
        <v>0.3236607143</v>
      </c>
      <c r="AL37" s="100">
        <f>'PP - Data'!AL70</f>
        <v>0.5378590078</v>
      </c>
      <c r="AM37" s="100">
        <f>'PP - Data'!AM70</f>
        <v>0.5030181087</v>
      </c>
      <c r="AN37" s="100">
        <f>'PP - Data'!AN70</f>
        <v>0.4966139955</v>
      </c>
      <c r="AO37" s="100">
        <f>'PP - Data'!AO70</f>
        <v>0.5170250896</v>
      </c>
      <c r="AP37" s="100">
        <f>'PP - Data'!AP70</f>
        <v>0.0860024326</v>
      </c>
      <c r="AQ37" s="100">
        <f>'PP - Data'!AQ70</f>
        <v>0.09440837109</v>
      </c>
      <c r="AR37" s="100">
        <f>'PP - Data'!AR70</f>
        <v>0.5606904232</v>
      </c>
      <c r="AS37" s="100">
        <f>'PP - Data'!AS70</f>
        <v>0.4844079719</v>
      </c>
      <c r="AT37" s="100">
        <f>'PP - Data'!AT70</f>
        <v>0.5808933533</v>
      </c>
      <c r="AU37" s="100">
        <f>'PP - Data'!AU70</f>
        <v>0.4273701566</v>
      </c>
      <c r="AV37" s="100">
        <f>'PP - Data'!AV70</f>
        <v>0.3344740634</v>
      </c>
      <c r="AW37" s="100">
        <f>'PP - Data'!AW70</f>
        <v>0.3219178082</v>
      </c>
      <c r="AX37" s="100">
        <f>'PP - Data'!AX70</f>
        <v>0.5253878702</v>
      </c>
      <c r="AY37" s="100">
        <f>'PP - Data'!AY70</f>
        <v>0.4813811781</v>
      </c>
      <c r="AZ37" s="100">
        <f>'PP - Data'!AZ70</f>
        <v>0.6629607958</v>
      </c>
      <c r="BA37" s="100">
        <f>'PP - Data'!BA70</f>
        <v>0.3973214286</v>
      </c>
      <c r="BB37" s="100">
        <f>'PP - Data'!BB70</f>
        <v>0.09981425359</v>
      </c>
      <c r="BC37" s="100">
        <f>'PP - Data'!BC70</f>
        <v>0.08926919519</v>
      </c>
      <c r="BD37" s="100">
        <f>'PP - Data'!BD70</f>
        <v>0.5758474576</v>
      </c>
      <c r="BE37" s="100">
        <f>'PP - Data'!BE70</f>
        <v>0.5260332797</v>
      </c>
      <c r="BF37" s="100">
        <f>'PP - Data'!BF70</f>
        <v>0.5806296563</v>
      </c>
      <c r="BG37" s="100">
        <f>'PP - Data'!BG70</f>
        <v>0.4335594573</v>
      </c>
      <c r="BH37" s="100">
        <f>'PP - Data'!BH70</f>
        <v>0.477786438</v>
      </c>
      <c r="BI37" s="100" t="str">
        <f>'PP - Data'!BI70</f>
        <v/>
      </c>
      <c r="BJ37" s="100" t="str">
        <f>'PP - Data'!BJ70</f>
        <v/>
      </c>
      <c r="BK37" s="100" t="str">
        <f>'PP - Data'!BK70</f>
        <v/>
      </c>
      <c r="BL37" s="100" t="str">
        <f>'PP - Data'!BL70</f>
        <v/>
      </c>
      <c r="BM37" s="100" t="str">
        <f>'PP - Data'!BM70</f>
        <v/>
      </c>
      <c r="BN37" s="100" t="str">
        <f>'PP - Data'!BN70</f>
        <v/>
      </c>
      <c r="BO37" s="100" t="str">
        <f>'PP - Data'!BO70</f>
        <v/>
      </c>
      <c r="BP37" s="83"/>
      <c r="BQ37" s="82"/>
    </row>
    <row r="38">
      <c r="A38" s="11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83"/>
      <c r="BQ38" s="82"/>
    </row>
    <row r="39">
      <c r="A39" s="72" t="s">
        <v>39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83"/>
      <c r="BQ39" s="82"/>
    </row>
    <row r="40">
      <c r="A40" s="78" t="s">
        <v>37</v>
      </c>
      <c r="B40" s="100" t="str">
        <f>'PP - Data'!B77</f>
        <v/>
      </c>
      <c r="C40" s="100" t="str">
        <f>'PP - Data'!C77</f>
        <v/>
      </c>
      <c r="D40" s="100" t="str">
        <f>'PP - Data'!D77</f>
        <v/>
      </c>
      <c r="E40" s="100" t="str">
        <f>'PP - Data'!E77</f>
        <v/>
      </c>
      <c r="F40" s="100" t="str">
        <f>'PP - Data'!F77</f>
        <v/>
      </c>
      <c r="G40" s="100" t="str">
        <f>'PP - Data'!G77</f>
        <v/>
      </c>
      <c r="H40" s="100" t="str">
        <f>'PP - Data'!H77</f>
        <v/>
      </c>
      <c r="I40" s="100" t="str">
        <f>'PP - Data'!I77</f>
        <v/>
      </c>
      <c r="J40" s="100" t="str">
        <f>'PP - Data'!J77</f>
        <v/>
      </c>
      <c r="K40" s="100" t="str">
        <f>'PP - Data'!K77</f>
        <v/>
      </c>
      <c r="L40" s="100" t="str">
        <f>'PP - Data'!L77</f>
        <v/>
      </c>
      <c r="M40" s="100" t="str">
        <f>'PP - Data'!M77</f>
        <v/>
      </c>
      <c r="N40" s="100" t="str">
        <f>'PP - Data'!N77</f>
        <v/>
      </c>
      <c r="O40" s="100" t="str">
        <f>'PP - Data'!O77</f>
        <v/>
      </c>
      <c r="P40" s="100" t="str">
        <f>'PP - Data'!P77</f>
        <v/>
      </c>
      <c r="Q40" s="100" t="str">
        <f>'PP - Data'!Q77</f>
        <v/>
      </c>
      <c r="R40" s="100" t="str">
        <f>'PP - Data'!R77</f>
        <v/>
      </c>
      <c r="S40" s="100" t="str">
        <f>'PP - Data'!S77</f>
        <v/>
      </c>
      <c r="T40" s="100" t="str">
        <f>'PP - Data'!T77</f>
        <v/>
      </c>
      <c r="U40" s="100" t="str">
        <f>'PP - Data'!U77</f>
        <v/>
      </c>
      <c r="V40" s="100" t="str">
        <f>'PP - Data'!V77</f>
        <v/>
      </c>
      <c r="W40" s="100" t="str">
        <f>'PP - Data'!W77</f>
        <v/>
      </c>
      <c r="X40" s="100" t="str">
        <f>'PP - Data'!X77</f>
        <v/>
      </c>
      <c r="Y40" s="100" t="str">
        <f>'PP - Data'!Y77</f>
        <v/>
      </c>
      <c r="Z40" s="100" t="str">
        <f>'PP - Data'!Z77</f>
        <v/>
      </c>
      <c r="AA40" s="100" t="str">
        <f>'PP - Data'!AA77</f>
        <v/>
      </c>
      <c r="AB40" s="100" t="str">
        <f>'PP - Data'!AB77</f>
        <v/>
      </c>
      <c r="AC40" s="100" t="str">
        <f>'PP - Data'!AC77</f>
        <v/>
      </c>
      <c r="AD40" s="100" t="str">
        <f>'PP - Data'!AD77</f>
        <v/>
      </c>
      <c r="AE40" s="100" t="str">
        <f>'PP - Data'!AE77</f>
        <v/>
      </c>
      <c r="AF40" s="100" t="str">
        <f>'PP - Data'!AF77</f>
        <v/>
      </c>
      <c r="AG40" s="100" t="str">
        <f>'PP - Data'!AG77</f>
        <v/>
      </c>
      <c r="AH40" s="100" t="str">
        <f>'PP - Data'!AH77</f>
        <v/>
      </c>
      <c r="AI40" s="101" t="s">
        <v>37</v>
      </c>
      <c r="AJ40" s="100">
        <f>'PP - Data'!AJ77</f>
        <v>0.567695962</v>
      </c>
      <c r="AK40" s="100">
        <f>'PP - Data'!AK77</f>
        <v>0.6176470588</v>
      </c>
      <c r="AL40" s="100">
        <f>'PP - Data'!AL77</f>
        <v>0.453437772</v>
      </c>
      <c r="AM40" s="100">
        <f>'PP - Data'!AM77</f>
        <v>0.4265593561</v>
      </c>
      <c r="AN40" s="100">
        <f>'PP - Data'!AN77</f>
        <v>0.5056433409</v>
      </c>
      <c r="AO40" s="100">
        <f>'PP - Data'!AO77</f>
        <v>0.4283154122</v>
      </c>
      <c r="AP40" s="100">
        <f>'PP - Data'!AP77</f>
        <v>0.9169369552</v>
      </c>
      <c r="AQ40" s="100">
        <f>'PP - Data'!AQ77</f>
        <v>0.8713504928</v>
      </c>
      <c r="AR40" s="100">
        <f>'PP - Data'!AR77</f>
        <v>0.6080178174</v>
      </c>
      <c r="AS40" s="100">
        <f>'PP - Data'!AS77</f>
        <v>0.5929660023</v>
      </c>
      <c r="AT40" s="100">
        <f>'PP - Data'!AT77</f>
        <v>0.3966659543</v>
      </c>
      <c r="AU40" s="100">
        <f>'PP - Data'!AU77</f>
        <v>0.5825226711</v>
      </c>
      <c r="AV40" s="100">
        <f>'PP - Data'!AV77</f>
        <v>0.6149135447</v>
      </c>
      <c r="AW40" s="100">
        <f>'PP - Data'!AW77</f>
        <v>0.6572080887</v>
      </c>
      <c r="AX40" s="100">
        <f>'PP - Data'!AX77</f>
        <v>0.538787024</v>
      </c>
      <c r="AY40" s="100">
        <f>'PP - Data'!AY77</f>
        <v>0.5280974949</v>
      </c>
      <c r="AZ40" s="100">
        <f>'PP - Data'!AZ77</f>
        <v>0.157987127</v>
      </c>
      <c r="BA40" s="100">
        <f>'PP - Data'!BA77</f>
        <v>0.6160714286</v>
      </c>
      <c r="BB40" s="100">
        <f>'PP - Data'!BB77</f>
        <v>0.9169518037</v>
      </c>
      <c r="BC40" s="100">
        <f>'PP - Data'!BC77</f>
        <v>0.9004288958</v>
      </c>
      <c r="BD40" s="100">
        <f>'PP - Data'!BD77</f>
        <v>0.5622881356</v>
      </c>
      <c r="BE40" s="100">
        <f>'PP - Data'!BE77</f>
        <v>0.5534084809</v>
      </c>
      <c r="BF40" s="100">
        <f>'PP - Data'!BF77</f>
        <v>0.5046863735</v>
      </c>
      <c r="BG40" s="100">
        <f>'PP - Data'!BG77</f>
        <v>0.5353152434</v>
      </c>
      <c r="BH40" s="100">
        <f>'PP - Data'!BH77</f>
        <v>0.4319953235</v>
      </c>
      <c r="BI40" s="100" t="str">
        <f>'PP - Data'!BI77</f>
        <v/>
      </c>
      <c r="BJ40" s="100" t="str">
        <f>'PP - Data'!BJ77</f>
        <v/>
      </c>
      <c r="BK40" s="100" t="str">
        <f>'PP - Data'!BK77</f>
        <v/>
      </c>
      <c r="BL40" s="100" t="str">
        <f>'PP - Data'!BL77</f>
        <v/>
      </c>
      <c r="BM40" s="100" t="str">
        <f>'PP - Data'!BM77</f>
        <v/>
      </c>
      <c r="BN40" s="100" t="str">
        <f>'PP - Data'!BN77</f>
        <v/>
      </c>
      <c r="BO40" s="100" t="str">
        <f>'PP - Data'!BO77</f>
        <v/>
      </c>
      <c r="BP40" s="81"/>
      <c r="BQ40" s="82"/>
    </row>
    <row r="41">
      <c r="A41" s="78" t="s">
        <v>38</v>
      </c>
      <c r="B41" s="100" t="str">
        <f>'PP - Data'!B78</f>
        <v/>
      </c>
      <c r="C41" s="100" t="str">
        <f>'PP - Data'!C78</f>
        <v/>
      </c>
      <c r="D41" s="100" t="str">
        <f>'PP - Data'!D78</f>
        <v/>
      </c>
      <c r="E41" s="100" t="str">
        <f>'PP - Data'!E78</f>
        <v/>
      </c>
      <c r="F41" s="100" t="str">
        <f>'PP - Data'!F78</f>
        <v/>
      </c>
      <c r="G41" s="100" t="str">
        <f>'PP - Data'!G78</f>
        <v/>
      </c>
      <c r="H41" s="100" t="str">
        <f>'PP - Data'!H78</f>
        <v/>
      </c>
      <c r="I41" s="100" t="str">
        <f>'PP - Data'!I78</f>
        <v/>
      </c>
      <c r="J41" s="100" t="str">
        <f>'PP - Data'!J78</f>
        <v/>
      </c>
      <c r="K41" s="100" t="str">
        <f>'PP - Data'!K78</f>
        <v/>
      </c>
      <c r="L41" s="100" t="str">
        <f>'PP - Data'!L78</f>
        <v/>
      </c>
      <c r="M41" s="100" t="str">
        <f>'PP - Data'!M78</f>
        <v/>
      </c>
      <c r="N41" s="100" t="str">
        <f>'PP - Data'!N78</f>
        <v/>
      </c>
      <c r="O41" s="100" t="str">
        <f>'PP - Data'!O78</f>
        <v/>
      </c>
      <c r="P41" s="100" t="str">
        <f>'PP - Data'!P78</f>
        <v/>
      </c>
      <c r="Q41" s="100" t="str">
        <f>'PP - Data'!Q78</f>
        <v/>
      </c>
      <c r="R41" s="100" t="str">
        <f>'PP - Data'!R78</f>
        <v/>
      </c>
      <c r="S41" s="100" t="str">
        <f>'PP - Data'!S78</f>
        <v/>
      </c>
      <c r="T41" s="100" t="str">
        <f>'PP - Data'!T78</f>
        <v/>
      </c>
      <c r="U41" s="100" t="str">
        <f>'PP - Data'!U78</f>
        <v/>
      </c>
      <c r="V41" s="100" t="str">
        <f>'PP - Data'!V78</f>
        <v/>
      </c>
      <c r="W41" s="100" t="str">
        <f>'PP - Data'!W78</f>
        <v/>
      </c>
      <c r="X41" s="100" t="str">
        <f>'PP - Data'!X78</f>
        <v/>
      </c>
      <c r="Y41" s="100" t="str">
        <f>'PP - Data'!Y78</f>
        <v/>
      </c>
      <c r="Z41" s="100" t="str">
        <f>'PP - Data'!Z78</f>
        <v/>
      </c>
      <c r="AA41" s="100" t="str">
        <f>'PP - Data'!AA78</f>
        <v/>
      </c>
      <c r="AB41" s="100" t="str">
        <f>'PP - Data'!AB78</f>
        <v/>
      </c>
      <c r="AC41" s="100" t="str">
        <f>'PP - Data'!AC78</f>
        <v/>
      </c>
      <c r="AD41" s="100" t="str">
        <f>'PP - Data'!AD78</f>
        <v/>
      </c>
      <c r="AE41" s="100" t="str">
        <f>'PP - Data'!AE78</f>
        <v/>
      </c>
      <c r="AF41" s="100" t="str">
        <f>'PP - Data'!AF78</f>
        <v/>
      </c>
      <c r="AG41" s="100" t="str">
        <f>'PP - Data'!AG78</f>
        <v/>
      </c>
      <c r="AH41" s="100" t="str">
        <f>'PP - Data'!AH78</f>
        <v/>
      </c>
      <c r="AI41" s="101" t="s">
        <v>38</v>
      </c>
      <c r="AJ41" s="100">
        <f>'PP - Data'!AJ78</f>
        <v>0.432304038</v>
      </c>
      <c r="AK41" s="100">
        <f>'PP - Data'!AK78</f>
        <v>0.3823529412</v>
      </c>
      <c r="AL41" s="100">
        <f>'PP - Data'!AL78</f>
        <v>0.546562228</v>
      </c>
      <c r="AM41" s="100">
        <f>'PP - Data'!AM78</f>
        <v>0.5734406439</v>
      </c>
      <c r="AN41" s="100">
        <f>'PP - Data'!AN78</f>
        <v>0.4943566591</v>
      </c>
      <c r="AO41" s="100">
        <f>'PP - Data'!AO78</f>
        <v>0.5716845878</v>
      </c>
      <c r="AP41" s="100">
        <f>'PP - Data'!AP78</f>
        <v>0.0830630448</v>
      </c>
      <c r="AQ41" s="100">
        <f>'PP - Data'!AQ78</f>
        <v>0.1286495072</v>
      </c>
      <c r="AR41" s="100">
        <f>'PP - Data'!AR78</f>
        <v>0.3919821826</v>
      </c>
      <c r="AS41" s="100">
        <f>'PP - Data'!AS78</f>
        <v>0.4070339977</v>
      </c>
      <c r="AT41" s="100">
        <f>'PP - Data'!AT78</f>
        <v>0.6033340457</v>
      </c>
      <c r="AU41" s="100">
        <f>'PP - Data'!AU78</f>
        <v>0.4174773289</v>
      </c>
      <c r="AV41" s="100">
        <f>'PP - Data'!AV78</f>
        <v>0.3850864553</v>
      </c>
      <c r="AW41" s="100">
        <f>'PP - Data'!AW78</f>
        <v>0.3427919113</v>
      </c>
      <c r="AX41" s="100">
        <f>'PP - Data'!AX78</f>
        <v>0.461212976</v>
      </c>
      <c r="AY41" s="100">
        <f>'PP - Data'!AY78</f>
        <v>0.4719025051</v>
      </c>
      <c r="AZ41" s="100">
        <f>'PP - Data'!AZ78</f>
        <v>0.842012873</v>
      </c>
      <c r="BA41" s="100">
        <f>'PP - Data'!BA78</f>
        <v>0.3839285714</v>
      </c>
      <c r="BB41" s="100">
        <f>'PP - Data'!BB78</f>
        <v>0.0830481963</v>
      </c>
      <c r="BC41" s="100">
        <f>'PP - Data'!BC78</f>
        <v>0.0995711042</v>
      </c>
      <c r="BD41" s="100">
        <f>'PP - Data'!BD78</f>
        <v>0.4377118644</v>
      </c>
      <c r="BE41" s="100">
        <f>'PP - Data'!BE78</f>
        <v>0.4465915191</v>
      </c>
      <c r="BF41" s="100">
        <f>'PP - Data'!BF78</f>
        <v>0.4953136265</v>
      </c>
      <c r="BG41" s="100">
        <f>'PP - Data'!BG78</f>
        <v>0.4646847566</v>
      </c>
      <c r="BH41" s="100">
        <f>'PP - Data'!BH78</f>
        <v>0.5680046765</v>
      </c>
      <c r="BI41" s="100" t="str">
        <f>'PP - Data'!BI78</f>
        <v/>
      </c>
      <c r="BJ41" s="100" t="str">
        <f>'PP - Data'!BJ78</f>
        <v/>
      </c>
      <c r="BK41" s="100" t="str">
        <f>'PP - Data'!BK78</f>
        <v/>
      </c>
      <c r="BL41" s="100" t="str">
        <f>'PP - Data'!BL78</f>
        <v/>
      </c>
      <c r="BM41" s="100" t="str">
        <f>'PP - Data'!BM78</f>
        <v/>
      </c>
      <c r="BN41" s="100" t="str">
        <f>'PP - Data'!BN78</f>
        <v/>
      </c>
      <c r="BO41" s="100" t="str">
        <f>'PP - Data'!BO78</f>
        <v/>
      </c>
      <c r="BP41" s="83"/>
      <c r="BQ41" s="82"/>
    </row>
    <row r="42">
      <c r="A42" s="112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7"/>
      <c r="BL42" s="117"/>
      <c r="BM42" s="117"/>
      <c r="BN42" s="117"/>
      <c r="BO42" s="117"/>
      <c r="BP42" s="83"/>
      <c r="BQ42" s="82"/>
    </row>
    <row r="43">
      <c r="A43" s="126" t="s">
        <v>41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83"/>
      <c r="BQ43" s="82"/>
    </row>
    <row r="44">
      <c r="A44" s="127" t="s">
        <v>31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101" t="s">
        <v>31</v>
      </c>
      <c r="AS44" s="100">
        <f>'PP - Data'!AS85</f>
        <v>0.3163265306</v>
      </c>
      <c r="AT44" s="100">
        <f>'PP - Data'!AT85</f>
        <v>0.2677922633</v>
      </c>
      <c r="AU44" s="100">
        <f>'PP - Data'!AU85</f>
        <v>0.3249793899</v>
      </c>
      <c r="AV44" s="100">
        <f>'PP - Data'!AV85</f>
        <v>0.3533861671</v>
      </c>
      <c r="AW44" s="100">
        <f>'PP - Data'!AW85</f>
        <v>0.4178082192</v>
      </c>
      <c r="AX44" s="100">
        <f>'PP - Data'!AX85</f>
        <v>0.3695345557</v>
      </c>
      <c r="AY44" s="100">
        <f>'PP - Data'!AY85</f>
        <v>0.3358158429</v>
      </c>
      <c r="AZ44" s="100">
        <f>'PP - Data'!AZ85</f>
        <v>0.1319485079</v>
      </c>
      <c r="BA44" s="100">
        <f>'PP - Data'!BA85</f>
        <v>0.400297619</v>
      </c>
      <c r="BB44" s="100">
        <f>'PP - Data'!BB85</f>
        <v>0.3926581288</v>
      </c>
      <c r="BC44" s="100">
        <f>'PP - Data'!BC85</f>
        <v>0.4145992768</v>
      </c>
      <c r="BD44" s="100">
        <f>'PP - Data'!BD85</f>
        <v>0.3745762712</v>
      </c>
      <c r="BE44" s="100">
        <f>'PP - Data'!BE85</f>
        <v>0.3387010199</v>
      </c>
      <c r="BF44" s="100">
        <f>'PP - Data'!BF85</f>
        <v>0.2773371786</v>
      </c>
      <c r="BG44" s="100">
        <f>'PP - Data'!BG85</f>
        <v>0.3052673583</v>
      </c>
      <c r="BH44" s="100">
        <f>'PP - Data'!BH85</f>
        <v>0.2704598597</v>
      </c>
      <c r="BI44" s="100" t="str">
        <f>'PP - Data'!BI85</f>
        <v/>
      </c>
      <c r="BJ44" s="100" t="str">
        <f>'PP - Data'!BJ85</f>
        <v/>
      </c>
      <c r="BK44" s="100" t="str">
        <f>'PP - Data'!BK85</f>
        <v/>
      </c>
      <c r="BL44" s="100" t="str">
        <f>'PP - Data'!BL85</f>
        <v/>
      </c>
      <c r="BM44" s="100" t="str">
        <f>'PP - Data'!BM85</f>
        <v/>
      </c>
      <c r="BN44" s="100" t="str">
        <f>'PP - Data'!BN85</f>
        <v/>
      </c>
      <c r="BO44" s="100" t="str">
        <f>'PP - Data'!BO85</f>
        <v/>
      </c>
      <c r="BP44" s="83"/>
      <c r="BQ44" s="82"/>
    </row>
    <row r="45">
      <c r="A45" s="127" t="s">
        <v>32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101" t="s">
        <v>32</v>
      </c>
      <c r="AS45" s="100">
        <f>'PP - Data'!AS86</f>
        <v>0.6836734694</v>
      </c>
      <c r="AT45" s="100">
        <f>'PP - Data'!AT86</f>
        <v>0.7322077367</v>
      </c>
      <c r="AU45" s="100">
        <f>'PP - Data'!AU86</f>
        <v>0.6750206101</v>
      </c>
      <c r="AV45" s="100">
        <f>'PP - Data'!AV86</f>
        <v>0.6466138329</v>
      </c>
      <c r="AW45" s="100">
        <f>'PP - Data'!AW86</f>
        <v>0.5821917808</v>
      </c>
      <c r="AX45" s="100">
        <f>'PP - Data'!AX86</f>
        <v>0.6304654443</v>
      </c>
      <c r="AY45" s="100">
        <f>'PP - Data'!AY86</f>
        <v>0.6641841571</v>
      </c>
      <c r="AZ45" s="100">
        <f>'PP - Data'!AZ86</f>
        <v>0.8680514921</v>
      </c>
      <c r="BA45" s="100">
        <f>'PP - Data'!BA86</f>
        <v>0.599702381</v>
      </c>
      <c r="BB45" s="100">
        <f>'PP - Data'!BB86</f>
        <v>0.6073418712</v>
      </c>
      <c r="BC45" s="100">
        <f>'PP - Data'!BC86</f>
        <v>0.5854007232</v>
      </c>
      <c r="BD45" s="100">
        <f>'PP - Data'!BD86</f>
        <v>0.6254237288</v>
      </c>
      <c r="BE45" s="100">
        <f>'PP - Data'!BE86</f>
        <v>0.6612989801</v>
      </c>
      <c r="BF45" s="100">
        <f>'PP - Data'!BF86</f>
        <v>0.7226628214</v>
      </c>
      <c r="BG45" s="100">
        <f>'PP - Data'!BG86</f>
        <v>0.6947326417</v>
      </c>
      <c r="BH45" s="100">
        <f>'PP - Data'!BH86</f>
        <v>0.7295401403</v>
      </c>
      <c r="BI45" s="100" t="str">
        <f>'PP - Data'!BI86</f>
        <v/>
      </c>
      <c r="BJ45" s="100" t="str">
        <f>'PP - Data'!BJ86</f>
        <v/>
      </c>
      <c r="BK45" s="100" t="str">
        <f>'PP - Data'!BK86</f>
        <v/>
      </c>
      <c r="BL45" s="100" t="str">
        <f>'PP - Data'!BL86</f>
        <v/>
      </c>
      <c r="BM45" s="100" t="str">
        <f>'PP - Data'!BM86</f>
        <v/>
      </c>
      <c r="BN45" s="100" t="str">
        <f>'PP - Data'!BN86</f>
        <v/>
      </c>
      <c r="BO45" s="100" t="str">
        <f>'PP - Data'!BO86</f>
        <v/>
      </c>
      <c r="BP45" s="83"/>
      <c r="BQ45" s="82"/>
    </row>
    <row r="46">
      <c r="A46" s="112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83"/>
      <c r="BQ46" s="82"/>
    </row>
    <row r="47">
      <c r="A47" s="126" t="s">
        <v>42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83"/>
      <c r="BQ47" s="82"/>
    </row>
    <row r="48">
      <c r="A48" s="127" t="s">
        <v>43</v>
      </c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101" t="s">
        <v>43</v>
      </c>
      <c r="AP48" s="100">
        <f>'PP - Data'!AP97</f>
        <v>0.02461856736</v>
      </c>
      <c r="AQ48" s="100">
        <f>'PP - Data'!AQ97</f>
        <v>0.03368057178</v>
      </c>
      <c r="AR48" s="100">
        <f>'PP - Data'!AR97</f>
        <v>0.01475501114</v>
      </c>
      <c r="AS48" s="100">
        <f>'PP - Data'!AS97</f>
        <v>0.01594372802</v>
      </c>
      <c r="AT48" s="100">
        <f>'PP - Data'!AT97</f>
        <v>0.01154092755</v>
      </c>
      <c r="AU48" s="100">
        <f>'PP - Data'!AU97</f>
        <v>0.01813685078</v>
      </c>
      <c r="AV48" s="100">
        <f>'PP - Data'!AV97</f>
        <v>0.02377521614</v>
      </c>
      <c r="AW48" s="100">
        <f>'PP - Data'!AW97</f>
        <v>0.02054794521</v>
      </c>
      <c r="AX48" s="100">
        <f>'PP - Data'!AX97</f>
        <v>0.01622002821</v>
      </c>
      <c r="AY48" s="100">
        <f>'PP - Data'!AY97</f>
        <v>0.02437373053</v>
      </c>
      <c r="AZ48" s="100">
        <f>'PP - Data'!AZ97</f>
        <v>0.005851375073</v>
      </c>
      <c r="BA48" s="100">
        <f>'PP - Data'!BA97</f>
        <v>0.01339285714</v>
      </c>
      <c r="BB48" s="100">
        <f>'PP - Data'!BB97</f>
        <v>0.02180076254</v>
      </c>
      <c r="BC48" s="100">
        <f>'PP - Data'!BC97</f>
        <v>0.02787822723</v>
      </c>
      <c r="BD48" s="100">
        <f>'PP - Data'!BD97</f>
        <v>0.01186440678</v>
      </c>
      <c r="BE48" s="100">
        <f>'PP - Data'!BE97</f>
        <v>0.009125067096</v>
      </c>
      <c r="BF48" s="100">
        <f>'PP - Data'!BF97</f>
        <v>0.008171112713</v>
      </c>
      <c r="BG48" s="100">
        <f>'PP - Data'!BG97</f>
        <v>0.01675977654</v>
      </c>
      <c r="BH48" s="100">
        <f>'PP - Data'!BH97</f>
        <v>0.01402961808</v>
      </c>
      <c r="BI48" s="100" t="str">
        <f>'PP - Data'!BI97</f>
        <v/>
      </c>
      <c r="BJ48" s="100" t="str">
        <f>'PP - Data'!BJ97</f>
        <v/>
      </c>
      <c r="BK48" s="100" t="str">
        <f>'PP - Data'!BK97</f>
        <v/>
      </c>
      <c r="BL48" s="100" t="str">
        <f>'PP - Data'!BL97</f>
        <v/>
      </c>
      <c r="BM48" s="100" t="str">
        <f>'PP - Data'!BM97</f>
        <v/>
      </c>
      <c r="BN48" s="100" t="str">
        <f>'PP - Data'!BN97</f>
        <v/>
      </c>
      <c r="BO48" s="100" t="str">
        <f>'PP - Data'!BO97</f>
        <v/>
      </c>
      <c r="BP48" s="83"/>
      <c r="BQ48" s="82"/>
    </row>
    <row r="49">
      <c r="A49" s="127" t="s">
        <v>44</v>
      </c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101" t="s">
        <v>44</v>
      </c>
      <c r="AP49" s="100">
        <f>'PP - Data'!AP98</f>
        <v>0.142901474</v>
      </c>
      <c r="AQ49" s="100">
        <f>'PP - Data'!AQ98</f>
        <v>0.1662073154</v>
      </c>
      <c r="AR49" s="100">
        <f>'PP - Data'!AR98</f>
        <v>0.07739420935</v>
      </c>
      <c r="AS49" s="100">
        <f>'PP - Data'!AS98</f>
        <v>0.09542790152</v>
      </c>
      <c r="AT49" s="100">
        <f>'PP - Data'!AT98</f>
        <v>0.07309254114</v>
      </c>
      <c r="AU49" s="100">
        <f>'PP - Data'!AU98</f>
        <v>0.118219291</v>
      </c>
      <c r="AV49" s="100">
        <f>'PP - Data'!AV98</f>
        <v>0.1273414986</v>
      </c>
      <c r="AW49" s="100">
        <f>'PP - Data'!AW98</f>
        <v>0.119047619</v>
      </c>
      <c r="AX49" s="100">
        <f>'PP - Data'!AX98</f>
        <v>0.1043723554</v>
      </c>
      <c r="AY49" s="100">
        <f>'PP - Data'!AY98</f>
        <v>0.09681787407</v>
      </c>
      <c r="AZ49" s="100">
        <f>'PP - Data'!AZ98</f>
        <v>0.05705090696</v>
      </c>
      <c r="BA49" s="100">
        <f>'PP - Data'!BA98</f>
        <v>0.09523809524</v>
      </c>
      <c r="BB49" s="100">
        <f>'PP - Data'!BB98</f>
        <v>0.1136963535</v>
      </c>
      <c r="BC49" s="100">
        <f>'PP - Data'!BC98</f>
        <v>0.1135312421</v>
      </c>
      <c r="BD49" s="100">
        <f>'PP - Data'!BD98</f>
        <v>0.06313559322</v>
      </c>
      <c r="BE49" s="100">
        <f>'PP - Data'!BE98</f>
        <v>0.05475040258</v>
      </c>
      <c r="BF49" s="100">
        <f>'PP - Data'!BF98</f>
        <v>0.06392694064</v>
      </c>
      <c r="BG49" s="100">
        <f>'PP - Data'!BG98</f>
        <v>0.08758978452</v>
      </c>
      <c r="BH49" s="100">
        <f>'PP - Data'!BH98</f>
        <v>0.08398285269</v>
      </c>
      <c r="BI49" s="100" t="str">
        <f>'PP - Data'!BI98</f>
        <v/>
      </c>
      <c r="BJ49" s="100" t="str">
        <f>'PP - Data'!BJ98</f>
        <v/>
      </c>
      <c r="BK49" s="100" t="str">
        <f>'PP - Data'!BK98</f>
        <v/>
      </c>
      <c r="BL49" s="100" t="str">
        <f>'PP - Data'!BL98</f>
        <v/>
      </c>
      <c r="BM49" s="100" t="str">
        <f>'PP - Data'!BM98</f>
        <v/>
      </c>
      <c r="BN49" s="100" t="str">
        <f>'PP - Data'!BN98</f>
        <v/>
      </c>
      <c r="BO49" s="100" t="str">
        <f>'PP - Data'!BO98</f>
        <v/>
      </c>
      <c r="BP49" s="83"/>
      <c r="BQ49" s="82"/>
    </row>
    <row r="50">
      <c r="A50" s="130" t="s">
        <v>45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101" t="s">
        <v>45</v>
      </c>
      <c r="AP50" s="100">
        <f>'PP - Data'!AP99</f>
        <v>0.2623739333</v>
      </c>
      <c r="AQ50" s="100">
        <f>'PP - Data'!AQ99</f>
        <v>0.2644462092</v>
      </c>
      <c r="AR50" s="100">
        <f>'PP - Data'!AR99</f>
        <v>0.1784521158</v>
      </c>
      <c r="AS50" s="100">
        <f>'PP - Data'!AS99</f>
        <v>0.1910902696</v>
      </c>
      <c r="AT50" s="100">
        <f>'PP - Data'!AT99</f>
        <v>0.196836931</v>
      </c>
      <c r="AU50" s="100">
        <f>'PP - Data'!AU99</f>
        <v>0.2156636439</v>
      </c>
      <c r="AV50" s="100">
        <f>'PP - Data'!AV99</f>
        <v>0.2485590778</v>
      </c>
      <c r="AW50" s="100">
        <f>'PP - Data'!AW99</f>
        <v>0.2420091324</v>
      </c>
      <c r="AX50" s="100">
        <f>'PP - Data'!AX99</f>
        <v>0.2129760226</v>
      </c>
      <c r="AY50" s="100">
        <f>'PP - Data'!AY99</f>
        <v>0.2058226134</v>
      </c>
      <c r="AZ50" s="100">
        <f>'PP - Data'!AZ99</f>
        <v>0.1849034523</v>
      </c>
      <c r="BA50" s="100">
        <f>'PP - Data'!BA99</f>
        <v>0.1711309524</v>
      </c>
      <c r="BB50" s="100">
        <f>'PP - Data'!BB99</f>
        <v>0.2297389774</v>
      </c>
      <c r="BC50" s="100">
        <f>'PP - Data'!BC99</f>
        <v>0.220965436</v>
      </c>
      <c r="BD50" s="100">
        <f>'PP - Data'!BD99</f>
        <v>0.1563559322</v>
      </c>
      <c r="BE50" s="100">
        <f>'PP - Data'!BE99</f>
        <v>0.1621041331</v>
      </c>
      <c r="BF50" s="100">
        <f>'PP - Data'!BF99</f>
        <v>0.1595770248</v>
      </c>
      <c r="BG50" s="100">
        <f>'PP - Data'!BG99</f>
        <v>0.2073024741</v>
      </c>
      <c r="BH50" s="100">
        <f>'PP - Data'!BH99</f>
        <v>0.2112236945</v>
      </c>
      <c r="BI50" s="100" t="str">
        <f>'PP - Data'!BI99</f>
        <v/>
      </c>
      <c r="BJ50" s="100" t="str">
        <f>'PP - Data'!BJ99</f>
        <v/>
      </c>
      <c r="BK50" s="100" t="str">
        <f>'PP - Data'!BK99</f>
        <v/>
      </c>
      <c r="BL50" s="100" t="str">
        <f>'PP - Data'!BL99</f>
        <v/>
      </c>
      <c r="BM50" s="100" t="str">
        <f>'PP - Data'!BM99</f>
        <v/>
      </c>
      <c r="BN50" s="100" t="str">
        <f>'PP - Data'!BN99</f>
        <v/>
      </c>
      <c r="BO50" s="100" t="str">
        <f>'PP - Data'!BO99</f>
        <v/>
      </c>
      <c r="BP50" s="83"/>
      <c r="BQ50" s="82"/>
    </row>
    <row r="51">
      <c r="A51" s="130" t="s">
        <v>46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101" t="s">
        <v>46</v>
      </c>
      <c r="AP51" s="100">
        <f>'PP - Data'!AP100</f>
        <v>0.2700801655</v>
      </c>
      <c r="AQ51" s="100">
        <f>'PP - Data'!AQ100</f>
        <v>0.24977811</v>
      </c>
      <c r="AR51" s="100">
        <f>'PP - Data'!AR100</f>
        <v>0.2271714922</v>
      </c>
      <c r="AS51" s="100">
        <f>'PP - Data'!AS100</f>
        <v>0.2161781946</v>
      </c>
      <c r="AT51" s="100">
        <f>'PP - Data'!AT100</f>
        <v>0.2197050652</v>
      </c>
      <c r="AU51" s="100">
        <f>'PP - Data'!AU100</f>
        <v>0.2319868096</v>
      </c>
      <c r="AV51" s="100">
        <f>'PP - Data'!AV100</f>
        <v>0.2545028818</v>
      </c>
      <c r="AW51" s="100">
        <f>'PP - Data'!AW100</f>
        <v>0.2508153947</v>
      </c>
      <c r="AX51" s="100">
        <f>'PP - Data'!AX100</f>
        <v>0.2165021157</v>
      </c>
      <c r="AY51" s="100">
        <f>'PP - Data'!AY100</f>
        <v>0.2153012864</v>
      </c>
      <c r="AZ51" s="100">
        <f>'PP - Data'!AZ100</f>
        <v>0.2416617905</v>
      </c>
      <c r="BA51" s="100">
        <f>'PP - Data'!BA100</f>
        <v>0.2083333333</v>
      </c>
      <c r="BB51" s="100">
        <f>'PP - Data'!BB100</f>
        <v>0.2375598788</v>
      </c>
      <c r="BC51" s="100">
        <f>'PP - Data'!BC100</f>
        <v>0.2381633168</v>
      </c>
      <c r="BD51" s="100">
        <f>'PP - Data'!BD100</f>
        <v>0.2080508475</v>
      </c>
      <c r="BE51" s="100">
        <f>'PP - Data'!BE100</f>
        <v>0.1980676329</v>
      </c>
      <c r="BF51" s="100">
        <f>'PP - Data'!BF100</f>
        <v>0.2174957943</v>
      </c>
      <c r="BG51" s="100">
        <f>'PP - Data'!BG100</f>
        <v>0.2316440543</v>
      </c>
      <c r="BH51" s="100">
        <f>'PP - Data'!BH100</f>
        <v>0.2406469213</v>
      </c>
      <c r="BI51" s="100" t="str">
        <f>'PP - Data'!BI100</f>
        <v/>
      </c>
      <c r="BJ51" s="100" t="str">
        <f>'PP - Data'!BJ100</f>
        <v/>
      </c>
      <c r="BK51" s="100" t="str">
        <f>'PP - Data'!BK100</f>
        <v/>
      </c>
      <c r="BL51" s="100" t="str">
        <f>'PP - Data'!BL100</f>
        <v/>
      </c>
      <c r="BM51" s="100" t="str">
        <f>'PP - Data'!BM100</f>
        <v/>
      </c>
      <c r="BN51" s="100" t="str">
        <f>'PP - Data'!BN100</f>
        <v/>
      </c>
      <c r="BO51" s="100" t="str">
        <f>'PP - Data'!BO100</f>
        <v/>
      </c>
      <c r="BP51" s="83"/>
      <c r="BQ51" s="82"/>
    </row>
    <row r="52">
      <c r="A52" s="130" t="s">
        <v>47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101" t="s">
        <v>47</v>
      </c>
      <c r="AP52" s="100">
        <f>'PP - Data'!AP101</f>
        <v>0.1883630721</v>
      </c>
      <c r="AQ52" s="100">
        <f>'PP - Data'!AQ101</f>
        <v>0.1794740038</v>
      </c>
      <c r="AR52" s="100">
        <f>'PP - Data'!AR101</f>
        <v>0.2486080178</v>
      </c>
      <c r="AS52" s="100">
        <f>'PP - Data'!AS101</f>
        <v>0.2468933177</v>
      </c>
      <c r="AT52" s="100">
        <f>'PP - Data'!AT101</f>
        <v>0.2338106433</v>
      </c>
      <c r="AU52" s="100">
        <f>'PP - Data'!AU101</f>
        <v>0.2184666117</v>
      </c>
      <c r="AV52" s="100">
        <f>'PP - Data'!AV101</f>
        <v>0.1984870317</v>
      </c>
      <c r="AW52" s="100">
        <f>'PP - Data'!AW101</f>
        <v>0.2051532942</v>
      </c>
      <c r="AX52" s="100">
        <f>'PP - Data'!AX101</f>
        <v>0.2150916784</v>
      </c>
      <c r="AY52" s="100">
        <f>'PP - Data'!AY101</f>
        <v>0.2139471903</v>
      </c>
      <c r="AZ52" s="100">
        <f>'PP - Data'!AZ101</f>
        <v>0.2510239906</v>
      </c>
      <c r="BA52" s="100">
        <f>'PP - Data'!BA101</f>
        <v>0.212797619</v>
      </c>
      <c r="BB52" s="100">
        <f>'PP - Data'!BB101</f>
        <v>0.214194936</v>
      </c>
      <c r="BC52" s="100">
        <f>'PP - Data'!BC101</f>
        <v>0.2096123118</v>
      </c>
      <c r="BD52" s="100">
        <f>'PP - Data'!BD101</f>
        <v>0.2529661017</v>
      </c>
      <c r="BE52" s="100">
        <f>'PP - Data'!BE101</f>
        <v>0.2667740204</v>
      </c>
      <c r="BF52" s="100">
        <f>'PP - Data'!BF101</f>
        <v>0.2636385484</v>
      </c>
      <c r="BG52" s="100">
        <f>'PP - Data'!BG101</f>
        <v>0.2254588986</v>
      </c>
      <c r="BH52" s="100">
        <f>'PP - Data'!BH101</f>
        <v>0.227786438</v>
      </c>
      <c r="BI52" s="100" t="str">
        <f>'PP - Data'!BI101</f>
        <v/>
      </c>
      <c r="BJ52" s="100" t="str">
        <f>'PP - Data'!BJ101</f>
        <v/>
      </c>
      <c r="BK52" s="100" t="str">
        <f>'PP - Data'!BK101</f>
        <v/>
      </c>
      <c r="BL52" s="100" t="str">
        <f>'PP - Data'!BL101</f>
        <v/>
      </c>
      <c r="BM52" s="100" t="str">
        <f>'PP - Data'!BM101</f>
        <v/>
      </c>
      <c r="BN52" s="100" t="str">
        <f>'PP - Data'!BN101</f>
        <v/>
      </c>
      <c r="BO52" s="100" t="str">
        <f>'PP - Data'!BO101</f>
        <v/>
      </c>
      <c r="BP52" s="83"/>
      <c r="BQ52" s="82"/>
    </row>
    <row r="53">
      <c r="A53" s="130" t="s">
        <v>48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101" t="s">
        <v>48</v>
      </c>
      <c r="AP53" s="100">
        <f>'PP - Data'!AP102</f>
        <v>0.1116627877</v>
      </c>
      <c r="AQ53" s="100">
        <f>'PP - Data'!AQ102</f>
        <v>0.1064137899</v>
      </c>
      <c r="AR53" s="100">
        <f>'PP - Data'!AR102</f>
        <v>0.2536191537</v>
      </c>
      <c r="AS53" s="100">
        <f>'PP - Data'!AS102</f>
        <v>0.2344665885</v>
      </c>
      <c r="AT53" s="100">
        <f>'PP - Data'!AT102</f>
        <v>0.2650138919</v>
      </c>
      <c r="AU53" s="100">
        <f>'PP - Data'!AU102</f>
        <v>0.1975267931</v>
      </c>
      <c r="AV53" s="100">
        <f>'PP - Data'!AV102</f>
        <v>0.1473342939</v>
      </c>
      <c r="AW53" s="100">
        <f>'PP - Data'!AW102</f>
        <v>0.1624266145</v>
      </c>
      <c r="AX53" s="100">
        <f>'PP - Data'!AX102</f>
        <v>0.2348377997</v>
      </c>
      <c r="AY53" s="100">
        <f>'PP - Data'!AY102</f>
        <v>0.2437373053</v>
      </c>
      <c r="AZ53" s="100">
        <f>'PP - Data'!AZ102</f>
        <v>0.2595084845</v>
      </c>
      <c r="BA53" s="100">
        <f>'PP - Data'!BA102</f>
        <v>0.2991071429</v>
      </c>
      <c r="BB53" s="100">
        <f>'PP - Data'!BB102</f>
        <v>0.1830090918</v>
      </c>
      <c r="BC53" s="100">
        <f>'PP - Data'!BC102</f>
        <v>0.189849466</v>
      </c>
      <c r="BD53" s="100">
        <f>'PP - Data'!BD102</f>
        <v>0.3076271186</v>
      </c>
      <c r="BE53" s="100">
        <f>'PP - Data'!BE102</f>
        <v>0.309178744</v>
      </c>
      <c r="BF53" s="100">
        <f>'PP - Data'!BF102</f>
        <v>0.2871905792</v>
      </c>
      <c r="BG53" s="100">
        <f>'PP - Data'!BG102</f>
        <v>0.231245012</v>
      </c>
      <c r="BH53" s="100">
        <f>'PP - Data'!BH102</f>
        <v>0.2223304754</v>
      </c>
      <c r="BI53" s="100" t="str">
        <f>'PP - Data'!BI102</f>
        <v/>
      </c>
      <c r="BJ53" s="100" t="str">
        <f>'PP - Data'!BJ102</f>
        <v/>
      </c>
      <c r="BK53" s="100" t="str">
        <f>'PP - Data'!BK102</f>
        <v/>
      </c>
      <c r="BL53" s="100" t="str">
        <f>'PP - Data'!BL102</f>
        <v/>
      </c>
      <c r="BM53" s="100" t="str">
        <f>'PP - Data'!BM102</f>
        <v/>
      </c>
      <c r="BN53" s="100" t="str">
        <f>'PP - Data'!BN102</f>
        <v/>
      </c>
      <c r="BO53" s="100" t="str">
        <f>'PP - Data'!BO102</f>
        <v/>
      </c>
      <c r="BP53" s="83"/>
      <c r="BQ53" s="82"/>
    </row>
    <row r="54">
      <c r="A54" s="112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83"/>
      <c r="BQ54" s="82"/>
    </row>
    <row r="55">
      <c r="A55" s="126" t="s">
        <v>49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83"/>
      <c r="BQ55" s="82"/>
    </row>
    <row r="56">
      <c r="A56" s="127" t="s">
        <v>50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101" t="s">
        <v>50</v>
      </c>
      <c r="AP56" s="100">
        <f>'PP - Data'!AP109</f>
        <v>0.383708301</v>
      </c>
      <c r="AQ56" s="100">
        <f>'PP - Data'!AQ109</f>
        <v>0.4470033167</v>
      </c>
      <c r="AR56" s="100">
        <f>'PP - Data'!AR109</f>
        <v>0.410077951</v>
      </c>
      <c r="AS56" s="100">
        <f>'PP - Data'!AS109</f>
        <v>0.3805392732</v>
      </c>
      <c r="AT56" s="100">
        <f>'PP - Data'!AT109</f>
        <v>0.3932464202</v>
      </c>
      <c r="AU56" s="100">
        <f>'PP - Data'!AU109</f>
        <v>0.447485573</v>
      </c>
      <c r="AV56" s="100">
        <f>'PP - Data'!AV109</f>
        <v>0.4729827089</v>
      </c>
      <c r="AW56" s="100">
        <f>'PP - Data'!AW109</f>
        <v>0.2876712329</v>
      </c>
      <c r="AX56" s="100">
        <f>'PP - Data'!AX109</f>
        <v>0.3829337094</v>
      </c>
      <c r="AY56" s="100">
        <f>'PP - Data'!AY109</f>
        <v>0.3893026405</v>
      </c>
      <c r="AZ56" s="100">
        <f>'PP - Data'!AZ109</f>
        <v>0.4906377999</v>
      </c>
      <c r="BA56" s="100">
        <f>'PP - Data'!BA109</f>
        <v>0.4211309524</v>
      </c>
      <c r="BB56" s="100">
        <f>'PP - Data'!BB109</f>
        <v>0.4172450875</v>
      </c>
      <c r="BC56" s="100">
        <f>'PP - Data'!BC109</f>
        <v>0.5085358675</v>
      </c>
      <c r="BD56" s="100">
        <f>'PP - Data'!BD109</f>
        <v>0.4245762712</v>
      </c>
      <c r="BE56" s="100">
        <f>'PP - Data'!BE109</f>
        <v>0.4315619968</v>
      </c>
      <c r="BF56" s="100">
        <f>'PP - Data'!BF109</f>
        <v>0.4102379236</v>
      </c>
      <c r="BG56" s="100">
        <f>'PP - Data'!BG109</f>
        <v>0.4918196329</v>
      </c>
      <c r="BH56" s="100">
        <f>'PP - Data'!BH109</f>
        <v>0.4894777864</v>
      </c>
      <c r="BI56" s="100" t="str">
        <f>'PP - Data'!BI109</f>
        <v/>
      </c>
      <c r="BJ56" s="100" t="str">
        <f>'PP - Data'!BJ109</f>
        <v/>
      </c>
      <c r="BK56" s="100" t="str">
        <f>'PP - Data'!BK109</f>
        <v/>
      </c>
      <c r="BL56" s="100" t="str">
        <f>'PP - Data'!BL109</f>
        <v/>
      </c>
      <c r="BM56" s="100" t="str">
        <f>'PP - Data'!BM109</f>
        <v/>
      </c>
      <c r="BN56" s="100" t="str">
        <f>'PP - Data'!BN109</f>
        <v/>
      </c>
      <c r="BO56" s="100" t="str">
        <f>'PP - Data'!BO109</f>
        <v/>
      </c>
      <c r="BP56" s="83"/>
      <c r="BQ56" s="82"/>
    </row>
    <row r="57">
      <c r="A57" s="127" t="s">
        <v>51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101" t="s">
        <v>51</v>
      </c>
      <c r="AP57" s="100">
        <f>'PP - Data'!AP110</f>
        <v>0.616291699</v>
      </c>
      <c r="AQ57" s="100">
        <f>'PP - Data'!AQ110</f>
        <v>0.5529966833</v>
      </c>
      <c r="AR57" s="100">
        <f>'PP - Data'!AR110</f>
        <v>0.589922049</v>
      </c>
      <c r="AS57" s="100">
        <f>'PP - Data'!AS110</f>
        <v>0.6194607268</v>
      </c>
      <c r="AT57" s="100">
        <f>'PP - Data'!AT110</f>
        <v>0.6067535798</v>
      </c>
      <c r="AU57" s="100">
        <f>'PP - Data'!AU110</f>
        <v>0.552514427</v>
      </c>
      <c r="AV57" s="100">
        <f>'PP - Data'!AV110</f>
        <v>0.5270172911</v>
      </c>
      <c r="AW57" s="100">
        <f>'PP - Data'!AW110</f>
        <v>0.7123287671</v>
      </c>
      <c r="AX57" s="100">
        <f>'PP - Data'!AX110</f>
        <v>0.6170662906</v>
      </c>
      <c r="AY57" s="100">
        <f>'PP - Data'!AY110</f>
        <v>0.6106973595</v>
      </c>
      <c r="AZ57" s="100">
        <f>'PP - Data'!AZ110</f>
        <v>0.5093622001</v>
      </c>
      <c r="BA57" s="100">
        <f>'PP - Data'!BA110</f>
        <v>0.5788690476</v>
      </c>
      <c r="BB57" s="100">
        <f>'PP - Data'!BB110</f>
        <v>0.5827549125</v>
      </c>
      <c r="BC57" s="100">
        <f>'PP - Data'!BC110</f>
        <v>0.4914641325</v>
      </c>
      <c r="BD57" s="100">
        <f>'PP - Data'!BD110</f>
        <v>0.5754237288</v>
      </c>
      <c r="BE57" s="100">
        <f>'PP - Data'!BE110</f>
        <v>0.5684380032</v>
      </c>
      <c r="BF57" s="100">
        <f>'PP - Data'!BF110</f>
        <v>0.5897620764</v>
      </c>
      <c r="BG57" s="100">
        <f>'PP - Data'!BG110</f>
        <v>0.5081803671</v>
      </c>
      <c r="BH57" s="100">
        <f>'PP - Data'!BH110</f>
        <v>0.5105222136</v>
      </c>
      <c r="BI57" s="100" t="str">
        <f>'PP - Data'!BI110</f>
        <v/>
      </c>
      <c r="BJ57" s="100" t="str">
        <f>'PP - Data'!BJ110</f>
        <v/>
      </c>
      <c r="BK57" s="100" t="str">
        <f>'PP - Data'!BK110</f>
        <v/>
      </c>
      <c r="BL57" s="100" t="str">
        <f>'PP - Data'!BL110</f>
        <v/>
      </c>
      <c r="BM57" s="100" t="str">
        <f>'PP - Data'!BM110</f>
        <v/>
      </c>
      <c r="BN57" s="100" t="str">
        <f>'PP - Data'!BN110</f>
        <v/>
      </c>
      <c r="BO57" s="100" t="str">
        <f>'PP - Data'!BO110</f>
        <v/>
      </c>
      <c r="BP57" s="83"/>
      <c r="BQ57" s="82"/>
    </row>
    <row r="58">
      <c r="A58" s="112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83"/>
      <c r="BQ58" s="82"/>
    </row>
    <row r="59">
      <c r="A59" s="131" t="s">
        <v>52</v>
      </c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82"/>
      <c r="BQ59" s="82"/>
    </row>
    <row r="60"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82"/>
      <c r="BQ60" s="82"/>
    </row>
    <row r="61">
      <c r="A61" s="72" t="s">
        <v>29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81"/>
      <c r="BQ61" s="82"/>
    </row>
    <row r="62">
      <c r="A62" s="78" t="s">
        <v>25</v>
      </c>
      <c r="B62" s="100" t="str">
        <f>'PP - Data'!B121</f>
        <v/>
      </c>
      <c r="C62" s="100" t="str">
        <f>'PP - Data'!C121</f>
        <v/>
      </c>
      <c r="D62" s="100" t="str">
        <f>'PP - Data'!D121</f>
        <v/>
      </c>
      <c r="E62" s="100" t="str">
        <f>'PP - Data'!E121</f>
        <v/>
      </c>
      <c r="F62" s="100" t="str">
        <f>'PP - Data'!F121</f>
        <v/>
      </c>
      <c r="G62" s="100" t="str">
        <f>'PP - Data'!G121</f>
        <v/>
      </c>
      <c r="H62" s="100" t="str">
        <f>'PP - Data'!H121</f>
        <v/>
      </c>
      <c r="I62" s="100" t="str">
        <f>'PP - Data'!I121</f>
        <v/>
      </c>
      <c r="J62" s="100" t="str">
        <f>'PP - Data'!J121</f>
        <v/>
      </c>
      <c r="K62" s="100" t="str">
        <f>'PP - Data'!K121</f>
        <v/>
      </c>
      <c r="L62" s="100" t="str">
        <f>'PP - Data'!L121</f>
        <v/>
      </c>
      <c r="M62" s="100" t="str">
        <f>'PP - Data'!M121</f>
        <v/>
      </c>
      <c r="N62" s="100" t="str">
        <f>'PP - Data'!N121</f>
        <v/>
      </c>
      <c r="O62" s="100" t="str">
        <f>'PP - Data'!O121</f>
        <v/>
      </c>
      <c r="P62" s="100" t="str">
        <f>'PP - Data'!P121</f>
        <v/>
      </c>
      <c r="Q62" s="100" t="str">
        <f>'PP - Data'!Q121</f>
        <v/>
      </c>
      <c r="R62" s="100" t="str">
        <f>'PP - Data'!R121</f>
        <v/>
      </c>
      <c r="S62" s="100" t="str">
        <f>'PP - Data'!S121</f>
        <v/>
      </c>
      <c r="T62" s="100" t="str">
        <f>'PP - Data'!T121</f>
        <v/>
      </c>
      <c r="U62" s="100" t="str">
        <f>'PP - Data'!U121</f>
        <v/>
      </c>
      <c r="V62" s="100" t="str">
        <f>'PP - Data'!V121</f>
        <v/>
      </c>
      <c r="W62" s="100" t="str">
        <f>'PP - Data'!W121</f>
        <v/>
      </c>
      <c r="X62" s="100" t="str">
        <f>'PP - Data'!X121</f>
        <v/>
      </c>
      <c r="Y62" s="100" t="str">
        <f>'PP - Data'!Y121</f>
        <v/>
      </c>
      <c r="Z62" s="100" t="str">
        <f>'PP - Data'!Z121</f>
        <v/>
      </c>
      <c r="AA62" s="100" t="str">
        <f>'PP - Data'!AA121</f>
        <v/>
      </c>
      <c r="AB62" s="100" t="str">
        <f>'PP - Data'!AB121</f>
        <v/>
      </c>
      <c r="AC62" s="100" t="str">
        <f>'PP - Data'!AC121</f>
        <v/>
      </c>
      <c r="AD62" s="100" t="str">
        <f>'PP - Data'!AD121</f>
        <v/>
      </c>
      <c r="AE62" s="100" t="str">
        <f>'PP - Data'!AE121</f>
        <v/>
      </c>
      <c r="AF62" s="100" t="str">
        <f>'PP - Data'!AF121</f>
        <v/>
      </c>
      <c r="AG62" s="100" t="str">
        <f>'PP - Data'!AG121</f>
        <v/>
      </c>
      <c r="AH62" s="100" t="str">
        <f>'PP - Data'!AH121</f>
        <v/>
      </c>
      <c r="AI62" s="101" t="s">
        <v>25</v>
      </c>
      <c r="AJ62" s="100">
        <f>'PP - Data'!AJ121</f>
        <v>0.1025104603</v>
      </c>
      <c r="AK62" s="100">
        <f>'PP - Data'!AK121</f>
        <v>0.1085271318</v>
      </c>
      <c r="AL62" s="100">
        <f>'PP - Data'!AL121</f>
        <v>0.207293666</v>
      </c>
      <c r="AM62" s="100">
        <f>'PP - Data'!AM121</f>
        <v>0.1698113208</v>
      </c>
      <c r="AN62" s="100">
        <f>'PP - Data'!AN121</f>
        <v>0.1339285714</v>
      </c>
      <c r="AO62" s="100">
        <f>'PP - Data'!AO121</f>
        <v>0.1150627615</v>
      </c>
      <c r="AP62" s="100">
        <f>'PP - Data'!AP121</f>
        <v>0.04305532526</v>
      </c>
      <c r="AQ62" s="100">
        <f>'PP - Data'!AQ121</f>
        <v>0.03232723959</v>
      </c>
      <c r="AR62" s="100">
        <f>'PP - Data'!AR121</f>
        <v>0.2518315018</v>
      </c>
      <c r="AS62" s="100">
        <f>'PP - Data'!AS121</f>
        <v>0.2273625939</v>
      </c>
      <c r="AT62" s="100">
        <f>'PP - Data'!AT121</f>
        <v>0.271012931</v>
      </c>
      <c r="AU62" s="100">
        <f>'PP - Data'!AU121</f>
        <v>0.1780356637</v>
      </c>
      <c r="AV62" s="100">
        <f>'PP - Data'!AV121</f>
        <v>0.115407147</v>
      </c>
      <c r="AW62" s="100">
        <f>'PP - Data'!AW121</f>
        <v>0.1156327543</v>
      </c>
      <c r="AX62" s="100">
        <f>'PP - Data'!AX121</f>
        <v>0.2212041885</v>
      </c>
      <c r="AY62" s="100">
        <f>'PP - Data'!AY121</f>
        <v>0.1935897436</v>
      </c>
      <c r="AZ62" s="100">
        <f>'PP - Data'!AZ121</f>
        <v>0.09536784741</v>
      </c>
      <c r="BA62" s="100">
        <f>'PP - Data'!BA121</f>
        <v>0.02013422819</v>
      </c>
      <c r="BB62" s="100">
        <f>'PP - Data'!BB121</f>
        <v>0.01209041528</v>
      </c>
      <c r="BC62" s="100">
        <f>'PP - Data'!BC121</f>
        <v>0.01473536488</v>
      </c>
      <c r="BD62" s="100">
        <f>'PP - Data'!BD121</f>
        <v>0.04223227753</v>
      </c>
      <c r="BE62" s="100">
        <f>'PP - Data'!BE121</f>
        <v>0.02280701754</v>
      </c>
      <c r="BF62" s="100">
        <f>'PP - Data'!BF121</f>
        <v>0.0408357075</v>
      </c>
      <c r="BG62" s="100">
        <f>'PP - Data'!BG121</f>
        <v>0.02109938923</v>
      </c>
      <c r="BH62" s="100">
        <f>'PP - Data'!BH121</f>
        <v>0.0220541903</v>
      </c>
      <c r="BI62" s="100" t="str">
        <f>'PP - Data'!BI121</f>
        <v/>
      </c>
      <c r="BJ62" s="100" t="str">
        <f>'PP - Data'!BJ121</f>
        <v/>
      </c>
      <c r="BK62" s="100" t="str">
        <f>'PP - Data'!BK121</f>
        <v/>
      </c>
      <c r="BL62" s="100" t="str">
        <f>'PP - Data'!BL121</f>
        <v/>
      </c>
      <c r="BM62" s="100" t="str">
        <f>'PP - Data'!BM121</f>
        <v/>
      </c>
      <c r="BN62" s="100" t="str">
        <f>'PP - Data'!BN121</f>
        <v/>
      </c>
      <c r="BO62" s="100" t="str">
        <f>'PP - Data'!BO121</f>
        <v/>
      </c>
      <c r="BP62" s="81"/>
      <c r="BQ62" s="82"/>
    </row>
    <row r="63">
      <c r="A63" s="78" t="s">
        <v>26</v>
      </c>
      <c r="B63" s="100" t="str">
        <f>'PP - Data'!B122</f>
        <v/>
      </c>
      <c r="C63" s="100" t="str">
        <f>'PP - Data'!C122</f>
        <v/>
      </c>
      <c r="D63" s="100" t="str">
        <f>'PP - Data'!D122</f>
        <v/>
      </c>
      <c r="E63" s="100" t="str">
        <f>'PP - Data'!E122</f>
        <v/>
      </c>
      <c r="F63" s="100" t="str">
        <f>'PP - Data'!F122</f>
        <v/>
      </c>
      <c r="G63" s="100" t="str">
        <f>'PP - Data'!G122</f>
        <v/>
      </c>
      <c r="H63" s="100" t="str">
        <f>'PP - Data'!H122</f>
        <v/>
      </c>
      <c r="I63" s="100" t="str">
        <f>'PP - Data'!I122</f>
        <v/>
      </c>
      <c r="J63" s="100" t="str">
        <f>'PP - Data'!J122</f>
        <v/>
      </c>
      <c r="K63" s="100" t="str">
        <f>'PP - Data'!K122</f>
        <v/>
      </c>
      <c r="L63" s="100" t="str">
        <f>'PP - Data'!L122</f>
        <v/>
      </c>
      <c r="M63" s="100" t="str">
        <f>'PP - Data'!M122</f>
        <v/>
      </c>
      <c r="N63" s="100" t="str">
        <f>'PP - Data'!N122</f>
        <v/>
      </c>
      <c r="O63" s="100" t="str">
        <f>'PP - Data'!O122</f>
        <v/>
      </c>
      <c r="P63" s="100" t="str">
        <f>'PP - Data'!P122</f>
        <v/>
      </c>
      <c r="Q63" s="100" t="str">
        <f>'PP - Data'!Q122</f>
        <v/>
      </c>
      <c r="R63" s="100" t="str">
        <f>'PP - Data'!R122</f>
        <v/>
      </c>
      <c r="S63" s="100" t="str">
        <f>'PP - Data'!S122</f>
        <v/>
      </c>
      <c r="T63" s="100" t="str">
        <f>'PP - Data'!T122</f>
        <v/>
      </c>
      <c r="U63" s="100" t="str">
        <f>'PP - Data'!U122</f>
        <v/>
      </c>
      <c r="V63" s="100" t="str">
        <f>'PP - Data'!V122</f>
        <v/>
      </c>
      <c r="W63" s="100" t="str">
        <f>'PP - Data'!W122</f>
        <v/>
      </c>
      <c r="X63" s="100" t="str">
        <f>'PP - Data'!X122</f>
        <v/>
      </c>
      <c r="Y63" s="100" t="str">
        <f>'PP - Data'!Y122</f>
        <v/>
      </c>
      <c r="Z63" s="100" t="str">
        <f>'PP - Data'!Z122</f>
        <v/>
      </c>
      <c r="AA63" s="100" t="str">
        <f>'PP - Data'!AA122</f>
        <v/>
      </c>
      <c r="AB63" s="100" t="str">
        <f>'PP - Data'!AB122</f>
        <v/>
      </c>
      <c r="AC63" s="100" t="str">
        <f>'PP - Data'!AC122</f>
        <v/>
      </c>
      <c r="AD63" s="100" t="str">
        <f>'PP - Data'!AD122</f>
        <v/>
      </c>
      <c r="AE63" s="100" t="str">
        <f>'PP - Data'!AE122</f>
        <v/>
      </c>
      <c r="AF63" s="100" t="str">
        <f>'PP - Data'!AF122</f>
        <v/>
      </c>
      <c r="AG63" s="100" t="str">
        <f>'PP - Data'!AG122</f>
        <v/>
      </c>
      <c r="AH63" s="100" t="str">
        <f>'PP - Data'!AH122</f>
        <v/>
      </c>
      <c r="AI63" s="101" t="s">
        <v>26</v>
      </c>
      <c r="AJ63" s="100">
        <f>'PP - Data'!AJ122</f>
        <v>0.4211994421</v>
      </c>
      <c r="AK63" s="100">
        <f>'PP - Data'!AK122</f>
        <v>0.3776301218</v>
      </c>
      <c r="AL63" s="100">
        <f>'PP - Data'!AL122</f>
        <v>0.2514395393</v>
      </c>
      <c r="AM63" s="100">
        <f>'PP - Data'!AM122</f>
        <v>0.2594339623</v>
      </c>
      <c r="AN63" s="100">
        <f>'PP - Data'!AN122</f>
        <v>0.25</v>
      </c>
      <c r="AO63" s="100">
        <f>'PP - Data'!AO122</f>
        <v>0.280334728</v>
      </c>
      <c r="AP63" s="100">
        <f>'PP - Data'!AP122</f>
        <v>0.4578566296</v>
      </c>
      <c r="AQ63" s="100">
        <f>'PP - Data'!AQ122</f>
        <v>0.5065136975</v>
      </c>
      <c r="AR63" s="100">
        <f>'PP - Data'!AR122</f>
        <v>0.1877289377</v>
      </c>
      <c r="AS63" s="100">
        <f>'PP - Data'!AS122</f>
        <v>0.1909845789</v>
      </c>
      <c r="AT63" s="100">
        <f>'PP - Data'!AT122</f>
        <v>0.1993534483</v>
      </c>
      <c r="AU63" s="100">
        <f>'PP - Data'!AU122</f>
        <v>0.2601188791</v>
      </c>
      <c r="AV63" s="100">
        <f>'PP - Data'!AV122</f>
        <v>0.3178090217</v>
      </c>
      <c r="AW63" s="100">
        <f>'PP - Data'!AW122</f>
        <v>0.3394540943</v>
      </c>
      <c r="AX63" s="100">
        <f>'PP - Data'!AX122</f>
        <v>0.2068062827</v>
      </c>
      <c r="AY63" s="100">
        <f>'PP - Data'!AY122</f>
        <v>0.2217948718</v>
      </c>
      <c r="AZ63" s="100">
        <f>'PP - Data'!AZ122</f>
        <v>0.2452316076</v>
      </c>
      <c r="BA63" s="100">
        <f>'PP - Data'!BA122</f>
        <v>0.288590604</v>
      </c>
      <c r="BB63" s="100">
        <f>'PP - Data'!BB122</f>
        <v>0.4203609602</v>
      </c>
      <c r="BC63" s="100">
        <f>'PP - Data'!BC122</f>
        <v>0.4226643945</v>
      </c>
      <c r="BD63" s="100">
        <f>'PP - Data'!BD122</f>
        <v>0.2850678733</v>
      </c>
      <c r="BE63" s="100">
        <f>'PP - Data'!BE122</f>
        <v>0.2403508772</v>
      </c>
      <c r="BF63" s="100">
        <f>'PP - Data'!BF122</f>
        <v>0.2792022792</v>
      </c>
      <c r="BG63" s="100">
        <f>'PP - Data'!BG122</f>
        <v>0.3231538034</v>
      </c>
      <c r="BH63" s="100">
        <f>'PP - Data'!BH122</f>
        <v>0.3087586641</v>
      </c>
      <c r="BI63" s="100" t="str">
        <f>'PP - Data'!BI122</f>
        <v/>
      </c>
      <c r="BJ63" s="100" t="str">
        <f>'PP - Data'!BJ122</f>
        <v/>
      </c>
      <c r="BK63" s="100" t="str">
        <f>'PP - Data'!BK122</f>
        <v/>
      </c>
      <c r="BL63" s="100" t="str">
        <f>'PP - Data'!BL122</f>
        <v/>
      </c>
      <c r="BM63" s="100" t="str">
        <f>'PP - Data'!BM122</f>
        <v/>
      </c>
      <c r="BN63" s="100" t="str">
        <f>'PP - Data'!BN122</f>
        <v/>
      </c>
      <c r="BO63" s="100" t="str">
        <f>'PP - Data'!BO122</f>
        <v/>
      </c>
      <c r="BP63" s="81"/>
      <c r="BQ63" s="82"/>
    </row>
    <row r="64">
      <c r="A64" s="78" t="s">
        <v>27</v>
      </c>
      <c r="B64" s="100" t="str">
        <f>'PP - Data'!B123</f>
        <v/>
      </c>
      <c r="C64" s="100" t="str">
        <f>'PP - Data'!C123</f>
        <v/>
      </c>
      <c r="D64" s="100" t="str">
        <f>'PP - Data'!D123</f>
        <v/>
      </c>
      <c r="E64" s="100" t="str">
        <f>'PP - Data'!E123</f>
        <v/>
      </c>
      <c r="F64" s="100" t="str">
        <f>'PP - Data'!F123</f>
        <v/>
      </c>
      <c r="G64" s="100" t="str">
        <f>'PP - Data'!G123</f>
        <v/>
      </c>
      <c r="H64" s="100" t="str">
        <f>'PP - Data'!H123</f>
        <v/>
      </c>
      <c r="I64" s="100" t="str">
        <f>'PP - Data'!I123</f>
        <v/>
      </c>
      <c r="J64" s="100" t="str">
        <f>'PP - Data'!J123</f>
        <v/>
      </c>
      <c r="K64" s="100" t="str">
        <f>'PP - Data'!K123</f>
        <v/>
      </c>
      <c r="L64" s="100" t="str">
        <f>'PP - Data'!L123</f>
        <v/>
      </c>
      <c r="M64" s="100" t="str">
        <f>'PP - Data'!M123</f>
        <v/>
      </c>
      <c r="N64" s="100" t="str">
        <f>'PP - Data'!N123</f>
        <v/>
      </c>
      <c r="O64" s="100" t="str">
        <f>'PP - Data'!O123</f>
        <v/>
      </c>
      <c r="P64" s="100" t="str">
        <f>'PP - Data'!P123</f>
        <v/>
      </c>
      <c r="Q64" s="100" t="str">
        <f>'PP - Data'!Q123</f>
        <v/>
      </c>
      <c r="R64" s="100" t="str">
        <f>'PP - Data'!R123</f>
        <v/>
      </c>
      <c r="S64" s="100" t="str">
        <f>'PP - Data'!S123</f>
        <v/>
      </c>
      <c r="T64" s="100" t="str">
        <f>'PP - Data'!T123</f>
        <v/>
      </c>
      <c r="U64" s="100" t="str">
        <f>'PP - Data'!U123</f>
        <v/>
      </c>
      <c r="V64" s="100" t="str">
        <f>'PP - Data'!V123</f>
        <v/>
      </c>
      <c r="W64" s="100" t="str">
        <f>'PP - Data'!W123</f>
        <v/>
      </c>
      <c r="X64" s="100" t="str">
        <f>'PP - Data'!X123</f>
        <v/>
      </c>
      <c r="Y64" s="100" t="str">
        <f>'PP - Data'!Y123</f>
        <v/>
      </c>
      <c r="Z64" s="100" t="str">
        <f>'PP - Data'!Z123</f>
        <v/>
      </c>
      <c r="AA64" s="100" t="str">
        <f>'PP - Data'!AA123</f>
        <v/>
      </c>
      <c r="AB64" s="100" t="str">
        <f>'PP - Data'!AB123</f>
        <v/>
      </c>
      <c r="AC64" s="100" t="str">
        <f>'PP - Data'!AC123</f>
        <v/>
      </c>
      <c r="AD64" s="100" t="str">
        <f>'PP - Data'!AD123</f>
        <v/>
      </c>
      <c r="AE64" s="100" t="str">
        <f>'PP - Data'!AE123</f>
        <v/>
      </c>
      <c r="AF64" s="100" t="str">
        <f>'PP - Data'!AF123</f>
        <v/>
      </c>
      <c r="AG64" s="100" t="str">
        <f>'PP - Data'!AG123</f>
        <v/>
      </c>
      <c r="AH64" s="100" t="str">
        <f>'PP - Data'!AH123</f>
        <v/>
      </c>
      <c r="AI64" s="101" t="s">
        <v>27</v>
      </c>
      <c r="AJ64" s="100">
        <f>'PP - Data'!AJ123</f>
        <v>0.3075313808</v>
      </c>
      <c r="AK64" s="100">
        <f>'PP - Data'!AK123</f>
        <v>0.3133997785</v>
      </c>
      <c r="AL64" s="100">
        <f>'PP - Data'!AL123</f>
        <v>0.2591170825</v>
      </c>
      <c r="AM64" s="100">
        <f>'PP - Data'!AM123</f>
        <v>0.2570754717</v>
      </c>
      <c r="AN64" s="100">
        <f>'PP - Data'!AN123</f>
        <v>0.2633928571</v>
      </c>
      <c r="AO64" s="100">
        <f>'PP - Data'!AO123</f>
        <v>0.3033472803</v>
      </c>
      <c r="AP64" s="100">
        <f>'PP - Data'!AP123</f>
        <v>0.3338307633</v>
      </c>
      <c r="AQ64" s="100">
        <f>'PP - Data'!AQ123</f>
        <v>0.3188227095</v>
      </c>
      <c r="AR64" s="100">
        <f>'PP - Data'!AR123</f>
        <v>0.2564102564</v>
      </c>
      <c r="AS64" s="100">
        <f>'PP - Data'!AS123</f>
        <v>0.3175168051</v>
      </c>
      <c r="AT64" s="100">
        <f>'PP - Data'!AT123</f>
        <v>0.2489224138</v>
      </c>
      <c r="AU64" s="100">
        <f>'PP - Data'!AU123</f>
        <v>0.3368242287</v>
      </c>
      <c r="AV64" s="100">
        <f>'PP - Data'!AV123</f>
        <v>0.4074399531</v>
      </c>
      <c r="AW64" s="100">
        <f>'PP - Data'!AW123</f>
        <v>0.3895781638</v>
      </c>
      <c r="AX64" s="100">
        <f>'PP - Data'!AX123</f>
        <v>0.2670157068</v>
      </c>
      <c r="AY64" s="100">
        <f>'PP - Data'!AY123</f>
        <v>0.2884615385</v>
      </c>
      <c r="AZ64" s="100">
        <f>'PP - Data'!AZ123</f>
        <v>0.3950953678</v>
      </c>
      <c r="BA64" s="100">
        <f>'PP - Data'!BA123</f>
        <v>0.3993288591</v>
      </c>
      <c r="BB64" s="100">
        <f>'PP - Data'!BB123</f>
        <v>0.3861923953</v>
      </c>
      <c r="BC64" s="100">
        <f>'PP - Data'!BC123</f>
        <v>0.3844727346</v>
      </c>
      <c r="BD64" s="100">
        <f>'PP - Data'!BD123</f>
        <v>0.4358974359</v>
      </c>
      <c r="BE64" s="100">
        <f>'PP - Data'!BE123</f>
        <v>0.5263157895</v>
      </c>
      <c r="BF64" s="100">
        <f>'PP - Data'!BF123</f>
        <v>0.4586894587</v>
      </c>
      <c r="BG64" s="100">
        <f>'PP - Data'!BG123</f>
        <v>0.5308162132</v>
      </c>
      <c r="BH64" s="100">
        <f>'PP - Data'!BH123</f>
        <v>0.5406427221</v>
      </c>
      <c r="BI64" s="100" t="str">
        <f>'PP - Data'!BI123</f>
        <v/>
      </c>
      <c r="BJ64" s="100" t="str">
        <f>'PP - Data'!BJ123</f>
        <v/>
      </c>
      <c r="BK64" s="100" t="str">
        <f>'PP - Data'!BK123</f>
        <v/>
      </c>
      <c r="BL64" s="100" t="str">
        <f>'PP - Data'!BL123</f>
        <v/>
      </c>
      <c r="BM64" s="100" t="str">
        <f>'PP - Data'!BM123</f>
        <v/>
      </c>
      <c r="BN64" s="100" t="str">
        <f>'PP - Data'!BN123</f>
        <v/>
      </c>
      <c r="BO64" s="100" t="str">
        <f>'PP - Data'!BO123</f>
        <v/>
      </c>
      <c r="BP64" s="81"/>
      <c r="BQ64" s="82"/>
    </row>
    <row r="65">
      <c r="A65" s="78" t="s">
        <v>28</v>
      </c>
      <c r="B65" s="100" t="str">
        <f>'PP - Data'!B124</f>
        <v/>
      </c>
      <c r="C65" s="100" t="str">
        <f>'PP - Data'!C124</f>
        <v/>
      </c>
      <c r="D65" s="100" t="str">
        <f>'PP - Data'!D124</f>
        <v/>
      </c>
      <c r="E65" s="100" t="str">
        <f>'PP - Data'!E124</f>
        <v/>
      </c>
      <c r="F65" s="100" t="str">
        <f>'PP - Data'!F124</f>
        <v/>
      </c>
      <c r="G65" s="100" t="str">
        <f>'PP - Data'!G124</f>
        <v/>
      </c>
      <c r="H65" s="100" t="str">
        <f>'PP - Data'!H124</f>
        <v/>
      </c>
      <c r="I65" s="100" t="str">
        <f>'PP - Data'!I124</f>
        <v/>
      </c>
      <c r="J65" s="100" t="str">
        <f>'PP - Data'!J124</f>
        <v/>
      </c>
      <c r="K65" s="100" t="str">
        <f>'PP - Data'!K124</f>
        <v/>
      </c>
      <c r="L65" s="100" t="str">
        <f>'PP - Data'!L124</f>
        <v/>
      </c>
      <c r="M65" s="100" t="str">
        <f>'PP - Data'!M124</f>
        <v/>
      </c>
      <c r="N65" s="100" t="str">
        <f>'PP - Data'!N124</f>
        <v/>
      </c>
      <c r="O65" s="100" t="str">
        <f>'PP - Data'!O124</f>
        <v/>
      </c>
      <c r="P65" s="100" t="str">
        <f>'PP - Data'!P124</f>
        <v/>
      </c>
      <c r="Q65" s="100" t="str">
        <f>'PP - Data'!Q124</f>
        <v/>
      </c>
      <c r="R65" s="100" t="str">
        <f>'PP - Data'!R124</f>
        <v/>
      </c>
      <c r="S65" s="100" t="str">
        <f>'PP - Data'!S124</f>
        <v/>
      </c>
      <c r="T65" s="100" t="str">
        <f>'PP - Data'!T124</f>
        <v/>
      </c>
      <c r="U65" s="100" t="str">
        <f>'PP - Data'!U124</f>
        <v/>
      </c>
      <c r="V65" s="100" t="str">
        <f>'PP - Data'!V124</f>
        <v/>
      </c>
      <c r="W65" s="100" t="str">
        <f>'PP - Data'!W124</f>
        <v/>
      </c>
      <c r="X65" s="100" t="str">
        <f>'PP - Data'!X124</f>
        <v/>
      </c>
      <c r="Y65" s="100" t="str">
        <f>'PP - Data'!Y124</f>
        <v/>
      </c>
      <c r="Z65" s="100" t="str">
        <f>'PP - Data'!Z124</f>
        <v/>
      </c>
      <c r="AA65" s="100" t="str">
        <f>'PP - Data'!AA124</f>
        <v/>
      </c>
      <c r="AB65" s="100" t="str">
        <f>'PP - Data'!AB124</f>
        <v/>
      </c>
      <c r="AC65" s="100" t="str">
        <f>'PP - Data'!AC124</f>
        <v/>
      </c>
      <c r="AD65" s="100" t="str">
        <f>'PP - Data'!AD124</f>
        <v/>
      </c>
      <c r="AE65" s="100" t="str">
        <f>'PP - Data'!AE124</f>
        <v/>
      </c>
      <c r="AF65" s="100" t="str">
        <f>'PP - Data'!AF124</f>
        <v/>
      </c>
      <c r="AG65" s="100" t="str">
        <f>'PP - Data'!AG124</f>
        <v/>
      </c>
      <c r="AH65" s="100" t="str">
        <f>'PP - Data'!AH124</f>
        <v/>
      </c>
      <c r="AI65" s="101" t="s">
        <v>28</v>
      </c>
      <c r="AJ65" s="100">
        <f>'PP - Data'!AJ124</f>
        <v>0.1687587169</v>
      </c>
      <c r="AK65" s="100">
        <f>'PP - Data'!AK124</f>
        <v>0.2004429679</v>
      </c>
      <c r="AL65" s="100">
        <f>'PP - Data'!AL124</f>
        <v>0.2821497121</v>
      </c>
      <c r="AM65" s="100">
        <f>'PP - Data'!AM124</f>
        <v>0.3136792453</v>
      </c>
      <c r="AN65" s="100">
        <f>'PP - Data'!AN124</f>
        <v>0.3526785714</v>
      </c>
      <c r="AO65" s="100">
        <f>'PP - Data'!AO124</f>
        <v>0.3012552301</v>
      </c>
      <c r="AP65" s="100">
        <f>'PP - Data'!AP124</f>
        <v>0.1652572818</v>
      </c>
      <c r="AQ65" s="100">
        <f>'PP - Data'!AQ124</f>
        <v>0.1423363534</v>
      </c>
      <c r="AR65" s="100">
        <f>'PP - Data'!AR124</f>
        <v>0.304029304</v>
      </c>
      <c r="AS65" s="100">
        <f>'PP - Data'!AS124</f>
        <v>0.2641360221</v>
      </c>
      <c r="AT65" s="100">
        <f>'PP - Data'!AT124</f>
        <v>0.2807112069</v>
      </c>
      <c r="AU65" s="100">
        <f>'PP - Data'!AU124</f>
        <v>0.2250212284</v>
      </c>
      <c r="AV65" s="100">
        <f>'PP - Data'!AV124</f>
        <v>0.1593438781</v>
      </c>
      <c r="AW65" s="100">
        <f>'PP - Data'!AW124</f>
        <v>0.1553349876</v>
      </c>
      <c r="AX65" s="100">
        <f>'PP - Data'!AX124</f>
        <v>0.304973822</v>
      </c>
      <c r="AY65" s="100">
        <f>'PP - Data'!AY124</f>
        <v>0.2961538462</v>
      </c>
      <c r="AZ65" s="100">
        <f>'PP - Data'!AZ124</f>
        <v>0.2643051771</v>
      </c>
      <c r="BA65" s="100">
        <f>'PP - Data'!BA124</f>
        <v>0.2919463087</v>
      </c>
      <c r="BB65" s="100">
        <f>'PP - Data'!BB124</f>
        <v>0.1813562292</v>
      </c>
      <c r="BC65" s="100">
        <f>'PP - Data'!BC124</f>
        <v>0.178127506</v>
      </c>
      <c r="BD65" s="100">
        <f>'PP - Data'!BD124</f>
        <v>0.2368024133</v>
      </c>
      <c r="BE65" s="100">
        <f>'PP - Data'!BE124</f>
        <v>0.2105263158</v>
      </c>
      <c r="BF65" s="100">
        <f>'PP - Data'!BF124</f>
        <v>0.2212725546</v>
      </c>
      <c r="BG65" s="100">
        <f>'PP - Data'!BG124</f>
        <v>0.1249305941</v>
      </c>
      <c r="BH65" s="100">
        <f>'PP - Data'!BH124</f>
        <v>0.1285444234</v>
      </c>
      <c r="BI65" s="100" t="str">
        <f>'PP - Data'!BI124</f>
        <v/>
      </c>
      <c r="BJ65" s="100" t="str">
        <f>'PP - Data'!BJ124</f>
        <v/>
      </c>
      <c r="BK65" s="100" t="str">
        <f>'PP - Data'!BK124</f>
        <v/>
      </c>
      <c r="BL65" s="100" t="str">
        <f>'PP - Data'!BL124</f>
        <v/>
      </c>
      <c r="BM65" s="100" t="str">
        <f>'PP - Data'!BM124</f>
        <v/>
      </c>
      <c r="BN65" s="100" t="str">
        <f>'PP - Data'!BN124</f>
        <v/>
      </c>
      <c r="BO65" s="100" t="str">
        <f>'PP - Data'!BO124</f>
        <v/>
      </c>
      <c r="BP65" s="81"/>
      <c r="BQ65" s="82"/>
    </row>
    <row r="66">
      <c r="A66" s="72" t="s">
        <v>9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148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81"/>
      <c r="BQ66" s="82"/>
    </row>
    <row r="67">
      <c r="A67" s="78" t="s">
        <v>7</v>
      </c>
      <c r="B67" s="100" t="str">
        <f>'PP - Data'!B136</f>
        <v/>
      </c>
      <c r="C67" s="100" t="str">
        <f>'PP - Data'!C136</f>
        <v/>
      </c>
      <c r="D67" s="100" t="str">
        <f>'PP - Data'!D136</f>
        <v/>
      </c>
      <c r="E67" s="100" t="str">
        <f>'PP - Data'!E136</f>
        <v/>
      </c>
      <c r="F67" s="100" t="str">
        <f>'PP - Data'!F136</f>
        <v/>
      </c>
      <c r="G67" s="100" t="str">
        <f>'PP - Data'!G136</f>
        <v/>
      </c>
      <c r="H67" s="100" t="str">
        <f>'PP - Data'!H136</f>
        <v/>
      </c>
      <c r="I67" s="100" t="str">
        <f>'PP - Data'!I136</f>
        <v/>
      </c>
      <c r="J67" s="100" t="str">
        <f>'PP - Data'!J136</f>
        <v/>
      </c>
      <c r="K67" s="100" t="str">
        <f>'PP - Data'!K136</f>
        <v/>
      </c>
      <c r="L67" s="100" t="str">
        <f>'PP - Data'!L136</f>
        <v/>
      </c>
      <c r="M67" s="100" t="str">
        <f>'PP - Data'!M136</f>
        <v/>
      </c>
      <c r="N67" s="100" t="str">
        <f>'PP - Data'!N136</f>
        <v/>
      </c>
      <c r="O67" s="100" t="str">
        <f>'PP - Data'!O136</f>
        <v/>
      </c>
      <c r="P67" s="100" t="str">
        <f>'PP - Data'!P136</f>
        <v/>
      </c>
      <c r="Q67" s="100" t="str">
        <f>'PP - Data'!Q136</f>
        <v/>
      </c>
      <c r="R67" s="100" t="str">
        <f>'PP - Data'!R136</f>
        <v/>
      </c>
      <c r="S67" s="100" t="str">
        <f>'PP - Data'!S136</f>
        <v/>
      </c>
      <c r="T67" s="100" t="str">
        <f>'PP - Data'!T136</f>
        <v/>
      </c>
      <c r="U67" s="100" t="str">
        <f>'PP - Data'!U136</f>
        <v/>
      </c>
      <c r="V67" s="100" t="str">
        <f>'PP - Data'!V136</f>
        <v/>
      </c>
      <c r="W67" s="100" t="str">
        <f>'PP - Data'!W136</f>
        <v/>
      </c>
      <c r="X67" s="100" t="str">
        <f>'PP - Data'!X136</f>
        <v/>
      </c>
      <c r="Y67" s="100" t="str">
        <f>'PP - Data'!Y136</f>
        <v/>
      </c>
      <c r="Z67" s="100" t="str">
        <f>'PP - Data'!Z136</f>
        <v/>
      </c>
      <c r="AA67" s="100" t="str">
        <f>'PP - Data'!AA136</f>
        <v/>
      </c>
      <c r="AB67" s="100" t="str">
        <f>'PP - Data'!AB136</f>
        <v/>
      </c>
      <c r="AC67" s="100" t="str">
        <f>'PP - Data'!AC136</f>
        <v/>
      </c>
      <c r="AD67" s="100" t="str">
        <f>'PP - Data'!AD136</f>
        <v/>
      </c>
      <c r="AE67" s="100" t="str">
        <f>'PP - Data'!AE136</f>
        <v/>
      </c>
      <c r="AF67" s="100" t="str">
        <f>'PP - Data'!AF136</f>
        <v/>
      </c>
      <c r="AG67" s="100" t="str">
        <f>'PP - Data'!AG136</f>
        <v/>
      </c>
      <c r="AH67" s="100" t="str">
        <f>'PP - Data'!AH136</f>
        <v/>
      </c>
      <c r="AI67" s="101" t="s">
        <v>7</v>
      </c>
      <c r="AJ67" s="100">
        <f>'PP - Data'!AJ136</f>
        <v>0.2092050209</v>
      </c>
      <c r="AK67" s="100">
        <f>'PP - Data'!AK136</f>
        <v>0.2558139535</v>
      </c>
      <c r="AL67" s="100">
        <f>'PP - Data'!AL136</f>
        <v>0.2303262956</v>
      </c>
      <c r="AM67" s="100">
        <f>'PP - Data'!AM136</f>
        <v>0.2547169811</v>
      </c>
      <c r="AN67" s="100">
        <f>'PP - Data'!AN136</f>
        <v>0.3705357143</v>
      </c>
      <c r="AO67" s="100">
        <f>'PP - Data'!AO136</f>
        <v>0.4811715481</v>
      </c>
      <c r="AP67" s="100">
        <f>'PP - Data'!AP136</f>
        <v>0.7371359089</v>
      </c>
      <c r="AQ67" s="100">
        <f>'PP - Data'!AQ136</f>
        <v>0.629282153</v>
      </c>
      <c r="AR67" s="100">
        <f>'PP - Data'!AR136</f>
        <v>0.3347069597</v>
      </c>
      <c r="AS67" s="100">
        <f>'PP - Data'!AS136</f>
        <v>0.4278370898</v>
      </c>
      <c r="AT67" s="100">
        <f>'PP - Data'!AT136</f>
        <v>0.385237069</v>
      </c>
      <c r="AU67" s="100">
        <f>'PP - Data'!AU136</f>
        <v>0.4794791962</v>
      </c>
      <c r="AV67" s="100">
        <f>'PP - Data'!AV136</f>
        <v>0.4214997071</v>
      </c>
      <c r="AW67" s="100">
        <f>'PP - Data'!AW136</f>
        <v>0.435235732</v>
      </c>
      <c r="AX67" s="100">
        <f>'PP - Data'!AX136</f>
        <v>0.2486910995</v>
      </c>
      <c r="AY67" s="100">
        <f>'PP - Data'!AY136</f>
        <v>0.2346153846</v>
      </c>
      <c r="AZ67" s="100">
        <f>'PP - Data'!AZ136</f>
        <v>0.2333333333</v>
      </c>
      <c r="BA67" s="100">
        <f>'PP - Data'!BA136</f>
        <v>0.3309178744</v>
      </c>
      <c r="BB67" s="100">
        <f>'PP - Data'!BB136</f>
        <v>0.6771682926</v>
      </c>
      <c r="BC67" s="100">
        <f>'PP - Data'!BC136</f>
        <v>0.6646119361</v>
      </c>
      <c r="BD67" s="100">
        <f>'PP - Data'!BD136</f>
        <v>0.286360211</v>
      </c>
      <c r="BE67" s="100">
        <f>'PP - Data'!BE136</f>
        <v>0.3433559651</v>
      </c>
      <c r="BF67" s="100">
        <f>'PP - Data'!BF136</f>
        <v>0.439047619</v>
      </c>
      <c r="BG67" s="100">
        <f>'PP - Data'!BG136</f>
        <v>0.3950801342</v>
      </c>
      <c r="BH67" s="100">
        <f>'PP - Data'!BH136</f>
        <v>0.3576905728</v>
      </c>
      <c r="BI67" s="100" t="str">
        <f>'PP - Data'!BI136</f>
        <v/>
      </c>
      <c r="BJ67" s="100" t="str">
        <f>'PP - Data'!BJ136</f>
        <v/>
      </c>
      <c r="BK67" s="100" t="str">
        <f>'PP - Data'!BK136</f>
        <v/>
      </c>
      <c r="BL67" s="100" t="str">
        <f>'PP - Data'!BL136</f>
        <v/>
      </c>
      <c r="BM67" s="100" t="str">
        <f>'PP - Data'!BM136</f>
        <v/>
      </c>
      <c r="BN67" s="100" t="str">
        <f>'PP - Data'!BN136</f>
        <v/>
      </c>
      <c r="BO67" s="100" t="str">
        <f>'PP - Data'!BO136</f>
        <v/>
      </c>
      <c r="BP67" s="81"/>
      <c r="BQ67" s="82"/>
    </row>
    <row r="68">
      <c r="A68" s="78" t="s">
        <v>8</v>
      </c>
      <c r="B68" s="100" t="str">
        <f>'PP - Data'!B137</f>
        <v/>
      </c>
      <c r="C68" s="100" t="str">
        <f>'PP - Data'!C137</f>
        <v/>
      </c>
      <c r="D68" s="100" t="str">
        <f>'PP - Data'!D137</f>
        <v/>
      </c>
      <c r="E68" s="100" t="str">
        <f>'PP - Data'!E137</f>
        <v/>
      </c>
      <c r="F68" s="100" t="str">
        <f>'PP - Data'!F137</f>
        <v/>
      </c>
      <c r="G68" s="100" t="str">
        <f>'PP - Data'!G137</f>
        <v/>
      </c>
      <c r="H68" s="100" t="str">
        <f>'PP - Data'!H137</f>
        <v/>
      </c>
      <c r="I68" s="100" t="str">
        <f>'PP - Data'!I137</f>
        <v/>
      </c>
      <c r="J68" s="100" t="str">
        <f>'PP - Data'!J137</f>
        <v/>
      </c>
      <c r="K68" s="100" t="str">
        <f>'PP - Data'!K137</f>
        <v/>
      </c>
      <c r="L68" s="100" t="str">
        <f>'PP - Data'!L137</f>
        <v/>
      </c>
      <c r="M68" s="100" t="str">
        <f>'PP - Data'!M137</f>
        <v/>
      </c>
      <c r="N68" s="100" t="str">
        <f>'PP - Data'!N137</f>
        <v/>
      </c>
      <c r="O68" s="100" t="str">
        <f>'PP - Data'!O137</f>
        <v/>
      </c>
      <c r="P68" s="100" t="str">
        <f>'PP - Data'!P137</f>
        <v/>
      </c>
      <c r="Q68" s="100" t="str">
        <f>'PP - Data'!Q137</f>
        <v/>
      </c>
      <c r="R68" s="100" t="str">
        <f>'PP - Data'!R137</f>
        <v/>
      </c>
      <c r="S68" s="100" t="str">
        <f>'PP - Data'!S137</f>
        <v/>
      </c>
      <c r="T68" s="100" t="str">
        <f>'PP - Data'!T137</f>
        <v/>
      </c>
      <c r="U68" s="100" t="str">
        <f>'PP - Data'!U137</f>
        <v/>
      </c>
      <c r="V68" s="100" t="str">
        <f>'PP - Data'!V137</f>
        <v/>
      </c>
      <c r="W68" s="100" t="str">
        <f>'PP - Data'!W137</f>
        <v/>
      </c>
      <c r="X68" s="100" t="str">
        <f>'PP - Data'!X137</f>
        <v/>
      </c>
      <c r="Y68" s="100" t="str">
        <f>'PP - Data'!Y137</f>
        <v/>
      </c>
      <c r="Z68" s="100" t="str">
        <f>'PP - Data'!Z137</f>
        <v/>
      </c>
      <c r="AA68" s="100" t="str">
        <f>'PP - Data'!AA137</f>
        <v/>
      </c>
      <c r="AB68" s="100" t="str">
        <f>'PP - Data'!AB137</f>
        <v/>
      </c>
      <c r="AC68" s="100" t="str">
        <f>'PP - Data'!AC137</f>
        <v/>
      </c>
      <c r="AD68" s="100" t="str">
        <f>'PP - Data'!AD137</f>
        <v/>
      </c>
      <c r="AE68" s="100" t="str">
        <f>'PP - Data'!AE137</f>
        <v/>
      </c>
      <c r="AF68" s="100" t="str">
        <f>'PP - Data'!AF137</f>
        <v/>
      </c>
      <c r="AG68" s="100" t="str">
        <f>'PP - Data'!AG137</f>
        <v/>
      </c>
      <c r="AH68" s="100" t="str">
        <f>'PP - Data'!AH137</f>
        <v/>
      </c>
      <c r="AI68" s="101" t="s">
        <v>8</v>
      </c>
      <c r="AJ68" s="100">
        <f>'PP - Data'!AJ137</f>
        <v>0.540446304</v>
      </c>
      <c r="AK68" s="100">
        <f>'PP - Data'!AK137</f>
        <v>0.5603543743</v>
      </c>
      <c r="AL68" s="100">
        <f>'PP - Data'!AL137</f>
        <v>0.5700575816</v>
      </c>
      <c r="AM68" s="100">
        <f>'PP - Data'!AM137</f>
        <v>0.5471698113</v>
      </c>
      <c r="AN68" s="100">
        <f>'PP - Data'!AN137</f>
        <v>0.4598214286</v>
      </c>
      <c r="AO68" s="100">
        <f>'PP - Data'!AO137</f>
        <v>0.3158995816</v>
      </c>
      <c r="AP68" s="100">
        <f>'PP - Data'!AP137</f>
        <v>0.1707842812</v>
      </c>
      <c r="AQ68" s="100">
        <f>'PP - Data'!AQ137</f>
        <v>0.227148448</v>
      </c>
      <c r="AR68" s="100">
        <f>'PP - Data'!AR137</f>
        <v>0.4917582418</v>
      </c>
      <c r="AS68" s="100">
        <f>'PP - Data'!AS137</f>
        <v>0.4179517596</v>
      </c>
      <c r="AT68" s="100">
        <f>'PP - Data'!AT137</f>
        <v>0.4665948276</v>
      </c>
      <c r="AU68" s="100">
        <f>'PP - Data'!AU137</f>
        <v>0.3789980187</v>
      </c>
      <c r="AV68" s="100">
        <f>'PP - Data'!AV137</f>
        <v>0.4165202109</v>
      </c>
      <c r="AW68" s="100">
        <f>'PP - Data'!AW137</f>
        <v>0.4357320099</v>
      </c>
      <c r="AX68" s="100">
        <f>'PP - Data'!AX137</f>
        <v>0.5327225131</v>
      </c>
      <c r="AY68" s="100">
        <f>'PP - Data'!AY137</f>
        <v>0.5217948718</v>
      </c>
      <c r="AZ68" s="100">
        <f>'PP - Data'!AZ137</f>
        <v>0.537037037</v>
      </c>
      <c r="BA68" s="100">
        <f>'PP - Data'!BA137</f>
        <v>0.4299516908</v>
      </c>
      <c r="BB68" s="100">
        <f>'PP - Data'!BB137</f>
        <v>0.2056079748</v>
      </c>
      <c r="BC68" s="100">
        <f>'PP - Data'!BC137</f>
        <v>0.2079947698</v>
      </c>
      <c r="BD68" s="100">
        <f>'PP - Data'!BD137</f>
        <v>0.5734740015</v>
      </c>
      <c r="BE68" s="100">
        <f>'PP - Data'!BE137</f>
        <v>0.4985451018</v>
      </c>
      <c r="BF68" s="100">
        <f>'PP - Data'!BF137</f>
        <v>0.3928571429</v>
      </c>
      <c r="BG68" s="100">
        <f>'PP - Data'!BG137</f>
        <v>0.4398061871</v>
      </c>
      <c r="BH68" s="100">
        <f>'PP - Data'!BH137</f>
        <v>0.4623364908</v>
      </c>
      <c r="BI68" s="100" t="str">
        <f>'PP - Data'!BI137</f>
        <v/>
      </c>
      <c r="BJ68" s="100" t="str">
        <f>'PP - Data'!BJ137</f>
        <v/>
      </c>
      <c r="BK68" s="100" t="str">
        <f>'PP - Data'!BK137</f>
        <v/>
      </c>
      <c r="BL68" s="100" t="str">
        <f>'PP - Data'!BL137</f>
        <v/>
      </c>
      <c r="BM68" s="100" t="str">
        <f>'PP - Data'!BM137</f>
        <v/>
      </c>
      <c r="BN68" s="100" t="str">
        <f>'PP - Data'!BN137</f>
        <v/>
      </c>
      <c r="BO68" s="100" t="str">
        <f>'PP - Data'!BO137</f>
        <v/>
      </c>
      <c r="BP68" s="81"/>
      <c r="BQ68" s="82"/>
    </row>
    <row r="69">
      <c r="A69" s="78" t="s">
        <v>12</v>
      </c>
      <c r="B69" s="100" t="str">
        <f>'PP - Data'!B138</f>
        <v/>
      </c>
      <c r="C69" s="100" t="str">
        <f>'PP - Data'!C138</f>
        <v/>
      </c>
      <c r="D69" s="100" t="str">
        <f>'PP - Data'!D138</f>
        <v/>
      </c>
      <c r="E69" s="100" t="str">
        <f>'PP - Data'!E138</f>
        <v/>
      </c>
      <c r="F69" s="100" t="str">
        <f>'PP - Data'!F138</f>
        <v/>
      </c>
      <c r="G69" s="100" t="str">
        <f>'PP - Data'!G138</f>
        <v/>
      </c>
      <c r="H69" s="100" t="str">
        <f>'PP - Data'!H138</f>
        <v/>
      </c>
      <c r="I69" s="100" t="str">
        <f>'PP - Data'!I138</f>
        <v/>
      </c>
      <c r="J69" s="100" t="str">
        <f>'PP - Data'!J138</f>
        <v/>
      </c>
      <c r="K69" s="100" t="str">
        <f>'PP - Data'!K138</f>
        <v/>
      </c>
      <c r="L69" s="100" t="str">
        <f>'PP - Data'!L138</f>
        <v/>
      </c>
      <c r="M69" s="100" t="str">
        <f>'PP - Data'!M138</f>
        <v/>
      </c>
      <c r="N69" s="100" t="str">
        <f>'PP - Data'!N138</f>
        <v/>
      </c>
      <c r="O69" s="100" t="str">
        <f>'PP - Data'!O138</f>
        <v/>
      </c>
      <c r="P69" s="100" t="str">
        <f>'PP - Data'!P138</f>
        <v/>
      </c>
      <c r="Q69" s="100" t="str">
        <f>'PP - Data'!Q138</f>
        <v/>
      </c>
      <c r="R69" s="100" t="str">
        <f>'PP - Data'!R138</f>
        <v/>
      </c>
      <c r="S69" s="100" t="str">
        <f>'PP - Data'!S138</f>
        <v/>
      </c>
      <c r="T69" s="100" t="str">
        <f>'PP - Data'!T138</f>
        <v/>
      </c>
      <c r="U69" s="100" t="str">
        <f>'PP - Data'!U138</f>
        <v/>
      </c>
      <c r="V69" s="100" t="str">
        <f>'PP - Data'!V138</f>
        <v/>
      </c>
      <c r="W69" s="100" t="str">
        <f>'PP - Data'!W138</f>
        <v/>
      </c>
      <c r="X69" s="100" t="str">
        <f>'PP - Data'!X138</f>
        <v/>
      </c>
      <c r="Y69" s="100" t="str">
        <f>'PP - Data'!Y138</f>
        <v/>
      </c>
      <c r="Z69" s="100" t="str">
        <f>'PP - Data'!Z138</f>
        <v/>
      </c>
      <c r="AA69" s="100" t="str">
        <f>'PP - Data'!AA138</f>
        <v/>
      </c>
      <c r="AB69" s="100" t="str">
        <f>'PP - Data'!AB138</f>
        <v/>
      </c>
      <c r="AC69" s="100" t="str">
        <f>'PP - Data'!AC138</f>
        <v/>
      </c>
      <c r="AD69" s="100" t="str">
        <f>'PP - Data'!AD138</f>
        <v/>
      </c>
      <c r="AE69" s="100" t="str">
        <f>'PP - Data'!AE138</f>
        <v/>
      </c>
      <c r="AF69" s="100" t="str">
        <f>'PP - Data'!AF138</f>
        <v/>
      </c>
      <c r="AG69" s="100" t="str">
        <f>'PP - Data'!AG138</f>
        <v/>
      </c>
      <c r="AH69" s="100" t="str">
        <f>'PP - Data'!AH138</f>
        <v/>
      </c>
      <c r="AI69" s="101" t="s">
        <v>12</v>
      </c>
      <c r="AJ69" s="100">
        <f>'PP - Data'!AJ138</f>
        <v>0.03347280335</v>
      </c>
      <c r="AK69" s="100">
        <f>'PP - Data'!AK138</f>
        <v>0.02214839424</v>
      </c>
      <c r="AL69" s="100">
        <f>'PP - Data'!AL138</f>
        <v>0.00575815739</v>
      </c>
      <c r="AM69" s="100">
        <f>'PP - Data'!AM138</f>
        <v>0.01179245283</v>
      </c>
      <c r="AN69" s="100">
        <f>'PP - Data'!AN138</f>
        <v>0.004464285714</v>
      </c>
      <c r="AO69" s="100">
        <f>'PP - Data'!AO138</f>
        <v>0.01046025105</v>
      </c>
      <c r="AP69" s="100">
        <f>'PP - Data'!AP138</f>
        <v>0.01221466866</v>
      </c>
      <c r="AQ69" s="100">
        <f>'PP - Data'!AQ138</f>
        <v>0.03715220072</v>
      </c>
      <c r="AR69" s="100">
        <f>'PP - Data'!AR138</f>
        <v>0.01877289377</v>
      </c>
      <c r="AS69" s="100">
        <f>'PP - Data'!AS138</f>
        <v>0.01621194148</v>
      </c>
      <c r="AT69" s="100">
        <f>'PP - Data'!AT138</f>
        <v>0.02101293103</v>
      </c>
      <c r="AU69" s="100">
        <f>'PP - Data'!AU138</f>
        <v>0.02349278234</v>
      </c>
      <c r="AV69" s="100">
        <f>'PP - Data'!AV138</f>
        <v>0.04803749268</v>
      </c>
      <c r="AW69" s="100">
        <f>'PP - Data'!AW138</f>
        <v>0.01538461538</v>
      </c>
      <c r="AX69" s="100">
        <f>'PP - Data'!AX138</f>
        <v>0.02356020942</v>
      </c>
      <c r="AY69" s="100">
        <f>'PP - Data'!AY138</f>
        <v>0.02051282051</v>
      </c>
      <c r="AZ69" s="100">
        <f>'PP - Data'!AZ138</f>
        <v>0.01481481481</v>
      </c>
      <c r="BA69" s="100">
        <f>'PP - Data'!BA138</f>
        <v>0.009661835749</v>
      </c>
      <c r="BB69" s="100">
        <f>'PP - Data'!BB138</f>
        <v>0.01561916947</v>
      </c>
      <c r="BC69" s="100">
        <f>'PP - Data'!BC138</f>
        <v>0.01667133651</v>
      </c>
      <c r="BD69" s="100">
        <f>'PP - Data'!BD138</f>
        <v>0.009042954032</v>
      </c>
      <c r="BE69" s="100">
        <f>'PP - Data'!BE138</f>
        <v>0.01066925315</v>
      </c>
      <c r="BF69" s="100">
        <f>'PP - Data'!BF138</f>
        <v>0.01047619048</v>
      </c>
      <c r="BG69" s="100">
        <f>'PP - Data'!BG138</f>
        <v>0.01528140142</v>
      </c>
      <c r="BH69" s="100">
        <f>'PP - Data'!BH138</f>
        <v>0.01082543978</v>
      </c>
      <c r="BI69" s="100" t="str">
        <f>'PP - Data'!BI138</f>
        <v/>
      </c>
      <c r="BJ69" s="100" t="str">
        <f>'PP - Data'!BJ138</f>
        <v/>
      </c>
      <c r="BK69" s="100" t="str">
        <f>'PP - Data'!BK138</f>
        <v/>
      </c>
      <c r="BL69" s="100" t="str">
        <f>'PP - Data'!BL138</f>
        <v/>
      </c>
      <c r="BM69" s="100" t="str">
        <f>'PP - Data'!BM138</f>
        <v/>
      </c>
      <c r="BN69" s="100" t="str">
        <f>'PP - Data'!BN138</f>
        <v/>
      </c>
      <c r="BO69" s="100" t="str">
        <f>'PP - Data'!BO138</f>
        <v/>
      </c>
      <c r="BP69" s="81"/>
      <c r="BQ69" s="82"/>
    </row>
    <row r="70">
      <c r="A70" s="78" t="s">
        <v>13</v>
      </c>
      <c r="B70" s="100" t="str">
        <f>'PP - Data'!B139</f>
        <v/>
      </c>
      <c r="C70" s="100" t="str">
        <f>'PP - Data'!C139</f>
        <v/>
      </c>
      <c r="D70" s="100" t="str">
        <f>'PP - Data'!D139</f>
        <v/>
      </c>
      <c r="E70" s="100" t="str">
        <f>'PP - Data'!E139</f>
        <v/>
      </c>
      <c r="F70" s="100" t="str">
        <f>'PP - Data'!F139</f>
        <v/>
      </c>
      <c r="G70" s="100" t="str">
        <f>'PP - Data'!G139</f>
        <v/>
      </c>
      <c r="H70" s="100" t="str">
        <f>'PP - Data'!H139</f>
        <v/>
      </c>
      <c r="I70" s="100" t="str">
        <f>'PP - Data'!I139</f>
        <v/>
      </c>
      <c r="J70" s="100" t="str">
        <f>'PP - Data'!J139</f>
        <v/>
      </c>
      <c r="K70" s="100" t="str">
        <f>'PP - Data'!K139</f>
        <v/>
      </c>
      <c r="L70" s="100" t="str">
        <f>'PP - Data'!L139</f>
        <v/>
      </c>
      <c r="M70" s="100" t="str">
        <f>'PP - Data'!M139</f>
        <v/>
      </c>
      <c r="N70" s="100" t="str">
        <f>'PP - Data'!N139</f>
        <v/>
      </c>
      <c r="O70" s="100" t="str">
        <f>'PP - Data'!O139</f>
        <v/>
      </c>
      <c r="P70" s="100" t="str">
        <f>'PP - Data'!P139</f>
        <v/>
      </c>
      <c r="Q70" s="100" t="str">
        <f>'PP - Data'!Q139</f>
        <v/>
      </c>
      <c r="R70" s="100" t="str">
        <f>'PP - Data'!R139</f>
        <v/>
      </c>
      <c r="S70" s="100" t="str">
        <f>'PP - Data'!S139</f>
        <v/>
      </c>
      <c r="T70" s="100" t="str">
        <f>'PP - Data'!T139</f>
        <v/>
      </c>
      <c r="U70" s="100" t="str">
        <f>'PP - Data'!U139</f>
        <v/>
      </c>
      <c r="V70" s="100" t="str">
        <f>'PP - Data'!V139</f>
        <v/>
      </c>
      <c r="W70" s="100" t="str">
        <f>'PP - Data'!W139</f>
        <v/>
      </c>
      <c r="X70" s="100" t="str">
        <f>'PP - Data'!X139</f>
        <v/>
      </c>
      <c r="Y70" s="100" t="str">
        <f>'PP - Data'!Y139</f>
        <v/>
      </c>
      <c r="Z70" s="100" t="str">
        <f>'PP - Data'!Z139</f>
        <v/>
      </c>
      <c r="AA70" s="100" t="str">
        <f>'PP - Data'!AA139</f>
        <v/>
      </c>
      <c r="AB70" s="100" t="str">
        <f>'PP - Data'!AB139</f>
        <v/>
      </c>
      <c r="AC70" s="100" t="str">
        <f>'PP - Data'!AC139</f>
        <v/>
      </c>
      <c r="AD70" s="100" t="str">
        <f>'PP - Data'!AD139</f>
        <v/>
      </c>
      <c r="AE70" s="100" t="str">
        <f>'PP - Data'!AE139</f>
        <v/>
      </c>
      <c r="AF70" s="100" t="str">
        <f>'PP - Data'!AF139</f>
        <v/>
      </c>
      <c r="AG70" s="100" t="str">
        <f>'PP - Data'!AG139</f>
        <v/>
      </c>
      <c r="AH70" s="100" t="str">
        <f>'PP - Data'!AH139</f>
        <v/>
      </c>
      <c r="AI70" s="101" t="s">
        <v>13</v>
      </c>
      <c r="AJ70" s="100">
        <f>'PP - Data'!AJ139</f>
        <v>0.01673640167</v>
      </c>
      <c r="AK70" s="100">
        <f>'PP - Data'!AK139</f>
        <v>0.01218161683</v>
      </c>
      <c r="AL70" s="100">
        <f>'PP - Data'!AL139</f>
        <v>0.01343570058</v>
      </c>
      <c r="AM70" s="100">
        <f>'PP - Data'!AM139</f>
        <v>0.01179245283</v>
      </c>
      <c r="AN70" s="100">
        <f>'PP - Data'!AN139</f>
        <v>0.01785714286</v>
      </c>
      <c r="AO70" s="100">
        <f>'PP - Data'!AO139</f>
        <v>0.05439330544</v>
      </c>
      <c r="AP70" s="100">
        <f>'PP - Data'!AP139</f>
        <v>0.0108881888</v>
      </c>
      <c r="AQ70" s="100">
        <f>'PP - Data'!AQ139</f>
        <v>0.01281295234</v>
      </c>
      <c r="AR70" s="100">
        <f>'PP - Data'!AR139</f>
        <v>0.01510989011</v>
      </c>
      <c r="AS70" s="100">
        <f>'PP - Data'!AS139</f>
        <v>0.01383946224</v>
      </c>
      <c r="AT70" s="100">
        <f>'PP - Data'!AT139</f>
        <v>0.01993534483</v>
      </c>
      <c r="AU70" s="100">
        <f>'PP - Data'!AU139</f>
        <v>0.01386923295</v>
      </c>
      <c r="AV70" s="100">
        <f>'PP - Data'!AV139</f>
        <v>0.01640304628</v>
      </c>
      <c r="AW70" s="100">
        <f>'PP - Data'!AW139</f>
        <v>0.01736972705</v>
      </c>
      <c r="AX70" s="100">
        <f>'PP - Data'!AX139</f>
        <v>0.02356020942</v>
      </c>
      <c r="AY70" s="100">
        <f>'PP - Data'!AY139</f>
        <v>0.0141025641</v>
      </c>
      <c r="AZ70" s="100">
        <f>'PP - Data'!AZ139</f>
        <v>0.01111111111</v>
      </c>
      <c r="BA70" s="100">
        <f>'PP - Data'!BA139</f>
        <v>0.01690821256</v>
      </c>
      <c r="BB70" s="100">
        <f>'PP - Data'!BB139</f>
        <v>0.01002185618</v>
      </c>
      <c r="BC70" s="100">
        <f>'PP - Data'!BC139</f>
        <v>0.01092743065</v>
      </c>
      <c r="BD70" s="100">
        <f>'PP - Data'!BD139</f>
        <v>0.007535795026</v>
      </c>
      <c r="BE70" s="100">
        <f>'PP - Data'!BE139</f>
        <v>0.01454898157</v>
      </c>
      <c r="BF70" s="100">
        <f>'PP - Data'!BF139</f>
        <v>0.009047619048</v>
      </c>
      <c r="BG70" s="100">
        <f>'PP - Data'!BG139</f>
        <v>0.01080879612</v>
      </c>
      <c r="BH70" s="100">
        <f>'PP - Data'!BH139</f>
        <v>0.01533603969</v>
      </c>
      <c r="BI70" s="100" t="str">
        <f>'PP - Data'!BI139</f>
        <v/>
      </c>
      <c r="BJ70" s="100" t="str">
        <f>'PP - Data'!BJ139</f>
        <v/>
      </c>
      <c r="BK70" s="100" t="str">
        <f>'PP - Data'!BK139</f>
        <v/>
      </c>
      <c r="BL70" s="100" t="str">
        <f>'PP - Data'!BL139</f>
        <v/>
      </c>
      <c r="BM70" s="100" t="str">
        <f>'PP - Data'!BM139</f>
        <v/>
      </c>
      <c r="BN70" s="100" t="str">
        <f>'PP - Data'!BN139</f>
        <v/>
      </c>
      <c r="BO70" s="100" t="str">
        <f>'PP - Data'!BO139</f>
        <v/>
      </c>
      <c r="BP70" s="81"/>
      <c r="BQ70" s="82"/>
    </row>
    <row r="71">
      <c r="A71" s="78" t="s">
        <v>14</v>
      </c>
      <c r="B71" s="100" t="str">
        <f>'PP - Data'!B140</f>
        <v/>
      </c>
      <c r="C71" s="100" t="str">
        <f>'PP - Data'!C140</f>
        <v/>
      </c>
      <c r="D71" s="100" t="str">
        <f>'PP - Data'!D140</f>
        <v/>
      </c>
      <c r="E71" s="100" t="str">
        <f>'PP - Data'!E140</f>
        <v/>
      </c>
      <c r="F71" s="100" t="str">
        <f>'PP - Data'!F140</f>
        <v/>
      </c>
      <c r="G71" s="100" t="str">
        <f>'PP - Data'!G140</f>
        <v/>
      </c>
      <c r="H71" s="100" t="str">
        <f>'PP - Data'!H140</f>
        <v/>
      </c>
      <c r="I71" s="100" t="str">
        <f>'PP - Data'!I140</f>
        <v/>
      </c>
      <c r="J71" s="100" t="str">
        <f>'PP - Data'!J140</f>
        <v/>
      </c>
      <c r="K71" s="100" t="str">
        <f>'PP - Data'!K140</f>
        <v/>
      </c>
      <c r="L71" s="100" t="str">
        <f>'PP - Data'!L140</f>
        <v/>
      </c>
      <c r="M71" s="100" t="str">
        <f>'PP - Data'!M140</f>
        <v/>
      </c>
      <c r="N71" s="100" t="str">
        <f>'PP - Data'!N140</f>
        <v/>
      </c>
      <c r="O71" s="100" t="str">
        <f>'PP - Data'!O140</f>
        <v/>
      </c>
      <c r="P71" s="100" t="str">
        <f>'PP - Data'!P140</f>
        <v/>
      </c>
      <c r="Q71" s="100" t="str">
        <f>'PP - Data'!Q140</f>
        <v/>
      </c>
      <c r="R71" s="100" t="str">
        <f>'PP - Data'!R140</f>
        <v/>
      </c>
      <c r="S71" s="100" t="str">
        <f>'PP - Data'!S140</f>
        <v/>
      </c>
      <c r="T71" s="100" t="str">
        <f>'PP - Data'!T140</f>
        <v/>
      </c>
      <c r="U71" s="100" t="str">
        <f>'PP - Data'!U140</f>
        <v/>
      </c>
      <c r="V71" s="100" t="str">
        <f>'PP - Data'!V140</f>
        <v/>
      </c>
      <c r="W71" s="100" t="str">
        <f>'PP - Data'!W140</f>
        <v/>
      </c>
      <c r="X71" s="100" t="str">
        <f>'PP - Data'!X140</f>
        <v/>
      </c>
      <c r="Y71" s="100" t="str">
        <f>'PP - Data'!Y140</f>
        <v/>
      </c>
      <c r="Z71" s="100" t="str">
        <f>'PP - Data'!Z140</f>
        <v/>
      </c>
      <c r="AA71" s="100" t="str">
        <f>'PP - Data'!AA140</f>
        <v/>
      </c>
      <c r="AB71" s="100" t="str">
        <f>'PP - Data'!AB140</f>
        <v/>
      </c>
      <c r="AC71" s="100" t="str">
        <f>'PP - Data'!AC140</f>
        <v/>
      </c>
      <c r="AD71" s="100" t="str">
        <f>'PP - Data'!AD140</f>
        <v/>
      </c>
      <c r="AE71" s="100" t="str">
        <f>'PP - Data'!AE140</f>
        <v/>
      </c>
      <c r="AF71" s="100" t="str">
        <f>'PP - Data'!AF140</f>
        <v/>
      </c>
      <c r="AG71" s="100" t="str">
        <f>'PP - Data'!AG140</f>
        <v/>
      </c>
      <c r="AH71" s="100" t="str">
        <f>'PP - Data'!AH140</f>
        <v/>
      </c>
      <c r="AI71" s="101" t="s">
        <v>14</v>
      </c>
      <c r="AJ71" s="100">
        <f>'PP - Data'!AJ140</f>
        <v>0.07391910739</v>
      </c>
      <c r="AK71" s="100">
        <f>'PP - Data'!AK140</f>
        <v>0.04983388704</v>
      </c>
      <c r="AL71" s="100">
        <f>'PP - Data'!AL140</f>
        <v>0.08829174664</v>
      </c>
      <c r="AM71" s="100">
        <f>'PP - Data'!AM140</f>
        <v>0.06839622642</v>
      </c>
      <c r="AN71" s="100">
        <f>'PP - Data'!AN140</f>
        <v>0.04910714286</v>
      </c>
      <c r="AO71" s="100">
        <f>'PP - Data'!AO140</f>
        <v>0.03765690377</v>
      </c>
      <c r="AP71" s="100">
        <f>'PP - Data'!AP140</f>
        <v>0.01757585807</v>
      </c>
      <c r="AQ71" s="100">
        <f>'PP - Data'!AQ140</f>
        <v>0.02080094355</v>
      </c>
      <c r="AR71" s="100">
        <f>'PP - Data'!AR140</f>
        <v>0.06272893773</v>
      </c>
      <c r="AS71" s="100">
        <f>'PP - Data'!AS140</f>
        <v>0.03677342823</v>
      </c>
      <c r="AT71" s="100">
        <f>'PP - Data'!AT140</f>
        <v>0.03017241379</v>
      </c>
      <c r="AU71" s="100">
        <f>'PP - Data'!AU140</f>
        <v>0.02320973677</v>
      </c>
      <c r="AV71" s="100">
        <f>'PP - Data'!AV140</f>
        <v>0.02489748096</v>
      </c>
      <c r="AW71" s="100">
        <f>'PP - Data'!AW140</f>
        <v>0.0253101737</v>
      </c>
      <c r="AX71" s="100">
        <f>'PP - Data'!AX140</f>
        <v>0.02879581152</v>
      </c>
      <c r="AY71" s="100">
        <f>'PP - Data'!AY140</f>
        <v>0.05</v>
      </c>
      <c r="AZ71" s="100">
        <f>'PP - Data'!AZ140</f>
        <v>0.06481481481</v>
      </c>
      <c r="BA71" s="100">
        <f>'PP - Data'!BA140</f>
        <v>0.0652173913</v>
      </c>
      <c r="BB71" s="100">
        <f>'PP - Data'!BB140</f>
        <v>0.02025694333</v>
      </c>
      <c r="BC71" s="100">
        <f>'PP - Data'!BC140</f>
        <v>0.02255533763</v>
      </c>
      <c r="BD71" s="100">
        <f>'PP - Data'!BD140</f>
        <v>0.03541823662</v>
      </c>
      <c r="BE71" s="100">
        <f>'PP - Data'!BE140</f>
        <v>0.03685741998</v>
      </c>
      <c r="BF71" s="100">
        <f>'PP - Data'!BF140</f>
        <v>0.03904761905</v>
      </c>
      <c r="BG71" s="100">
        <f>'PP - Data'!BG140</f>
        <v>0.0339172568</v>
      </c>
      <c r="BH71" s="100">
        <f>'PP - Data'!BH140</f>
        <v>0.04285069914</v>
      </c>
      <c r="BI71" s="100" t="str">
        <f>'PP - Data'!BI140</f>
        <v/>
      </c>
      <c r="BJ71" s="100" t="str">
        <f>'PP - Data'!BJ140</f>
        <v/>
      </c>
      <c r="BK71" s="100" t="str">
        <f>'PP - Data'!BK140</f>
        <v/>
      </c>
      <c r="BL71" s="100" t="str">
        <f>'PP - Data'!BL140</f>
        <v/>
      </c>
      <c r="BM71" s="100" t="str">
        <f>'PP - Data'!BM140</f>
        <v/>
      </c>
      <c r="BN71" s="100" t="str">
        <f>'PP - Data'!BN140</f>
        <v/>
      </c>
      <c r="BO71" s="100" t="str">
        <f>'PP - Data'!BO140</f>
        <v/>
      </c>
      <c r="BP71" s="81"/>
      <c r="BQ71" s="82"/>
    </row>
    <row r="72">
      <c r="A72" s="136" t="s">
        <v>16</v>
      </c>
      <c r="B72" s="100" t="str">
        <f>'PP - Data'!B141</f>
        <v/>
      </c>
      <c r="C72" s="100" t="str">
        <f>'PP - Data'!C141</f>
        <v/>
      </c>
      <c r="D72" s="100" t="str">
        <f>'PP - Data'!D141</f>
        <v/>
      </c>
      <c r="E72" s="100" t="str">
        <f>'PP - Data'!E141</f>
        <v/>
      </c>
      <c r="F72" s="100" t="str">
        <f>'PP - Data'!F141</f>
        <v/>
      </c>
      <c r="G72" s="100" t="str">
        <f>'PP - Data'!G141</f>
        <v/>
      </c>
      <c r="H72" s="100" t="str">
        <f>'PP - Data'!H141</f>
        <v/>
      </c>
      <c r="I72" s="100" t="str">
        <f>'PP - Data'!I141</f>
        <v/>
      </c>
      <c r="J72" s="100" t="str">
        <f>'PP - Data'!J141</f>
        <v/>
      </c>
      <c r="K72" s="100" t="str">
        <f>'PP - Data'!K141</f>
        <v/>
      </c>
      <c r="L72" s="100" t="str">
        <f>'PP - Data'!L141</f>
        <v/>
      </c>
      <c r="M72" s="100" t="str">
        <f>'PP - Data'!M141</f>
        <v/>
      </c>
      <c r="N72" s="100" t="str">
        <f>'PP - Data'!N141</f>
        <v/>
      </c>
      <c r="O72" s="100" t="str">
        <f>'PP - Data'!O141</f>
        <v/>
      </c>
      <c r="P72" s="100" t="str">
        <f>'PP - Data'!P141</f>
        <v/>
      </c>
      <c r="Q72" s="100" t="str">
        <f>'PP - Data'!Q141</f>
        <v/>
      </c>
      <c r="R72" s="100" t="str">
        <f>'PP - Data'!R141</f>
        <v/>
      </c>
      <c r="S72" s="100" t="str">
        <f>'PP - Data'!S141</f>
        <v/>
      </c>
      <c r="T72" s="100" t="str">
        <f>'PP - Data'!T141</f>
        <v/>
      </c>
      <c r="U72" s="100" t="str">
        <f>'PP - Data'!U141</f>
        <v/>
      </c>
      <c r="V72" s="100" t="str">
        <f>'PP - Data'!V141</f>
        <v/>
      </c>
      <c r="W72" s="100" t="str">
        <f>'PP - Data'!W141</f>
        <v/>
      </c>
      <c r="X72" s="100" t="str">
        <f>'PP - Data'!X141</f>
        <v/>
      </c>
      <c r="Y72" s="100" t="str">
        <f>'PP - Data'!Y141</f>
        <v/>
      </c>
      <c r="Z72" s="100" t="str">
        <f>'PP - Data'!Z141</f>
        <v/>
      </c>
      <c r="AA72" s="100" t="str">
        <f>'PP - Data'!AA141</f>
        <v/>
      </c>
      <c r="AB72" s="100" t="str">
        <f>'PP - Data'!AB141</f>
        <v/>
      </c>
      <c r="AC72" s="100" t="str">
        <f>'PP - Data'!AC141</f>
        <v/>
      </c>
      <c r="AD72" s="100" t="str">
        <f>'PP - Data'!AD141</f>
        <v/>
      </c>
      <c r="AE72" s="100" t="str">
        <f>'PP - Data'!AE141</f>
        <v/>
      </c>
      <c r="AF72" s="100" t="str">
        <f>'PP - Data'!AF141</f>
        <v/>
      </c>
      <c r="AG72" s="100" t="str">
        <f>'PP - Data'!AG141</f>
        <v/>
      </c>
      <c r="AH72" s="100" t="str">
        <f>'PP - Data'!AH141</f>
        <v/>
      </c>
      <c r="AI72" s="149" t="s">
        <v>16</v>
      </c>
      <c r="AJ72" s="100">
        <f>'PP - Data'!AJ141</f>
        <v>0.01464435146</v>
      </c>
      <c r="AK72" s="100">
        <f>'PP - Data'!AK141</f>
        <v>0.01328903654</v>
      </c>
      <c r="AL72" s="100">
        <f>'PP - Data'!AL141</f>
        <v>0.01343570058</v>
      </c>
      <c r="AM72" s="100">
        <f>'PP - Data'!AM141</f>
        <v>0.01179245283</v>
      </c>
      <c r="AN72" s="100">
        <f>'PP - Data'!AN141</f>
        <v>0.01339285714</v>
      </c>
      <c r="AO72" s="100">
        <f>'PP - Data'!AO141</f>
        <v>0.002092050209</v>
      </c>
      <c r="AP72" s="100">
        <f>'PP - Data'!AP141</f>
        <v>0.004421599514</v>
      </c>
      <c r="AQ72" s="100">
        <f>'PP - Data'!AQ141</f>
        <v>0.007880769849</v>
      </c>
      <c r="AR72" s="100">
        <f>'PP - Data'!AR141</f>
        <v>0.009157509158</v>
      </c>
      <c r="AS72" s="100">
        <f>'PP - Data'!AS141</f>
        <v>0.00869909055</v>
      </c>
      <c r="AT72" s="100">
        <f>'PP - Data'!AT141</f>
        <v>0.009698275862</v>
      </c>
      <c r="AU72" s="100">
        <f>'PP - Data'!AU141</f>
        <v>0.007642230399</v>
      </c>
      <c r="AV72" s="100">
        <f>'PP - Data'!AV141</f>
        <v>0.01054481547</v>
      </c>
      <c r="AW72" s="100">
        <f>'PP - Data'!AW141</f>
        <v>0.009925558313</v>
      </c>
      <c r="AX72" s="100">
        <f>'PP - Data'!AX141</f>
        <v>0.01570680628</v>
      </c>
      <c r="AY72" s="100">
        <f>'PP - Data'!AY141</f>
        <v>0.01538461538</v>
      </c>
      <c r="AZ72" s="100">
        <f>'PP - Data'!AZ141</f>
        <v>0.02962962963</v>
      </c>
      <c r="BA72" s="100">
        <f>'PP - Data'!BA141</f>
        <v>0.0193236715</v>
      </c>
      <c r="BB72" s="100">
        <f>'PP - Data'!BB141</f>
        <v>0.007676315369</v>
      </c>
      <c r="BC72" s="100">
        <f>'PP - Data'!BC141</f>
        <v>0.00761184272</v>
      </c>
      <c r="BD72" s="100">
        <f>'PP - Data'!BD141</f>
        <v>0.003767897513</v>
      </c>
      <c r="BE72" s="100">
        <f>'PP - Data'!BE141</f>
        <v>0.01454898157</v>
      </c>
      <c r="BF72" s="100">
        <f>'PP - Data'!BF141</f>
        <v>0.007619047619</v>
      </c>
      <c r="BG72" s="100">
        <f>'PP - Data'!BG141</f>
        <v>0.01304509877</v>
      </c>
      <c r="BH72" s="100">
        <f>'PP - Data'!BH141</f>
        <v>0.01443391971</v>
      </c>
      <c r="BI72" s="100" t="str">
        <f>'PP - Data'!BI141</f>
        <v/>
      </c>
      <c r="BJ72" s="100" t="str">
        <f>'PP - Data'!BJ141</f>
        <v/>
      </c>
      <c r="BK72" s="100" t="str">
        <f>'PP - Data'!BK141</f>
        <v/>
      </c>
      <c r="BL72" s="100" t="str">
        <f>'PP - Data'!BL141</f>
        <v/>
      </c>
      <c r="BM72" s="100" t="str">
        <f>'PP - Data'!BM141</f>
        <v/>
      </c>
      <c r="BN72" s="100" t="str">
        <f>'PP - Data'!BN141</f>
        <v/>
      </c>
      <c r="BO72" s="100" t="str">
        <f>'PP - Data'!BO141</f>
        <v/>
      </c>
      <c r="BP72" s="81"/>
      <c r="BQ72" s="82"/>
    </row>
    <row r="73">
      <c r="A73" s="136" t="s">
        <v>53</v>
      </c>
      <c r="B73" s="100" t="str">
        <f>'PP - Data'!B142</f>
        <v/>
      </c>
      <c r="C73" s="100" t="str">
        <f>'PP - Data'!C142</f>
        <v/>
      </c>
      <c r="D73" s="100" t="str">
        <f>'PP - Data'!D142</f>
        <v/>
      </c>
      <c r="E73" s="100" t="str">
        <f>'PP - Data'!E142</f>
        <v/>
      </c>
      <c r="F73" s="100" t="str">
        <f>'PP - Data'!F142</f>
        <v/>
      </c>
      <c r="G73" s="100" t="str">
        <f>'PP - Data'!G142</f>
        <v/>
      </c>
      <c r="H73" s="100" t="str">
        <f>'PP - Data'!H142</f>
        <v/>
      </c>
      <c r="I73" s="100" t="str">
        <f>'PP - Data'!I142</f>
        <v/>
      </c>
      <c r="J73" s="100" t="str">
        <f>'PP - Data'!J142</f>
        <v/>
      </c>
      <c r="K73" s="100" t="str">
        <f>'PP - Data'!K142</f>
        <v/>
      </c>
      <c r="L73" s="100" t="str">
        <f>'PP - Data'!L142</f>
        <v/>
      </c>
      <c r="M73" s="100" t="str">
        <f>'PP - Data'!M142</f>
        <v/>
      </c>
      <c r="N73" s="100" t="str">
        <f>'PP - Data'!N142</f>
        <v/>
      </c>
      <c r="O73" s="100" t="str">
        <f>'PP - Data'!O142</f>
        <v/>
      </c>
      <c r="P73" s="100" t="str">
        <f>'PP - Data'!P142</f>
        <v/>
      </c>
      <c r="Q73" s="100" t="str">
        <f>'PP - Data'!Q142</f>
        <v/>
      </c>
      <c r="R73" s="100" t="str">
        <f>'PP - Data'!R142</f>
        <v/>
      </c>
      <c r="S73" s="100" t="str">
        <f>'PP - Data'!S142</f>
        <v/>
      </c>
      <c r="T73" s="100" t="str">
        <f>'PP - Data'!T142</f>
        <v/>
      </c>
      <c r="U73" s="100" t="str">
        <f>'PP - Data'!U142</f>
        <v/>
      </c>
      <c r="V73" s="100" t="str">
        <f>'PP - Data'!V142</f>
        <v/>
      </c>
      <c r="W73" s="100" t="str">
        <f>'PP - Data'!W142</f>
        <v/>
      </c>
      <c r="X73" s="100" t="str">
        <f>'PP - Data'!X142</f>
        <v/>
      </c>
      <c r="Y73" s="100" t="str">
        <f>'PP - Data'!Y142</f>
        <v/>
      </c>
      <c r="Z73" s="100" t="str">
        <f>'PP - Data'!Z142</f>
        <v/>
      </c>
      <c r="AA73" s="100" t="str">
        <f>'PP - Data'!AA142</f>
        <v/>
      </c>
      <c r="AB73" s="100" t="str">
        <f>'PP - Data'!AB142</f>
        <v/>
      </c>
      <c r="AC73" s="100" t="str">
        <f>'PP - Data'!AC142</f>
        <v/>
      </c>
      <c r="AD73" s="100" t="str">
        <f>'PP - Data'!AD142</f>
        <v/>
      </c>
      <c r="AE73" s="100" t="str">
        <f>'PP - Data'!AE142</f>
        <v/>
      </c>
      <c r="AF73" s="100" t="str">
        <f>'PP - Data'!AF142</f>
        <v/>
      </c>
      <c r="AG73" s="100" t="str">
        <f>'PP - Data'!AG142</f>
        <v/>
      </c>
      <c r="AH73" s="100" t="str">
        <f>'PP - Data'!AH142</f>
        <v/>
      </c>
      <c r="AI73" s="149" t="s">
        <v>53</v>
      </c>
      <c r="AJ73" s="100">
        <f>'PP - Data'!AJ142</f>
        <v>0.1073919107</v>
      </c>
      <c r="AK73" s="100">
        <f>'PP - Data'!AK142</f>
        <v>0.08305647841</v>
      </c>
      <c r="AL73" s="100">
        <f>'PP - Data'!AL142</f>
        <v>0.07869481766</v>
      </c>
      <c r="AM73" s="100">
        <f>'PP - Data'!AM142</f>
        <v>0.09433962264</v>
      </c>
      <c r="AN73" s="100">
        <f>'PP - Data'!AN142</f>
        <v>0.08482142857</v>
      </c>
      <c r="AO73" s="100">
        <f>'PP - Data'!AO142</f>
        <v>0.09623430962</v>
      </c>
      <c r="AP73" s="100">
        <f>'PP - Data'!AP142</f>
        <v>0.04515558503</v>
      </c>
      <c r="AQ73" s="100">
        <f>'PP - Data'!AQ142</f>
        <v>0.06234921996</v>
      </c>
      <c r="AR73" s="100">
        <f>'PP - Data'!AR142</f>
        <v>0.06318681319</v>
      </c>
      <c r="AS73" s="100">
        <f>'PP - Data'!AS142</f>
        <v>0.07591933571</v>
      </c>
      <c r="AT73" s="100">
        <f>'PP - Data'!AT142</f>
        <v>0.06519396552</v>
      </c>
      <c r="AU73" s="100">
        <f>'PP - Data'!AU142</f>
        <v>0.07245966601</v>
      </c>
      <c r="AV73" s="100">
        <f>'PP - Data'!AV142</f>
        <v>0.06063268893</v>
      </c>
      <c r="AW73" s="100">
        <f>'PP - Data'!AW142</f>
        <v>0.06004962779</v>
      </c>
      <c r="AX73" s="100">
        <f>'PP - Data'!AX142</f>
        <v>0.1256544503</v>
      </c>
      <c r="AY73" s="100">
        <f>'PP - Data'!AY142</f>
        <v>0.1371794872</v>
      </c>
      <c r="AZ73" s="100">
        <f>'PP - Data'!AZ142</f>
        <v>0.1074074074</v>
      </c>
      <c r="BA73" s="100">
        <f>'PP - Data'!BA142</f>
        <v>0.1231884058</v>
      </c>
      <c r="BB73" s="100">
        <f>'PP - Data'!BB142</f>
        <v>0.06162375393</v>
      </c>
      <c r="BC73" s="100">
        <f>'PP - Data'!BC142</f>
        <v>0.06710563183</v>
      </c>
      <c r="BD73" s="100">
        <f>'PP - Data'!BD142</f>
        <v>0.08063300678</v>
      </c>
      <c r="BE73" s="100">
        <f>'PP - Data'!BE142</f>
        <v>0.07953443259</v>
      </c>
      <c r="BF73" s="100">
        <f>'PP - Data'!BF142</f>
        <v>0.1004761905</v>
      </c>
      <c r="BG73" s="100">
        <f>'PP - Data'!BG142</f>
        <v>0.09019754007</v>
      </c>
      <c r="BH73" s="100">
        <f>'PP - Data'!BH142</f>
        <v>0.09427153811</v>
      </c>
      <c r="BI73" s="100" t="str">
        <f>'PP - Data'!BI142</f>
        <v/>
      </c>
      <c r="BJ73" s="100" t="str">
        <f>'PP - Data'!BJ142</f>
        <v/>
      </c>
      <c r="BK73" s="100" t="str">
        <f>'PP - Data'!BK142</f>
        <v/>
      </c>
      <c r="BL73" s="100" t="str">
        <f>'PP - Data'!BL142</f>
        <v/>
      </c>
      <c r="BM73" s="100" t="str">
        <f>'PP - Data'!BM142</f>
        <v/>
      </c>
      <c r="BN73" s="100" t="str">
        <f>'PP - Data'!BN142</f>
        <v/>
      </c>
      <c r="BO73" s="100" t="str">
        <f>'PP - Data'!BO142</f>
        <v/>
      </c>
      <c r="BP73" s="81"/>
      <c r="BQ73" s="82"/>
    </row>
    <row r="74">
      <c r="A74" s="137" t="s">
        <v>17</v>
      </c>
      <c r="B74" s="100" t="str">
        <f>'PP - Data'!B143</f>
        <v/>
      </c>
      <c r="C74" s="100" t="str">
        <f>'PP - Data'!C143</f>
        <v/>
      </c>
      <c r="D74" s="100" t="str">
        <f>'PP - Data'!D143</f>
        <v/>
      </c>
      <c r="E74" s="100" t="str">
        <f>'PP - Data'!E143</f>
        <v/>
      </c>
      <c r="F74" s="100" t="str">
        <f>'PP - Data'!F143</f>
        <v/>
      </c>
      <c r="G74" s="100" t="str">
        <f>'PP - Data'!G143</f>
        <v/>
      </c>
      <c r="H74" s="100" t="str">
        <f>'PP - Data'!H143</f>
        <v/>
      </c>
      <c r="I74" s="100" t="str">
        <f>'PP - Data'!I143</f>
        <v/>
      </c>
      <c r="J74" s="100" t="str">
        <f>'PP - Data'!J143</f>
        <v/>
      </c>
      <c r="K74" s="100" t="str">
        <f>'PP - Data'!K143</f>
        <v/>
      </c>
      <c r="L74" s="100" t="str">
        <f>'PP - Data'!L143</f>
        <v/>
      </c>
      <c r="M74" s="100" t="str">
        <f>'PP - Data'!M143</f>
        <v/>
      </c>
      <c r="N74" s="100" t="str">
        <f>'PP - Data'!N143</f>
        <v/>
      </c>
      <c r="O74" s="100" t="str">
        <f>'PP - Data'!O143</f>
        <v/>
      </c>
      <c r="P74" s="100" t="str">
        <f>'PP - Data'!P143</f>
        <v/>
      </c>
      <c r="Q74" s="100" t="str">
        <f>'PP - Data'!Q143</f>
        <v/>
      </c>
      <c r="R74" s="100" t="str">
        <f>'PP - Data'!R143</f>
        <v/>
      </c>
      <c r="S74" s="100" t="str">
        <f>'PP - Data'!S143</f>
        <v/>
      </c>
      <c r="T74" s="100" t="str">
        <f>'PP - Data'!T143</f>
        <v/>
      </c>
      <c r="U74" s="100" t="str">
        <f>'PP - Data'!U143</f>
        <v/>
      </c>
      <c r="V74" s="100" t="str">
        <f>'PP - Data'!V143</f>
        <v/>
      </c>
      <c r="W74" s="100" t="str">
        <f>'PP - Data'!W143</f>
        <v/>
      </c>
      <c r="X74" s="100" t="str">
        <f>'PP - Data'!X143</f>
        <v/>
      </c>
      <c r="Y74" s="100" t="str">
        <f>'PP - Data'!Y143</f>
        <v/>
      </c>
      <c r="Z74" s="100" t="str">
        <f>'PP - Data'!Z143</f>
        <v/>
      </c>
      <c r="AA74" s="100" t="str">
        <f>'PP - Data'!AA143</f>
        <v/>
      </c>
      <c r="AB74" s="100" t="str">
        <f>'PP - Data'!AB143</f>
        <v/>
      </c>
      <c r="AC74" s="100" t="str">
        <f>'PP - Data'!AC143</f>
        <v/>
      </c>
      <c r="AD74" s="100" t="str">
        <f>'PP - Data'!AD143</f>
        <v/>
      </c>
      <c r="AE74" s="100" t="str">
        <f>'PP - Data'!AE143</f>
        <v/>
      </c>
      <c r="AF74" s="100" t="str">
        <f>'PP - Data'!AF143</f>
        <v/>
      </c>
      <c r="AG74" s="100" t="str">
        <f>'PP - Data'!AG143</f>
        <v/>
      </c>
      <c r="AH74" s="100" t="str">
        <f>'PP - Data'!AH143</f>
        <v/>
      </c>
      <c r="AI74" s="101" t="s">
        <v>17</v>
      </c>
      <c r="AJ74" s="100">
        <f>'PP - Data'!AJ143</f>
        <v>0.004184100418</v>
      </c>
      <c r="AK74" s="100">
        <f>'PP - Data'!AK143</f>
        <v>0.003322259136</v>
      </c>
      <c r="AL74" s="100">
        <f>'PP - Data'!AL143</f>
        <v>0</v>
      </c>
      <c r="AM74" s="100">
        <f>'PP - Data'!AM143</f>
        <v>0</v>
      </c>
      <c r="AN74" s="100">
        <f>'PP - Data'!AN143</f>
        <v>0</v>
      </c>
      <c r="AO74" s="100">
        <f>'PP - Data'!AO143</f>
        <v>0.002092050209</v>
      </c>
      <c r="AP74" s="100">
        <f>'PP - Data'!AP143</f>
        <v>0.001823909799</v>
      </c>
      <c r="AQ74" s="100">
        <f>'PP - Data'!AQ143</f>
        <v>0.002573312604</v>
      </c>
      <c r="AR74" s="100">
        <f>'PP - Data'!AR143</f>
        <v>0.004578754579</v>
      </c>
      <c r="AS74" s="100">
        <f>'PP - Data'!AS143</f>
        <v>0.002767892448</v>
      </c>
      <c r="AT74" s="100">
        <f>'PP - Data'!AT143</f>
        <v>0.002155172414</v>
      </c>
      <c r="AU74" s="100">
        <f>'PP - Data'!AU143</f>
        <v>0.000849136711</v>
      </c>
      <c r="AV74" s="100">
        <f>'PP - Data'!AV143</f>
        <v>0.001464557704</v>
      </c>
      <c r="AW74" s="100">
        <f>'PP - Data'!AW143</f>
        <v>0.0009925558313</v>
      </c>
      <c r="AX74" s="100">
        <f>'PP - Data'!AX143</f>
        <v>0.001308900524</v>
      </c>
      <c r="AY74" s="100">
        <f>'PP - Data'!AY143</f>
        <v>0.00641025641</v>
      </c>
      <c r="AZ74" s="100">
        <f>'PP - Data'!AZ143</f>
        <v>0.001851851852</v>
      </c>
      <c r="BA74" s="100">
        <f>'PP - Data'!BA143</f>
        <v>0.004830917874</v>
      </c>
      <c r="BB74" s="100">
        <f>'PP - Data'!BB143</f>
        <v>0.002025694333</v>
      </c>
      <c r="BC74" s="100">
        <f>'PP - Data'!BC143</f>
        <v>0.002521714766</v>
      </c>
      <c r="BD74" s="100">
        <f>'PP - Data'!BD143</f>
        <v>0.003767897513</v>
      </c>
      <c r="BE74" s="100">
        <f>'PP - Data'!BE143</f>
        <v>0.00193986421</v>
      </c>
      <c r="BF74" s="100">
        <f>'PP - Data'!BF143</f>
        <v>0.001428571429</v>
      </c>
      <c r="BG74" s="100">
        <f>'PP - Data'!BG143</f>
        <v>0.001863585539</v>
      </c>
      <c r="BH74" s="100">
        <f>'PP - Data'!BH143</f>
        <v>0.002255299955</v>
      </c>
      <c r="BI74" s="100" t="str">
        <f>'PP - Data'!BI143</f>
        <v/>
      </c>
      <c r="BJ74" s="100" t="str">
        <f>'PP - Data'!BJ143</f>
        <v/>
      </c>
      <c r="BK74" s="100" t="str">
        <f>'PP - Data'!BK143</f>
        <v/>
      </c>
      <c r="BL74" s="100" t="str">
        <f>'PP - Data'!BL143</f>
        <v/>
      </c>
      <c r="BM74" s="100" t="str">
        <f>'PP - Data'!BM143</f>
        <v/>
      </c>
      <c r="BN74" s="100" t="str">
        <f>'PP - Data'!BN143</f>
        <v/>
      </c>
      <c r="BO74" s="100" t="str">
        <f>'PP - Data'!BO143</f>
        <v/>
      </c>
      <c r="BP74" s="87"/>
      <c r="BQ74" s="139"/>
    </row>
    <row r="75">
      <c r="A75" s="72" t="s">
        <v>23</v>
      </c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148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76"/>
      <c r="BQ75" s="77"/>
    </row>
    <row r="76">
      <c r="A76" s="78" t="s">
        <v>20</v>
      </c>
      <c r="B76" s="100" t="str">
        <f>'PP - Data'!B150</f>
        <v/>
      </c>
      <c r="C76" s="100" t="str">
        <f>'PP - Data'!C150</f>
        <v/>
      </c>
      <c r="D76" s="100" t="str">
        <f>'PP - Data'!D150</f>
        <v/>
      </c>
      <c r="E76" s="100" t="str">
        <f>'PP - Data'!E150</f>
        <v/>
      </c>
      <c r="F76" s="100" t="str">
        <f>'PP - Data'!F150</f>
        <v/>
      </c>
      <c r="G76" s="100" t="str">
        <f>'PP - Data'!G150</f>
        <v/>
      </c>
      <c r="H76" s="100" t="str">
        <f>'PP - Data'!H150</f>
        <v/>
      </c>
      <c r="I76" s="100" t="str">
        <f>'PP - Data'!I150</f>
        <v/>
      </c>
      <c r="J76" s="100" t="str">
        <f>'PP - Data'!J150</f>
        <v/>
      </c>
      <c r="K76" s="100" t="str">
        <f>'PP - Data'!K150</f>
        <v/>
      </c>
      <c r="L76" s="100" t="str">
        <f>'PP - Data'!L150</f>
        <v/>
      </c>
      <c r="M76" s="100" t="str">
        <f>'PP - Data'!M150</f>
        <v/>
      </c>
      <c r="N76" s="100" t="str">
        <f>'PP - Data'!N150</f>
        <v/>
      </c>
      <c r="O76" s="100" t="str">
        <f>'PP - Data'!O150</f>
        <v/>
      </c>
      <c r="P76" s="100" t="str">
        <f>'PP - Data'!P150</f>
        <v/>
      </c>
      <c r="Q76" s="100" t="str">
        <f>'PP - Data'!Q150</f>
        <v/>
      </c>
      <c r="R76" s="100" t="str">
        <f>'PP - Data'!R150</f>
        <v/>
      </c>
      <c r="S76" s="100" t="str">
        <f>'PP - Data'!S150</f>
        <v/>
      </c>
      <c r="T76" s="100" t="str">
        <f>'PP - Data'!T150</f>
        <v/>
      </c>
      <c r="U76" s="100" t="str">
        <f>'PP - Data'!U150</f>
        <v/>
      </c>
      <c r="V76" s="100" t="str">
        <f>'PP - Data'!V150</f>
        <v/>
      </c>
      <c r="W76" s="100" t="str">
        <f>'PP - Data'!W150</f>
        <v/>
      </c>
      <c r="X76" s="100" t="str">
        <f>'PP - Data'!X150</f>
        <v/>
      </c>
      <c r="Y76" s="100" t="str">
        <f>'PP - Data'!Y150</f>
        <v/>
      </c>
      <c r="Z76" s="100" t="str">
        <f>'PP - Data'!Z150</f>
        <v/>
      </c>
      <c r="AA76" s="100" t="str">
        <f>'PP - Data'!AA150</f>
        <v/>
      </c>
      <c r="AB76" s="100" t="str">
        <f>'PP - Data'!AB150</f>
        <v/>
      </c>
      <c r="AC76" s="100" t="str">
        <f>'PP - Data'!AC150</f>
        <v/>
      </c>
      <c r="AD76" s="100" t="str">
        <f>'PP - Data'!AD150</f>
        <v/>
      </c>
      <c r="AE76" s="100" t="str">
        <f>'PP - Data'!AE150</f>
        <v/>
      </c>
      <c r="AF76" s="100" t="str">
        <f>'PP - Data'!AF150</f>
        <v/>
      </c>
      <c r="AG76" s="100" t="str">
        <f>'PP - Data'!AG150</f>
        <v/>
      </c>
      <c r="AH76" s="100" t="str">
        <f>'PP - Data'!AH150</f>
        <v/>
      </c>
      <c r="AI76" s="101" t="s">
        <v>20</v>
      </c>
      <c r="AJ76" s="100">
        <f>'PP - Data'!AJ150</f>
        <v>0.7633333333</v>
      </c>
      <c r="AK76" s="100">
        <f>'PP - Data'!AK150</f>
        <v>0.7489177489</v>
      </c>
      <c r="AL76" s="100">
        <f>'PP - Data'!AL150</f>
        <v>0.7666666667</v>
      </c>
      <c r="AM76" s="100">
        <f>'PP - Data'!AM150</f>
        <v>0.7592592593</v>
      </c>
      <c r="AN76" s="100">
        <f>'PP - Data'!AN150</f>
        <v>0.7590361446</v>
      </c>
      <c r="AO76" s="100">
        <f>'PP - Data'!AO150</f>
        <v>0.8565217391</v>
      </c>
      <c r="AP76" s="100">
        <f>'PP - Data'!AP150</f>
        <v>0.8687860838</v>
      </c>
      <c r="AQ76" s="100">
        <f>'PP - Data'!AQ150</f>
        <v>0.8632646107</v>
      </c>
      <c r="AR76" s="100">
        <f>'PP - Data'!AR150</f>
        <v>0.7606019152</v>
      </c>
      <c r="AS76" s="100">
        <f>'PP - Data'!AS150</f>
        <v>0.7754158965</v>
      </c>
      <c r="AT76" s="100">
        <f>'PP - Data'!AT150</f>
        <v>0.7594405594</v>
      </c>
      <c r="AU76" s="100">
        <f>'PP - Data'!AU150</f>
        <v>0.8205430933</v>
      </c>
      <c r="AV76" s="100">
        <f>'PP - Data'!AV150</f>
        <v>0.8123697012</v>
      </c>
      <c r="AW76" s="100">
        <f>'PP - Data'!AW150</f>
        <v>0.8278221209</v>
      </c>
      <c r="AX76" s="100">
        <f>'PP - Data'!AX150</f>
        <v>0.7578947368</v>
      </c>
      <c r="AY76" s="100">
        <f>'PP - Data'!AY150</f>
        <v>0.7158469945</v>
      </c>
      <c r="AZ76" s="100">
        <f>'PP - Data'!AZ150</f>
        <v>0.7301587302</v>
      </c>
      <c r="BA76" s="100">
        <f>'PP - Data'!BA150</f>
        <v>0.7372262774</v>
      </c>
      <c r="BB76" s="100">
        <f>'PP - Data'!BB150</f>
        <v>0.8639691411</v>
      </c>
      <c r="BC76" s="100">
        <f>'PP - Data'!BC150</f>
        <v>0.8598931984</v>
      </c>
      <c r="BD76" s="100">
        <f>'PP - Data'!BD150</f>
        <v>0.7447368421</v>
      </c>
      <c r="BE76" s="100">
        <f>'PP - Data'!BE150</f>
        <v>0.7683615819</v>
      </c>
      <c r="BF76" s="100">
        <f>'PP - Data'!BF150</f>
        <v>0.8004338395</v>
      </c>
      <c r="BG76" s="100">
        <f>'PP - Data'!BG150</f>
        <v>0.8188679245</v>
      </c>
      <c r="BH76" s="100">
        <f>'PP - Data'!BH150</f>
        <v>0.7982345523</v>
      </c>
      <c r="BI76" s="100" t="str">
        <f>'PP - Data'!BI150</f>
        <v/>
      </c>
      <c r="BJ76" s="100" t="str">
        <f>'PP - Data'!BJ150</f>
        <v/>
      </c>
      <c r="BK76" s="100" t="str">
        <f>'PP - Data'!BK150</f>
        <v/>
      </c>
      <c r="BL76" s="100" t="str">
        <f>'PP - Data'!BL150</f>
        <v/>
      </c>
      <c r="BM76" s="100" t="str">
        <f>'PP - Data'!BM150</f>
        <v/>
      </c>
      <c r="BN76" s="100" t="str">
        <f>'PP - Data'!BN150</f>
        <v/>
      </c>
      <c r="BO76" s="100" t="str">
        <f>'PP - Data'!BO150</f>
        <v/>
      </c>
      <c r="BP76" s="81"/>
      <c r="BQ76" s="82"/>
    </row>
    <row r="77">
      <c r="A77" s="78" t="s">
        <v>21</v>
      </c>
      <c r="B77" s="100" t="str">
        <f>'PP - Data'!B151</f>
        <v/>
      </c>
      <c r="C77" s="100" t="str">
        <f>'PP - Data'!C151</f>
        <v/>
      </c>
      <c r="D77" s="100" t="str">
        <f>'PP - Data'!D151</f>
        <v/>
      </c>
      <c r="E77" s="100" t="str">
        <f>'PP - Data'!E151</f>
        <v/>
      </c>
      <c r="F77" s="100" t="str">
        <f>'PP - Data'!F151</f>
        <v/>
      </c>
      <c r="G77" s="100" t="str">
        <f>'PP - Data'!G151</f>
        <v/>
      </c>
      <c r="H77" s="100" t="str">
        <f>'PP - Data'!H151</f>
        <v/>
      </c>
      <c r="I77" s="100" t="str">
        <f>'PP - Data'!I151</f>
        <v/>
      </c>
      <c r="J77" s="100" t="str">
        <f>'PP - Data'!J151</f>
        <v/>
      </c>
      <c r="K77" s="100" t="str">
        <f>'PP - Data'!K151</f>
        <v/>
      </c>
      <c r="L77" s="100" t="str">
        <f>'PP - Data'!L151</f>
        <v/>
      </c>
      <c r="M77" s="100" t="str">
        <f>'PP - Data'!M151</f>
        <v/>
      </c>
      <c r="N77" s="100" t="str">
        <f>'PP - Data'!N151</f>
        <v/>
      </c>
      <c r="O77" s="100" t="str">
        <f>'PP - Data'!O151</f>
        <v/>
      </c>
      <c r="P77" s="100" t="str">
        <f>'PP - Data'!P151</f>
        <v/>
      </c>
      <c r="Q77" s="100" t="str">
        <f>'PP - Data'!Q151</f>
        <v/>
      </c>
      <c r="R77" s="100" t="str">
        <f>'PP - Data'!R151</f>
        <v/>
      </c>
      <c r="S77" s="100" t="str">
        <f>'PP - Data'!S151</f>
        <v/>
      </c>
      <c r="T77" s="100" t="str">
        <f>'PP - Data'!T151</f>
        <v/>
      </c>
      <c r="U77" s="100" t="str">
        <f>'PP - Data'!U151</f>
        <v/>
      </c>
      <c r="V77" s="100" t="str">
        <f>'PP - Data'!V151</f>
        <v/>
      </c>
      <c r="W77" s="100" t="str">
        <f>'PP - Data'!W151</f>
        <v/>
      </c>
      <c r="X77" s="100" t="str">
        <f>'PP - Data'!X151</f>
        <v/>
      </c>
      <c r="Y77" s="100" t="str">
        <f>'PP - Data'!Y151</f>
        <v/>
      </c>
      <c r="Z77" s="100" t="str">
        <f>'PP - Data'!Z151</f>
        <v/>
      </c>
      <c r="AA77" s="100" t="str">
        <f>'PP - Data'!AA151</f>
        <v/>
      </c>
      <c r="AB77" s="100" t="str">
        <f>'PP - Data'!AB151</f>
        <v/>
      </c>
      <c r="AC77" s="100" t="str">
        <f>'PP - Data'!AC151</f>
        <v/>
      </c>
      <c r="AD77" s="100" t="str">
        <f>'PP - Data'!AD151</f>
        <v/>
      </c>
      <c r="AE77" s="100" t="str">
        <f>'PP - Data'!AE151</f>
        <v/>
      </c>
      <c r="AF77" s="100" t="str">
        <f>'PP - Data'!AF151</f>
        <v/>
      </c>
      <c r="AG77" s="100" t="str">
        <f>'PP - Data'!AG151</f>
        <v/>
      </c>
      <c r="AH77" s="100" t="str">
        <f>'PP - Data'!AH151</f>
        <v/>
      </c>
      <c r="AI77" s="101" t="s">
        <v>21</v>
      </c>
      <c r="AJ77" s="100">
        <f>'PP - Data'!AJ151</f>
        <v>0.15</v>
      </c>
      <c r="AK77" s="100">
        <f>'PP - Data'!AK151</f>
        <v>0.1601731602</v>
      </c>
      <c r="AL77" s="100">
        <f>'PP - Data'!AL151</f>
        <v>0.15</v>
      </c>
      <c r="AM77" s="100">
        <f>'PP - Data'!AM151</f>
        <v>0.1111111111</v>
      </c>
      <c r="AN77" s="100">
        <f>'PP - Data'!AN151</f>
        <v>0.1084337349</v>
      </c>
      <c r="AO77" s="100">
        <f>'PP - Data'!AO151</f>
        <v>0.0347826087</v>
      </c>
      <c r="AP77" s="100">
        <f>'PP - Data'!AP151</f>
        <v>0.04363799955</v>
      </c>
      <c r="AQ77" s="100">
        <f>'PP - Data'!AQ151</f>
        <v>0.04395978872</v>
      </c>
      <c r="AR77" s="100">
        <f>'PP - Data'!AR151</f>
        <v>0.1258549932</v>
      </c>
      <c r="AS77" s="100">
        <f>'PP - Data'!AS151</f>
        <v>0.1007393715</v>
      </c>
      <c r="AT77" s="100">
        <f>'PP - Data'!AT151</f>
        <v>0.1258741259</v>
      </c>
      <c r="AU77" s="100">
        <f>'PP - Data'!AU151</f>
        <v>0.08146399055</v>
      </c>
      <c r="AV77" s="100">
        <f>'PP - Data'!AV151</f>
        <v>0.09034051425</v>
      </c>
      <c r="AW77" s="100">
        <f>'PP - Data'!AW151</f>
        <v>0.06841505131</v>
      </c>
      <c r="AX77" s="100">
        <f>'PP - Data'!AX151</f>
        <v>0.1157894737</v>
      </c>
      <c r="AY77" s="100">
        <f>'PP - Data'!AY151</f>
        <v>0.174863388</v>
      </c>
      <c r="AZ77" s="100">
        <f>'PP - Data'!AZ151</f>
        <v>0.119047619</v>
      </c>
      <c r="BA77" s="100">
        <f>'PP - Data'!BA151</f>
        <v>0.09489051095</v>
      </c>
      <c r="BB77" s="100">
        <f>'PP - Data'!BB151</f>
        <v>0.04109265528</v>
      </c>
      <c r="BC77" s="100">
        <f>'PP - Data'!BC151</f>
        <v>0.04012085441</v>
      </c>
      <c r="BD77" s="100">
        <f>'PP - Data'!BD151</f>
        <v>0.1263157895</v>
      </c>
      <c r="BE77" s="100">
        <f>'PP - Data'!BE151</f>
        <v>0.1101694915</v>
      </c>
      <c r="BF77" s="100">
        <f>'PP - Data'!BF151</f>
        <v>0.06724511931</v>
      </c>
      <c r="BG77" s="100">
        <f>'PP - Data'!BG151</f>
        <v>0.08113207547</v>
      </c>
      <c r="BH77" s="100">
        <f>'PP - Data'!BH151</f>
        <v>0.0920554855</v>
      </c>
      <c r="BI77" s="100" t="str">
        <f>'PP - Data'!BI151</f>
        <v/>
      </c>
      <c r="BJ77" s="100" t="str">
        <f>'PP - Data'!BJ151</f>
        <v/>
      </c>
      <c r="BK77" s="100" t="str">
        <f>'PP - Data'!BK151</f>
        <v/>
      </c>
      <c r="BL77" s="100" t="str">
        <f>'PP - Data'!BL151</f>
        <v/>
      </c>
      <c r="BM77" s="100" t="str">
        <f>'PP - Data'!BM151</f>
        <v/>
      </c>
      <c r="BN77" s="100" t="str">
        <f>'PP - Data'!BN151</f>
        <v/>
      </c>
      <c r="BO77" s="100" t="str">
        <f>'PP - Data'!BO151</f>
        <v/>
      </c>
      <c r="BP77" s="83"/>
      <c r="BQ77" s="82"/>
    </row>
    <row r="78">
      <c r="A78" s="84" t="s">
        <v>22</v>
      </c>
      <c r="B78" s="100" t="str">
        <f>'PP - Data'!B152</f>
        <v/>
      </c>
      <c r="C78" s="100" t="str">
        <f>'PP - Data'!C152</f>
        <v/>
      </c>
      <c r="D78" s="100" t="str">
        <f>'PP - Data'!D152</f>
        <v/>
      </c>
      <c r="E78" s="100" t="str">
        <f>'PP - Data'!E152</f>
        <v/>
      </c>
      <c r="F78" s="100" t="str">
        <f>'PP - Data'!F152</f>
        <v/>
      </c>
      <c r="G78" s="100" t="str">
        <f>'PP - Data'!G152</f>
        <v/>
      </c>
      <c r="H78" s="100" t="str">
        <f>'PP - Data'!H152</f>
        <v/>
      </c>
      <c r="I78" s="100" t="str">
        <f>'PP - Data'!I152</f>
        <v/>
      </c>
      <c r="J78" s="100" t="str">
        <f>'PP - Data'!J152</f>
        <v/>
      </c>
      <c r="K78" s="100" t="str">
        <f>'PP - Data'!K152</f>
        <v/>
      </c>
      <c r="L78" s="100" t="str">
        <f>'PP - Data'!L152</f>
        <v/>
      </c>
      <c r="M78" s="100" t="str">
        <f>'PP - Data'!M152</f>
        <v/>
      </c>
      <c r="N78" s="100" t="str">
        <f>'PP - Data'!N152</f>
        <v/>
      </c>
      <c r="O78" s="100" t="str">
        <f>'PP - Data'!O152</f>
        <v/>
      </c>
      <c r="P78" s="100" t="str">
        <f>'PP - Data'!P152</f>
        <v/>
      </c>
      <c r="Q78" s="100" t="str">
        <f>'PP - Data'!Q152</f>
        <v/>
      </c>
      <c r="R78" s="100" t="str">
        <f>'PP - Data'!R152</f>
        <v/>
      </c>
      <c r="S78" s="100" t="str">
        <f>'PP - Data'!S152</f>
        <v/>
      </c>
      <c r="T78" s="100" t="str">
        <f>'PP - Data'!T152</f>
        <v/>
      </c>
      <c r="U78" s="100" t="str">
        <f>'PP - Data'!U152</f>
        <v/>
      </c>
      <c r="V78" s="100" t="str">
        <f>'PP - Data'!V152</f>
        <v/>
      </c>
      <c r="W78" s="100" t="str">
        <f>'PP - Data'!W152</f>
        <v/>
      </c>
      <c r="X78" s="100" t="str">
        <f>'PP - Data'!X152</f>
        <v/>
      </c>
      <c r="Y78" s="100" t="str">
        <f>'PP - Data'!Y152</f>
        <v/>
      </c>
      <c r="Z78" s="100" t="str">
        <f>'PP - Data'!Z152</f>
        <v/>
      </c>
      <c r="AA78" s="100" t="str">
        <f>'PP - Data'!AA152</f>
        <v/>
      </c>
      <c r="AB78" s="100" t="str">
        <f>'PP - Data'!AB152</f>
        <v/>
      </c>
      <c r="AC78" s="100" t="str">
        <f>'PP - Data'!AC152</f>
        <v/>
      </c>
      <c r="AD78" s="100" t="str">
        <f>'PP - Data'!AD152</f>
        <v/>
      </c>
      <c r="AE78" s="100" t="str">
        <f>'PP - Data'!AE152</f>
        <v/>
      </c>
      <c r="AF78" s="100" t="str">
        <f>'PP - Data'!AF152</f>
        <v/>
      </c>
      <c r="AG78" s="100" t="str">
        <f>'PP - Data'!AG152</f>
        <v/>
      </c>
      <c r="AH78" s="100" t="str">
        <f>'PP - Data'!AH152</f>
        <v/>
      </c>
      <c r="AI78" s="101" t="s">
        <v>22</v>
      </c>
      <c r="AJ78" s="100">
        <f>'PP - Data'!AJ152</f>
        <v>0.08666666667</v>
      </c>
      <c r="AK78" s="100">
        <f>'PP - Data'!AK152</f>
        <v>0.09090909091</v>
      </c>
      <c r="AL78" s="100">
        <f>'PP - Data'!AL152</f>
        <v>0.08333333333</v>
      </c>
      <c r="AM78" s="100">
        <f>'PP - Data'!AM152</f>
        <v>0.1296296296</v>
      </c>
      <c r="AN78" s="100">
        <f>'PP - Data'!AN152</f>
        <v>0.1325301205</v>
      </c>
      <c r="AO78" s="100">
        <f>'PP - Data'!AO152</f>
        <v>0.1086956522</v>
      </c>
      <c r="AP78" s="100">
        <f>'PP - Data'!AP152</f>
        <v>0.08757591662</v>
      </c>
      <c r="AQ78" s="100">
        <f>'PP - Data'!AQ152</f>
        <v>0.09277560061</v>
      </c>
      <c r="AR78" s="100">
        <f>'PP - Data'!AR152</f>
        <v>0.1135430917</v>
      </c>
      <c r="AS78" s="100">
        <f>'PP - Data'!AS152</f>
        <v>0.123844732</v>
      </c>
      <c r="AT78" s="100">
        <f>'PP - Data'!AT152</f>
        <v>0.1146853147</v>
      </c>
      <c r="AU78" s="100">
        <f>'PP - Data'!AU152</f>
        <v>0.09799291617</v>
      </c>
      <c r="AV78" s="100">
        <f>'PP - Data'!AV152</f>
        <v>0.09728978457</v>
      </c>
      <c r="AW78" s="100">
        <f>'PP - Data'!AW152</f>
        <v>0.1037628278</v>
      </c>
      <c r="AX78" s="100">
        <f>'PP - Data'!AX152</f>
        <v>0.1263157895</v>
      </c>
      <c r="AY78" s="100">
        <f>'PP - Data'!AY152</f>
        <v>0.1092896175</v>
      </c>
      <c r="AZ78" s="100">
        <f>'PP - Data'!AZ152</f>
        <v>0.1507936508</v>
      </c>
      <c r="BA78" s="100">
        <f>'PP - Data'!BA152</f>
        <v>0.1678832117</v>
      </c>
      <c r="BB78" s="100">
        <f>'PP - Data'!BB152</f>
        <v>0.09493820357</v>
      </c>
      <c r="BC78" s="100">
        <f>'PP - Data'!BC152</f>
        <v>0.09998594716</v>
      </c>
      <c r="BD78" s="100">
        <f>'PP - Data'!BD152</f>
        <v>0.1289473684</v>
      </c>
      <c r="BE78" s="100">
        <f>'PP - Data'!BE152</f>
        <v>0.1214689266</v>
      </c>
      <c r="BF78" s="100">
        <f>'PP - Data'!BF152</f>
        <v>0.1323210412</v>
      </c>
      <c r="BG78" s="100">
        <f>'PP - Data'!BG152</f>
        <v>0.1</v>
      </c>
      <c r="BH78" s="100">
        <f>'PP - Data'!BH152</f>
        <v>0.1097099622</v>
      </c>
      <c r="BI78" s="100" t="str">
        <f>'PP - Data'!BI152</f>
        <v/>
      </c>
      <c r="BJ78" s="100" t="str">
        <f>'PP - Data'!BJ152</f>
        <v/>
      </c>
      <c r="BK78" s="100" t="str">
        <f>'PP - Data'!BK152</f>
        <v/>
      </c>
      <c r="BL78" s="100" t="str">
        <f>'PP - Data'!BL152</f>
        <v/>
      </c>
      <c r="BM78" s="100" t="str">
        <f>'PP - Data'!BM152</f>
        <v/>
      </c>
      <c r="BN78" s="100" t="str">
        <f>'PP - Data'!BN152</f>
        <v/>
      </c>
      <c r="BO78" s="100" t="str">
        <f>'PP - Data'!BO152</f>
        <v/>
      </c>
      <c r="BP78" s="83"/>
      <c r="BQ78" s="82"/>
    </row>
    <row r="79" ht="42.75" customHeight="1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O79" s="141"/>
      <c r="AP79" s="141"/>
      <c r="AQ79" s="141"/>
      <c r="AR79" s="141"/>
      <c r="AS79" s="141"/>
      <c r="AT79" s="141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  <c r="BE79" s="141"/>
      <c r="BF79" s="141"/>
      <c r="BG79" s="141"/>
      <c r="BH79" s="141"/>
      <c r="BI79" s="141"/>
      <c r="BJ79" s="141"/>
      <c r="BK79" s="141"/>
      <c r="BL79" s="141"/>
      <c r="BM79" s="141"/>
      <c r="BN79" s="141"/>
      <c r="BO79" s="141"/>
      <c r="BP79" s="142"/>
      <c r="BQ79" s="142"/>
    </row>
    <row r="80">
      <c r="A80" s="131" t="s">
        <v>54</v>
      </c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2"/>
      <c r="BK80" s="132"/>
      <c r="BL80" s="132"/>
      <c r="BM80" s="132"/>
      <c r="BN80" s="132"/>
      <c r="BO80" s="132"/>
      <c r="BP80" s="82"/>
      <c r="BQ80" s="82"/>
    </row>
    <row r="81"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2"/>
      <c r="BK81" s="132"/>
      <c r="BL81" s="132"/>
      <c r="BM81" s="132"/>
      <c r="BN81" s="132"/>
      <c r="BO81" s="132"/>
      <c r="BP81" s="82"/>
      <c r="BQ81" s="82"/>
    </row>
    <row r="82">
      <c r="A82" s="72" t="s">
        <v>29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81"/>
      <c r="BQ82" s="82"/>
    </row>
    <row r="83">
      <c r="A83" s="78" t="s">
        <v>25</v>
      </c>
      <c r="B83" s="100" t="str">
        <f>'PP - Data'!B163</f>
        <v/>
      </c>
      <c r="C83" s="100" t="str">
        <f>'PP - Data'!C163</f>
        <v/>
      </c>
      <c r="D83" s="100" t="str">
        <f>'PP - Data'!D163</f>
        <v/>
      </c>
      <c r="E83" s="100" t="str">
        <f>'PP - Data'!E163</f>
        <v/>
      </c>
      <c r="F83" s="100" t="str">
        <f>'PP - Data'!F163</f>
        <v/>
      </c>
      <c r="G83" s="100" t="str">
        <f>'PP - Data'!G163</f>
        <v/>
      </c>
      <c r="H83" s="100" t="str">
        <f>'PP - Data'!H163</f>
        <v/>
      </c>
      <c r="I83" s="100" t="str">
        <f>'PP - Data'!I163</f>
        <v/>
      </c>
      <c r="J83" s="100" t="str">
        <f>'PP - Data'!J163</f>
        <v/>
      </c>
      <c r="K83" s="100" t="str">
        <f>'PP - Data'!K163</f>
        <v/>
      </c>
      <c r="L83" s="100" t="str">
        <f>'PP - Data'!L163</f>
        <v/>
      </c>
      <c r="M83" s="100" t="str">
        <f>'PP - Data'!M163</f>
        <v/>
      </c>
      <c r="N83" s="100" t="str">
        <f>'PP - Data'!N163</f>
        <v/>
      </c>
      <c r="O83" s="100" t="str">
        <f>'PP - Data'!O163</f>
        <v/>
      </c>
      <c r="P83" s="100" t="str">
        <f>'PP - Data'!P163</f>
        <v/>
      </c>
      <c r="Q83" s="100" t="str">
        <f>'PP - Data'!Q163</f>
        <v/>
      </c>
      <c r="R83" s="100" t="str">
        <f>'PP - Data'!R163</f>
        <v/>
      </c>
      <c r="S83" s="100" t="str">
        <f>'PP - Data'!S163</f>
        <v/>
      </c>
      <c r="T83" s="100" t="str">
        <f>'PP - Data'!T163</f>
        <v/>
      </c>
      <c r="U83" s="100" t="str">
        <f>'PP - Data'!U163</f>
        <v/>
      </c>
      <c r="V83" s="100" t="str">
        <f>'PP - Data'!V163</f>
        <v/>
      </c>
      <c r="W83" s="100" t="str">
        <f>'PP - Data'!W163</f>
        <v/>
      </c>
      <c r="X83" s="100" t="str">
        <f>'PP - Data'!X163</f>
        <v/>
      </c>
      <c r="Y83" s="100" t="str">
        <f>'PP - Data'!Y163</f>
        <v/>
      </c>
      <c r="Z83" s="100" t="str">
        <f>'PP - Data'!Z163</f>
        <v/>
      </c>
      <c r="AA83" s="100" t="str">
        <f>'PP - Data'!AA163</f>
        <v/>
      </c>
      <c r="AB83" s="100" t="str">
        <f>'PP - Data'!AB163</f>
        <v/>
      </c>
      <c r="AC83" s="100" t="str">
        <f>'PP - Data'!AC163</f>
        <v/>
      </c>
      <c r="AD83" s="100" t="str">
        <f>'PP - Data'!AD163</f>
        <v/>
      </c>
      <c r="AE83" s="100" t="str">
        <f>'PP - Data'!AE163</f>
        <v/>
      </c>
      <c r="AF83" s="100" t="str">
        <f>'PP - Data'!AF163</f>
        <v/>
      </c>
      <c r="AG83" s="100" t="str">
        <f>'PP - Data'!AG163</f>
        <v/>
      </c>
      <c r="AH83" s="100" t="str">
        <f>'PP - Data'!AH163</f>
        <v/>
      </c>
      <c r="AI83" s="101" t="s">
        <v>25</v>
      </c>
      <c r="AJ83" s="100">
        <f>'PP - Data'!AJ163</f>
        <v>0.2591575092</v>
      </c>
      <c r="AK83" s="100">
        <f>'PP - Data'!AK163</f>
        <v>0.2701252236</v>
      </c>
      <c r="AL83" s="100">
        <f>'PP - Data'!AL163</f>
        <v>0.3423566879</v>
      </c>
      <c r="AM83" s="100">
        <f>'PP - Data'!AM163</f>
        <v>0.3228070175</v>
      </c>
      <c r="AN83" s="100">
        <f>'PP - Data'!AN163</f>
        <v>0.4109589041</v>
      </c>
      <c r="AO83" s="100">
        <f>'PP - Data'!AO163</f>
        <v>0.3824451411</v>
      </c>
      <c r="AP83" s="100">
        <f>'PP - Data'!AP163</f>
        <v>0.1891397193</v>
      </c>
      <c r="AQ83" s="100">
        <f>'PP - Data'!AQ163</f>
        <v>0.2262164125</v>
      </c>
      <c r="AR83" s="100">
        <f>'PP - Data'!AR163</f>
        <v>0.3529829545</v>
      </c>
      <c r="AS83" s="100">
        <f>'PP - Data'!AS163</f>
        <v>0.3214285714</v>
      </c>
      <c r="AT83" s="100">
        <f>'PP - Data'!AT163</f>
        <v>0.3248317393</v>
      </c>
      <c r="AU83" s="100">
        <f>'PP - Data'!AU163</f>
        <v>0.2938388626</v>
      </c>
      <c r="AV83" s="100">
        <f>'PP - Data'!AV163</f>
        <v>0.2890551918</v>
      </c>
      <c r="AW83" s="100">
        <f>'PP - Data'!AW163</f>
        <v>0.3044719315</v>
      </c>
      <c r="AX83" s="100">
        <f>'PP - Data'!AX163</f>
        <v>0.371559633</v>
      </c>
      <c r="AY83" s="100">
        <f>'PP - Data'!AY163</f>
        <v>0.3299856528</v>
      </c>
      <c r="AZ83" s="100">
        <f>'PP - Data'!AZ163</f>
        <v>0.06695938529</v>
      </c>
      <c r="BA83" s="100">
        <f>'PP - Data'!BA163</f>
        <v>0.04672897196</v>
      </c>
      <c r="BB83" s="100">
        <f>'PP - Data'!BB163</f>
        <v>0.01776061776</v>
      </c>
      <c r="BC83" s="100">
        <f>'PP - Data'!BC163</f>
        <v>0.0316344464</v>
      </c>
      <c r="BD83" s="100">
        <f>'PP - Data'!BD163</f>
        <v>0.02662721893</v>
      </c>
      <c r="BE83" s="100">
        <f>'PP - Data'!BE163</f>
        <v>0.05111821086</v>
      </c>
      <c r="BF83" s="100">
        <f>'PP - Data'!BF163</f>
        <v>0.05057803468</v>
      </c>
      <c r="BG83" s="100">
        <f>'PP - Data'!BG163</f>
        <v>0.03179190751</v>
      </c>
      <c r="BH83" s="100">
        <f>'PP - Data'!BH163</f>
        <v>0.03568161025</v>
      </c>
      <c r="BI83" s="100" t="str">
        <f>'PP - Data'!BI163</f>
        <v/>
      </c>
      <c r="BJ83" s="100" t="str">
        <f>'PP - Data'!BJ163</f>
        <v/>
      </c>
      <c r="BK83" s="100" t="str">
        <f>'PP - Data'!BK163</f>
        <v/>
      </c>
      <c r="BL83" s="100" t="str">
        <f>'PP - Data'!BL163</f>
        <v/>
      </c>
      <c r="BM83" s="100" t="str">
        <f>'PP - Data'!BM163</f>
        <v/>
      </c>
      <c r="BN83" s="100" t="str">
        <f>'PP - Data'!BN163</f>
        <v/>
      </c>
      <c r="BO83" s="100" t="str">
        <f>'PP - Data'!BO163</f>
        <v/>
      </c>
      <c r="BP83" s="81"/>
      <c r="BQ83" s="82"/>
    </row>
    <row r="84">
      <c r="A84" s="78" t="s">
        <v>26</v>
      </c>
      <c r="B84" s="100" t="str">
        <f>'PP - Data'!B164</f>
        <v/>
      </c>
      <c r="C84" s="100" t="str">
        <f>'PP - Data'!C164</f>
        <v/>
      </c>
      <c r="D84" s="100" t="str">
        <f>'PP - Data'!D164</f>
        <v/>
      </c>
      <c r="E84" s="100" t="str">
        <f>'PP - Data'!E164</f>
        <v/>
      </c>
      <c r="F84" s="100" t="str">
        <f>'PP - Data'!F164</f>
        <v/>
      </c>
      <c r="G84" s="100" t="str">
        <f>'PP - Data'!G164</f>
        <v/>
      </c>
      <c r="H84" s="100" t="str">
        <f>'PP - Data'!H164</f>
        <v/>
      </c>
      <c r="I84" s="100" t="str">
        <f>'PP - Data'!I164</f>
        <v/>
      </c>
      <c r="J84" s="100" t="str">
        <f>'PP - Data'!J164</f>
        <v/>
      </c>
      <c r="K84" s="100" t="str">
        <f>'PP - Data'!K164</f>
        <v/>
      </c>
      <c r="L84" s="100" t="str">
        <f>'PP - Data'!L164</f>
        <v/>
      </c>
      <c r="M84" s="100" t="str">
        <f>'PP - Data'!M164</f>
        <v/>
      </c>
      <c r="N84" s="100" t="str">
        <f>'PP - Data'!N164</f>
        <v/>
      </c>
      <c r="O84" s="100" t="str">
        <f>'PP - Data'!O164</f>
        <v/>
      </c>
      <c r="P84" s="100" t="str">
        <f>'PP - Data'!P164</f>
        <v/>
      </c>
      <c r="Q84" s="100" t="str">
        <f>'PP - Data'!Q164</f>
        <v/>
      </c>
      <c r="R84" s="100" t="str">
        <f>'PP - Data'!R164</f>
        <v/>
      </c>
      <c r="S84" s="100" t="str">
        <f>'PP - Data'!S164</f>
        <v/>
      </c>
      <c r="T84" s="100" t="str">
        <f>'PP - Data'!T164</f>
        <v/>
      </c>
      <c r="U84" s="100" t="str">
        <f>'PP - Data'!U164</f>
        <v/>
      </c>
      <c r="V84" s="100" t="str">
        <f>'PP - Data'!V164</f>
        <v/>
      </c>
      <c r="W84" s="100" t="str">
        <f>'PP - Data'!W164</f>
        <v/>
      </c>
      <c r="X84" s="100" t="str">
        <f>'PP - Data'!X164</f>
        <v/>
      </c>
      <c r="Y84" s="100" t="str">
        <f>'PP - Data'!Y164</f>
        <v/>
      </c>
      <c r="Z84" s="100" t="str">
        <f>'PP - Data'!Z164</f>
        <v/>
      </c>
      <c r="AA84" s="100" t="str">
        <f>'PP - Data'!AA164</f>
        <v/>
      </c>
      <c r="AB84" s="100" t="str">
        <f>'PP - Data'!AB164</f>
        <v/>
      </c>
      <c r="AC84" s="100" t="str">
        <f>'PP - Data'!AC164</f>
        <v/>
      </c>
      <c r="AD84" s="100" t="str">
        <f>'PP - Data'!AD164</f>
        <v/>
      </c>
      <c r="AE84" s="100" t="str">
        <f>'PP - Data'!AE164</f>
        <v/>
      </c>
      <c r="AF84" s="100" t="str">
        <f>'PP - Data'!AF164</f>
        <v/>
      </c>
      <c r="AG84" s="100" t="str">
        <f>'PP - Data'!AG164</f>
        <v/>
      </c>
      <c r="AH84" s="100" t="str">
        <f>'PP - Data'!AH164</f>
        <v/>
      </c>
      <c r="AI84" s="101" t="s">
        <v>26</v>
      </c>
      <c r="AJ84" s="100">
        <f>'PP - Data'!AJ164</f>
        <v>0.3342490842</v>
      </c>
      <c r="AK84" s="100">
        <f>'PP - Data'!AK164</f>
        <v>0.2432915921</v>
      </c>
      <c r="AL84" s="100">
        <f>'PP - Data'!AL164</f>
        <v>0.1098726115</v>
      </c>
      <c r="AM84" s="100">
        <f>'PP - Data'!AM164</f>
        <v>0.1245614035</v>
      </c>
      <c r="AN84" s="100">
        <f>'PP - Data'!AN164</f>
        <v>0.100456621</v>
      </c>
      <c r="AO84" s="100">
        <f>'PP - Data'!AO164</f>
        <v>0.06269592476</v>
      </c>
      <c r="AP84" s="100">
        <f>'PP - Data'!AP164</f>
        <v>0.2928615009</v>
      </c>
      <c r="AQ84" s="100">
        <f>'PP - Data'!AQ164</f>
        <v>0.2581699346</v>
      </c>
      <c r="AR84" s="100">
        <f>'PP - Data'!AR164</f>
        <v>0.1086647727</v>
      </c>
      <c r="AS84" s="100">
        <f>'PP - Data'!AS164</f>
        <v>0.107718894</v>
      </c>
      <c r="AT84" s="100">
        <f>'PP - Data'!AT164</f>
        <v>0.08784980517</v>
      </c>
      <c r="AU84" s="100">
        <f>'PP - Data'!AU164</f>
        <v>0.1619273302</v>
      </c>
      <c r="AV84" s="100">
        <f>'PP - Data'!AV164</f>
        <v>0.1828811974</v>
      </c>
      <c r="AW84" s="100">
        <f>'PP - Data'!AW164</f>
        <v>0.1874405328</v>
      </c>
      <c r="AX84" s="100">
        <f>'PP - Data'!AX164</f>
        <v>0.1009174312</v>
      </c>
      <c r="AY84" s="100">
        <f>'PP - Data'!AY164</f>
        <v>0.1047345768</v>
      </c>
      <c r="AZ84" s="100">
        <f>'PP - Data'!AZ164</f>
        <v>0.2008781559</v>
      </c>
      <c r="BA84" s="100">
        <f>'PP - Data'!BA164</f>
        <v>0.2710280374</v>
      </c>
      <c r="BB84" s="100">
        <f>'PP - Data'!BB164</f>
        <v>0.4092664093</v>
      </c>
      <c r="BC84" s="100">
        <f>'PP - Data'!BC164</f>
        <v>0.3936731107</v>
      </c>
      <c r="BD84" s="100">
        <f>'PP - Data'!BD164</f>
        <v>0.3106508876</v>
      </c>
      <c r="BE84" s="100">
        <f>'PP - Data'!BE164</f>
        <v>0.2428115016</v>
      </c>
      <c r="BF84" s="100">
        <f>'PP - Data'!BF164</f>
        <v>0.2543352601</v>
      </c>
      <c r="BG84" s="100">
        <f>'PP - Data'!BG164</f>
        <v>0.3304431599</v>
      </c>
      <c r="BH84" s="100">
        <f>'PP - Data'!BH164</f>
        <v>0.2909423605</v>
      </c>
      <c r="BI84" s="100" t="str">
        <f>'PP - Data'!BI164</f>
        <v/>
      </c>
      <c r="BJ84" s="100" t="str">
        <f>'PP - Data'!BJ164</f>
        <v/>
      </c>
      <c r="BK84" s="100" t="str">
        <f>'PP - Data'!BK164</f>
        <v/>
      </c>
      <c r="BL84" s="100" t="str">
        <f>'PP - Data'!BL164</f>
        <v/>
      </c>
      <c r="BM84" s="100" t="str">
        <f>'PP - Data'!BM164</f>
        <v/>
      </c>
      <c r="BN84" s="100" t="str">
        <f>'PP - Data'!BN164</f>
        <v/>
      </c>
      <c r="BO84" s="100" t="str">
        <f>'PP - Data'!BO164</f>
        <v/>
      </c>
      <c r="BP84" s="81"/>
      <c r="BQ84" s="82"/>
    </row>
    <row r="85">
      <c r="A85" s="78" t="s">
        <v>27</v>
      </c>
      <c r="B85" s="100" t="str">
        <f>'PP - Data'!B165</f>
        <v/>
      </c>
      <c r="C85" s="100" t="str">
        <f>'PP - Data'!C165</f>
        <v/>
      </c>
      <c r="D85" s="100" t="str">
        <f>'PP - Data'!D165</f>
        <v/>
      </c>
      <c r="E85" s="100" t="str">
        <f>'PP - Data'!E165</f>
        <v/>
      </c>
      <c r="F85" s="100" t="str">
        <f>'PP - Data'!F165</f>
        <v/>
      </c>
      <c r="G85" s="100" t="str">
        <f>'PP - Data'!G165</f>
        <v/>
      </c>
      <c r="H85" s="100" t="str">
        <f>'PP - Data'!H165</f>
        <v/>
      </c>
      <c r="I85" s="100" t="str">
        <f>'PP - Data'!I165</f>
        <v/>
      </c>
      <c r="J85" s="100" t="str">
        <f>'PP - Data'!J165</f>
        <v/>
      </c>
      <c r="K85" s="100" t="str">
        <f>'PP - Data'!K165</f>
        <v/>
      </c>
      <c r="L85" s="100" t="str">
        <f>'PP - Data'!L165</f>
        <v/>
      </c>
      <c r="M85" s="100" t="str">
        <f>'PP - Data'!M165</f>
        <v/>
      </c>
      <c r="N85" s="100" t="str">
        <f>'PP - Data'!N165</f>
        <v/>
      </c>
      <c r="O85" s="100" t="str">
        <f>'PP - Data'!O165</f>
        <v/>
      </c>
      <c r="P85" s="100" t="str">
        <f>'PP - Data'!P165</f>
        <v/>
      </c>
      <c r="Q85" s="100" t="str">
        <f>'PP - Data'!Q165</f>
        <v/>
      </c>
      <c r="R85" s="100" t="str">
        <f>'PP - Data'!R165</f>
        <v/>
      </c>
      <c r="S85" s="100" t="str">
        <f>'PP - Data'!S165</f>
        <v/>
      </c>
      <c r="T85" s="100" t="str">
        <f>'PP - Data'!T165</f>
        <v/>
      </c>
      <c r="U85" s="100" t="str">
        <f>'PP - Data'!U165</f>
        <v/>
      </c>
      <c r="V85" s="100" t="str">
        <f>'PP - Data'!V165</f>
        <v/>
      </c>
      <c r="W85" s="100" t="str">
        <f>'PP - Data'!W165</f>
        <v/>
      </c>
      <c r="X85" s="100" t="str">
        <f>'PP - Data'!X165</f>
        <v/>
      </c>
      <c r="Y85" s="100" t="str">
        <f>'PP - Data'!Y165</f>
        <v/>
      </c>
      <c r="Z85" s="100" t="str">
        <f>'PP - Data'!Z165</f>
        <v/>
      </c>
      <c r="AA85" s="100" t="str">
        <f>'PP - Data'!AA165</f>
        <v/>
      </c>
      <c r="AB85" s="100" t="str">
        <f>'PP - Data'!AB165</f>
        <v/>
      </c>
      <c r="AC85" s="100" t="str">
        <f>'PP - Data'!AC165</f>
        <v/>
      </c>
      <c r="AD85" s="100" t="str">
        <f>'PP - Data'!AD165</f>
        <v/>
      </c>
      <c r="AE85" s="100" t="str">
        <f>'PP - Data'!AE165</f>
        <v/>
      </c>
      <c r="AF85" s="100" t="str">
        <f>'PP - Data'!AF165</f>
        <v/>
      </c>
      <c r="AG85" s="100" t="str">
        <f>'PP - Data'!AG165</f>
        <v/>
      </c>
      <c r="AH85" s="100" t="str">
        <f>'PP - Data'!AH165</f>
        <v/>
      </c>
      <c r="AI85" s="101" t="s">
        <v>27</v>
      </c>
      <c r="AJ85" s="100">
        <f>'PP - Data'!AJ165</f>
        <v>0.1565934066</v>
      </c>
      <c r="AK85" s="100">
        <f>'PP - Data'!AK165</f>
        <v>0.137745975</v>
      </c>
      <c r="AL85" s="100">
        <f>'PP - Data'!AL165</f>
        <v>0.1242038217</v>
      </c>
      <c r="AM85" s="100">
        <f>'PP - Data'!AM165</f>
        <v>0.1315789474</v>
      </c>
      <c r="AN85" s="100">
        <f>'PP - Data'!AN165</f>
        <v>0.1232876712</v>
      </c>
      <c r="AO85" s="100">
        <f>'PP - Data'!AO165</f>
        <v>0.1536050157</v>
      </c>
      <c r="AP85" s="100">
        <f>'PP - Data'!AP165</f>
        <v>0.1989017694</v>
      </c>
      <c r="AQ85" s="100">
        <f>'PP - Data'!AQ165</f>
        <v>0.197167756</v>
      </c>
      <c r="AR85" s="100">
        <f>'PP - Data'!AR165</f>
        <v>0.1498579545</v>
      </c>
      <c r="AS85" s="100">
        <f>'PP - Data'!AS165</f>
        <v>0.1947004608</v>
      </c>
      <c r="AT85" s="100">
        <f>'PP - Data'!AT165</f>
        <v>0.1912858661</v>
      </c>
      <c r="AU85" s="100">
        <f>'PP - Data'!AU165</f>
        <v>0.1990521327</v>
      </c>
      <c r="AV85" s="100">
        <f>'PP - Data'!AV165</f>
        <v>0.2132834425</v>
      </c>
      <c r="AW85" s="100">
        <f>'PP - Data'!AW165</f>
        <v>0.1693625119</v>
      </c>
      <c r="AX85" s="100">
        <f>'PP - Data'!AX165</f>
        <v>0.1360856269</v>
      </c>
      <c r="AY85" s="100">
        <f>'PP - Data'!AY165</f>
        <v>0.1535150646</v>
      </c>
      <c r="AZ85" s="100">
        <f>'PP - Data'!AZ165</f>
        <v>0.4324917673</v>
      </c>
      <c r="BA85" s="100">
        <f>'PP - Data'!BA165</f>
        <v>0.3831775701</v>
      </c>
      <c r="BB85" s="100">
        <f>'PP - Data'!BB165</f>
        <v>0.2640926641</v>
      </c>
      <c r="BC85" s="100">
        <f>'PP - Data'!BC165</f>
        <v>0.2893966022</v>
      </c>
      <c r="BD85" s="100">
        <f>'PP - Data'!BD165</f>
        <v>0.2721893491</v>
      </c>
      <c r="BE85" s="100">
        <f>'PP - Data'!BE165</f>
        <v>0.4185303514</v>
      </c>
      <c r="BF85" s="100">
        <f>'PP - Data'!BF165</f>
        <v>0.426300578</v>
      </c>
      <c r="BG85" s="100">
        <f>'PP - Data'!BG165</f>
        <v>0.3901734104</v>
      </c>
      <c r="BH85" s="100">
        <f>'PP - Data'!BH165</f>
        <v>0.4428179323</v>
      </c>
      <c r="BI85" s="100" t="str">
        <f>'PP - Data'!BI165</f>
        <v/>
      </c>
      <c r="BJ85" s="100" t="str">
        <f>'PP - Data'!BJ165</f>
        <v/>
      </c>
      <c r="BK85" s="100" t="str">
        <f>'PP - Data'!BK165</f>
        <v/>
      </c>
      <c r="BL85" s="100" t="str">
        <f>'PP - Data'!BL165</f>
        <v/>
      </c>
      <c r="BM85" s="100" t="str">
        <f>'PP - Data'!BM165</f>
        <v/>
      </c>
      <c r="BN85" s="100" t="str">
        <f>'PP - Data'!BN165</f>
        <v/>
      </c>
      <c r="BO85" s="100" t="str">
        <f>'PP - Data'!BO165</f>
        <v/>
      </c>
      <c r="BP85" s="81"/>
      <c r="BQ85" s="82"/>
    </row>
    <row r="86">
      <c r="A86" s="78" t="s">
        <v>28</v>
      </c>
      <c r="B86" s="100" t="str">
        <f>'PP - Data'!B166</f>
        <v/>
      </c>
      <c r="C86" s="100" t="str">
        <f>'PP - Data'!C166</f>
        <v/>
      </c>
      <c r="D86" s="100" t="str">
        <f>'PP - Data'!D166</f>
        <v/>
      </c>
      <c r="E86" s="100" t="str">
        <f>'PP - Data'!E166</f>
        <v/>
      </c>
      <c r="F86" s="100" t="str">
        <f>'PP - Data'!F166</f>
        <v/>
      </c>
      <c r="G86" s="100" t="str">
        <f>'PP - Data'!G166</f>
        <v/>
      </c>
      <c r="H86" s="100" t="str">
        <f>'PP - Data'!H166</f>
        <v/>
      </c>
      <c r="I86" s="100" t="str">
        <f>'PP - Data'!I166</f>
        <v/>
      </c>
      <c r="J86" s="100" t="str">
        <f>'PP - Data'!J166</f>
        <v/>
      </c>
      <c r="K86" s="100" t="str">
        <f>'PP - Data'!K166</f>
        <v/>
      </c>
      <c r="L86" s="100" t="str">
        <f>'PP - Data'!L166</f>
        <v/>
      </c>
      <c r="M86" s="100" t="str">
        <f>'PP - Data'!M166</f>
        <v/>
      </c>
      <c r="N86" s="100" t="str">
        <f>'PP - Data'!N166</f>
        <v/>
      </c>
      <c r="O86" s="100" t="str">
        <f>'PP - Data'!O166</f>
        <v/>
      </c>
      <c r="P86" s="100" t="str">
        <f>'PP - Data'!P166</f>
        <v/>
      </c>
      <c r="Q86" s="100" t="str">
        <f>'PP - Data'!Q166</f>
        <v/>
      </c>
      <c r="R86" s="100" t="str">
        <f>'PP - Data'!R166</f>
        <v/>
      </c>
      <c r="S86" s="100" t="str">
        <f>'PP - Data'!S166</f>
        <v/>
      </c>
      <c r="T86" s="100" t="str">
        <f>'PP - Data'!T166</f>
        <v/>
      </c>
      <c r="U86" s="100" t="str">
        <f>'PP - Data'!U166</f>
        <v/>
      </c>
      <c r="V86" s="100" t="str">
        <f>'PP - Data'!V166</f>
        <v/>
      </c>
      <c r="W86" s="100" t="str">
        <f>'PP - Data'!W166</f>
        <v/>
      </c>
      <c r="X86" s="100" t="str">
        <f>'PP - Data'!X166</f>
        <v/>
      </c>
      <c r="Y86" s="100" t="str">
        <f>'PP - Data'!Y166</f>
        <v/>
      </c>
      <c r="Z86" s="100" t="str">
        <f>'PP - Data'!Z166</f>
        <v/>
      </c>
      <c r="AA86" s="100" t="str">
        <f>'PP - Data'!AA166</f>
        <v/>
      </c>
      <c r="AB86" s="100" t="str">
        <f>'PP - Data'!AB166</f>
        <v/>
      </c>
      <c r="AC86" s="100" t="str">
        <f>'PP - Data'!AC166</f>
        <v/>
      </c>
      <c r="AD86" s="100" t="str">
        <f>'PP - Data'!AD166</f>
        <v/>
      </c>
      <c r="AE86" s="100" t="str">
        <f>'PP - Data'!AE166</f>
        <v/>
      </c>
      <c r="AF86" s="100" t="str">
        <f>'PP - Data'!AF166</f>
        <v/>
      </c>
      <c r="AG86" s="100" t="str">
        <f>'PP - Data'!AG166</f>
        <v/>
      </c>
      <c r="AH86" s="100" t="str">
        <f>'PP - Data'!AH166</f>
        <v/>
      </c>
      <c r="AI86" s="101" t="s">
        <v>28</v>
      </c>
      <c r="AJ86" s="100">
        <f>'PP - Data'!AJ166</f>
        <v>0.25</v>
      </c>
      <c r="AK86" s="100">
        <f>'PP - Data'!AK166</f>
        <v>0.3488372093</v>
      </c>
      <c r="AL86" s="100">
        <f>'PP - Data'!AL166</f>
        <v>0.423566879</v>
      </c>
      <c r="AM86" s="100">
        <f>'PP - Data'!AM166</f>
        <v>0.4210526316</v>
      </c>
      <c r="AN86" s="100">
        <f>'PP - Data'!AN166</f>
        <v>0.3652968037</v>
      </c>
      <c r="AO86" s="100">
        <f>'PP - Data'!AO166</f>
        <v>0.4012539185</v>
      </c>
      <c r="AP86" s="100">
        <f>'PP - Data'!AP166</f>
        <v>0.3190970104</v>
      </c>
      <c r="AQ86" s="100">
        <f>'PP - Data'!AQ166</f>
        <v>0.3184458969</v>
      </c>
      <c r="AR86" s="100">
        <f>'PP - Data'!AR166</f>
        <v>0.3884943182</v>
      </c>
      <c r="AS86" s="100">
        <f>'PP - Data'!AS166</f>
        <v>0.3761520737</v>
      </c>
      <c r="AT86" s="100">
        <f>'PP - Data'!AT166</f>
        <v>0.3960325894</v>
      </c>
      <c r="AU86" s="100">
        <f>'PP - Data'!AU166</f>
        <v>0.3451816746</v>
      </c>
      <c r="AV86" s="100">
        <f>'PP - Data'!AV166</f>
        <v>0.3147801684</v>
      </c>
      <c r="AW86" s="100">
        <f>'PP - Data'!AW166</f>
        <v>0.3387250238</v>
      </c>
      <c r="AX86" s="100">
        <f>'PP - Data'!AX166</f>
        <v>0.3914373089</v>
      </c>
      <c r="AY86" s="100">
        <f>'PP - Data'!AY166</f>
        <v>0.4117647059</v>
      </c>
      <c r="AZ86" s="100">
        <f>'PP - Data'!AZ166</f>
        <v>0.2996706915</v>
      </c>
      <c r="BA86" s="100">
        <f>'PP - Data'!BA166</f>
        <v>0.2990654206</v>
      </c>
      <c r="BB86" s="100">
        <f>'PP - Data'!BB166</f>
        <v>0.3088803089</v>
      </c>
      <c r="BC86" s="100">
        <f>'PP - Data'!BC166</f>
        <v>0.2852958407</v>
      </c>
      <c r="BD86" s="100">
        <f>'PP - Data'!BD166</f>
        <v>0.3905325444</v>
      </c>
      <c r="BE86" s="100">
        <f>'PP - Data'!BE166</f>
        <v>0.2875399361</v>
      </c>
      <c r="BF86" s="100">
        <f>'PP - Data'!BF166</f>
        <v>0.2687861272</v>
      </c>
      <c r="BG86" s="100">
        <f>'PP - Data'!BG166</f>
        <v>0.2475915222</v>
      </c>
      <c r="BH86" s="100">
        <f>'PP - Data'!BH166</f>
        <v>0.230558097</v>
      </c>
      <c r="BI86" s="100" t="str">
        <f>'PP - Data'!BI166</f>
        <v/>
      </c>
      <c r="BJ86" s="100" t="str">
        <f>'PP - Data'!BJ166</f>
        <v/>
      </c>
      <c r="BK86" s="100" t="str">
        <f>'PP - Data'!BK166</f>
        <v/>
      </c>
      <c r="BL86" s="100" t="str">
        <f>'PP - Data'!BL166</f>
        <v/>
      </c>
      <c r="BM86" s="100" t="str">
        <f>'PP - Data'!BM166</f>
        <v/>
      </c>
      <c r="BN86" s="100" t="str">
        <f>'PP - Data'!BN166</f>
        <v/>
      </c>
      <c r="BO86" s="100" t="str">
        <f>'PP - Data'!BO166</f>
        <v/>
      </c>
      <c r="BP86" s="81"/>
      <c r="BQ86" s="82"/>
    </row>
    <row r="87">
      <c r="A87" s="72" t="s">
        <v>9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148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81"/>
      <c r="BQ87" s="82"/>
    </row>
    <row r="88">
      <c r="A88" s="78" t="s">
        <v>7</v>
      </c>
      <c r="B88" s="100" t="str">
        <f>'PP - Data'!B178</f>
        <v/>
      </c>
      <c r="C88" s="100" t="str">
        <f>'PP - Data'!C178</f>
        <v/>
      </c>
      <c r="D88" s="100" t="str">
        <f>'PP - Data'!D178</f>
        <v/>
      </c>
      <c r="E88" s="100" t="str">
        <f>'PP - Data'!E178</f>
        <v/>
      </c>
      <c r="F88" s="100" t="str">
        <f>'PP - Data'!F178</f>
        <v/>
      </c>
      <c r="G88" s="100" t="str">
        <f>'PP - Data'!G178</f>
        <v/>
      </c>
      <c r="H88" s="100" t="str">
        <f>'PP - Data'!H178</f>
        <v/>
      </c>
      <c r="I88" s="100" t="str">
        <f>'PP - Data'!I178</f>
        <v/>
      </c>
      <c r="J88" s="100" t="str">
        <f>'PP - Data'!J178</f>
        <v/>
      </c>
      <c r="K88" s="100" t="str">
        <f>'PP - Data'!K178</f>
        <v/>
      </c>
      <c r="L88" s="100" t="str">
        <f>'PP - Data'!L178</f>
        <v/>
      </c>
      <c r="M88" s="100" t="str">
        <f>'PP - Data'!M178</f>
        <v/>
      </c>
      <c r="N88" s="100" t="str">
        <f>'PP - Data'!N178</f>
        <v/>
      </c>
      <c r="O88" s="100" t="str">
        <f>'PP - Data'!O178</f>
        <v/>
      </c>
      <c r="P88" s="100" t="str">
        <f>'PP - Data'!P178</f>
        <v/>
      </c>
      <c r="Q88" s="100" t="str">
        <f>'PP - Data'!Q178</f>
        <v/>
      </c>
      <c r="R88" s="100" t="str">
        <f>'PP - Data'!R178</f>
        <v/>
      </c>
      <c r="S88" s="100" t="str">
        <f>'PP - Data'!S178</f>
        <v/>
      </c>
      <c r="T88" s="100" t="str">
        <f>'PP - Data'!T178</f>
        <v/>
      </c>
      <c r="U88" s="100" t="str">
        <f>'PP - Data'!U178</f>
        <v/>
      </c>
      <c r="V88" s="100" t="str">
        <f>'PP - Data'!V178</f>
        <v/>
      </c>
      <c r="W88" s="100" t="str">
        <f>'PP - Data'!W178</f>
        <v/>
      </c>
      <c r="X88" s="100" t="str">
        <f>'PP - Data'!X178</f>
        <v/>
      </c>
      <c r="Y88" s="100" t="str">
        <f>'PP - Data'!Y178</f>
        <v/>
      </c>
      <c r="Z88" s="100" t="str">
        <f>'PP - Data'!Z178</f>
        <v/>
      </c>
      <c r="AA88" s="100" t="str">
        <f>'PP - Data'!AA178</f>
        <v/>
      </c>
      <c r="AB88" s="100" t="str">
        <f>'PP - Data'!AB178</f>
        <v/>
      </c>
      <c r="AC88" s="100" t="str">
        <f>'PP - Data'!AC178</f>
        <v/>
      </c>
      <c r="AD88" s="100" t="str">
        <f>'PP - Data'!AD178</f>
        <v/>
      </c>
      <c r="AE88" s="100" t="str">
        <f>'PP - Data'!AE178</f>
        <v/>
      </c>
      <c r="AF88" s="100" t="str">
        <f>'PP - Data'!AF178</f>
        <v/>
      </c>
      <c r="AG88" s="100" t="str">
        <f>'PP - Data'!AG178</f>
        <v/>
      </c>
      <c r="AH88" s="100" t="str">
        <f>'PP - Data'!AH178</f>
        <v/>
      </c>
      <c r="AI88" s="101" t="s">
        <v>7</v>
      </c>
      <c r="AJ88" s="100">
        <f>'PP - Data'!AJ178</f>
        <v>0.3063700708</v>
      </c>
      <c r="AK88" s="100">
        <f>'PP - Data'!AK178</f>
        <v>0.3584229391</v>
      </c>
      <c r="AL88" s="100">
        <f>'PP - Data'!AL178</f>
        <v>0.3057324841</v>
      </c>
      <c r="AM88" s="100">
        <f>'PP - Data'!AM178</f>
        <v>0.3070175439</v>
      </c>
      <c r="AN88" s="100">
        <f>'PP - Data'!AN178</f>
        <v>0.2374429224</v>
      </c>
      <c r="AO88" s="100">
        <f>'PP - Data'!AO178</f>
        <v>0.3322884013</v>
      </c>
      <c r="AP88" s="100">
        <f>'PP - Data'!AP178</f>
        <v>0.3868212325</v>
      </c>
      <c r="AQ88" s="100">
        <f>'PP - Data'!AQ178</f>
        <v>0.3936092956</v>
      </c>
      <c r="AR88" s="100">
        <f>'PP - Data'!AR178</f>
        <v>0.3899147727</v>
      </c>
      <c r="AS88" s="100">
        <f>'PP - Data'!AS178</f>
        <v>0.3894009217</v>
      </c>
      <c r="AT88" s="100">
        <f>'PP - Data'!AT178</f>
        <v>0.3432518597</v>
      </c>
      <c r="AU88" s="100">
        <f>'PP - Data'!AU178</f>
        <v>0.3633491311</v>
      </c>
      <c r="AV88" s="100">
        <f>'PP - Data'!AV178</f>
        <v>0.3503274088</v>
      </c>
      <c r="AW88" s="100">
        <f>'PP - Data'!AW178</f>
        <v>0.3701236917</v>
      </c>
      <c r="AX88" s="100">
        <f>'PP - Data'!AX178</f>
        <v>0.2996941896</v>
      </c>
      <c r="AY88" s="100">
        <f>'PP - Data'!AY178</f>
        <v>0.2926829268</v>
      </c>
      <c r="AZ88" s="100">
        <f>'PP - Data'!AZ178</f>
        <v>0.2956914524</v>
      </c>
      <c r="BA88" s="100">
        <f>'PP - Data'!BA178</f>
        <v>0.2596899225</v>
      </c>
      <c r="BB88" s="100">
        <f>'PP - Data'!BB178</f>
        <v>0.4108298999</v>
      </c>
      <c r="BC88" s="100">
        <f>'PP - Data'!BC178</f>
        <v>0.3876689189</v>
      </c>
      <c r="BD88" s="100">
        <f>'PP - Data'!BD178</f>
        <v>0.3242981607</v>
      </c>
      <c r="BE88" s="100">
        <f>'PP - Data'!BE178</f>
        <v>0.3413461538</v>
      </c>
      <c r="BF88" s="100">
        <f>'PP - Data'!BF178</f>
        <v>0.332848132</v>
      </c>
      <c r="BG88" s="100">
        <f>'PP - Data'!BG178</f>
        <v>0.3422069558</v>
      </c>
      <c r="BH88" s="100">
        <f>'PP - Data'!BH178</f>
        <v>0.3324185249</v>
      </c>
      <c r="BI88" s="100" t="str">
        <f>'PP - Data'!BI178</f>
        <v/>
      </c>
      <c r="BJ88" s="100" t="str">
        <f>'PP - Data'!BJ178</f>
        <v/>
      </c>
      <c r="BK88" s="100" t="str">
        <f>'PP - Data'!BK178</f>
        <v/>
      </c>
      <c r="BL88" s="100" t="str">
        <f>'PP - Data'!BL178</f>
        <v/>
      </c>
      <c r="BM88" s="100" t="str">
        <f>'PP - Data'!BM178</f>
        <v/>
      </c>
      <c r="BN88" s="100" t="str">
        <f>'PP - Data'!BN178</f>
        <v/>
      </c>
      <c r="BO88" s="100" t="str">
        <f>'PP - Data'!BO178</f>
        <v/>
      </c>
      <c r="BP88" s="81"/>
      <c r="BQ88" s="82"/>
    </row>
    <row r="89">
      <c r="A89" s="78" t="s">
        <v>8</v>
      </c>
      <c r="B89" s="100" t="str">
        <f>'PP - Data'!B179</f>
        <v/>
      </c>
      <c r="C89" s="100" t="str">
        <f>'PP - Data'!C179</f>
        <v/>
      </c>
      <c r="D89" s="100" t="str">
        <f>'PP - Data'!D179</f>
        <v/>
      </c>
      <c r="E89" s="100" t="str">
        <f>'PP - Data'!E179</f>
        <v/>
      </c>
      <c r="F89" s="100" t="str">
        <f>'PP - Data'!F179</f>
        <v/>
      </c>
      <c r="G89" s="100" t="str">
        <f>'PP - Data'!G179</f>
        <v/>
      </c>
      <c r="H89" s="100" t="str">
        <f>'PP - Data'!H179</f>
        <v/>
      </c>
      <c r="I89" s="100" t="str">
        <f>'PP - Data'!I179</f>
        <v/>
      </c>
      <c r="J89" s="100" t="str">
        <f>'PP - Data'!J179</f>
        <v/>
      </c>
      <c r="K89" s="100" t="str">
        <f>'PP - Data'!K179</f>
        <v/>
      </c>
      <c r="L89" s="100" t="str">
        <f>'PP - Data'!L179</f>
        <v/>
      </c>
      <c r="M89" s="100" t="str">
        <f>'PP - Data'!M179</f>
        <v/>
      </c>
      <c r="N89" s="100" t="str">
        <f>'PP - Data'!N179</f>
        <v/>
      </c>
      <c r="O89" s="100" t="str">
        <f>'PP - Data'!O179</f>
        <v/>
      </c>
      <c r="P89" s="100" t="str">
        <f>'PP - Data'!P179</f>
        <v/>
      </c>
      <c r="Q89" s="100" t="str">
        <f>'PP - Data'!Q179</f>
        <v/>
      </c>
      <c r="R89" s="100" t="str">
        <f>'PP - Data'!R179</f>
        <v/>
      </c>
      <c r="S89" s="100" t="str">
        <f>'PP - Data'!S179</f>
        <v/>
      </c>
      <c r="T89" s="100" t="str">
        <f>'PP - Data'!T179</f>
        <v/>
      </c>
      <c r="U89" s="100" t="str">
        <f>'PP - Data'!U179</f>
        <v/>
      </c>
      <c r="V89" s="100" t="str">
        <f>'PP - Data'!V179</f>
        <v/>
      </c>
      <c r="W89" s="100" t="str">
        <f>'PP - Data'!W179</f>
        <v/>
      </c>
      <c r="X89" s="100" t="str">
        <f>'PP - Data'!X179</f>
        <v/>
      </c>
      <c r="Y89" s="100" t="str">
        <f>'PP - Data'!Y179</f>
        <v/>
      </c>
      <c r="Z89" s="100" t="str">
        <f>'PP - Data'!Z179</f>
        <v/>
      </c>
      <c r="AA89" s="100" t="str">
        <f>'PP - Data'!AA179</f>
        <v/>
      </c>
      <c r="AB89" s="100" t="str">
        <f>'PP - Data'!AB179</f>
        <v/>
      </c>
      <c r="AC89" s="100" t="str">
        <f>'PP - Data'!AC179</f>
        <v/>
      </c>
      <c r="AD89" s="100" t="str">
        <f>'PP - Data'!AD179</f>
        <v/>
      </c>
      <c r="AE89" s="100" t="str">
        <f>'PP - Data'!AE179</f>
        <v/>
      </c>
      <c r="AF89" s="100" t="str">
        <f>'PP - Data'!AF179</f>
        <v/>
      </c>
      <c r="AG89" s="100" t="str">
        <f>'PP - Data'!AG179</f>
        <v/>
      </c>
      <c r="AH89" s="100" t="str">
        <f>'PP - Data'!AH179</f>
        <v/>
      </c>
      <c r="AI89" s="101" t="s">
        <v>8</v>
      </c>
      <c r="AJ89" s="100">
        <f>'PP - Data'!AJ179</f>
        <v>0.5470171891</v>
      </c>
      <c r="AK89" s="100">
        <f>'PP - Data'!AK179</f>
        <v>0.482078853</v>
      </c>
      <c r="AL89" s="100">
        <f>'PP - Data'!AL179</f>
        <v>0.474522293</v>
      </c>
      <c r="AM89" s="100">
        <f>'PP - Data'!AM179</f>
        <v>0.4947368421</v>
      </c>
      <c r="AN89" s="100">
        <f>'PP - Data'!AN179</f>
        <v>0.5433789954</v>
      </c>
      <c r="AO89" s="100">
        <f>'PP - Data'!AO179</f>
        <v>0.3777429467</v>
      </c>
      <c r="AP89" s="100">
        <f>'PP - Data'!AP179</f>
        <v>0.4222086638</v>
      </c>
      <c r="AQ89" s="100">
        <f>'PP - Data'!AQ179</f>
        <v>0.417211329</v>
      </c>
      <c r="AR89" s="100">
        <f>'PP - Data'!AR179</f>
        <v>0.4893465909</v>
      </c>
      <c r="AS89" s="100">
        <f>'PP - Data'!AS179</f>
        <v>0.4539170507</v>
      </c>
      <c r="AT89" s="100">
        <f>'PP - Data'!AT179</f>
        <v>0.4764434998</v>
      </c>
      <c r="AU89" s="100">
        <f>'PP - Data'!AU179</f>
        <v>0.4672195893</v>
      </c>
      <c r="AV89" s="100">
        <f>'PP - Data'!AV179</f>
        <v>0.460243218</v>
      </c>
      <c r="AW89" s="100">
        <f>'PP - Data'!AW179</f>
        <v>0.4671741199</v>
      </c>
      <c r="AX89" s="100">
        <f>'PP - Data'!AX179</f>
        <v>0.5382262997</v>
      </c>
      <c r="AY89" s="100">
        <f>'PP - Data'!AY179</f>
        <v>0.5193687231</v>
      </c>
      <c r="AZ89" s="100">
        <f>'PP - Data'!AZ179</f>
        <v>0.4523974983</v>
      </c>
      <c r="BA89" s="100">
        <f>'PP - Data'!BA179</f>
        <v>0.5271317829</v>
      </c>
      <c r="BB89" s="100">
        <f>'PP - Data'!BB179</f>
        <v>0.4261330194</v>
      </c>
      <c r="BC89" s="100">
        <f>'PP - Data'!BC179</f>
        <v>0.4624155405</v>
      </c>
      <c r="BD89" s="100">
        <f>'PP - Data'!BD179</f>
        <v>0.5556631171</v>
      </c>
      <c r="BE89" s="100">
        <f>'PP - Data'!BE179</f>
        <v>0.5240384615</v>
      </c>
      <c r="BF89" s="100">
        <f>'PP - Data'!BF179</f>
        <v>0.5409995148</v>
      </c>
      <c r="BG89" s="100">
        <f>'PP - Data'!BG179</f>
        <v>0.5092314298</v>
      </c>
      <c r="BH89" s="100">
        <f>'PP - Data'!BH179</f>
        <v>0.4843910806</v>
      </c>
      <c r="BI89" s="100" t="str">
        <f>'PP - Data'!BI179</f>
        <v/>
      </c>
      <c r="BJ89" s="100" t="str">
        <f>'PP - Data'!BJ179</f>
        <v/>
      </c>
      <c r="BK89" s="100" t="str">
        <f>'PP - Data'!BK179</f>
        <v/>
      </c>
      <c r="BL89" s="100" t="str">
        <f>'PP - Data'!BL179</f>
        <v/>
      </c>
      <c r="BM89" s="100" t="str">
        <f>'PP - Data'!BM179</f>
        <v/>
      </c>
      <c r="BN89" s="100" t="str">
        <f>'PP - Data'!BN179</f>
        <v/>
      </c>
      <c r="BO89" s="100" t="str">
        <f>'PP - Data'!BO179</f>
        <v/>
      </c>
      <c r="BP89" s="81"/>
      <c r="BQ89" s="82"/>
    </row>
    <row r="90">
      <c r="A90" s="78" t="s">
        <v>12</v>
      </c>
      <c r="B90" s="100" t="str">
        <f>'PP - Data'!B180</f>
        <v/>
      </c>
      <c r="C90" s="100" t="str">
        <f>'PP - Data'!C180</f>
        <v/>
      </c>
      <c r="D90" s="100" t="str">
        <f>'PP - Data'!D180</f>
        <v/>
      </c>
      <c r="E90" s="100" t="str">
        <f>'PP - Data'!E180</f>
        <v/>
      </c>
      <c r="F90" s="100" t="str">
        <f>'PP - Data'!F180</f>
        <v/>
      </c>
      <c r="G90" s="100" t="str">
        <f>'PP - Data'!G180</f>
        <v/>
      </c>
      <c r="H90" s="100" t="str">
        <f>'PP - Data'!H180</f>
        <v/>
      </c>
      <c r="I90" s="100" t="str">
        <f>'PP - Data'!I180</f>
        <v/>
      </c>
      <c r="J90" s="100" t="str">
        <f>'PP - Data'!J180</f>
        <v/>
      </c>
      <c r="K90" s="100" t="str">
        <f>'PP - Data'!K180</f>
        <v/>
      </c>
      <c r="L90" s="100" t="str">
        <f>'PP - Data'!L180</f>
        <v/>
      </c>
      <c r="M90" s="100" t="str">
        <f>'PP - Data'!M180</f>
        <v/>
      </c>
      <c r="N90" s="100" t="str">
        <f>'PP - Data'!N180</f>
        <v/>
      </c>
      <c r="O90" s="100" t="str">
        <f>'PP - Data'!O180</f>
        <v/>
      </c>
      <c r="P90" s="100" t="str">
        <f>'PP - Data'!P180</f>
        <v/>
      </c>
      <c r="Q90" s="100" t="str">
        <f>'PP - Data'!Q180</f>
        <v/>
      </c>
      <c r="R90" s="100" t="str">
        <f>'PP - Data'!R180</f>
        <v/>
      </c>
      <c r="S90" s="100" t="str">
        <f>'PP - Data'!S180</f>
        <v/>
      </c>
      <c r="T90" s="100" t="str">
        <f>'PP - Data'!T180</f>
        <v/>
      </c>
      <c r="U90" s="100" t="str">
        <f>'PP - Data'!U180</f>
        <v/>
      </c>
      <c r="V90" s="100" t="str">
        <f>'PP - Data'!V180</f>
        <v/>
      </c>
      <c r="W90" s="100" t="str">
        <f>'PP - Data'!W180</f>
        <v/>
      </c>
      <c r="X90" s="100" t="str">
        <f>'PP - Data'!X180</f>
        <v/>
      </c>
      <c r="Y90" s="100" t="str">
        <f>'PP - Data'!Y180</f>
        <v/>
      </c>
      <c r="Z90" s="100" t="str">
        <f>'PP - Data'!Z180</f>
        <v/>
      </c>
      <c r="AA90" s="100" t="str">
        <f>'PP - Data'!AA180</f>
        <v/>
      </c>
      <c r="AB90" s="100" t="str">
        <f>'PP - Data'!AB180</f>
        <v/>
      </c>
      <c r="AC90" s="100" t="str">
        <f>'PP - Data'!AC180</f>
        <v/>
      </c>
      <c r="AD90" s="100" t="str">
        <f>'PP - Data'!AD180</f>
        <v/>
      </c>
      <c r="AE90" s="100" t="str">
        <f>'PP - Data'!AE180</f>
        <v/>
      </c>
      <c r="AF90" s="100" t="str">
        <f>'PP - Data'!AF180</f>
        <v/>
      </c>
      <c r="AG90" s="100" t="str">
        <f>'PP - Data'!AG180</f>
        <v/>
      </c>
      <c r="AH90" s="100" t="str">
        <f>'PP - Data'!AH180</f>
        <v/>
      </c>
      <c r="AI90" s="101" t="s">
        <v>12</v>
      </c>
      <c r="AJ90" s="100">
        <f>'PP - Data'!AJ180</f>
        <v>0.02224469161</v>
      </c>
      <c r="AK90" s="100">
        <f>'PP - Data'!AK180</f>
        <v>0.01254480287</v>
      </c>
      <c r="AL90" s="100">
        <f>'PP - Data'!AL180</f>
        <v>0.003184713376</v>
      </c>
      <c r="AM90" s="100">
        <f>'PP - Data'!AM180</f>
        <v>0.005263157895</v>
      </c>
      <c r="AN90" s="100">
        <f>'PP - Data'!AN180</f>
        <v>0.01369863014</v>
      </c>
      <c r="AO90" s="100">
        <f>'PP - Data'!AO180</f>
        <v>0.001567398119</v>
      </c>
      <c r="AP90" s="100">
        <f>'PP - Data'!AP180</f>
        <v>0.01220256254</v>
      </c>
      <c r="AQ90" s="100">
        <f>'PP - Data'!AQ180</f>
        <v>0.01452432825</v>
      </c>
      <c r="AR90" s="100">
        <f>'PP - Data'!AR180</f>
        <v>0.01775568182</v>
      </c>
      <c r="AS90" s="100">
        <f>'PP - Data'!AS180</f>
        <v>0.01209677419</v>
      </c>
      <c r="AT90" s="100">
        <f>'PP - Data'!AT180</f>
        <v>0.01629472193</v>
      </c>
      <c r="AU90" s="100">
        <f>'PP - Data'!AU180</f>
        <v>0.01145339652</v>
      </c>
      <c r="AV90" s="100">
        <f>'PP - Data'!AV180</f>
        <v>0.01917680075</v>
      </c>
      <c r="AW90" s="100">
        <f>'PP - Data'!AW180</f>
        <v>0.01712654615</v>
      </c>
      <c r="AX90" s="100">
        <f>'PP - Data'!AX180</f>
        <v>0.0122324159</v>
      </c>
      <c r="AY90" s="100">
        <f>'PP - Data'!AY180</f>
        <v>0.01721664275</v>
      </c>
      <c r="AZ90" s="100">
        <f>'PP - Data'!AZ180</f>
        <v>0.005559416261</v>
      </c>
      <c r="BA90" s="100">
        <f>'PP - Data'!BA180</f>
        <v>0.003875968992</v>
      </c>
      <c r="BB90" s="100">
        <f>'PP - Data'!BB180</f>
        <v>0.01118304885</v>
      </c>
      <c r="BC90" s="100">
        <f>'PP - Data'!BC180</f>
        <v>0.01478040541</v>
      </c>
      <c r="BD90" s="100">
        <f>'PP - Data'!BD180</f>
        <v>0.01064859632</v>
      </c>
      <c r="BE90" s="100">
        <f>'PP - Data'!BE180</f>
        <v>0.015625</v>
      </c>
      <c r="BF90" s="100">
        <f>'PP - Data'!BF180</f>
        <v>0.007763221737</v>
      </c>
      <c r="BG90" s="100">
        <f>'PP - Data'!BG180</f>
        <v>0.0107342207</v>
      </c>
      <c r="BH90" s="100">
        <f>'PP - Data'!BH180</f>
        <v>0.01509433962</v>
      </c>
      <c r="BI90" s="100" t="str">
        <f>'PP - Data'!BI180</f>
        <v/>
      </c>
      <c r="BJ90" s="100" t="str">
        <f>'PP - Data'!BJ180</f>
        <v/>
      </c>
      <c r="BK90" s="100" t="str">
        <f>'PP - Data'!BK180</f>
        <v/>
      </c>
      <c r="BL90" s="100" t="str">
        <f>'PP - Data'!BL180</f>
        <v/>
      </c>
      <c r="BM90" s="100" t="str">
        <f>'PP - Data'!BM180</f>
        <v/>
      </c>
      <c r="BN90" s="100" t="str">
        <f>'PP - Data'!BN180</f>
        <v/>
      </c>
      <c r="BO90" s="100" t="str">
        <f>'PP - Data'!BO180</f>
        <v/>
      </c>
      <c r="BP90" s="81"/>
      <c r="BQ90" s="82"/>
    </row>
    <row r="91">
      <c r="A91" s="78" t="s">
        <v>13</v>
      </c>
      <c r="B91" s="100" t="str">
        <f>'PP - Data'!B181</f>
        <v/>
      </c>
      <c r="C91" s="100" t="str">
        <f>'PP - Data'!C181</f>
        <v/>
      </c>
      <c r="D91" s="100" t="str">
        <f>'PP - Data'!D181</f>
        <v/>
      </c>
      <c r="E91" s="100" t="str">
        <f>'PP - Data'!E181</f>
        <v/>
      </c>
      <c r="F91" s="100" t="str">
        <f>'PP - Data'!F181</f>
        <v/>
      </c>
      <c r="G91" s="100" t="str">
        <f>'PP - Data'!G181</f>
        <v/>
      </c>
      <c r="H91" s="100" t="str">
        <f>'PP - Data'!H181</f>
        <v/>
      </c>
      <c r="I91" s="100" t="str">
        <f>'PP - Data'!I181</f>
        <v/>
      </c>
      <c r="J91" s="100" t="str">
        <f>'PP - Data'!J181</f>
        <v/>
      </c>
      <c r="K91" s="100" t="str">
        <f>'PP - Data'!K181</f>
        <v/>
      </c>
      <c r="L91" s="100" t="str">
        <f>'PP - Data'!L181</f>
        <v/>
      </c>
      <c r="M91" s="100" t="str">
        <f>'PP - Data'!M181</f>
        <v/>
      </c>
      <c r="N91" s="100" t="str">
        <f>'PP - Data'!N181</f>
        <v/>
      </c>
      <c r="O91" s="100" t="str">
        <f>'PP - Data'!O181</f>
        <v/>
      </c>
      <c r="P91" s="100" t="str">
        <f>'PP - Data'!P181</f>
        <v/>
      </c>
      <c r="Q91" s="100" t="str">
        <f>'PP - Data'!Q181</f>
        <v/>
      </c>
      <c r="R91" s="100" t="str">
        <f>'PP - Data'!R181</f>
        <v/>
      </c>
      <c r="S91" s="100" t="str">
        <f>'PP - Data'!S181</f>
        <v/>
      </c>
      <c r="T91" s="100" t="str">
        <f>'PP - Data'!T181</f>
        <v/>
      </c>
      <c r="U91" s="100" t="str">
        <f>'PP - Data'!U181</f>
        <v/>
      </c>
      <c r="V91" s="100" t="str">
        <f>'PP - Data'!V181</f>
        <v/>
      </c>
      <c r="W91" s="100" t="str">
        <f>'PP - Data'!W181</f>
        <v/>
      </c>
      <c r="X91" s="100" t="str">
        <f>'PP - Data'!X181</f>
        <v/>
      </c>
      <c r="Y91" s="100" t="str">
        <f>'PP - Data'!Y181</f>
        <v/>
      </c>
      <c r="Z91" s="100" t="str">
        <f>'PP - Data'!Z181</f>
        <v/>
      </c>
      <c r="AA91" s="100" t="str">
        <f>'PP - Data'!AA181</f>
        <v/>
      </c>
      <c r="AB91" s="100" t="str">
        <f>'PP - Data'!AB181</f>
        <v/>
      </c>
      <c r="AC91" s="100" t="str">
        <f>'PP - Data'!AC181</f>
        <v/>
      </c>
      <c r="AD91" s="100" t="str">
        <f>'PP - Data'!AD181</f>
        <v/>
      </c>
      <c r="AE91" s="100" t="str">
        <f>'PP - Data'!AE181</f>
        <v/>
      </c>
      <c r="AF91" s="100" t="str">
        <f>'PP - Data'!AF181</f>
        <v/>
      </c>
      <c r="AG91" s="100" t="str">
        <f>'PP - Data'!AG181</f>
        <v/>
      </c>
      <c r="AH91" s="100" t="str">
        <f>'PP - Data'!AH181</f>
        <v/>
      </c>
      <c r="AI91" s="101" t="s">
        <v>13</v>
      </c>
      <c r="AJ91" s="100">
        <f>'PP - Data'!AJ181</f>
        <v>0.02022244692</v>
      </c>
      <c r="AK91" s="100">
        <f>'PP - Data'!AK181</f>
        <v>0.02508960573</v>
      </c>
      <c r="AL91" s="100">
        <f>'PP - Data'!AL181</f>
        <v>0.007961783439</v>
      </c>
      <c r="AM91" s="100">
        <f>'PP - Data'!AM181</f>
        <v>0.01052631579</v>
      </c>
      <c r="AN91" s="100">
        <f>'PP - Data'!AN181</f>
        <v>0.009132420091</v>
      </c>
      <c r="AO91" s="100">
        <f>'PP - Data'!AO181</f>
        <v>0.01567398119</v>
      </c>
      <c r="AP91" s="100">
        <f>'PP - Data'!AP181</f>
        <v>0.01464307505</v>
      </c>
      <c r="AQ91" s="100">
        <f>'PP - Data'!AQ181</f>
        <v>0.01416122004</v>
      </c>
      <c r="AR91" s="100">
        <f>'PP - Data'!AR181</f>
        <v>0.006392045455</v>
      </c>
      <c r="AS91" s="100">
        <f>'PP - Data'!AS181</f>
        <v>0.01094470046</v>
      </c>
      <c r="AT91" s="100">
        <f>'PP - Data'!AT181</f>
        <v>0.0170031881</v>
      </c>
      <c r="AU91" s="100">
        <f>'PP - Data'!AU181</f>
        <v>0.01263823065</v>
      </c>
      <c r="AV91" s="100">
        <f>'PP - Data'!AV181</f>
        <v>0.01449953227</v>
      </c>
      <c r="AW91" s="100">
        <f>'PP - Data'!AW181</f>
        <v>0.01522359657</v>
      </c>
      <c r="AX91" s="100">
        <f>'PP - Data'!AX181</f>
        <v>0.009174311927</v>
      </c>
      <c r="AY91" s="100">
        <f>'PP - Data'!AY181</f>
        <v>0.01147776184</v>
      </c>
      <c r="AZ91" s="100">
        <f>'PP - Data'!AZ181</f>
        <v>0.01146629604</v>
      </c>
      <c r="BA91" s="100">
        <f>'PP - Data'!BA181</f>
        <v>0.01937984496</v>
      </c>
      <c r="BB91" s="100">
        <f>'PP - Data'!BB181</f>
        <v>0.01824602707</v>
      </c>
      <c r="BC91" s="100">
        <f>'PP - Data'!BC181</f>
        <v>0.01478040541</v>
      </c>
      <c r="BD91" s="100">
        <f>'PP - Data'!BD181</f>
        <v>0.01064859632</v>
      </c>
      <c r="BE91" s="100">
        <f>'PP - Data'!BE181</f>
        <v>0.01322115385</v>
      </c>
      <c r="BF91" s="100">
        <f>'PP - Data'!BF181</f>
        <v>0.007763221737</v>
      </c>
      <c r="BG91" s="100">
        <f>'PP - Data'!BG181</f>
        <v>0.009446114212</v>
      </c>
      <c r="BH91" s="100">
        <f>'PP - Data'!BH181</f>
        <v>0.01166380789</v>
      </c>
      <c r="BI91" s="100" t="str">
        <f>'PP - Data'!BI181</f>
        <v/>
      </c>
      <c r="BJ91" s="100" t="str">
        <f>'PP - Data'!BJ181</f>
        <v/>
      </c>
      <c r="BK91" s="100" t="str">
        <f>'PP - Data'!BK181</f>
        <v/>
      </c>
      <c r="BL91" s="100" t="str">
        <f>'PP - Data'!BL181</f>
        <v/>
      </c>
      <c r="BM91" s="100" t="str">
        <f>'PP - Data'!BM181</f>
        <v/>
      </c>
      <c r="BN91" s="100" t="str">
        <f>'PP - Data'!BN181</f>
        <v/>
      </c>
      <c r="BO91" s="100" t="str">
        <f>'PP - Data'!BO181</f>
        <v/>
      </c>
      <c r="BP91" s="81"/>
      <c r="BQ91" s="82"/>
    </row>
    <row r="92">
      <c r="A92" s="78" t="s">
        <v>14</v>
      </c>
      <c r="B92" s="100" t="str">
        <f>'PP - Data'!B182</f>
        <v/>
      </c>
      <c r="C92" s="100" t="str">
        <f>'PP - Data'!C182</f>
        <v/>
      </c>
      <c r="D92" s="100" t="str">
        <f>'PP - Data'!D182</f>
        <v/>
      </c>
      <c r="E92" s="100" t="str">
        <f>'PP - Data'!E182</f>
        <v/>
      </c>
      <c r="F92" s="100" t="str">
        <f>'PP - Data'!F182</f>
        <v/>
      </c>
      <c r="G92" s="100" t="str">
        <f>'PP - Data'!G182</f>
        <v/>
      </c>
      <c r="H92" s="100" t="str">
        <f>'PP - Data'!H182</f>
        <v/>
      </c>
      <c r="I92" s="100" t="str">
        <f>'PP - Data'!I182</f>
        <v/>
      </c>
      <c r="J92" s="100" t="str">
        <f>'PP - Data'!J182</f>
        <v/>
      </c>
      <c r="K92" s="100" t="str">
        <f>'PP - Data'!K182</f>
        <v/>
      </c>
      <c r="L92" s="100" t="str">
        <f>'PP - Data'!L182</f>
        <v/>
      </c>
      <c r="M92" s="100" t="str">
        <f>'PP - Data'!M182</f>
        <v/>
      </c>
      <c r="N92" s="100" t="str">
        <f>'PP - Data'!N182</f>
        <v/>
      </c>
      <c r="O92" s="100" t="str">
        <f>'PP - Data'!O182</f>
        <v/>
      </c>
      <c r="P92" s="100" t="str">
        <f>'PP - Data'!P182</f>
        <v/>
      </c>
      <c r="Q92" s="100" t="str">
        <f>'PP - Data'!Q182</f>
        <v/>
      </c>
      <c r="R92" s="100" t="str">
        <f>'PP - Data'!R182</f>
        <v/>
      </c>
      <c r="S92" s="100" t="str">
        <f>'PP - Data'!S182</f>
        <v/>
      </c>
      <c r="T92" s="100" t="str">
        <f>'PP - Data'!T182</f>
        <v/>
      </c>
      <c r="U92" s="100" t="str">
        <f>'PP - Data'!U182</f>
        <v/>
      </c>
      <c r="V92" s="100" t="str">
        <f>'PP - Data'!V182</f>
        <v/>
      </c>
      <c r="W92" s="100" t="str">
        <f>'PP - Data'!W182</f>
        <v/>
      </c>
      <c r="X92" s="100" t="str">
        <f>'PP - Data'!X182</f>
        <v/>
      </c>
      <c r="Y92" s="100" t="str">
        <f>'PP - Data'!Y182</f>
        <v/>
      </c>
      <c r="Z92" s="100" t="str">
        <f>'PP - Data'!Z182</f>
        <v/>
      </c>
      <c r="AA92" s="100" t="str">
        <f>'PP - Data'!AA182</f>
        <v/>
      </c>
      <c r="AB92" s="100" t="str">
        <f>'PP - Data'!AB182</f>
        <v/>
      </c>
      <c r="AC92" s="100" t="str">
        <f>'PP - Data'!AC182</f>
        <v/>
      </c>
      <c r="AD92" s="100" t="str">
        <f>'PP - Data'!AD182</f>
        <v/>
      </c>
      <c r="AE92" s="100" t="str">
        <f>'PP - Data'!AE182</f>
        <v/>
      </c>
      <c r="AF92" s="100" t="str">
        <f>'PP - Data'!AF182</f>
        <v/>
      </c>
      <c r="AG92" s="100" t="str">
        <f>'PP - Data'!AG182</f>
        <v/>
      </c>
      <c r="AH92" s="100" t="str">
        <f>'PP - Data'!AH182</f>
        <v/>
      </c>
      <c r="AI92" s="101" t="s">
        <v>14</v>
      </c>
      <c r="AJ92" s="100">
        <f>'PP - Data'!AJ182</f>
        <v>0.06875631951</v>
      </c>
      <c r="AK92" s="100">
        <f>'PP - Data'!AK182</f>
        <v>0.04480286738</v>
      </c>
      <c r="AL92" s="100">
        <f>'PP - Data'!AL182</f>
        <v>0.1098726115</v>
      </c>
      <c r="AM92" s="100">
        <f>'PP - Data'!AM182</f>
        <v>0.08245614035</v>
      </c>
      <c r="AN92" s="100">
        <f>'PP - Data'!AN182</f>
        <v>0.09132420091</v>
      </c>
      <c r="AO92" s="100">
        <f>'PP - Data'!AO182</f>
        <v>0.1536050157</v>
      </c>
      <c r="AP92" s="100">
        <f>'PP - Data'!AP182</f>
        <v>0.06650396583</v>
      </c>
      <c r="AQ92" s="100">
        <f>'PP - Data'!AQ182</f>
        <v>0.06172839506</v>
      </c>
      <c r="AR92" s="100">
        <f>'PP - Data'!AR182</f>
        <v>0.03551136364</v>
      </c>
      <c r="AS92" s="100">
        <f>'PP - Data'!AS182</f>
        <v>0.04838709677</v>
      </c>
      <c r="AT92" s="100">
        <f>'PP - Data'!AT182</f>
        <v>0.05313496281</v>
      </c>
      <c r="AU92" s="100">
        <f>'PP - Data'!AU182</f>
        <v>0.0509478673</v>
      </c>
      <c r="AV92" s="100">
        <f>'PP - Data'!AV182</f>
        <v>0.05893358279</v>
      </c>
      <c r="AW92" s="100">
        <f>'PP - Data'!AW182</f>
        <v>0.04281636537</v>
      </c>
      <c r="AX92" s="100">
        <f>'PP - Data'!AX182</f>
        <v>0.05657492355</v>
      </c>
      <c r="AY92" s="100">
        <f>'PP - Data'!AY182</f>
        <v>0.04447632712</v>
      </c>
      <c r="AZ92" s="100">
        <f>'PP - Data'!AZ182</f>
        <v>0.1021542738</v>
      </c>
      <c r="BA92" s="100">
        <f>'PP - Data'!BA182</f>
        <v>0.07364341085</v>
      </c>
      <c r="BB92" s="100">
        <f>'PP - Data'!BB182</f>
        <v>0.04237786933</v>
      </c>
      <c r="BC92" s="100">
        <f>'PP - Data'!BC182</f>
        <v>0.03420608108</v>
      </c>
      <c r="BD92" s="100">
        <f>'PP - Data'!BD182</f>
        <v>0.02420135528</v>
      </c>
      <c r="BE92" s="100">
        <f>'PP - Data'!BE182</f>
        <v>0.03365384615</v>
      </c>
      <c r="BF92" s="100">
        <f>'PP - Data'!BF182</f>
        <v>0.03299369238</v>
      </c>
      <c r="BG92" s="100">
        <f>'PP - Data'!BG182</f>
        <v>0.03649635036</v>
      </c>
      <c r="BH92" s="100">
        <f>'PP - Data'!BH182</f>
        <v>0.05454545455</v>
      </c>
      <c r="BI92" s="100" t="str">
        <f>'PP - Data'!BI182</f>
        <v/>
      </c>
      <c r="BJ92" s="100" t="str">
        <f>'PP - Data'!BJ182</f>
        <v/>
      </c>
      <c r="BK92" s="100" t="str">
        <f>'PP - Data'!BK182</f>
        <v/>
      </c>
      <c r="BL92" s="100" t="str">
        <f>'PP - Data'!BL182</f>
        <v/>
      </c>
      <c r="BM92" s="100" t="str">
        <f>'PP - Data'!BM182</f>
        <v/>
      </c>
      <c r="BN92" s="100" t="str">
        <f>'PP - Data'!BN182</f>
        <v/>
      </c>
      <c r="BO92" s="100" t="str">
        <f>'PP - Data'!BO182</f>
        <v/>
      </c>
      <c r="BP92" s="81"/>
      <c r="BQ92" s="82"/>
    </row>
    <row r="93">
      <c r="A93" s="136" t="s">
        <v>16</v>
      </c>
      <c r="B93" s="100" t="str">
        <f>'PP - Data'!B183</f>
        <v/>
      </c>
      <c r="C93" s="100" t="str">
        <f>'PP - Data'!C183</f>
        <v/>
      </c>
      <c r="D93" s="100" t="str">
        <f>'PP - Data'!D183</f>
        <v/>
      </c>
      <c r="E93" s="100" t="str">
        <f>'PP - Data'!E183</f>
        <v/>
      </c>
      <c r="F93" s="100" t="str">
        <f>'PP - Data'!F183</f>
        <v/>
      </c>
      <c r="G93" s="100" t="str">
        <f>'PP - Data'!G183</f>
        <v/>
      </c>
      <c r="H93" s="100" t="str">
        <f>'PP - Data'!H183</f>
        <v/>
      </c>
      <c r="I93" s="100" t="str">
        <f>'PP - Data'!I183</f>
        <v/>
      </c>
      <c r="J93" s="100" t="str">
        <f>'PP - Data'!J183</f>
        <v/>
      </c>
      <c r="K93" s="100" t="str">
        <f>'PP - Data'!K183</f>
        <v/>
      </c>
      <c r="L93" s="100" t="str">
        <f>'PP - Data'!L183</f>
        <v/>
      </c>
      <c r="M93" s="100" t="str">
        <f>'PP - Data'!M183</f>
        <v/>
      </c>
      <c r="N93" s="100" t="str">
        <f>'PP - Data'!N183</f>
        <v/>
      </c>
      <c r="O93" s="100" t="str">
        <f>'PP - Data'!O183</f>
        <v/>
      </c>
      <c r="P93" s="100" t="str">
        <f>'PP - Data'!P183</f>
        <v/>
      </c>
      <c r="Q93" s="100" t="str">
        <f>'PP - Data'!Q183</f>
        <v/>
      </c>
      <c r="R93" s="100" t="str">
        <f>'PP - Data'!R183</f>
        <v/>
      </c>
      <c r="S93" s="100" t="str">
        <f>'PP - Data'!S183</f>
        <v/>
      </c>
      <c r="T93" s="100" t="str">
        <f>'PP - Data'!T183</f>
        <v/>
      </c>
      <c r="U93" s="100" t="str">
        <f>'PP - Data'!U183</f>
        <v/>
      </c>
      <c r="V93" s="100" t="str">
        <f>'PP - Data'!V183</f>
        <v/>
      </c>
      <c r="W93" s="100" t="str">
        <f>'PP - Data'!W183</f>
        <v/>
      </c>
      <c r="X93" s="100" t="str">
        <f>'PP - Data'!X183</f>
        <v/>
      </c>
      <c r="Y93" s="100" t="str">
        <f>'PP - Data'!Y183</f>
        <v/>
      </c>
      <c r="Z93" s="100" t="str">
        <f>'PP - Data'!Z183</f>
        <v/>
      </c>
      <c r="AA93" s="100" t="str">
        <f>'PP - Data'!AA183</f>
        <v/>
      </c>
      <c r="AB93" s="100" t="str">
        <f>'PP - Data'!AB183</f>
        <v/>
      </c>
      <c r="AC93" s="100" t="str">
        <f>'PP - Data'!AC183</f>
        <v/>
      </c>
      <c r="AD93" s="100" t="str">
        <f>'PP - Data'!AD183</f>
        <v/>
      </c>
      <c r="AE93" s="100" t="str">
        <f>'PP - Data'!AE183</f>
        <v/>
      </c>
      <c r="AF93" s="100" t="str">
        <f>'PP - Data'!AF183</f>
        <v/>
      </c>
      <c r="AG93" s="100" t="str">
        <f>'PP - Data'!AG183</f>
        <v/>
      </c>
      <c r="AH93" s="100" t="str">
        <f>'PP - Data'!AH183</f>
        <v/>
      </c>
      <c r="AI93" s="149" t="s">
        <v>16</v>
      </c>
      <c r="AJ93" s="100">
        <f>'PP - Data'!AJ183</f>
        <v>0.007077856421</v>
      </c>
      <c r="AK93" s="100">
        <f>'PP - Data'!AK183</f>
        <v>0.005376344086</v>
      </c>
      <c r="AL93" s="100">
        <f>'PP - Data'!AL183</f>
        <v>0.006369426752</v>
      </c>
      <c r="AM93" s="100">
        <f>'PP - Data'!AM183</f>
        <v>0.01228070175</v>
      </c>
      <c r="AN93" s="100">
        <f>'PP - Data'!AN183</f>
        <v>0.01369863014</v>
      </c>
      <c r="AO93" s="100">
        <f>'PP - Data'!AO183</f>
        <v>0.009404388715</v>
      </c>
      <c r="AP93" s="100">
        <f>'PP - Data'!AP183</f>
        <v>0.009151921904</v>
      </c>
      <c r="AQ93" s="100">
        <f>'PP - Data'!AQ183</f>
        <v>0.01053013798</v>
      </c>
      <c r="AR93" s="100">
        <f>'PP - Data'!AR183</f>
        <v>0.007102272727</v>
      </c>
      <c r="AS93" s="100">
        <f>'PP - Data'!AS183</f>
        <v>0.009216589862</v>
      </c>
      <c r="AT93" s="100">
        <f>'PP - Data'!AT183</f>
        <v>0.008855827134</v>
      </c>
      <c r="AU93" s="100">
        <f>'PP - Data'!AU183</f>
        <v>0.009873617694</v>
      </c>
      <c r="AV93" s="100">
        <f>'PP - Data'!AV183</f>
        <v>0.01028999065</v>
      </c>
      <c r="AW93" s="100">
        <f>'PP - Data'!AW183</f>
        <v>0.013320647</v>
      </c>
      <c r="AX93" s="100">
        <f>'PP - Data'!AX183</f>
        <v>0.003058103976</v>
      </c>
      <c r="AY93" s="100">
        <f>'PP - Data'!AY183</f>
        <v>0.0143472023</v>
      </c>
      <c r="AZ93" s="100">
        <f>'PP - Data'!AZ183</f>
        <v>0.01806810285</v>
      </c>
      <c r="BA93" s="100">
        <f>'PP - Data'!BA183</f>
        <v>0.003875968992</v>
      </c>
      <c r="BB93" s="100">
        <f>'PP - Data'!BB183</f>
        <v>0.00824014126</v>
      </c>
      <c r="BC93" s="100">
        <f>'PP - Data'!BC183</f>
        <v>0.01097972973</v>
      </c>
      <c r="BD93" s="100">
        <f>'PP - Data'!BD183</f>
        <v>0.005808325266</v>
      </c>
      <c r="BE93" s="100">
        <f>'PP - Data'!BE183</f>
        <v>0.004807692308</v>
      </c>
      <c r="BF93" s="100">
        <f>'PP - Data'!BF183</f>
        <v>0.008248423096</v>
      </c>
      <c r="BG93" s="100">
        <f>'PP - Data'!BG183</f>
        <v>0.0107342207</v>
      </c>
      <c r="BH93" s="100">
        <f>'PP - Data'!BH183</f>
        <v>0.01166380789</v>
      </c>
      <c r="BI93" s="100" t="str">
        <f>'PP - Data'!BI183</f>
        <v/>
      </c>
      <c r="BJ93" s="100" t="str">
        <f>'PP - Data'!BJ183</f>
        <v/>
      </c>
      <c r="BK93" s="100" t="str">
        <f>'PP - Data'!BK183</f>
        <v/>
      </c>
      <c r="BL93" s="100" t="str">
        <f>'PP - Data'!BL183</f>
        <v/>
      </c>
      <c r="BM93" s="100" t="str">
        <f>'PP - Data'!BM183</f>
        <v/>
      </c>
      <c r="BN93" s="100" t="str">
        <f>'PP - Data'!BN183</f>
        <v/>
      </c>
      <c r="BO93" s="100" t="str">
        <f>'PP - Data'!BO183</f>
        <v/>
      </c>
      <c r="BP93" s="81"/>
      <c r="BQ93" s="82"/>
    </row>
    <row r="94">
      <c r="A94" s="136" t="s">
        <v>53</v>
      </c>
      <c r="B94" s="100" t="str">
        <f>'PP - Data'!B184</f>
        <v/>
      </c>
      <c r="C94" s="100" t="str">
        <f>'PP - Data'!C184</f>
        <v/>
      </c>
      <c r="D94" s="100" t="str">
        <f>'PP - Data'!D184</f>
        <v/>
      </c>
      <c r="E94" s="100" t="str">
        <f>'PP - Data'!E184</f>
        <v/>
      </c>
      <c r="F94" s="100" t="str">
        <f>'PP - Data'!F184</f>
        <v/>
      </c>
      <c r="G94" s="100" t="str">
        <f>'PP - Data'!G184</f>
        <v/>
      </c>
      <c r="H94" s="100" t="str">
        <f>'PP - Data'!H184</f>
        <v/>
      </c>
      <c r="I94" s="100" t="str">
        <f>'PP - Data'!I184</f>
        <v/>
      </c>
      <c r="J94" s="100" t="str">
        <f>'PP - Data'!J184</f>
        <v/>
      </c>
      <c r="K94" s="100" t="str">
        <f>'PP - Data'!K184</f>
        <v/>
      </c>
      <c r="L94" s="100" t="str">
        <f>'PP - Data'!L184</f>
        <v/>
      </c>
      <c r="M94" s="100" t="str">
        <f>'PP - Data'!M184</f>
        <v/>
      </c>
      <c r="N94" s="100" t="str">
        <f>'PP - Data'!N184</f>
        <v/>
      </c>
      <c r="O94" s="100" t="str">
        <f>'PP - Data'!O184</f>
        <v/>
      </c>
      <c r="P94" s="100" t="str">
        <f>'PP - Data'!P184</f>
        <v/>
      </c>
      <c r="Q94" s="100" t="str">
        <f>'PP - Data'!Q184</f>
        <v/>
      </c>
      <c r="R94" s="100" t="str">
        <f>'PP - Data'!R184</f>
        <v/>
      </c>
      <c r="S94" s="100" t="str">
        <f>'PP - Data'!S184</f>
        <v/>
      </c>
      <c r="T94" s="100" t="str">
        <f>'PP - Data'!T184</f>
        <v/>
      </c>
      <c r="U94" s="100" t="str">
        <f>'PP - Data'!U184</f>
        <v/>
      </c>
      <c r="V94" s="100" t="str">
        <f>'PP - Data'!V184</f>
        <v/>
      </c>
      <c r="W94" s="100" t="str">
        <f>'PP - Data'!W184</f>
        <v/>
      </c>
      <c r="X94" s="100" t="str">
        <f>'PP - Data'!X184</f>
        <v/>
      </c>
      <c r="Y94" s="100" t="str">
        <f>'PP - Data'!Y184</f>
        <v/>
      </c>
      <c r="Z94" s="100" t="str">
        <f>'PP - Data'!Z184</f>
        <v/>
      </c>
      <c r="AA94" s="100" t="str">
        <f>'PP - Data'!AA184</f>
        <v/>
      </c>
      <c r="AB94" s="100" t="str">
        <f>'PP - Data'!AB184</f>
        <v/>
      </c>
      <c r="AC94" s="100" t="str">
        <f>'PP - Data'!AC184</f>
        <v/>
      </c>
      <c r="AD94" s="100" t="str">
        <f>'PP - Data'!AD184</f>
        <v/>
      </c>
      <c r="AE94" s="100" t="str">
        <f>'PP - Data'!AE184</f>
        <v/>
      </c>
      <c r="AF94" s="100" t="str">
        <f>'PP - Data'!AF184</f>
        <v/>
      </c>
      <c r="AG94" s="100" t="str">
        <f>'PP - Data'!AG184</f>
        <v/>
      </c>
      <c r="AH94" s="100" t="str">
        <f>'PP - Data'!AH184</f>
        <v/>
      </c>
      <c r="AI94" s="149" t="s">
        <v>53</v>
      </c>
      <c r="AJ94" s="100">
        <f>'PP - Data'!AJ184</f>
        <v>0.02730030334</v>
      </c>
      <c r="AK94" s="100">
        <f>'PP - Data'!AK184</f>
        <v>0.06810035842</v>
      </c>
      <c r="AL94" s="100">
        <f>'PP - Data'!AL184</f>
        <v>0.09076433121</v>
      </c>
      <c r="AM94" s="100">
        <f>'PP - Data'!AM184</f>
        <v>0.08245614035</v>
      </c>
      <c r="AN94" s="100">
        <f>'PP - Data'!AN184</f>
        <v>0.09132420091</v>
      </c>
      <c r="AO94" s="100">
        <f>'PP - Data'!AO184</f>
        <v>0.1018808777</v>
      </c>
      <c r="AP94" s="100">
        <f>'PP - Data'!AP184</f>
        <v>0.08724832215</v>
      </c>
      <c r="AQ94" s="100">
        <f>'PP - Data'!AQ184</f>
        <v>0.08242556282</v>
      </c>
      <c r="AR94" s="100">
        <f>'PP - Data'!AR184</f>
        <v>0.05255681818</v>
      </c>
      <c r="AS94" s="100">
        <f>'PP - Data'!AS184</f>
        <v>0.07315668203</v>
      </c>
      <c r="AT94" s="100">
        <f>'PP - Data'!AT184</f>
        <v>0.08005667729</v>
      </c>
      <c r="AU94" s="100">
        <f>'PP - Data'!AU184</f>
        <v>0.0817535545</v>
      </c>
      <c r="AV94" s="100">
        <f>'PP - Data'!AV184</f>
        <v>0.08512628625</v>
      </c>
      <c r="AW94" s="100">
        <f>'PP - Data'!AW184</f>
        <v>0.07040913416</v>
      </c>
      <c r="AX94" s="100">
        <f>'PP - Data'!AX184</f>
        <v>0.07339449541</v>
      </c>
      <c r="AY94" s="100">
        <f>'PP - Data'!AY184</f>
        <v>0.09612625538</v>
      </c>
      <c r="AZ94" s="100">
        <f>'PP - Data'!AZ184</f>
        <v>0.1077136901</v>
      </c>
      <c r="BA94" s="100">
        <f>'PP - Data'!BA184</f>
        <v>0.1007751938</v>
      </c>
      <c r="BB94" s="100">
        <f>'PP - Data'!BB184</f>
        <v>0.07886992348</v>
      </c>
      <c r="BC94" s="100">
        <f>'PP - Data'!BC184</f>
        <v>0.06967905405</v>
      </c>
      <c r="BD94" s="100">
        <f>'PP - Data'!BD184</f>
        <v>0.06776379477</v>
      </c>
      <c r="BE94" s="100">
        <f>'PP - Data'!BE184</f>
        <v>0.06610576923</v>
      </c>
      <c r="BF94" s="100">
        <f>'PP - Data'!BF184</f>
        <v>0.06356137797</v>
      </c>
      <c r="BG94" s="100">
        <f>'PP - Data'!BG184</f>
        <v>0.07814512666</v>
      </c>
      <c r="BH94" s="100">
        <f>'PP - Data'!BH184</f>
        <v>0.08439108062</v>
      </c>
      <c r="BI94" s="100" t="str">
        <f>'PP - Data'!BI184</f>
        <v/>
      </c>
      <c r="BJ94" s="100" t="str">
        <f>'PP - Data'!BJ184</f>
        <v/>
      </c>
      <c r="BK94" s="100" t="str">
        <f>'PP - Data'!BK184</f>
        <v/>
      </c>
      <c r="BL94" s="100" t="str">
        <f>'PP - Data'!BL184</f>
        <v/>
      </c>
      <c r="BM94" s="100" t="str">
        <f>'PP - Data'!BM184</f>
        <v/>
      </c>
      <c r="BN94" s="100" t="str">
        <f>'PP - Data'!BN184</f>
        <v/>
      </c>
      <c r="BO94" s="100" t="str">
        <f>'PP - Data'!BO184</f>
        <v/>
      </c>
      <c r="BP94" s="81"/>
      <c r="BQ94" s="82"/>
    </row>
    <row r="95">
      <c r="A95" s="84" t="s">
        <v>17</v>
      </c>
      <c r="B95" s="100" t="str">
        <f>'PP - Data'!B185</f>
        <v/>
      </c>
      <c r="C95" s="100" t="str">
        <f>'PP - Data'!C185</f>
        <v/>
      </c>
      <c r="D95" s="100" t="str">
        <f>'PP - Data'!D185</f>
        <v/>
      </c>
      <c r="E95" s="100" t="str">
        <f>'PP - Data'!E185</f>
        <v/>
      </c>
      <c r="F95" s="100" t="str">
        <f>'PP - Data'!F185</f>
        <v/>
      </c>
      <c r="G95" s="100" t="str">
        <f>'PP - Data'!G185</f>
        <v/>
      </c>
      <c r="H95" s="100" t="str">
        <f>'PP - Data'!H185</f>
        <v/>
      </c>
      <c r="I95" s="100" t="str">
        <f>'PP - Data'!I185</f>
        <v/>
      </c>
      <c r="J95" s="100" t="str">
        <f>'PP - Data'!J185</f>
        <v/>
      </c>
      <c r="K95" s="100" t="str">
        <f>'PP - Data'!K185</f>
        <v/>
      </c>
      <c r="L95" s="100" t="str">
        <f>'PP - Data'!L185</f>
        <v/>
      </c>
      <c r="M95" s="100" t="str">
        <f>'PP - Data'!M185</f>
        <v/>
      </c>
      <c r="N95" s="100" t="str">
        <f>'PP - Data'!N185</f>
        <v/>
      </c>
      <c r="O95" s="100" t="str">
        <f>'PP - Data'!O185</f>
        <v/>
      </c>
      <c r="P95" s="100" t="str">
        <f>'PP - Data'!P185</f>
        <v/>
      </c>
      <c r="Q95" s="100" t="str">
        <f>'PP - Data'!Q185</f>
        <v/>
      </c>
      <c r="R95" s="100" t="str">
        <f>'PP - Data'!R185</f>
        <v/>
      </c>
      <c r="S95" s="100" t="str">
        <f>'PP - Data'!S185</f>
        <v/>
      </c>
      <c r="T95" s="100" t="str">
        <f>'PP - Data'!T185</f>
        <v/>
      </c>
      <c r="U95" s="100" t="str">
        <f>'PP - Data'!U185</f>
        <v/>
      </c>
      <c r="V95" s="100" t="str">
        <f>'PP - Data'!V185</f>
        <v/>
      </c>
      <c r="W95" s="100" t="str">
        <f>'PP - Data'!W185</f>
        <v/>
      </c>
      <c r="X95" s="100" t="str">
        <f>'PP - Data'!X185</f>
        <v/>
      </c>
      <c r="Y95" s="100" t="str">
        <f>'PP - Data'!Y185</f>
        <v/>
      </c>
      <c r="Z95" s="100" t="str">
        <f>'PP - Data'!Z185</f>
        <v/>
      </c>
      <c r="AA95" s="100" t="str">
        <f>'PP - Data'!AA185</f>
        <v/>
      </c>
      <c r="AB95" s="100" t="str">
        <f>'PP - Data'!AB185</f>
        <v/>
      </c>
      <c r="AC95" s="100" t="str">
        <f>'PP - Data'!AC185</f>
        <v/>
      </c>
      <c r="AD95" s="100" t="str">
        <f>'PP - Data'!AD185</f>
        <v/>
      </c>
      <c r="AE95" s="100" t="str">
        <f>'PP - Data'!AE185</f>
        <v/>
      </c>
      <c r="AF95" s="100" t="str">
        <f>'PP - Data'!AF185</f>
        <v/>
      </c>
      <c r="AG95" s="100" t="str">
        <f>'PP - Data'!AG185</f>
        <v/>
      </c>
      <c r="AH95" s="100" t="str">
        <f>'PP - Data'!AH185</f>
        <v/>
      </c>
      <c r="AI95" s="101" t="s">
        <v>17</v>
      </c>
      <c r="AJ95" s="100">
        <f>'PP - Data'!AJ185</f>
        <v>0.001011122346</v>
      </c>
      <c r="AK95" s="100">
        <f>'PP - Data'!AK185</f>
        <v>0.003584229391</v>
      </c>
      <c r="AL95" s="100">
        <f>'PP - Data'!AL185</f>
        <v>0.001592356688</v>
      </c>
      <c r="AM95" s="100">
        <f>'PP - Data'!AM185</f>
        <v>0.005263157895</v>
      </c>
      <c r="AN95" s="100">
        <f>'PP - Data'!AN185</f>
        <v>0</v>
      </c>
      <c r="AO95" s="100">
        <f>'PP - Data'!AO185</f>
        <v>0.007836990596</v>
      </c>
      <c r="AP95" s="100">
        <f>'PP - Data'!AP185</f>
        <v>0.001220256254</v>
      </c>
      <c r="AQ95" s="100">
        <f>'PP - Data'!AQ185</f>
        <v>0.0058097313</v>
      </c>
      <c r="AR95" s="100">
        <f>'PP - Data'!AR185</f>
        <v>0.001420454545</v>
      </c>
      <c r="AS95" s="100">
        <f>'PP - Data'!AS185</f>
        <v>0.002880184332</v>
      </c>
      <c r="AT95" s="100">
        <f>'PP - Data'!AT185</f>
        <v>0.004959263195</v>
      </c>
      <c r="AU95" s="100">
        <f>'PP - Data'!AU185</f>
        <v>0.002764612954</v>
      </c>
      <c r="AV95" s="100">
        <f>'PP - Data'!AV185</f>
        <v>0.001403180543</v>
      </c>
      <c r="AW95" s="100">
        <f>'PP - Data'!AW185</f>
        <v>0.003805899144</v>
      </c>
      <c r="AX95" s="100">
        <f>'PP - Data'!AX185</f>
        <v>0.007645259939</v>
      </c>
      <c r="AY95" s="100">
        <f>'PP - Data'!AY185</f>
        <v>0.004304160689</v>
      </c>
      <c r="AZ95" s="100">
        <f>'PP - Data'!AZ185</f>
        <v>0.006949270327</v>
      </c>
      <c r="BA95" s="100">
        <f>'PP - Data'!BA185</f>
        <v>0.01162790698</v>
      </c>
      <c r="BB95" s="100">
        <f>'PP - Data'!BB185</f>
        <v>0.00412007063</v>
      </c>
      <c r="BC95" s="100">
        <f>'PP - Data'!BC185</f>
        <v>0.005489864865</v>
      </c>
      <c r="BD95" s="100">
        <f>'PP - Data'!BD185</f>
        <v>0.000968054211</v>
      </c>
      <c r="BE95" s="100">
        <f>'PP - Data'!BE185</f>
        <v>0.001201923077</v>
      </c>
      <c r="BF95" s="100">
        <f>'PP - Data'!BF185</f>
        <v>0.005822416303</v>
      </c>
      <c r="BG95" s="100">
        <f>'PP - Data'!BG185</f>
        <v>0.003005581795</v>
      </c>
      <c r="BH95" s="100">
        <f>'PP - Data'!BH185</f>
        <v>0.005831903945</v>
      </c>
      <c r="BI95" s="100" t="str">
        <f>'PP - Data'!BI185</f>
        <v/>
      </c>
      <c r="BJ95" s="100" t="str">
        <f>'PP - Data'!BJ185</f>
        <v/>
      </c>
      <c r="BK95" s="100" t="str">
        <f>'PP - Data'!BK185</f>
        <v/>
      </c>
      <c r="BL95" s="100" t="str">
        <f>'PP - Data'!BL185</f>
        <v/>
      </c>
      <c r="BM95" s="100" t="str">
        <f>'PP - Data'!BM185</f>
        <v/>
      </c>
      <c r="BN95" s="100" t="str">
        <f>'PP - Data'!BN185</f>
        <v/>
      </c>
      <c r="BO95" s="100" t="str">
        <f>'PP - Data'!BO185</f>
        <v/>
      </c>
      <c r="BP95" s="81"/>
      <c r="BQ95" s="143"/>
    </row>
    <row r="96">
      <c r="A96" s="72" t="s">
        <v>23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148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76"/>
      <c r="BQ96" s="77"/>
    </row>
    <row r="97">
      <c r="A97" s="78" t="s">
        <v>20</v>
      </c>
      <c r="B97" s="100" t="str">
        <f>'PP - Data'!B192</f>
        <v/>
      </c>
      <c r="C97" s="100" t="str">
        <f>'PP - Data'!C192</f>
        <v/>
      </c>
      <c r="D97" s="100" t="str">
        <f>'PP - Data'!D192</f>
        <v/>
      </c>
      <c r="E97" s="100" t="str">
        <f>'PP - Data'!E192</f>
        <v/>
      </c>
      <c r="F97" s="100" t="str">
        <f>'PP - Data'!F192</f>
        <v/>
      </c>
      <c r="G97" s="100" t="str">
        <f>'PP - Data'!G192</f>
        <v/>
      </c>
      <c r="H97" s="100" t="str">
        <f>'PP - Data'!H192</f>
        <v/>
      </c>
      <c r="I97" s="100" t="str">
        <f>'PP - Data'!I192</f>
        <v/>
      </c>
      <c r="J97" s="100" t="str">
        <f>'PP - Data'!J192</f>
        <v/>
      </c>
      <c r="K97" s="100" t="str">
        <f>'PP - Data'!K192</f>
        <v/>
      </c>
      <c r="L97" s="100" t="str">
        <f>'PP - Data'!L192</f>
        <v/>
      </c>
      <c r="M97" s="100" t="str">
        <f>'PP - Data'!M192</f>
        <v/>
      </c>
      <c r="N97" s="100" t="str">
        <f>'PP - Data'!N192</f>
        <v/>
      </c>
      <c r="O97" s="100" t="str">
        <f>'PP - Data'!O192</f>
        <v/>
      </c>
      <c r="P97" s="100" t="str">
        <f>'PP - Data'!P192</f>
        <v/>
      </c>
      <c r="Q97" s="100" t="str">
        <f>'PP - Data'!Q192</f>
        <v/>
      </c>
      <c r="R97" s="100" t="str">
        <f>'PP - Data'!R192</f>
        <v/>
      </c>
      <c r="S97" s="100" t="str">
        <f>'PP - Data'!S192</f>
        <v/>
      </c>
      <c r="T97" s="100" t="str">
        <f>'PP - Data'!T192</f>
        <v/>
      </c>
      <c r="U97" s="100" t="str">
        <f>'PP - Data'!U192</f>
        <v/>
      </c>
      <c r="V97" s="100" t="str">
        <f>'PP - Data'!V192</f>
        <v/>
      </c>
      <c r="W97" s="100" t="str">
        <f>'PP - Data'!W192</f>
        <v/>
      </c>
      <c r="X97" s="100" t="str">
        <f>'PP - Data'!X192</f>
        <v/>
      </c>
      <c r="Y97" s="100" t="str">
        <f>'PP - Data'!Y192</f>
        <v/>
      </c>
      <c r="Z97" s="100" t="str">
        <f>'PP - Data'!Z192</f>
        <v/>
      </c>
      <c r="AA97" s="100" t="str">
        <f>'PP - Data'!AA192</f>
        <v/>
      </c>
      <c r="AB97" s="100" t="str">
        <f>'PP - Data'!AB192</f>
        <v/>
      </c>
      <c r="AC97" s="100" t="str">
        <f>'PP - Data'!AC192</f>
        <v/>
      </c>
      <c r="AD97" s="100" t="str">
        <f>'PP - Data'!AD192</f>
        <v/>
      </c>
      <c r="AE97" s="100" t="str">
        <f>'PP - Data'!AE192</f>
        <v/>
      </c>
      <c r="AF97" s="100" t="str">
        <f>'PP - Data'!AF192</f>
        <v/>
      </c>
      <c r="AG97" s="100" t="str">
        <f>'PP - Data'!AG192</f>
        <v/>
      </c>
      <c r="AH97" s="100" t="str">
        <f>'PP - Data'!AH192</f>
        <v/>
      </c>
      <c r="AI97" s="101" t="s">
        <v>20</v>
      </c>
      <c r="AJ97" s="100">
        <f>'PP - Data'!AJ192</f>
        <v>0.7326732673</v>
      </c>
      <c r="AK97" s="100">
        <f>'PP - Data'!AK192</f>
        <v>0.755</v>
      </c>
      <c r="AL97" s="100">
        <f>'PP - Data'!AL192</f>
        <v>0.6822916667</v>
      </c>
      <c r="AM97" s="100">
        <f>'PP - Data'!AM192</f>
        <v>0.7371428571</v>
      </c>
      <c r="AN97" s="100">
        <f>'PP - Data'!AN192</f>
        <v>0.8269230769</v>
      </c>
      <c r="AO97" s="100">
        <f>'PP - Data'!AO192</f>
        <v>0.6509433962</v>
      </c>
      <c r="AP97" s="100">
        <f>'PP - Data'!AP192</f>
        <v>0.7744479495</v>
      </c>
      <c r="AQ97" s="100">
        <f>'PP - Data'!AQ192</f>
        <v>0.7878228782</v>
      </c>
      <c r="AR97" s="100">
        <f>'PP - Data'!AR192</f>
        <v>0.766848816</v>
      </c>
      <c r="AS97" s="100">
        <f>'PP - Data'!AS192</f>
        <v>0.7633136095</v>
      </c>
      <c r="AT97" s="100">
        <f>'PP - Data'!AT192</f>
        <v>0.7543859649</v>
      </c>
      <c r="AU97" s="100">
        <f>'PP - Data'!AU192</f>
        <v>0.7445652174</v>
      </c>
      <c r="AV97" s="100">
        <f>'PP - Data'!AV192</f>
        <v>0.7690253672</v>
      </c>
      <c r="AW97" s="100">
        <f>'PP - Data'!AW192</f>
        <v>0.7666666667</v>
      </c>
      <c r="AX97" s="100">
        <f>'PP - Data'!AX192</f>
        <v>0.7653061224</v>
      </c>
      <c r="AY97" s="100">
        <f>'PP - Data'!AY192</f>
        <v>0.7401960784</v>
      </c>
      <c r="AZ97" s="100">
        <f>'PP - Data'!AZ192</f>
        <v>0.6721504113</v>
      </c>
      <c r="BA97" s="100">
        <f>'PP - Data'!BA192</f>
        <v>0.7164179104</v>
      </c>
      <c r="BB97" s="100">
        <f>'PP - Data'!BB192</f>
        <v>0.7851002865</v>
      </c>
      <c r="BC97" s="100">
        <f>'PP - Data'!BC192</f>
        <v>0.7875816993</v>
      </c>
      <c r="BD97" s="100">
        <f>'PP - Data'!BD192</f>
        <v>0.8029850746</v>
      </c>
      <c r="BE97" s="100">
        <f>'PP - Data'!BE192</f>
        <v>0.7676056338</v>
      </c>
      <c r="BF97" s="100">
        <f>'PP - Data'!BF192</f>
        <v>0.7944606414</v>
      </c>
      <c r="BG97" s="100">
        <f>'PP - Data'!BG192</f>
        <v>0.7678795483</v>
      </c>
      <c r="BH97" s="100">
        <f>'PP - Data'!BH192</f>
        <v>0.7574819401</v>
      </c>
      <c r="BI97" s="100" t="str">
        <f>'PP - Data'!BI192</f>
        <v/>
      </c>
      <c r="BJ97" s="100" t="str">
        <f>'PP - Data'!BJ192</f>
        <v/>
      </c>
      <c r="BK97" s="100" t="str">
        <f>'PP - Data'!BK192</f>
        <v/>
      </c>
      <c r="BL97" s="100" t="str">
        <f>'PP - Data'!BL192</f>
        <v/>
      </c>
      <c r="BM97" s="100" t="str">
        <f>'PP - Data'!BM192</f>
        <v/>
      </c>
      <c r="BN97" s="100" t="str">
        <f>'PP - Data'!BN192</f>
        <v/>
      </c>
      <c r="BO97" s="100" t="str">
        <f>'PP - Data'!BO192</f>
        <v/>
      </c>
      <c r="BP97" s="81"/>
      <c r="BQ97" s="82"/>
    </row>
    <row r="98">
      <c r="A98" s="78" t="s">
        <v>21</v>
      </c>
      <c r="B98" s="100" t="str">
        <f>'PP - Data'!B193</f>
        <v/>
      </c>
      <c r="C98" s="100" t="str">
        <f>'PP - Data'!C193</f>
        <v/>
      </c>
      <c r="D98" s="100" t="str">
        <f>'PP - Data'!D193</f>
        <v/>
      </c>
      <c r="E98" s="100" t="str">
        <f>'PP - Data'!E193</f>
        <v/>
      </c>
      <c r="F98" s="100" t="str">
        <f>'PP - Data'!F193</f>
        <v/>
      </c>
      <c r="G98" s="100" t="str">
        <f>'PP - Data'!G193</f>
        <v/>
      </c>
      <c r="H98" s="100" t="str">
        <f>'PP - Data'!H193</f>
        <v/>
      </c>
      <c r="I98" s="100" t="str">
        <f>'PP - Data'!I193</f>
        <v/>
      </c>
      <c r="J98" s="100" t="str">
        <f>'PP - Data'!J193</f>
        <v/>
      </c>
      <c r="K98" s="100" t="str">
        <f>'PP - Data'!K193</f>
        <v/>
      </c>
      <c r="L98" s="100" t="str">
        <f>'PP - Data'!L193</f>
        <v/>
      </c>
      <c r="M98" s="100" t="str">
        <f>'PP - Data'!M193</f>
        <v/>
      </c>
      <c r="N98" s="100" t="str">
        <f>'PP - Data'!N193</f>
        <v/>
      </c>
      <c r="O98" s="100" t="str">
        <f>'PP - Data'!O193</f>
        <v/>
      </c>
      <c r="P98" s="100" t="str">
        <f>'PP - Data'!P193</f>
        <v/>
      </c>
      <c r="Q98" s="100" t="str">
        <f>'PP - Data'!Q193</f>
        <v/>
      </c>
      <c r="R98" s="100" t="str">
        <f>'PP - Data'!R193</f>
        <v/>
      </c>
      <c r="S98" s="100" t="str">
        <f>'PP - Data'!S193</f>
        <v/>
      </c>
      <c r="T98" s="100" t="str">
        <f>'PP - Data'!T193</f>
        <v/>
      </c>
      <c r="U98" s="100" t="str">
        <f>'PP - Data'!U193</f>
        <v/>
      </c>
      <c r="V98" s="100" t="str">
        <f>'PP - Data'!V193</f>
        <v/>
      </c>
      <c r="W98" s="100" t="str">
        <f>'PP - Data'!W193</f>
        <v/>
      </c>
      <c r="X98" s="100" t="str">
        <f>'PP - Data'!X193</f>
        <v/>
      </c>
      <c r="Y98" s="100" t="str">
        <f>'PP - Data'!Y193</f>
        <v/>
      </c>
      <c r="Z98" s="100" t="str">
        <f>'PP - Data'!Z193</f>
        <v/>
      </c>
      <c r="AA98" s="100" t="str">
        <f>'PP - Data'!AA193</f>
        <v/>
      </c>
      <c r="AB98" s="100" t="str">
        <f>'PP - Data'!AB193</f>
        <v/>
      </c>
      <c r="AC98" s="100" t="str">
        <f>'PP - Data'!AC193</f>
        <v/>
      </c>
      <c r="AD98" s="100" t="str">
        <f>'PP - Data'!AD193</f>
        <v/>
      </c>
      <c r="AE98" s="100" t="str">
        <f>'PP - Data'!AE193</f>
        <v/>
      </c>
      <c r="AF98" s="100" t="str">
        <f>'PP - Data'!AF193</f>
        <v/>
      </c>
      <c r="AG98" s="100" t="str">
        <f>'PP - Data'!AG193</f>
        <v/>
      </c>
      <c r="AH98" s="100" t="str">
        <f>'PP - Data'!AH193</f>
        <v/>
      </c>
      <c r="AI98" s="101" t="s">
        <v>21</v>
      </c>
      <c r="AJ98" s="100">
        <f>'PP - Data'!AJ193</f>
        <v>0.08250825083</v>
      </c>
      <c r="AK98" s="100">
        <f>'PP - Data'!AK193</f>
        <v>0.115</v>
      </c>
      <c r="AL98" s="100">
        <f>'PP - Data'!AL193</f>
        <v>0.1145833333</v>
      </c>
      <c r="AM98" s="100">
        <f>'PP - Data'!AM193</f>
        <v>0.04</v>
      </c>
      <c r="AN98" s="100">
        <f>'PP - Data'!AN193</f>
        <v>0.01923076923</v>
      </c>
      <c r="AO98" s="100">
        <f>'PP - Data'!AO193</f>
        <v>0.09905660377</v>
      </c>
      <c r="AP98" s="100">
        <f>'PP - Data'!AP193</f>
        <v>0.07413249211</v>
      </c>
      <c r="AQ98" s="100">
        <f>'PP - Data'!AQ193</f>
        <v>0.04704797048</v>
      </c>
      <c r="AR98" s="100">
        <f>'PP - Data'!AR193</f>
        <v>0.07103825137</v>
      </c>
      <c r="AS98" s="100">
        <f>'PP - Data'!AS193</f>
        <v>0.08136094675</v>
      </c>
      <c r="AT98" s="100">
        <f>'PP - Data'!AT193</f>
        <v>0.06604747162</v>
      </c>
      <c r="AU98" s="100">
        <f>'PP - Data'!AU193</f>
        <v>0.07934782609</v>
      </c>
      <c r="AV98" s="100">
        <f>'PP - Data'!AV193</f>
        <v>0.0694259012</v>
      </c>
      <c r="AW98" s="100">
        <f>'PP - Data'!AW193</f>
        <v>0.08205128205</v>
      </c>
      <c r="AX98" s="100">
        <f>'PP - Data'!AX193</f>
        <v>0.04081632653</v>
      </c>
      <c r="AY98" s="100">
        <f>'PP - Data'!AY193</f>
        <v>0.112745098</v>
      </c>
      <c r="AZ98" s="100">
        <f>'PP - Data'!AZ193</f>
        <v>0.0705052879</v>
      </c>
      <c r="BA98" s="100">
        <f>'PP - Data'!BA193</f>
        <v>0.08955223881</v>
      </c>
      <c r="BB98" s="100">
        <f>'PP - Data'!BB193</f>
        <v>0.0659025788</v>
      </c>
      <c r="BC98" s="100">
        <f>'PP - Data'!BC193</f>
        <v>0.05555555556</v>
      </c>
      <c r="BD98" s="100">
        <f>'PP - Data'!BD193</f>
        <v>0.05970149254</v>
      </c>
      <c r="BE98" s="100">
        <f>'PP - Data'!BE193</f>
        <v>0.07394366197</v>
      </c>
      <c r="BF98" s="100">
        <f>'PP - Data'!BF193</f>
        <v>0.05976676385</v>
      </c>
      <c r="BG98" s="100">
        <f>'PP - Data'!BG193</f>
        <v>0.07277289837</v>
      </c>
      <c r="BH98" s="100">
        <f>'PP - Data'!BH193</f>
        <v>0.05985552116</v>
      </c>
      <c r="BI98" s="100" t="str">
        <f>'PP - Data'!BI193</f>
        <v/>
      </c>
      <c r="BJ98" s="100" t="str">
        <f>'PP - Data'!BJ193</f>
        <v/>
      </c>
      <c r="BK98" s="100" t="str">
        <f>'PP - Data'!BK193</f>
        <v/>
      </c>
      <c r="BL98" s="100" t="str">
        <f>'PP - Data'!BL193</f>
        <v/>
      </c>
      <c r="BM98" s="100" t="str">
        <f>'PP - Data'!BM193</f>
        <v/>
      </c>
      <c r="BN98" s="100" t="str">
        <f>'PP - Data'!BN193</f>
        <v/>
      </c>
      <c r="BO98" s="100" t="str">
        <f>'PP - Data'!BO193</f>
        <v/>
      </c>
      <c r="BP98" s="83"/>
      <c r="BQ98" s="82"/>
    </row>
    <row r="99">
      <c r="A99" s="84" t="s">
        <v>22</v>
      </c>
      <c r="B99" s="100" t="str">
        <f>'PP - Data'!B194</f>
        <v/>
      </c>
      <c r="C99" s="100" t="str">
        <f>'PP - Data'!C194</f>
        <v/>
      </c>
      <c r="D99" s="100" t="str">
        <f>'PP - Data'!D194</f>
        <v/>
      </c>
      <c r="E99" s="100" t="str">
        <f>'PP - Data'!E194</f>
        <v/>
      </c>
      <c r="F99" s="100" t="str">
        <f>'PP - Data'!F194</f>
        <v/>
      </c>
      <c r="G99" s="100" t="str">
        <f>'PP - Data'!G194</f>
        <v/>
      </c>
      <c r="H99" s="100" t="str">
        <f>'PP - Data'!H194</f>
        <v/>
      </c>
      <c r="I99" s="100" t="str">
        <f>'PP - Data'!I194</f>
        <v/>
      </c>
      <c r="J99" s="100" t="str">
        <f>'PP - Data'!J194</f>
        <v/>
      </c>
      <c r="K99" s="100" t="str">
        <f>'PP - Data'!K194</f>
        <v/>
      </c>
      <c r="L99" s="100" t="str">
        <f>'PP - Data'!L194</f>
        <v/>
      </c>
      <c r="M99" s="100" t="str">
        <f>'PP - Data'!M194</f>
        <v/>
      </c>
      <c r="N99" s="100" t="str">
        <f>'PP - Data'!N194</f>
        <v/>
      </c>
      <c r="O99" s="100" t="str">
        <f>'PP - Data'!O194</f>
        <v/>
      </c>
      <c r="P99" s="100" t="str">
        <f>'PP - Data'!P194</f>
        <v/>
      </c>
      <c r="Q99" s="100" t="str">
        <f>'PP - Data'!Q194</f>
        <v/>
      </c>
      <c r="R99" s="100" t="str">
        <f>'PP - Data'!R194</f>
        <v/>
      </c>
      <c r="S99" s="100" t="str">
        <f>'PP - Data'!S194</f>
        <v/>
      </c>
      <c r="T99" s="100" t="str">
        <f>'PP - Data'!T194</f>
        <v/>
      </c>
      <c r="U99" s="100" t="str">
        <f>'PP - Data'!U194</f>
        <v/>
      </c>
      <c r="V99" s="100" t="str">
        <f>'PP - Data'!V194</f>
        <v/>
      </c>
      <c r="W99" s="100" t="str">
        <f>'PP - Data'!W194</f>
        <v/>
      </c>
      <c r="X99" s="100" t="str">
        <f>'PP - Data'!X194</f>
        <v/>
      </c>
      <c r="Y99" s="100" t="str">
        <f>'PP - Data'!Y194</f>
        <v/>
      </c>
      <c r="Z99" s="100" t="str">
        <f>'PP - Data'!Z194</f>
        <v/>
      </c>
      <c r="AA99" s="100" t="str">
        <f>'PP - Data'!AA194</f>
        <v/>
      </c>
      <c r="AB99" s="100" t="str">
        <f>'PP - Data'!AB194</f>
        <v/>
      </c>
      <c r="AC99" s="100" t="str">
        <f>'PP - Data'!AC194</f>
        <v/>
      </c>
      <c r="AD99" s="100" t="str">
        <f>'PP - Data'!AD194</f>
        <v/>
      </c>
      <c r="AE99" s="100" t="str">
        <f>'PP - Data'!AE194</f>
        <v/>
      </c>
      <c r="AF99" s="100" t="str">
        <f>'PP - Data'!AF194</f>
        <v/>
      </c>
      <c r="AG99" s="100" t="str">
        <f>'PP - Data'!AG194</f>
        <v/>
      </c>
      <c r="AH99" s="100" t="str">
        <f>'PP - Data'!AH194</f>
        <v/>
      </c>
      <c r="AI99" s="101" t="s">
        <v>22</v>
      </c>
      <c r="AJ99" s="100">
        <f>'PP - Data'!AJ194</f>
        <v>0.1848184818</v>
      </c>
      <c r="AK99" s="100">
        <f>'PP - Data'!AK194</f>
        <v>0.13</v>
      </c>
      <c r="AL99" s="100">
        <f>'PP - Data'!AL194</f>
        <v>0.203125</v>
      </c>
      <c r="AM99" s="100">
        <f>'PP - Data'!AM194</f>
        <v>0.2228571429</v>
      </c>
      <c r="AN99" s="100">
        <f>'PP - Data'!AN194</f>
        <v>0.1538461538</v>
      </c>
      <c r="AO99" s="100">
        <f>'PP - Data'!AO194</f>
        <v>0.25</v>
      </c>
      <c r="AP99" s="100">
        <f>'PP - Data'!AP194</f>
        <v>0.1514195584</v>
      </c>
      <c r="AQ99" s="100">
        <f>'PP - Data'!AQ194</f>
        <v>0.1651291513</v>
      </c>
      <c r="AR99" s="100">
        <f>'PP - Data'!AR194</f>
        <v>0.1621129326</v>
      </c>
      <c r="AS99" s="100">
        <f>'PP - Data'!AS194</f>
        <v>0.1553254438</v>
      </c>
      <c r="AT99" s="100">
        <f>'PP - Data'!AT194</f>
        <v>0.1795665635</v>
      </c>
      <c r="AU99" s="100">
        <f>'PP - Data'!AU194</f>
        <v>0.1760869565</v>
      </c>
      <c r="AV99" s="100">
        <f>'PP - Data'!AV194</f>
        <v>0.1615487316</v>
      </c>
      <c r="AW99" s="100">
        <f>'PP - Data'!AW194</f>
        <v>0.1512820513</v>
      </c>
      <c r="AX99" s="100">
        <f>'PP - Data'!AX194</f>
        <v>0.193877551</v>
      </c>
      <c r="AY99" s="100">
        <f>'PP - Data'!AY194</f>
        <v>0.1470588235</v>
      </c>
      <c r="AZ99" s="100">
        <f>'PP - Data'!AZ194</f>
        <v>0.2573443008</v>
      </c>
      <c r="BA99" s="100">
        <f>'PP - Data'!BA194</f>
        <v>0.1940298507</v>
      </c>
      <c r="BB99" s="100">
        <f>'PP - Data'!BB194</f>
        <v>0.1489971347</v>
      </c>
      <c r="BC99" s="100">
        <f>'PP - Data'!BC194</f>
        <v>0.1568627451</v>
      </c>
      <c r="BD99" s="100">
        <f>'PP - Data'!BD194</f>
        <v>0.1373134328</v>
      </c>
      <c r="BE99" s="100">
        <f>'PP - Data'!BE194</f>
        <v>0.1584507042</v>
      </c>
      <c r="BF99" s="100">
        <f>'PP - Data'!BF194</f>
        <v>0.1457725948</v>
      </c>
      <c r="BG99" s="100">
        <f>'PP - Data'!BG194</f>
        <v>0.1593475533</v>
      </c>
      <c r="BH99" s="100">
        <f>'PP - Data'!BH194</f>
        <v>0.1826625387</v>
      </c>
      <c r="BI99" s="100" t="str">
        <f>'PP - Data'!BI194</f>
        <v/>
      </c>
      <c r="BJ99" s="100" t="str">
        <f>'PP - Data'!BJ194</f>
        <v/>
      </c>
      <c r="BK99" s="100" t="str">
        <f>'PP - Data'!BK194</f>
        <v/>
      </c>
      <c r="BL99" s="100" t="str">
        <f>'PP - Data'!BL194</f>
        <v/>
      </c>
      <c r="BM99" s="100" t="str">
        <f>'PP - Data'!BM194</f>
        <v/>
      </c>
      <c r="BN99" s="100" t="str">
        <f>'PP - Data'!BN194</f>
        <v/>
      </c>
      <c r="BO99" s="100" t="str">
        <f>'PP - Data'!BO194</f>
        <v/>
      </c>
      <c r="BP99" s="83"/>
      <c r="BQ99" s="82"/>
    </row>
  </sheetData>
  <mergeCells count="7">
    <mergeCell ref="B1:G1"/>
    <mergeCell ref="H1:S1"/>
    <mergeCell ref="T1:AE1"/>
    <mergeCell ref="AF1:AQ1"/>
    <mergeCell ref="A3:A4"/>
    <mergeCell ref="A59:A60"/>
    <mergeCell ref="A80:A81"/>
  </mergeCells>
  <conditionalFormatting sqref="B6:BO15">
    <cfRule type="colorScale" priority="1">
      <colorScale>
        <cfvo type="min"/>
        <cfvo type="max"/>
        <color rgb="FFFFFFFF"/>
        <color rgb="FF57BB8A"/>
      </colorScale>
    </cfRule>
  </conditionalFormatting>
  <conditionalFormatting sqref="AC19:BO21">
    <cfRule type="colorScale" priority="2">
      <colorScale>
        <cfvo type="min"/>
        <cfvo type="max"/>
        <color rgb="FFFFFFFF"/>
        <color rgb="FF57BB8A"/>
      </colorScale>
    </cfRule>
  </conditionalFormatting>
  <conditionalFormatting sqref="AD25:BO28">
    <cfRule type="colorScale" priority="3">
      <colorScale>
        <cfvo type="min"/>
        <cfvo type="max"/>
        <color rgb="FFFFFFFF"/>
        <color rgb="FF57BB8A"/>
      </colorScale>
    </cfRule>
  </conditionalFormatting>
  <conditionalFormatting sqref="AK32:BO33">
    <cfRule type="colorScale" priority="4">
      <colorScale>
        <cfvo type="min"/>
        <cfvo type="max"/>
        <color rgb="FFFFFFFF"/>
        <color rgb="FF57BB8A"/>
      </colorScale>
    </cfRule>
  </conditionalFormatting>
  <conditionalFormatting sqref="AK36:BO37">
    <cfRule type="colorScale" priority="5">
      <colorScale>
        <cfvo type="min"/>
        <cfvo type="max"/>
        <color rgb="FFFFFFFF"/>
        <color rgb="FF57BB8A"/>
      </colorScale>
    </cfRule>
  </conditionalFormatting>
  <conditionalFormatting sqref="AJ40:BO41">
    <cfRule type="colorScale" priority="6">
      <colorScale>
        <cfvo type="min"/>
        <cfvo type="max"/>
        <color rgb="FFFFFFFF"/>
        <color rgb="FF57BB8A"/>
      </colorScale>
    </cfRule>
  </conditionalFormatting>
  <conditionalFormatting sqref="AJ62:BO65">
    <cfRule type="colorScale" priority="7">
      <colorScale>
        <cfvo type="min"/>
        <cfvo type="max"/>
        <color rgb="FFFFFFFF"/>
        <color rgb="FF57BB8A"/>
      </colorScale>
    </cfRule>
  </conditionalFormatting>
  <conditionalFormatting sqref="AJ67:BO74">
    <cfRule type="colorScale" priority="8">
      <colorScale>
        <cfvo type="min"/>
        <cfvo type="max"/>
        <color rgb="FFFFFFFF"/>
        <color rgb="FF57BB8A"/>
      </colorScale>
    </cfRule>
  </conditionalFormatting>
  <conditionalFormatting sqref="AJ76:BO78">
    <cfRule type="colorScale" priority="9">
      <colorScale>
        <cfvo type="min"/>
        <cfvo type="max"/>
        <color rgb="FFFFFFFF"/>
        <color rgb="FF57BB8A"/>
      </colorScale>
    </cfRule>
  </conditionalFormatting>
  <conditionalFormatting sqref="AJ83:BO86">
    <cfRule type="colorScale" priority="10">
      <colorScale>
        <cfvo type="min"/>
        <cfvo type="max"/>
        <color rgb="FFFFFFFF"/>
        <color rgb="FF57BB8A"/>
      </colorScale>
    </cfRule>
  </conditionalFormatting>
  <conditionalFormatting sqref="AJ88:BO95">
    <cfRule type="colorScale" priority="11">
      <colorScale>
        <cfvo type="min"/>
        <cfvo type="max"/>
        <color rgb="FFFFFFFF"/>
        <color rgb="FF57BB8A"/>
      </colorScale>
    </cfRule>
  </conditionalFormatting>
  <conditionalFormatting sqref="AJ97:BO99">
    <cfRule type="colorScale" priority="12">
      <colorScale>
        <cfvo type="min"/>
        <cfvo type="max"/>
        <color rgb="FFFFFFFF"/>
        <color rgb="FF57BB8A"/>
      </colorScale>
    </cfRule>
  </conditionalFormatting>
  <conditionalFormatting sqref="B6:BO15">
    <cfRule type="containsBlanks" dxfId="0" priority="13">
      <formula>LEN(TRIM(B6))=0</formula>
    </cfRule>
  </conditionalFormatting>
  <conditionalFormatting sqref="AS44:BO45">
    <cfRule type="colorScale" priority="14">
      <colorScale>
        <cfvo type="min"/>
        <cfvo type="max"/>
        <color rgb="FFFFFFFF"/>
        <color rgb="FF57BB8A"/>
      </colorScale>
    </cfRule>
  </conditionalFormatting>
  <conditionalFormatting sqref="AP48:BO53">
    <cfRule type="colorScale" priority="15">
      <colorScale>
        <cfvo type="min"/>
        <cfvo type="max"/>
        <color rgb="FFFFFFFF"/>
        <color rgb="FF57BB8A"/>
      </colorScale>
    </cfRule>
  </conditionalFormatting>
  <conditionalFormatting sqref="AP56:BO57">
    <cfRule type="colorScale" priority="16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55.38"/>
  </cols>
  <sheetData>
    <row r="1">
      <c r="A1" s="4" t="s">
        <v>0</v>
      </c>
      <c r="B1" s="5">
        <v>2021.0</v>
      </c>
      <c r="C1" s="5">
        <v>2022.0</v>
      </c>
      <c r="D1" s="5">
        <v>2023.0</v>
      </c>
      <c r="E1" s="5">
        <v>2024.0</v>
      </c>
      <c r="F1" s="5">
        <v>2025.0</v>
      </c>
      <c r="G1" s="5">
        <v>2026.0</v>
      </c>
      <c r="H1" s="7" t="s">
        <v>1</v>
      </c>
      <c r="I1" s="8" t="s">
        <v>2</v>
      </c>
    </row>
    <row r="2">
      <c r="A2" s="9" t="s">
        <v>3</v>
      </c>
      <c r="B2" s="10">
        <f>sum('PP - Data'!B3:G3)</f>
        <v>8048</v>
      </c>
      <c r="C2" s="10">
        <f>sum('PP - Data'!H3:S3)</f>
        <v>49689</v>
      </c>
      <c r="D2" s="10">
        <f>sum('PP - Data'!T3:AE3)</f>
        <v>117142</v>
      </c>
      <c r="E2" s="13">
        <f>sum('PP - Data'!AF3:AQ3)</f>
        <v>120235</v>
      </c>
      <c r="F2" s="13">
        <f>sum('PP - Data'!AR3:BC3)</f>
        <v>155414</v>
      </c>
      <c r="G2" s="13">
        <f>sum('PP - Data'!BD3:BO3)</f>
        <v>35336</v>
      </c>
      <c r="H2" s="14"/>
      <c r="I2" s="14"/>
    </row>
    <row r="3">
      <c r="A3" s="15" t="s">
        <v>4</v>
      </c>
      <c r="B3" s="16">
        <f t="shared" ref="B3:G3" si="1">B17/B2</f>
        <v>0.5570328032</v>
      </c>
      <c r="C3" s="16">
        <f t="shared" si="1"/>
        <v>0.3739056934</v>
      </c>
      <c r="D3" s="16">
        <f t="shared" si="1"/>
        <v>0.4823206023</v>
      </c>
      <c r="E3" s="16">
        <f t="shared" si="1"/>
        <v>0.5144675011</v>
      </c>
      <c r="F3" s="16">
        <f t="shared" si="1"/>
        <v>0.5047421725</v>
      </c>
      <c r="G3" s="16">
        <f t="shared" si="1"/>
        <v>0.5243377858</v>
      </c>
      <c r="H3" s="14"/>
      <c r="I3" s="14"/>
    </row>
    <row r="4">
      <c r="A4" s="17" t="s">
        <v>5</v>
      </c>
      <c r="B4" s="18"/>
      <c r="C4" s="18"/>
      <c r="D4" s="18"/>
      <c r="E4" s="18"/>
      <c r="F4" s="18"/>
      <c r="G4" s="18"/>
      <c r="H4" s="19"/>
      <c r="I4" s="19"/>
    </row>
    <row r="5">
      <c r="B5" s="18"/>
      <c r="C5" s="18"/>
      <c r="D5" s="18"/>
      <c r="E5" s="18"/>
      <c r="F5" s="18"/>
      <c r="G5" s="18"/>
      <c r="H5" s="19"/>
      <c r="I5" s="19"/>
    </row>
    <row r="6">
      <c r="A6" s="20" t="s">
        <v>6</v>
      </c>
      <c r="B6" s="21"/>
      <c r="C6" s="21"/>
      <c r="D6" s="21"/>
      <c r="E6" s="21"/>
      <c r="F6" s="21"/>
      <c r="G6" s="21"/>
      <c r="H6" s="22"/>
      <c r="I6" s="23"/>
    </row>
    <row r="7">
      <c r="A7" s="24" t="s">
        <v>7</v>
      </c>
      <c r="B7" s="25">
        <f>SUM('PP - Data'!B8:G8)</f>
        <v>2707</v>
      </c>
      <c r="C7" s="26">
        <f>SUM('PP - Data'!H8:S8)</f>
        <v>11102</v>
      </c>
      <c r="D7" s="26">
        <f>sum('PP - Data'!T8:AE8)</f>
        <v>25875</v>
      </c>
      <c r="E7" s="26">
        <f>sum('PP - Data'!AF8:AQ8)</f>
        <v>32628</v>
      </c>
      <c r="F7" s="26">
        <f>sum('PP - Data'!AR8:BC8)</f>
        <v>41295</v>
      </c>
      <c r="G7" s="26">
        <f>sum('PP - Data'!BD8:BO8)</f>
        <v>6580</v>
      </c>
      <c r="H7" s="28">
        <f t="shared" ref="H7:H17" si="2">SUM(B7:G7)</f>
        <v>120187</v>
      </c>
      <c r="I7" s="19">
        <f t="shared" ref="I7:I16" si="3">iferror(H7/$H$17,"")</f>
        <v>0.5041591335</v>
      </c>
    </row>
    <row r="8">
      <c r="A8" s="30" t="s">
        <v>8</v>
      </c>
      <c r="B8" s="25">
        <f>SUM('PP - Data'!B9:G9)</f>
        <v>623</v>
      </c>
      <c r="C8" s="26">
        <f>SUM('PP - Data'!H9:S9)</f>
        <v>3554</v>
      </c>
      <c r="D8" s="26">
        <f>sum('PP - Data'!T9:AE9)</f>
        <v>19727</v>
      </c>
      <c r="E8" s="26">
        <f>sum('PP - Data'!AF9:AQ9)</f>
        <v>20120</v>
      </c>
      <c r="F8" s="26">
        <f>sum('PP - Data'!AR9:BC9)</f>
        <v>25680</v>
      </c>
      <c r="G8" s="26">
        <f>sum('PP - Data'!BD9:BO9)</f>
        <v>9028</v>
      </c>
      <c r="H8" s="28">
        <f t="shared" si="2"/>
        <v>78732</v>
      </c>
      <c r="I8" s="19">
        <f t="shared" si="3"/>
        <v>0.3302641459</v>
      </c>
    </row>
    <row r="9">
      <c r="A9" s="30" t="s">
        <v>10</v>
      </c>
      <c r="B9" s="25">
        <f>SUM('PP - Data'!B10:G10)</f>
        <v>269</v>
      </c>
      <c r="C9" s="26">
        <f>SUM('PP - Data'!H10:S10)</f>
        <v>782</v>
      </c>
      <c r="D9" s="26">
        <f>sum('PP - Data'!T10:AE10)</f>
        <v>269</v>
      </c>
      <c r="E9" s="33"/>
      <c r="F9" s="33"/>
      <c r="G9" s="33"/>
      <c r="H9" s="28">
        <f t="shared" si="2"/>
        <v>1320</v>
      </c>
      <c r="I9" s="19">
        <f t="shared" si="3"/>
        <v>0.005537121787</v>
      </c>
    </row>
    <row r="10">
      <c r="A10" s="30" t="s">
        <v>11</v>
      </c>
      <c r="B10" s="25">
        <f>SUM('PP - Data'!B11:G11)</f>
        <v>71</v>
      </c>
      <c r="C10" s="26">
        <f>SUM('PP - Data'!H11:S11)</f>
        <v>69</v>
      </c>
      <c r="D10" s="26">
        <f>sum('PP - Data'!T11:AE11)</f>
        <v>18</v>
      </c>
      <c r="E10" s="33"/>
      <c r="F10" s="33"/>
      <c r="G10" s="33"/>
      <c r="H10" s="28">
        <f t="shared" si="2"/>
        <v>158</v>
      </c>
      <c r="I10" s="19">
        <f t="shared" si="3"/>
        <v>0.0006627766988</v>
      </c>
    </row>
    <row r="11">
      <c r="A11" s="30" t="s">
        <v>12</v>
      </c>
      <c r="B11" s="25">
        <f>SUM('PP - Data'!B12:G12)</f>
        <v>40</v>
      </c>
      <c r="C11" s="26">
        <f>SUM('PP - Data'!H12:S12)</f>
        <v>1824</v>
      </c>
      <c r="D11" s="26">
        <f>sum('PP - Data'!T12:AE12)</f>
        <v>1256</v>
      </c>
      <c r="E11" s="26">
        <f>sum('PP - Data'!AF12:AQ12)</f>
        <v>1275</v>
      </c>
      <c r="F11" s="26">
        <f>sum('PP - Data'!AR12:BC12)</f>
        <v>1366</v>
      </c>
      <c r="G11" s="26">
        <f>sum('PP - Data'!BD12:BO12)</f>
        <v>219</v>
      </c>
      <c r="H11" s="28">
        <f t="shared" si="2"/>
        <v>5980</v>
      </c>
      <c r="I11" s="19">
        <f t="shared" si="3"/>
        <v>0.02508483961</v>
      </c>
    </row>
    <row r="12">
      <c r="A12" s="30" t="s">
        <v>13</v>
      </c>
      <c r="B12" s="25">
        <f>SUM('PP - Data'!B13:G13)</f>
        <v>609</v>
      </c>
      <c r="C12" s="26">
        <f>SUM('PP - Data'!H13:S13)</f>
        <v>283</v>
      </c>
      <c r="D12" s="26">
        <f>sum('PP - Data'!T13:AE13)</f>
        <v>1974</v>
      </c>
      <c r="E12" s="26">
        <f>sum('PP - Data'!AF13:AQ13)</f>
        <v>842</v>
      </c>
      <c r="F12" s="26">
        <f>sum('PP - Data'!AR13:BC13)</f>
        <v>982</v>
      </c>
      <c r="G12" s="26">
        <f>sum('PP - Data'!BD13:BO13)</f>
        <v>201</v>
      </c>
      <c r="H12" s="28">
        <f t="shared" si="2"/>
        <v>4891</v>
      </c>
      <c r="I12" s="19">
        <f t="shared" si="3"/>
        <v>0.02051671414</v>
      </c>
    </row>
    <row r="13">
      <c r="A13" s="30" t="s">
        <v>14</v>
      </c>
      <c r="B13" s="25">
        <f>SUM('PP - Data'!B14:G14)</f>
        <v>164</v>
      </c>
      <c r="C13" s="26">
        <f>SUM('PP - Data'!H14:S14)</f>
        <v>959</v>
      </c>
      <c r="D13" s="26">
        <f>sum('PP - Data'!T14:AE14)</f>
        <v>3521</v>
      </c>
      <c r="E13" s="26">
        <f>sum('PP - Data'!AF14:AQ14)</f>
        <v>2423</v>
      </c>
      <c r="F13" s="26">
        <f>sum('PP - Data'!AR14:BC14)</f>
        <v>2608</v>
      </c>
      <c r="G13" s="26">
        <f>sum('PP - Data'!BD14:BO14)</f>
        <v>718</v>
      </c>
      <c r="H13" s="28">
        <f t="shared" si="2"/>
        <v>10393</v>
      </c>
      <c r="I13" s="19">
        <f t="shared" si="3"/>
        <v>0.0435964445</v>
      </c>
    </row>
    <row r="14">
      <c r="A14" s="30" t="s">
        <v>15</v>
      </c>
      <c r="B14" s="39"/>
      <c r="C14" s="26">
        <f>SUM('PP - Data'!H15:S15)</f>
        <v>6</v>
      </c>
      <c r="D14" s="26">
        <f>sum('PP - Data'!T15:AE15)</f>
        <v>3323</v>
      </c>
      <c r="E14" s="26">
        <f>sum('PP - Data'!AF15:AQ15)</f>
        <v>3921</v>
      </c>
      <c r="F14" s="26">
        <f>sum('PP - Data'!AR15:BC15)</f>
        <v>5580</v>
      </c>
      <c r="G14" s="26">
        <f>sum('PP - Data'!BD15:BO15)</f>
        <v>1535</v>
      </c>
      <c r="H14" s="28">
        <f t="shared" si="2"/>
        <v>14365</v>
      </c>
      <c r="I14" s="19">
        <f t="shared" si="3"/>
        <v>0.06025814733</v>
      </c>
    </row>
    <row r="15">
      <c r="A15" s="30" t="s">
        <v>16</v>
      </c>
      <c r="B15" s="39"/>
      <c r="C15" s="33"/>
      <c r="D15" s="26">
        <f>sum('PP - Data'!T16:AE16)</f>
        <v>397</v>
      </c>
      <c r="E15" s="26">
        <f>sum('PP - Data'!AF16:AQ16)</f>
        <v>476</v>
      </c>
      <c r="F15" s="26">
        <f>sum('PP - Data'!AR16:BC16)</f>
        <v>715</v>
      </c>
      <c r="G15" s="26">
        <f>sum('PP - Data'!BD16:BO16)</f>
        <v>189</v>
      </c>
      <c r="H15" s="28">
        <f t="shared" si="2"/>
        <v>1777</v>
      </c>
      <c r="I15" s="19">
        <f t="shared" si="3"/>
        <v>0.007454140467</v>
      </c>
    </row>
    <row r="16">
      <c r="A16" s="24" t="s">
        <v>17</v>
      </c>
      <c r="B16" s="39"/>
      <c r="C16" s="33"/>
      <c r="D16" s="26">
        <f>sum('PP - Data'!T17:AE17)</f>
        <v>140</v>
      </c>
      <c r="E16" s="26">
        <f>sum('PP - Data'!AF17:AQ17)</f>
        <v>172</v>
      </c>
      <c r="F16" s="26">
        <f>sum('PP - Data'!AR17:BC17)</f>
        <v>218</v>
      </c>
      <c r="G16" s="26">
        <f>sum('PP - Data'!BD17:BO17)</f>
        <v>58</v>
      </c>
      <c r="H16" s="28">
        <f t="shared" si="2"/>
        <v>588</v>
      </c>
      <c r="I16" s="19">
        <f t="shared" si="3"/>
        <v>0.002466536069</v>
      </c>
    </row>
    <row r="17">
      <c r="A17" s="40" t="s">
        <v>18</v>
      </c>
      <c r="B17" s="41">
        <f t="shared" ref="B17:G17" si="4">SUM(B7:B16)</f>
        <v>4483</v>
      </c>
      <c r="C17" s="41">
        <f t="shared" si="4"/>
        <v>18579</v>
      </c>
      <c r="D17" s="41">
        <f t="shared" si="4"/>
        <v>56500</v>
      </c>
      <c r="E17" s="41">
        <f t="shared" si="4"/>
        <v>61857</v>
      </c>
      <c r="F17" s="41">
        <f t="shared" si="4"/>
        <v>78444</v>
      </c>
      <c r="G17" s="41">
        <f t="shared" si="4"/>
        <v>18528</v>
      </c>
      <c r="H17" s="42">
        <f t="shared" si="2"/>
        <v>238391</v>
      </c>
      <c r="I17" s="43">
        <f>SUM(I7:I15)</f>
        <v>0.9975334639</v>
      </c>
    </row>
    <row r="18">
      <c r="A18" s="31" t="s">
        <v>9</v>
      </c>
      <c r="B18" s="32"/>
      <c r="C18" s="32"/>
      <c r="D18" s="32"/>
      <c r="E18" s="32"/>
      <c r="F18" s="32"/>
      <c r="G18" s="32"/>
      <c r="H18" s="34"/>
      <c r="I18" s="19"/>
    </row>
    <row r="19">
      <c r="A19" s="35" t="s">
        <v>7</v>
      </c>
      <c r="B19" s="36">
        <f t="shared" ref="B19:G19" si="5">iferror(B7/B$17,"")</f>
        <v>0.6038367165</v>
      </c>
      <c r="C19" s="36">
        <f t="shared" si="5"/>
        <v>0.5975563809</v>
      </c>
      <c r="D19" s="36">
        <f t="shared" si="5"/>
        <v>0.4579646018</v>
      </c>
      <c r="E19" s="36">
        <f t="shared" si="5"/>
        <v>0.5274746593</v>
      </c>
      <c r="F19" s="36">
        <f t="shared" si="5"/>
        <v>0.5264264953</v>
      </c>
      <c r="G19" s="36">
        <f t="shared" si="5"/>
        <v>0.3551381693</v>
      </c>
      <c r="H19" s="34"/>
      <c r="I19" s="19"/>
    </row>
    <row r="20">
      <c r="A20" s="35" t="s">
        <v>8</v>
      </c>
      <c r="B20" s="36">
        <f t="shared" ref="B20:G20" si="6">iferror(B8/B$17,"")</f>
        <v>0.1389694401</v>
      </c>
      <c r="C20" s="36">
        <f t="shared" si="6"/>
        <v>0.1912912428</v>
      </c>
      <c r="D20" s="36">
        <f t="shared" si="6"/>
        <v>0.3491504425</v>
      </c>
      <c r="E20" s="36">
        <f t="shared" si="6"/>
        <v>0.3252663401</v>
      </c>
      <c r="F20" s="36">
        <f t="shared" si="6"/>
        <v>0.3273672939</v>
      </c>
      <c r="G20" s="36">
        <f t="shared" si="6"/>
        <v>0.4872625216</v>
      </c>
      <c r="H20" s="34"/>
      <c r="I20" s="19"/>
    </row>
    <row r="21">
      <c r="A21" s="35" t="s">
        <v>10</v>
      </c>
      <c r="B21" s="36">
        <f t="shared" ref="B21:D21" si="7">iferror(B9/B$17,"")</f>
        <v>0.0600044613</v>
      </c>
      <c r="C21" s="36">
        <f t="shared" si="7"/>
        <v>0.04209053232</v>
      </c>
      <c r="D21" s="36">
        <f t="shared" si="7"/>
        <v>0.004761061947</v>
      </c>
      <c r="E21" s="44"/>
      <c r="F21" s="44"/>
      <c r="G21" s="44"/>
      <c r="H21" s="34"/>
      <c r="I21" s="19"/>
    </row>
    <row r="22">
      <c r="A22" s="35" t="s">
        <v>11</v>
      </c>
      <c r="B22" s="36">
        <f t="shared" ref="B22:D22" si="8">iferror(B10/B$17,"")</f>
        <v>0.01583760874</v>
      </c>
      <c r="C22" s="36">
        <f t="shared" si="8"/>
        <v>0.003713870499</v>
      </c>
      <c r="D22" s="36">
        <f t="shared" si="8"/>
        <v>0.0003185840708</v>
      </c>
      <c r="E22" s="44"/>
      <c r="F22" s="44"/>
      <c r="G22" s="44"/>
      <c r="H22" s="34"/>
      <c r="I22" s="19"/>
    </row>
    <row r="23">
      <c r="A23" s="35" t="s">
        <v>12</v>
      </c>
      <c r="B23" s="36">
        <f t="shared" ref="B23:G23" si="9">iferror(B11/B$17,"")</f>
        <v>0.008922596476</v>
      </c>
      <c r="C23" s="36">
        <f t="shared" si="9"/>
        <v>0.09817535928</v>
      </c>
      <c r="D23" s="36">
        <f t="shared" si="9"/>
        <v>0.0222300885</v>
      </c>
      <c r="E23" s="36">
        <f t="shared" si="9"/>
        <v>0.02061205684</v>
      </c>
      <c r="F23" s="36">
        <f t="shared" si="9"/>
        <v>0.01741369639</v>
      </c>
      <c r="G23" s="36">
        <f t="shared" si="9"/>
        <v>0.01181994819</v>
      </c>
      <c r="H23" s="34"/>
      <c r="I23" s="19"/>
    </row>
    <row r="24">
      <c r="A24" s="35" t="s">
        <v>13</v>
      </c>
      <c r="B24" s="36">
        <f t="shared" ref="B24:G24" si="10">iferror(B12/B$17,"")</f>
        <v>0.1358465313</v>
      </c>
      <c r="C24" s="36">
        <f t="shared" si="10"/>
        <v>0.01523225147</v>
      </c>
      <c r="D24" s="36">
        <f t="shared" si="10"/>
        <v>0.0349380531</v>
      </c>
      <c r="E24" s="36">
        <f t="shared" si="10"/>
        <v>0.01361204067</v>
      </c>
      <c r="F24" s="36">
        <f t="shared" si="10"/>
        <v>0.01251848452</v>
      </c>
      <c r="G24" s="36">
        <f t="shared" si="10"/>
        <v>0.0108484456</v>
      </c>
      <c r="H24" s="34"/>
      <c r="I24" s="19"/>
    </row>
    <row r="25">
      <c r="A25" s="35" t="s">
        <v>14</v>
      </c>
      <c r="B25" s="36">
        <f t="shared" ref="B25:G25" si="11">iferror(B13/B$17,"")</f>
        <v>0.03658264555</v>
      </c>
      <c r="C25" s="36">
        <f t="shared" si="11"/>
        <v>0.05161741751</v>
      </c>
      <c r="D25" s="36">
        <f t="shared" si="11"/>
        <v>0.06231858407</v>
      </c>
      <c r="E25" s="36">
        <f t="shared" si="11"/>
        <v>0.03917099116</v>
      </c>
      <c r="F25" s="36">
        <f t="shared" si="11"/>
        <v>0.03324664729</v>
      </c>
      <c r="G25" s="36">
        <f t="shared" si="11"/>
        <v>0.03875215889</v>
      </c>
      <c r="H25" s="34"/>
      <c r="I25" s="19"/>
    </row>
    <row r="26">
      <c r="A26" s="47" t="s">
        <v>15</v>
      </c>
      <c r="B26" s="49"/>
      <c r="C26" s="36">
        <f t="shared" ref="C26:G26" si="12">iferror(C14/C$17,"")</f>
        <v>0.0003229452608</v>
      </c>
      <c r="D26" s="36">
        <f t="shared" si="12"/>
        <v>0.05881415929</v>
      </c>
      <c r="E26" s="36">
        <f t="shared" si="12"/>
        <v>0.06338813716</v>
      </c>
      <c r="F26" s="36">
        <f t="shared" si="12"/>
        <v>0.0711335475</v>
      </c>
      <c r="G26" s="36">
        <f t="shared" si="12"/>
        <v>0.08284758204</v>
      </c>
      <c r="H26" s="34"/>
      <c r="I26" s="50"/>
    </row>
    <row r="27">
      <c r="A27" s="47" t="s">
        <v>16</v>
      </c>
      <c r="B27" s="49"/>
      <c r="C27" s="49"/>
      <c r="D27" s="36">
        <f t="shared" ref="D27:G27" si="13">iferror(D15/D$17,"")</f>
        <v>0.007026548673</v>
      </c>
      <c r="E27" s="36">
        <f t="shared" si="13"/>
        <v>0.007695167887</v>
      </c>
      <c r="F27" s="36">
        <f t="shared" si="13"/>
        <v>0.00911478252</v>
      </c>
      <c r="G27" s="36">
        <f t="shared" si="13"/>
        <v>0.0102007772</v>
      </c>
      <c r="H27" s="34"/>
      <c r="I27" s="50"/>
    </row>
    <row r="28">
      <c r="A28" s="51" t="s">
        <v>17</v>
      </c>
      <c r="B28" s="52"/>
      <c r="C28" s="52"/>
      <c r="D28" s="53">
        <f t="shared" ref="D28:G28" si="14">iferror(D16/D$17,"")</f>
        <v>0.002477876106</v>
      </c>
      <c r="E28" s="53">
        <f t="shared" si="14"/>
        <v>0.002780606884</v>
      </c>
      <c r="F28" s="53">
        <f t="shared" si="14"/>
        <v>0.002779052573</v>
      </c>
      <c r="G28" s="53">
        <f t="shared" si="14"/>
        <v>0.003130397237</v>
      </c>
      <c r="H28" s="54"/>
      <c r="I28" s="55"/>
    </row>
    <row r="31">
      <c r="A31" s="56" t="s">
        <v>19</v>
      </c>
      <c r="B31" s="57"/>
      <c r="C31" s="57"/>
      <c r="D31" s="57"/>
      <c r="E31" s="57"/>
      <c r="F31" s="57"/>
      <c r="G31" s="57"/>
      <c r="H31" s="58"/>
      <c r="I31" s="59"/>
    </row>
    <row r="32">
      <c r="A32" s="60" t="s">
        <v>20</v>
      </c>
      <c r="B32" s="61"/>
      <c r="C32" s="61"/>
      <c r="D32" s="62">
        <f>SUM('PP - Data'!AC33:AE33)</f>
        <v>14033</v>
      </c>
      <c r="E32" s="62">
        <f>SUM('PP - Data'!AF33:AQ33)</f>
        <v>27083</v>
      </c>
      <c r="F32" s="62">
        <f>SUM('PP - Data'!AR33:BC33)</f>
        <v>34324</v>
      </c>
      <c r="G32" s="62">
        <f>SUM('PP - Data'!BD33:BO33)</f>
        <v>5172</v>
      </c>
      <c r="H32" s="63">
        <f t="shared" ref="H32:H35" si="15">SUM(B32:G32)</f>
        <v>80612</v>
      </c>
      <c r="I32" s="64">
        <f t="shared" ref="I32:I34" si="16">iferror(H32/H$35,"")</f>
        <v>0.8347001325</v>
      </c>
    </row>
    <row r="33">
      <c r="A33" s="65" t="s">
        <v>21</v>
      </c>
      <c r="B33" s="66"/>
      <c r="C33" s="66"/>
      <c r="D33" s="62">
        <f>SUM('PP - Data'!AC34:AE34)</f>
        <v>985</v>
      </c>
      <c r="E33" s="62">
        <f>SUM('PP - Data'!AF34:AQ34)</f>
        <v>1826</v>
      </c>
      <c r="F33" s="62">
        <f>SUM('PP - Data'!AR34:BC34)</f>
        <v>2303</v>
      </c>
      <c r="G33" s="62">
        <f>SUM('PP - Data'!BD34:BO34)</f>
        <v>506</v>
      </c>
      <c r="H33" s="63">
        <f t="shared" si="15"/>
        <v>5620</v>
      </c>
      <c r="I33" s="64">
        <f t="shared" si="16"/>
        <v>0.0581925116</v>
      </c>
    </row>
    <row r="34">
      <c r="A34" s="67" t="s">
        <v>22</v>
      </c>
      <c r="B34" s="66"/>
      <c r="C34" s="66"/>
      <c r="D34" s="62">
        <f>SUM('PP - Data'!AC35:AE35)</f>
        <v>1407</v>
      </c>
      <c r="E34" s="62">
        <f>SUM('PP - Data'!AF35:AQ35)</f>
        <v>3366</v>
      </c>
      <c r="F34" s="62">
        <f>SUM('PP - Data'!AR35:BC35)</f>
        <v>4669</v>
      </c>
      <c r="G34" s="62">
        <f>SUM('PP - Data'!BD35:BO35)</f>
        <v>902</v>
      </c>
      <c r="H34" s="63">
        <f t="shared" si="15"/>
        <v>10344</v>
      </c>
      <c r="I34" s="64">
        <f t="shared" si="16"/>
        <v>0.1071073559</v>
      </c>
    </row>
    <row r="35">
      <c r="A35" s="68" t="s">
        <v>18</v>
      </c>
      <c r="B35" s="69"/>
      <c r="C35" s="69"/>
      <c r="D35" s="69">
        <f t="shared" ref="D35:G35" si="17">SUM(D32:D34)</f>
        <v>16425</v>
      </c>
      <c r="E35" s="69">
        <f t="shared" si="17"/>
        <v>32275</v>
      </c>
      <c r="F35" s="69">
        <f t="shared" si="17"/>
        <v>41296</v>
      </c>
      <c r="G35" s="69">
        <f t="shared" si="17"/>
        <v>6580</v>
      </c>
      <c r="H35" s="70">
        <f t="shared" si="15"/>
        <v>96576</v>
      </c>
      <c r="I35" s="71">
        <f>SUM(I32:I34)</f>
        <v>1</v>
      </c>
    </row>
    <row r="36">
      <c r="A36" s="72" t="s">
        <v>23</v>
      </c>
      <c r="B36" s="73"/>
      <c r="C36" s="73"/>
      <c r="D36" s="75"/>
      <c r="E36" s="73"/>
      <c r="F36" s="73"/>
      <c r="G36" s="73"/>
      <c r="H36" s="76"/>
      <c r="I36" s="77"/>
    </row>
    <row r="37">
      <c r="A37" s="78" t="s">
        <v>20</v>
      </c>
      <c r="B37" s="79"/>
      <c r="C37" s="80" t="s">
        <v>20</v>
      </c>
      <c r="D37" s="36">
        <f t="shared" ref="D37:G37" si="18">iferror(D32/D$35,"")</f>
        <v>0.8543683409</v>
      </c>
      <c r="E37" s="36">
        <f t="shared" si="18"/>
        <v>0.8391324555</v>
      </c>
      <c r="F37" s="36">
        <f t="shared" si="18"/>
        <v>0.8311700891</v>
      </c>
      <c r="G37" s="36">
        <f t="shared" si="18"/>
        <v>0.7860182371</v>
      </c>
      <c r="H37" s="81"/>
      <c r="I37" s="82"/>
    </row>
    <row r="38">
      <c r="A38" s="78" t="s">
        <v>21</v>
      </c>
      <c r="B38" s="79"/>
      <c r="C38" s="80" t="s">
        <v>21</v>
      </c>
      <c r="D38" s="36">
        <f t="shared" ref="D38:G38" si="19">iferror(D33/D$35,"")</f>
        <v>0.0599695586</v>
      </c>
      <c r="E38" s="36">
        <f t="shared" si="19"/>
        <v>0.05657629744</v>
      </c>
      <c r="F38" s="36">
        <f t="shared" si="19"/>
        <v>0.05576811313</v>
      </c>
      <c r="G38" s="36">
        <f t="shared" si="19"/>
        <v>0.07689969605</v>
      </c>
      <c r="H38" s="83"/>
      <c r="I38" s="82"/>
    </row>
    <row r="39">
      <c r="A39" s="84" t="s">
        <v>22</v>
      </c>
      <c r="B39" s="79"/>
      <c r="C39" s="80" t="s">
        <v>22</v>
      </c>
      <c r="D39" s="36">
        <f t="shared" ref="D39:G39" si="20">iferror(D34/D$35,"")</f>
        <v>0.08566210046</v>
      </c>
      <c r="E39" s="36">
        <f t="shared" si="20"/>
        <v>0.1042912471</v>
      </c>
      <c r="F39" s="36">
        <f t="shared" si="20"/>
        <v>0.1130617978</v>
      </c>
      <c r="G39" s="36">
        <f t="shared" si="20"/>
        <v>0.1370820669</v>
      </c>
      <c r="H39" s="83"/>
      <c r="I39" s="82"/>
    </row>
    <row r="42">
      <c r="A42" s="85" t="s">
        <v>24</v>
      </c>
      <c r="B42" s="86"/>
      <c r="C42" s="86"/>
      <c r="D42" s="86"/>
      <c r="E42" s="86"/>
      <c r="F42" s="86"/>
      <c r="G42" s="86"/>
      <c r="H42" s="87"/>
      <c r="I42" s="88"/>
    </row>
    <row r="43">
      <c r="A43" s="89" t="s">
        <v>25</v>
      </c>
      <c r="B43" s="90"/>
      <c r="C43" s="90"/>
      <c r="D43" s="91">
        <f>sum('PP - Data'!AD44:AE44)</f>
        <v>1615</v>
      </c>
      <c r="E43" s="91">
        <f>sum('PP - Data'!AF44:AQ44)</f>
        <v>8097</v>
      </c>
      <c r="F43" s="91">
        <f>sum('PP - Data'!AR44:BC44)</f>
        <v>8016</v>
      </c>
      <c r="G43" s="91">
        <f>sum('PP - Data'!BD44:BO44)</f>
        <v>289</v>
      </c>
      <c r="H43" s="63">
        <f t="shared" ref="H43:H47" si="21">SUM(B43:G43)</f>
        <v>18017</v>
      </c>
      <c r="I43" s="64">
        <f t="shared" ref="I43:I46" si="22">iferror(H43/H$47,"")</f>
        <v>0.1010153679</v>
      </c>
    </row>
    <row r="44">
      <c r="A44" s="60" t="s">
        <v>26</v>
      </c>
      <c r="B44" s="92"/>
      <c r="C44" s="92"/>
      <c r="D44" s="91">
        <f>sum('PP - Data'!AD45:AE45)</f>
        <v>16937</v>
      </c>
      <c r="E44" s="91">
        <f>sum('PP - Data'!AF45:AQ45)</f>
        <v>23147</v>
      </c>
      <c r="F44" s="91">
        <f>sum('PP - Data'!AR45:BC45)</f>
        <v>23227</v>
      </c>
      <c r="G44" s="91">
        <f>sum('PP - Data'!BD45:BO45)</f>
        <v>2710</v>
      </c>
      <c r="H44" s="63">
        <f t="shared" si="21"/>
        <v>66021</v>
      </c>
      <c r="I44" s="64">
        <f t="shared" si="22"/>
        <v>0.3701579399</v>
      </c>
    </row>
    <row r="45">
      <c r="A45" s="60" t="s">
        <v>27</v>
      </c>
      <c r="B45" s="92"/>
      <c r="C45" s="92"/>
      <c r="D45" s="91">
        <f>sum('PP - Data'!AD46:AE46)</f>
        <v>9865</v>
      </c>
      <c r="E45" s="91">
        <f>sum('PP - Data'!AF46:AQ46)</f>
        <v>17122</v>
      </c>
      <c r="F45" s="91">
        <f>sum('PP - Data'!AR46:BC46)</f>
        <v>23861</v>
      </c>
      <c r="G45" s="91">
        <f>sum('PP - Data'!BD46:BO46)</f>
        <v>4293</v>
      </c>
      <c r="H45" s="63">
        <f t="shared" si="21"/>
        <v>55141</v>
      </c>
      <c r="I45" s="64">
        <f t="shared" si="22"/>
        <v>0.3091573736</v>
      </c>
    </row>
    <row r="46">
      <c r="A46" s="60" t="s">
        <v>28</v>
      </c>
      <c r="B46" s="92"/>
      <c r="C46" s="92"/>
      <c r="D46" s="91">
        <f>sum('PP - Data'!AD47:AE47)</f>
        <v>6502</v>
      </c>
      <c r="E46" s="91">
        <f>sum('PP - Data'!AF47:AQ47)</f>
        <v>14054</v>
      </c>
      <c r="F46" s="91">
        <f>sum('PP - Data'!AR47:BC47)</f>
        <v>16768</v>
      </c>
      <c r="G46" s="91">
        <f>sum('PP - Data'!BD47:BO47)</f>
        <v>1856</v>
      </c>
      <c r="H46" s="63">
        <f t="shared" si="21"/>
        <v>39180</v>
      </c>
      <c r="I46" s="64">
        <f t="shared" si="22"/>
        <v>0.2196693186</v>
      </c>
    </row>
    <row r="47">
      <c r="A47" s="93" t="s">
        <v>18</v>
      </c>
      <c r="B47" s="94"/>
      <c r="C47" s="94"/>
      <c r="D47" s="95">
        <f t="shared" ref="D47:G47" si="23">sum(D43:D46)</f>
        <v>34919</v>
      </c>
      <c r="E47" s="95">
        <f t="shared" si="23"/>
        <v>62420</v>
      </c>
      <c r="F47" s="95">
        <f t="shared" si="23"/>
        <v>71872</v>
      </c>
      <c r="G47" s="95">
        <f t="shared" si="23"/>
        <v>9148</v>
      </c>
      <c r="H47" s="96">
        <f t="shared" si="21"/>
        <v>178359</v>
      </c>
      <c r="I47" s="97">
        <f>SUM(I43:I46)</f>
        <v>1</v>
      </c>
    </row>
    <row r="48">
      <c r="A48" s="72" t="s">
        <v>29</v>
      </c>
      <c r="B48" s="98"/>
      <c r="C48" s="98"/>
      <c r="D48" s="99"/>
      <c r="E48" s="99"/>
      <c r="F48" s="99"/>
      <c r="G48" s="99"/>
      <c r="H48" s="81"/>
      <c r="I48" s="82"/>
    </row>
    <row r="49">
      <c r="A49" s="78" t="s">
        <v>25</v>
      </c>
      <c r="B49" s="100"/>
      <c r="C49" s="101" t="s">
        <v>25</v>
      </c>
      <c r="D49" s="36">
        <f t="shared" ref="D49:G49" si="24">iferror(D43/D$47,"")</f>
        <v>0.04624989261</v>
      </c>
      <c r="E49" s="36">
        <f t="shared" si="24"/>
        <v>0.1297180391</v>
      </c>
      <c r="F49" s="36">
        <f t="shared" si="24"/>
        <v>0.1115316118</v>
      </c>
      <c r="G49" s="36">
        <f t="shared" si="24"/>
        <v>0.03159160472</v>
      </c>
      <c r="H49" s="81"/>
      <c r="I49" s="82"/>
    </row>
    <row r="50">
      <c r="A50" s="78" t="s">
        <v>26</v>
      </c>
      <c r="B50" s="100"/>
      <c r="C50" s="101" t="s">
        <v>26</v>
      </c>
      <c r="D50" s="36">
        <f t="shared" ref="D50:G50" si="25">iferror(D44/D$47,"")</f>
        <v>0.4850367995</v>
      </c>
      <c r="E50" s="36">
        <f t="shared" si="25"/>
        <v>0.3708266581</v>
      </c>
      <c r="F50" s="36">
        <f t="shared" si="25"/>
        <v>0.3231717498</v>
      </c>
      <c r="G50" s="36">
        <f t="shared" si="25"/>
        <v>0.2962396152</v>
      </c>
      <c r="H50" s="81"/>
      <c r="I50" s="82"/>
    </row>
    <row r="51">
      <c r="A51" s="78" t="s">
        <v>27</v>
      </c>
      <c r="B51" s="100"/>
      <c r="C51" s="101" t="s">
        <v>27</v>
      </c>
      <c r="D51" s="36">
        <f t="shared" ref="D51:G51" si="26">iferror(D45/D$47,"")</f>
        <v>0.2825109539</v>
      </c>
      <c r="E51" s="36">
        <f t="shared" si="26"/>
        <v>0.274303108</v>
      </c>
      <c r="F51" s="36">
        <f t="shared" si="26"/>
        <v>0.3319929875</v>
      </c>
      <c r="G51" s="36">
        <f t="shared" si="26"/>
        <v>0.4692829034</v>
      </c>
      <c r="H51" s="81"/>
      <c r="I51" s="82"/>
    </row>
    <row r="52">
      <c r="A52" s="78" t="s">
        <v>28</v>
      </c>
      <c r="B52" s="100"/>
      <c r="C52" s="101" t="s">
        <v>28</v>
      </c>
      <c r="D52" s="36">
        <f t="shared" ref="D52:G52" si="27">iferror(D46/D$47,"")</f>
        <v>0.186202354</v>
      </c>
      <c r="E52" s="36">
        <f t="shared" si="27"/>
        <v>0.2251521948</v>
      </c>
      <c r="F52" s="36">
        <f t="shared" si="27"/>
        <v>0.2333036509</v>
      </c>
      <c r="G52" s="36">
        <f t="shared" si="27"/>
        <v>0.2028858767</v>
      </c>
      <c r="H52" s="81"/>
      <c r="I52" s="82"/>
    </row>
    <row r="55">
      <c r="A55" s="85" t="s">
        <v>30</v>
      </c>
      <c r="B55" s="86"/>
      <c r="C55" s="86"/>
      <c r="D55" s="86"/>
      <c r="E55" s="86"/>
      <c r="F55" s="86"/>
      <c r="G55" s="86"/>
      <c r="H55" s="81"/>
      <c r="I55" s="82"/>
    </row>
    <row r="56">
      <c r="A56" s="102" t="s">
        <v>31</v>
      </c>
      <c r="B56" s="103"/>
      <c r="C56" s="103"/>
      <c r="D56" s="103"/>
      <c r="E56" s="104">
        <f>sum('PP - Data'!AK57:AQ57)</f>
        <v>25644</v>
      </c>
      <c r="F56" s="105">
        <f>sum('PP - Data'!AR57:BC57)</f>
        <v>52149</v>
      </c>
      <c r="G56" s="105">
        <f>sum('PP - Data'!BD57:BO57)</f>
        <v>15108</v>
      </c>
      <c r="H56" s="106">
        <f t="shared" ref="H56:H58" si="28">SUM(B56:G56)</f>
        <v>92901</v>
      </c>
      <c r="I56" s="64">
        <f t="shared" ref="I56:I57" si="29">iferror(H56/H$58,"")</f>
        <v>0.6489403317</v>
      </c>
    </row>
    <row r="57">
      <c r="A57" s="107" t="s">
        <v>32</v>
      </c>
      <c r="B57" s="103"/>
      <c r="C57" s="103"/>
      <c r="D57" s="103"/>
      <c r="E57" s="104">
        <f>sum('PP - Data'!AK58:AQ58)</f>
        <v>20541</v>
      </c>
      <c r="F57" s="104">
        <f>sum('PP - Data'!AR58:BC58)</f>
        <v>26296</v>
      </c>
      <c r="G57" s="104">
        <f>sum('PP - Data'!BD58:BO58)</f>
        <v>3420</v>
      </c>
      <c r="H57" s="106">
        <f t="shared" si="28"/>
        <v>50257</v>
      </c>
      <c r="I57" s="64">
        <f t="shared" si="29"/>
        <v>0.3510596683</v>
      </c>
    </row>
    <row r="58">
      <c r="A58" s="108" t="s">
        <v>18</v>
      </c>
      <c r="B58" s="109"/>
      <c r="C58" s="109"/>
      <c r="D58" s="109"/>
      <c r="E58" s="109">
        <f t="shared" ref="E58:G58" si="30">sum(E56:E57)</f>
        <v>46185</v>
      </c>
      <c r="F58" s="109">
        <f t="shared" si="30"/>
        <v>78445</v>
      </c>
      <c r="G58" s="109">
        <f t="shared" si="30"/>
        <v>18528</v>
      </c>
      <c r="H58" s="110">
        <f t="shared" si="28"/>
        <v>143158</v>
      </c>
      <c r="I58" s="111">
        <f>SUM(I56:I57)</f>
        <v>1</v>
      </c>
    </row>
    <row r="59">
      <c r="A59" s="72" t="s">
        <v>33</v>
      </c>
      <c r="B59" s="98"/>
      <c r="C59" s="98"/>
      <c r="D59" s="98"/>
      <c r="E59" s="99"/>
      <c r="F59" s="99"/>
      <c r="G59" s="99"/>
      <c r="H59" s="76"/>
      <c r="I59" s="77"/>
    </row>
    <row r="60">
      <c r="A60" s="78" t="s">
        <v>31</v>
      </c>
      <c r="B60" s="100"/>
      <c r="C60" s="100"/>
      <c r="D60" s="101" t="s">
        <v>31</v>
      </c>
      <c r="E60" s="36">
        <f t="shared" ref="E60:G60" si="31">iferror(E56/E$58,"")</f>
        <v>0.5552452095</v>
      </c>
      <c r="F60" s="36">
        <f t="shared" si="31"/>
        <v>0.6647842437</v>
      </c>
      <c r="G60" s="36">
        <f t="shared" si="31"/>
        <v>0.8154145078</v>
      </c>
      <c r="H60" s="81"/>
      <c r="I60" s="82"/>
    </row>
    <row r="61">
      <c r="A61" s="78" t="s">
        <v>32</v>
      </c>
      <c r="B61" s="100"/>
      <c r="C61" s="100"/>
      <c r="D61" s="101" t="s">
        <v>32</v>
      </c>
      <c r="E61" s="36">
        <f t="shared" ref="E61:G61" si="32">iferror(E57/E$58,"")</f>
        <v>0.4447547905</v>
      </c>
      <c r="F61" s="36">
        <f t="shared" si="32"/>
        <v>0.3352157563</v>
      </c>
      <c r="G61" s="36">
        <f t="shared" si="32"/>
        <v>0.1845854922</v>
      </c>
      <c r="H61" s="83"/>
      <c r="I61" s="82"/>
    </row>
    <row r="62">
      <c r="A62" s="112"/>
      <c r="B62" s="113"/>
      <c r="C62" s="113"/>
      <c r="D62" s="113"/>
      <c r="E62" s="113"/>
      <c r="F62" s="113"/>
      <c r="G62" s="113"/>
      <c r="H62" s="81"/>
      <c r="I62" s="82"/>
    </row>
    <row r="63">
      <c r="A63" s="85" t="s">
        <v>34</v>
      </c>
      <c r="B63" s="69"/>
      <c r="C63" s="69"/>
      <c r="D63" s="69"/>
      <c r="E63" s="86"/>
      <c r="F63" s="69"/>
      <c r="G63" s="69"/>
      <c r="H63" s="83"/>
      <c r="I63" s="82"/>
    </row>
    <row r="64">
      <c r="A64" s="102" t="s">
        <v>31</v>
      </c>
      <c r="B64" s="103"/>
      <c r="C64" s="103"/>
      <c r="D64" s="103"/>
      <c r="E64" s="104">
        <f>sum('PP - Data'!AK65:AQ65)</f>
        <v>40117</v>
      </c>
      <c r="F64" s="105">
        <f>sum('PP - Data'!AR65:BC65)</f>
        <v>58056</v>
      </c>
      <c r="G64" s="105">
        <f>sum('PP - Data'!BD65:BO65)</f>
        <v>9148</v>
      </c>
      <c r="H64" s="106">
        <f t="shared" ref="H64:H66" si="33">SUM(B64:G64)</f>
        <v>107321</v>
      </c>
      <c r="I64" s="64">
        <f t="shared" ref="I64:I65" si="34">iferror(H64/H$66,"")</f>
        <v>0.7496734355</v>
      </c>
    </row>
    <row r="65">
      <c r="A65" s="107" t="s">
        <v>32</v>
      </c>
      <c r="B65" s="103"/>
      <c r="C65" s="103"/>
      <c r="D65" s="103"/>
      <c r="E65" s="104">
        <f>sum('PP - Data'!AK66:AQ66)</f>
        <v>6068</v>
      </c>
      <c r="F65" s="105">
        <f>sum('PP - Data'!AR66:BC66)</f>
        <v>20388</v>
      </c>
      <c r="G65" s="105">
        <f>sum('PP - Data'!BD66:BO66)</f>
        <v>9380</v>
      </c>
      <c r="H65" s="106">
        <f t="shared" si="33"/>
        <v>35836</v>
      </c>
      <c r="I65" s="64">
        <f t="shared" si="34"/>
        <v>0.2503265645</v>
      </c>
    </row>
    <row r="66">
      <c r="A66" s="108" t="s">
        <v>18</v>
      </c>
      <c r="B66" s="109"/>
      <c r="C66" s="109"/>
      <c r="D66" s="109"/>
      <c r="E66" s="109">
        <f t="shared" ref="E66:G66" si="35">sum(E64:E65)</f>
        <v>46185</v>
      </c>
      <c r="F66" s="109">
        <f t="shared" si="35"/>
        <v>78444</v>
      </c>
      <c r="G66" s="109">
        <f t="shared" si="35"/>
        <v>18528</v>
      </c>
      <c r="H66" s="116">
        <f t="shared" si="33"/>
        <v>143157</v>
      </c>
      <c r="I66" s="111">
        <f>SUM(I64:I65)</f>
        <v>1</v>
      </c>
    </row>
    <row r="67">
      <c r="A67" s="72" t="s">
        <v>35</v>
      </c>
      <c r="B67" s="98"/>
      <c r="C67" s="98"/>
      <c r="D67" s="98"/>
      <c r="E67" s="99"/>
      <c r="F67" s="99"/>
      <c r="G67" s="99"/>
      <c r="H67" s="76"/>
      <c r="I67" s="77"/>
    </row>
    <row r="68">
      <c r="A68" s="78" t="s">
        <v>31</v>
      </c>
      <c r="B68" s="100"/>
      <c r="C68" s="100"/>
      <c r="D68" s="101" t="s">
        <v>31</v>
      </c>
      <c r="E68" s="36">
        <f t="shared" ref="E68:G68" si="36">iferror(E64/E$66,"")</f>
        <v>0.8686153513</v>
      </c>
      <c r="F68" s="36">
        <f t="shared" si="36"/>
        <v>0.7400948447</v>
      </c>
      <c r="G68" s="36">
        <f t="shared" si="36"/>
        <v>0.4937392055</v>
      </c>
      <c r="H68" s="81"/>
      <c r="I68" s="82"/>
    </row>
    <row r="69">
      <c r="A69" s="78" t="s">
        <v>32</v>
      </c>
      <c r="B69" s="100"/>
      <c r="C69" s="100"/>
      <c r="D69" s="101" t="s">
        <v>32</v>
      </c>
      <c r="E69" s="36">
        <f t="shared" ref="E69:G69" si="37">iferror(E65/E$66,"")</f>
        <v>0.1313846487</v>
      </c>
      <c r="F69" s="36">
        <f t="shared" si="37"/>
        <v>0.2599051553</v>
      </c>
      <c r="G69" s="36">
        <f t="shared" si="37"/>
        <v>0.5062607945</v>
      </c>
      <c r="H69" s="83"/>
      <c r="I69" s="82"/>
    </row>
    <row r="70">
      <c r="A70" s="112"/>
      <c r="B70" s="117"/>
      <c r="C70" s="117"/>
      <c r="D70" s="117"/>
      <c r="E70" s="117"/>
      <c r="F70" s="117"/>
      <c r="G70" s="117"/>
      <c r="H70" s="83"/>
      <c r="I70" s="82"/>
    </row>
    <row r="71">
      <c r="A71" s="85" t="s">
        <v>36</v>
      </c>
      <c r="B71" s="69"/>
      <c r="C71" s="69"/>
      <c r="D71" s="69"/>
      <c r="E71" s="86"/>
      <c r="F71" s="69"/>
      <c r="G71" s="69"/>
      <c r="H71" s="81"/>
      <c r="I71" s="82"/>
    </row>
    <row r="72">
      <c r="A72" s="60" t="s">
        <v>37</v>
      </c>
      <c r="B72" s="90"/>
      <c r="C72" s="90"/>
      <c r="D72" s="90"/>
      <c r="E72" s="105">
        <f>sum('PP - Data'!AJ73:AQ73)</f>
        <v>40730</v>
      </c>
      <c r="F72" s="105">
        <f>sum('PP - Data'!AR73:BC73)</f>
        <v>58202</v>
      </c>
      <c r="G72" s="105">
        <f>sum('PP - Data'!BD73:BO73)</f>
        <v>9358</v>
      </c>
      <c r="H72" s="63">
        <f t="shared" ref="H72:H74" si="38">SUM(B72:G72)</f>
        <v>108290</v>
      </c>
      <c r="I72" s="64">
        <f t="shared" ref="I72:I73" si="39">iferror(H72/H$74,"")</f>
        <v>0.7427246727</v>
      </c>
    </row>
    <row r="73">
      <c r="A73" s="65" t="s">
        <v>38</v>
      </c>
      <c r="B73" s="92"/>
      <c r="C73" s="92"/>
      <c r="D73" s="92"/>
      <c r="E73" s="105">
        <f>sum('PP - Data'!AJ74:AQ74)</f>
        <v>8099</v>
      </c>
      <c r="F73" s="105">
        <f>sum('PP - Data'!AR74:BC74)</f>
        <v>20242</v>
      </c>
      <c r="G73" s="105">
        <f>sum('PP - Data'!BD74:BO74)</f>
        <v>9170</v>
      </c>
      <c r="H73" s="63">
        <f t="shared" si="38"/>
        <v>37511</v>
      </c>
      <c r="I73" s="64">
        <f t="shared" si="39"/>
        <v>0.2572753273</v>
      </c>
    </row>
    <row r="74">
      <c r="A74" s="118" t="s">
        <v>18</v>
      </c>
      <c r="B74" s="119"/>
      <c r="C74" s="119"/>
      <c r="D74" s="119"/>
      <c r="E74" s="109">
        <f t="shared" ref="E74:G74" si="40">sum(E72:E73)</f>
        <v>48829</v>
      </c>
      <c r="F74" s="109">
        <f t="shared" si="40"/>
        <v>78444</v>
      </c>
      <c r="G74" s="109">
        <f t="shared" si="40"/>
        <v>18528</v>
      </c>
      <c r="H74" s="110">
        <f t="shared" si="38"/>
        <v>145801</v>
      </c>
      <c r="I74" s="111">
        <f>SUM(I72:I73)</f>
        <v>1</v>
      </c>
    </row>
    <row r="75">
      <c r="A75" s="72" t="s">
        <v>39</v>
      </c>
      <c r="B75" s="98"/>
      <c r="C75" s="98"/>
      <c r="D75" s="98"/>
      <c r="E75" s="99"/>
      <c r="F75" s="99"/>
      <c r="G75" s="99"/>
      <c r="H75" s="83"/>
      <c r="I75" s="82"/>
    </row>
    <row r="76">
      <c r="A76" s="78" t="s">
        <v>37</v>
      </c>
      <c r="B76" s="100"/>
      <c r="C76" s="100"/>
      <c r="D76" s="101" t="s">
        <v>37</v>
      </c>
      <c r="E76" s="36">
        <f t="shared" ref="E76:G76" si="41">iferror(E72/E$74,"")</f>
        <v>0.8341354523</v>
      </c>
      <c r="F76" s="36">
        <f t="shared" si="41"/>
        <v>0.7419560451</v>
      </c>
      <c r="G76" s="36">
        <f t="shared" si="41"/>
        <v>0.5050734024</v>
      </c>
      <c r="H76" s="81"/>
      <c r="I76" s="82"/>
    </row>
    <row r="77">
      <c r="A77" s="78" t="s">
        <v>38</v>
      </c>
      <c r="B77" s="100"/>
      <c r="C77" s="100"/>
      <c r="D77" s="101" t="s">
        <v>38</v>
      </c>
      <c r="E77" s="36">
        <f t="shared" ref="E77:G77" si="42">iferror(E73/E$74,"")</f>
        <v>0.1658645477</v>
      </c>
      <c r="F77" s="36">
        <f t="shared" si="42"/>
        <v>0.2580439549</v>
      </c>
      <c r="G77" s="36">
        <f t="shared" si="42"/>
        <v>0.4949265976</v>
      </c>
      <c r="H77" s="83"/>
      <c r="I77" s="82"/>
    </row>
    <row r="78">
      <c r="A78" s="112"/>
      <c r="B78" s="120"/>
      <c r="C78" s="120"/>
      <c r="D78" s="120"/>
      <c r="E78" s="120"/>
      <c r="F78" s="120"/>
      <c r="G78" s="120"/>
      <c r="H78" s="121"/>
      <c r="I78" s="122"/>
    </row>
    <row r="79">
      <c r="A79" s="123" t="s">
        <v>40</v>
      </c>
      <c r="B79" s="69"/>
      <c r="C79" s="69"/>
      <c r="D79" s="69"/>
      <c r="E79" s="69"/>
      <c r="F79" s="69"/>
      <c r="G79" s="69"/>
      <c r="H79" s="81"/>
      <c r="I79" s="82"/>
    </row>
    <row r="80">
      <c r="A80" s="124" t="s">
        <v>31</v>
      </c>
      <c r="B80" s="90"/>
      <c r="C80" s="90"/>
      <c r="D80" s="90"/>
      <c r="E80" s="90"/>
      <c r="F80" s="105">
        <f>sum('PP - Data'!AR81:BC81)</f>
        <v>26596</v>
      </c>
      <c r="G80" s="105">
        <f>sum('PP - Data'!BD81:BO81)</f>
        <v>5587</v>
      </c>
      <c r="H80" s="63">
        <f t="shared" ref="H80:H82" si="43">SUM(B80:G80)</f>
        <v>32183</v>
      </c>
      <c r="I80" s="64">
        <f t="shared" ref="I80:I81" si="44">iferror(H80/H$82,"")</f>
        <v>0.3548956254</v>
      </c>
    </row>
    <row r="81">
      <c r="A81" s="29" t="s">
        <v>32</v>
      </c>
      <c r="B81" s="92"/>
      <c r="C81" s="92"/>
      <c r="D81" s="92"/>
      <c r="E81" s="92"/>
      <c r="F81" s="105">
        <f>sum('PP - Data'!AR82:BC82)</f>
        <v>45559</v>
      </c>
      <c r="G81" s="105">
        <f>sum('PP - Data'!BD82:BO82)</f>
        <v>12941</v>
      </c>
      <c r="H81" s="63">
        <f t="shared" si="43"/>
        <v>58500</v>
      </c>
      <c r="I81" s="64">
        <f t="shared" si="44"/>
        <v>0.6451043746</v>
      </c>
    </row>
    <row r="82">
      <c r="A82" s="125" t="s">
        <v>18</v>
      </c>
      <c r="B82" s="119"/>
      <c r="C82" s="119"/>
      <c r="D82" s="119"/>
      <c r="E82" s="119"/>
      <c r="F82" s="109">
        <f t="shared" ref="F82:G82" si="45">sum(F80:F81)</f>
        <v>72155</v>
      </c>
      <c r="G82" s="109">
        <f t="shared" si="45"/>
        <v>18528</v>
      </c>
      <c r="H82" s="110">
        <f t="shared" si="43"/>
        <v>90683</v>
      </c>
      <c r="I82" s="111">
        <f>SUM(I80:I81)</f>
        <v>1</v>
      </c>
    </row>
    <row r="83">
      <c r="A83" s="126" t="s">
        <v>41</v>
      </c>
      <c r="B83" s="98"/>
      <c r="C83" s="98"/>
      <c r="D83" s="98"/>
      <c r="E83" s="98"/>
      <c r="F83" s="99"/>
      <c r="G83" s="99"/>
      <c r="H83" s="83"/>
      <c r="I83" s="82"/>
    </row>
    <row r="84">
      <c r="A84" s="127" t="s">
        <v>31</v>
      </c>
      <c r="B84" s="100"/>
      <c r="C84" s="100"/>
      <c r="D84" s="100"/>
      <c r="E84" s="128" t="s">
        <v>31</v>
      </c>
      <c r="F84" s="36">
        <f t="shared" ref="F84:G84" si="46">iferror(F80/F$82,"")</f>
        <v>0.3685953849</v>
      </c>
      <c r="G84" s="36">
        <f t="shared" si="46"/>
        <v>0.3015436097</v>
      </c>
      <c r="H84" s="81"/>
      <c r="I84" s="82"/>
    </row>
    <row r="85">
      <c r="A85" s="127" t="s">
        <v>32</v>
      </c>
      <c r="B85" s="100"/>
      <c r="C85" s="100"/>
      <c r="D85" s="100"/>
      <c r="E85" s="128" t="s">
        <v>32</v>
      </c>
      <c r="F85" s="36">
        <f t="shared" ref="F85:G85" si="47">iferror(F81/F$82,"")</f>
        <v>0.6314046151</v>
      </c>
      <c r="G85" s="36">
        <f t="shared" si="47"/>
        <v>0.6984563903</v>
      </c>
      <c r="H85" s="83"/>
      <c r="I85" s="82"/>
    </row>
    <row r="86">
      <c r="A86" s="112"/>
      <c r="B86" s="120"/>
      <c r="C86" s="120"/>
      <c r="D86" s="120"/>
      <c r="E86" s="120"/>
      <c r="F86" s="120"/>
      <c r="G86" s="120"/>
      <c r="H86" s="122"/>
      <c r="I86" s="122"/>
    </row>
    <row r="87">
      <c r="A87" s="85" t="s">
        <v>42</v>
      </c>
      <c r="B87" s="69"/>
      <c r="C87" s="69"/>
      <c r="D87" s="69"/>
      <c r="E87" s="69"/>
      <c r="F87" s="69"/>
      <c r="G87" s="69"/>
      <c r="H87" s="81"/>
      <c r="I87" s="82"/>
    </row>
    <row r="88">
      <c r="A88" s="124" t="s">
        <v>43</v>
      </c>
      <c r="B88" s="90"/>
      <c r="C88" s="90"/>
      <c r="D88" s="90"/>
      <c r="E88" s="105">
        <f>sum('PP - Data'!AJ89:AQ89)</f>
        <v>1197</v>
      </c>
      <c r="F88" s="105">
        <f>sum('PP - Data'!AR89:BC89)</f>
        <v>1677</v>
      </c>
      <c r="G88" s="105">
        <f>sum('PP - Data'!BD89:BO89)</f>
        <v>235</v>
      </c>
      <c r="H88" s="63">
        <f t="shared" ref="H88:H94" si="48">SUM(B88:G88)</f>
        <v>3109</v>
      </c>
      <c r="I88" s="64">
        <f t="shared" ref="I88:I93" si="49">iferror(H88/H$94,"")</f>
        <v>0.02257577298</v>
      </c>
    </row>
    <row r="89">
      <c r="A89" s="124" t="s">
        <v>44</v>
      </c>
      <c r="B89" s="92"/>
      <c r="C89" s="92"/>
      <c r="D89" s="92"/>
      <c r="E89" s="105">
        <f>sum('PP - Data'!AJ90:AQ90)</f>
        <v>6321</v>
      </c>
      <c r="F89" s="105">
        <f>sum('PP - Data'!AR90:BC90)</f>
        <v>8392</v>
      </c>
      <c r="G89" s="105">
        <f>sum('PP - Data'!BD90:BO90)</f>
        <v>1387</v>
      </c>
      <c r="H89" s="63">
        <f t="shared" si="48"/>
        <v>16100</v>
      </c>
      <c r="I89" s="64">
        <f t="shared" si="49"/>
        <v>0.1169089562</v>
      </c>
    </row>
    <row r="90">
      <c r="A90" s="29" t="s">
        <v>45</v>
      </c>
      <c r="B90" s="119"/>
      <c r="C90" s="119"/>
      <c r="D90" s="119"/>
      <c r="E90" s="105">
        <f>sum('PP - Data'!AJ91:AQ91)</f>
        <v>10734</v>
      </c>
      <c r="F90" s="105">
        <f>sum('PP - Data'!AR91:BC91)</f>
        <v>17115</v>
      </c>
      <c r="G90" s="105">
        <f>sum('PP - Data'!BD91:BO91)</f>
        <v>3458</v>
      </c>
      <c r="H90" s="63">
        <f t="shared" si="48"/>
        <v>31307</v>
      </c>
      <c r="I90" s="64">
        <f t="shared" si="49"/>
        <v>0.2273334592</v>
      </c>
    </row>
    <row r="91">
      <c r="A91" s="27" t="s">
        <v>46</v>
      </c>
      <c r="B91" s="98"/>
      <c r="C91" s="98"/>
      <c r="D91" s="98"/>
      <c r="E91" s="105">
        <f>sum('PP - Data'!AJ92:AQ92)</f>
        <v>10569</v>
      </c>
      <c r="F91" s="105">
        <f>sum('PP - Data'!AR92:BC92)</f>
        <v>18470</v>
      </c>
      <c r="G91" s="105">
        <f>sum('PP - Data'!BD92:BO92)</f>
        <v>4161</v>
      </c>
      <c r="H91" s="63">
        <f t="shared" si="48"/>
        <v>33200</v>
      </c>
      <c r="I91" s="64">
        <f t="shared" si="49"/>
        <v>0.2410793383</v>
      </c>
    </row>
    <row r="92">
      <c r="A92" s="27" t="s">
        <v>47</v>
      </c>
      <c r="B92" s="100"/>
      <c r="C92" s="100"/>
      <c r="D92" s="100"/>
      <c r="E92" s="105">
        <f>sum('PP - Data'!AJ93:AQ93)</f>
        <v>7484</v>
      </c>
      <c r="F92" s="105">
        <f>sum('PP - Data'!AR93:BC93)</f>
        <v>17085</v>
      </c>
      <c r="G92" s="105">
        <f>sum('PP - Data'!BD93:BO93)</f>
        <v>4490</v>
      </c>
      <c r="H92" s="63">
        <f t="shared" si="48"/>
        <v>29059</v>
      </c>
      <c r="I92" s="64">
        <f t="shared" si="49"/>
        <v>0.2110097739</v>
      </c>
    </row>
    <row r="93">
      <c r="A93" s="27" t="s">
        <v>48</v>
      </c>
      <c r="B93" s="100"/>
      <c r="C93" s="100"/>
      <c r="D93" s="100"/>
      <c r="E93" s="105">
        <f>sum('PP - Data'!AJ94:AQ94)</f>
        <v>4437</v>
      </c>
      <c r="F93" s="105">
        <f>sum('PP - Data'!AR94:BC94)</f>
        <v>15705</v>
      </c>
      <c r="G93" s="105">
        <f>sum('PP - Data'!BD94:BO94)</f>
        <v>4797</v>
      </c>
      <c r="H93" s="63">
        <f t="shared" si="48"/>
        <v>24939</v>
      </c>
      <c r="I93" s="64">
        <f t="shared" si="49"/>
        <v>0.1810926994</v>
      </c>
    </row>
    <row r="94">
      <c r="A94" s="129" t="s">
        <v>42</v>
      </c>
      <c r="B94" s="100"/>
      <c r="C94" s="100"/>
      <c r="D94" s="100"/>
      <c r="E94" s="109">
        <f t="shared" ref="E94:G94" si="50">sum(E88:E93)</f>
        <v>40742</v>
      </c>
      <c r="F94" s="109">
        <f t="shared" si="50"/>
        <v>78444</v>
      </c>
      <c r="G94" s="109">
        <f t="shared" si="50"/>
        <v>18528</v>
      </c>
      <c r="H94" s="110">
        <f t="shared" si="48"/>
        <v>137714</v>
      </c>
      <c r="I94" s="111">
        <f>SUM(I88:I93)</f>
        <v>1</v>
      </c>
    </row>
    <row r="95">
      <c r="A95" s="126" t="s">
        <v>39</v>
      </c>
      <c r="B95" s="100"/>
      <c r="C95" s="100"/>
      <c r="D95" s="100"/>
      <c r="E95" s="99"/>
      <c r="F95" s="99"/>
      <c r="G95" s="99"/>
      <c r="H95" s="83"/>
      <c r="I95" s="82"/>
    </row>
    <row r="96">
      <c r="A96" s="127" t="s">
        <v>43</v>
      </c>
      <c r="B96" s="100"/>
      <c r="C96" s="100"/>
      <c r="D96" s="128" t="s">
        <v>43</v>
      </c>
      <c r="E96" s="36">
        <f t="shared" ref="E96:G96" si="51">iferror(E88/E$94,"")</f>
        <v>0.02938000098</v>
      </c>
      <c r="F96" s="36">
        <f t="shared" si="51"/>
        <v>0.02137830809</v>
      </c>
      <c r="G96" s="36">
        <f t="shared" si="51"/>
        <v>0.01268350604</v>
      </c>
      <c r="H96" s="81"/>
      <c r="I96" s="82"/>
    </row>
    <row r="97">
      <c r="A97" s="127" t="s">
        <v>44</v>
      </c>
      <c r="B97" s="100"/>
      <c r="C97" s="100"/>
      <c r="D97" s="128" t="s">
        <v>44</v>
      </c>
      <c r="E97" s="36">
        <f t="shared" ref="E97:G97" si="52">iferror(E89/E$94,"")</f>
        <v>0.1551470227</v>
      </c>
      <c r="F97" s="36">
        <f t="shared" si="52"/>
        <v>0.1069807761</v>
      </c>
      <c r="G97" s="36">
        <f t="shared" si="52"/>
        <v>0.07485967185</v>
      </c>
      <c r="H97" s="83"/>
      <c r="I97" s="82"/>
    </row>
    <row r="98">
      <c r="A98" s="130" t="s">
        <v>45</v>
      </c>
      <c r="B98" s="100"/>
      <c r="C98" s="100"/>
      <c r="D98" s="128" t="s">
        <v>45</v>
      </c>
      <c r="E98" s="36">
        <f t="shared" ref="E98:G98" si="53">iferror(E90/E$94,"")</f>
        <v>0.2634627657</v>
      </c>
      <c r="F98" s="36">
        <f t="shared" si="53"/>
        <v>0.2181811228</v>
      </c>
      <c r="G98" s="36">
        <f t="shared" si="53"/>
        <v>0.1866364421</v>
      </c>
      <c r="H98" s="83"/>
      <c r="I98" s="82"/>
    </row>
    <row r="99">
      <c r="A99" s="130" t="s">
        <v>46</v>
      </c>
      <c r="B99" s="100"/>
      <c r="C99" s="100"/>
      <c r="D99" s="128" t="s">
        <v>46</v>
      </c>
      <c r="E99" s="36">
        <f t="shared" ref="E99:G99" si="54">iferror(E91/E$94,"")</f>
        <v>0.2594128909</v>
      </c>
      <c r="F99" s="36">
        <f t="shared" si="54"/>
        <v>0.2354545918</v>
      </c>
      <c r="G99" s="36">
        <f t="shared" si="54"/>
        <v>0.2245790155</v>
      </c>
      <c r="H99" s="83"/>
      <c r="I99" s="82"/>
    </row>
    <row r="100">
      <c r="A100" s="130" t="s">
        <v>47</v>
      </c>
      <c r="B100" s="100"/>
      <c r="C100" s="100"/>
      <c r="D100" s="128" t="s">
        <v>47</v>
      </c>
      <c r="E100" s="36">
        <f t="shared" ref="E100:G100" si="55">iferror(E92/E$94,"")</f>
        <v>0.183692504</v>
      </c>
      <c r="F100" s="36">
        <f t="shared" si="55"/>
        <v>0.2177986844</v>
      </c>
      <c r="G100" s="36">
        <f t="shared" si="55"/>
        <v>0.242335924</v>
      </c>
      <c r="H100" s="83"/>
      <c r="I100" s="82"/>
    </row>
    <row r="101">
      <c r="A101" s="130" t="s">
        <v>48</v>
      </c>
      <c r="B101" s="100"/>
      <c r="C101" s="100"/>
      <c r="D101" s="128" t="s">
        <v>48</v>
      </c>
      <c r="E101" s="36">
        <f t="shared" ref="E101:G101" si="56">iferror(E93/E$94,"")</f>
        <v>0.1089048157</v>
      </c>
      <c r="F101" s="36">
        <f t="shared" si="56"/>
        <v>0.2002065168</v>
      </c>
      <c r="G101" s="36">
        <f t="shared" si="56"/>
        <v>0.2589054404</v>
      </c>
      <c r="H101" s="83"/>
      <c r="I101" s="82"/>
    </row>
    <row r="102">
      <c r="A102" s="112"/>
      <c r="B102" s="120"/>
      <c r="C102" s="120"/>
      <c r="D102" s="120"/>
      <c r="E102" s="120"/>
      <c r="F102" s="120"/>
      <c r="G102" s="120"/>
      <c r="H102" s="83"/>
      <c r="I102" s="82"/>
    </row>
    <row r="103">
      <c r="A103" s="123" t="s">
        <v>49</v>
      </c>
      <c r="B103" s="69"/>
      <c r="C103" s="69"/>
      <c r="D103" s="69"/>
      <c r="E103" s="69"/>
      <c r="F103" s="69"/>
      <c r="G103" s="69"/>
      <c r="H103" s="83"/>
      <c r="I103" s="82"/>
    </row>
    <row r="104">
      <c r="A104" s="124" t="s">
        <v>50</v>
      </c>
      <c r="B104" s="90"/>
      <c r="C104" s="90"/>
      <c r="D104" s="90"/>
      <c r="E104" s="105">
        <f>sum('PP - Data'!AJ105:AQ105)</f>
        <v>16988</v>
      </c>
      <c r="F104" s="105">
        <f>sum('PP - Data'!AR105:BC105)</f>
        <v>34866</v>
      </c>
      <c r="G104" s="105">
        <f>sum('PP - Data'!BD105:BO105)</f>
        <v>8490</v>
      </c>
      <c r="H104" s="63">
        <f t="shared" ref="H104:H106" si="57">SUM(B104:G104)</f>
        <v>60344</v>
      </c>
      <c r="I104" s="64">
        <f t="shared" ref="I104:I105" si="58">iferror(H104/H$106,"")</f>
        <v>0.4381834817</v>
      </c>
    </row>
    <row r="105">
      <c r="A105" s="29" t="s">
        <v>51</v>
      </c>
      <c r="B105" s="92"/>
      <c r="C105" s="92"/>
      <c r="D105" s="92"/>
      <c r="E105" s="105">
        <f>sum('PP - Data'!AJ106:AQ106)</f>
        <v>23754</v>
      </c>
      <c r="F105" s="105">
        <f>sum('PP - Data'!AR106:BC106)</f>
        <v>43578</v>
      </c>
      <c r="G105" s="105">
        <f>sum('PP - Data'!BD106:BO106)</f>
        <v>10038</v>
      </c>
      <c r="H105" s="63">
        <f t="shared" si="57"/>
        <v>77370</v>
      </c>
      <c r="I105" s="64">
        <f t="shared" si="58"/>
        <v>0.5618165183</v>
      </c>
    </row>
    <row r="106">
      <c r="A106" s="129" t="s">
        <v>18</v>
      </c>
      <c r="B106" s="119"/>
      <c r="C106" s="119"/>
      <c r="D106" s="119"/>
      <c r="E106" s="109">
        <f t="shared" ref="E106:G106" si="59">sum(E104:E105)</f>
        <v>40742</v>
      </c>
      <c r="F106" s="109">
        <f t="shared" si="59"/>
        <v>78444</v>
      </c>
      <c r="G106" s="109">
        <f t="shared" si="59"/>
        <v>18528</v>
      </c>
      <c r="H106" s="110">
        <f t="shared" si="57"/>
        <v>137714</v>
      </c>
      <c r="I106" s="111">
        <f>SUM(I104:I105)</f>
        <v>1</v>
      </c>
    </row>
    <row r="107">
      <c r="A107" s="126" t="s">
        <v>49</v>
      </c>
      <c r="B107" s="98"/>
      <c r="C107" s="98"/>
      <c r="D107" s="98"/>
      <c r="E107" s="99"/>
      <c r="F107" s="99"/>
      <c r="G107" s="99"/>
      <c r="H107" s="83"/>
      <c r="I107" s="82"/>
    </row>
    <row r="108">
      <c r="A108" s="127" t="s">
        <v>50</v>
      </c>
      <c r="B108" s="100"/>
      <c r="C108" s="100"/>
      <c r="D108" s="101" t="s">
        <v>50</v>
      </c>
      <c r="E108" s="36">
        <f t="shared" ref="E108:G108" si="60">iferror(E104/E$106,"")</f>
        <v>0.4169652938</v>
      </c>
      <c r="F108" s="36">
        <f t="shared" si="60"/>
        <v>0.4444699403</v>
      </c>
      <c r="G108" s="36">
        <f t="shared" si="60"/>
        <v>0.4582253886</v>
      </c>
      <c r="H108" s="83"/>
      <c r="I108" s="82"/>
    </row>
    <row r="109">
      <c r="A109" s="127" t="s">
        <v>51</v>
      </c>
      <c r="B109" s="100"/>
      <c r="C109" s="100"/>
      <c r="D109" s="101" t="s">
        <v>51</v>
      </c>
      <c r="E109" s="36">
        <f t="shared" ref="E109:G109" si="61">iferror(E105/E$106,"")</f>
        <v>0.5830347062</v>
      </c>
      <c r="F109" s="36">
        <f t="shared" si="61"/>
        <v>0.5555300597</v>
      </c>
      <c r="G109" s="36">
        <f t="shared" si="61"/>
        <v>0.5417746114</v>
      </c>
      <c r="H109" s="83"/>
      <c r="I109" s="82"/>
    </row>
    <row r="110">
      <c r="A110" s="112"/>
      <c r="B110" s="120"/>
      <c r="C110" s="120"/>
      <c r="D110" s="120"/>
      <c r="E110" s="120"/>
      <c r="F110" s="120"/>
      <c r="G110" s="120"/>
      <c r="H110" s="83"/>
      <c r="I110" s="82"/>
    </row>
    <row r="111">
      <c r="A111" s="131" t="s">
        <v>52</v>
      </c>
      <c r="B111" s="132"/>
      <c r="C111" s="132"/>
      <c r="D111" s="132"/>
      <c r="E111" s="132"/>
      <c r="F111" s="132"/>
      <c r="G111" s="132"/>
      <c r="H111" s="82"/>
      <c r="I111" s="82"/>
    </row>
    <row r="112">
      <c r="B112" s="132"/>
      <c r="C112" s="132"/>
      <c r="D112" s="132"/>
      <c r="E112" s="132"/>
      <c r="F112" s="132"/>
      <c r="G112" s="132"/>
      <c r="H112" s="82"/>
      <c r="I112" s="82"/>
    </row>
    <row r="113" outlineLevel="1">
      <c r="A113" s="85" t="s">
        <v>24</v>
      </c>
      <c r="B113" s="86"/>
      <c r="C113" s="86"/>
      <c r="D113" s="86"/>
      <c r="E113" s="86"/>
      <c r="F113" s="86"/>
      <c r="G113" s="86"/>
      <c r="H113" s="87"/>
      <c r="I113" s="88"/>
    </row>
    <row r="114" outlineLevel="1">
      <c r="A114" s="89" t="s">
        <v>25</v>
      </c>
      <c r="B114" s="90"/>
      <c r="C114" s="90"/>
      <c r="D114" s="90"/>
      <c r="E114" s="91">
        <f>sum('PP - Data'!AJ115:AQ115)</f>
        <v>1892</v>
      </c>
      <c r="F114" s="91">
        <f>sum('PP - Data'!AR115:BC115)</f>
        <v>3746</v>
      </c>
      <c r="G114" s="91">
        <f>sum('PP - Data'!BD115:BO115)</f>
        <v>157</v>
      </c>
      <c r="H114" s="63">
        <f t="shared" ref="H114:H118" si="62">SUM(B114:G114)</f>
        <v>5795</v>
      </c>
      <c r="I114" s="64">
        <f t="shared" ref="I114:I117" si="63">iferror(H114/H$118,"")</f>
        <v>0.05725322821</v>
      </c>
    </row>
    <row r="115" outlineLevel="1">
      <c r="A115" s="60" t="s">
        <v>26</v>
      </c>
      <c r="B115" s="92"/>
      <c r="C115" s="92"/>
      <c r="D115" s="92"/>
      <c r="E115" s="91">
        <f>sum('PP - Data'!AJ116:AQ116)</f>
        <v>19108</v>
      </c>
      <c r="F115" s="91">
        <f>sum('PP - Data'!AR116:BC116)</f>
        <v>20088</v>
      </c>
      <c r="G115" s="91">
        <f>sum('PP - Data'!BD116:BO116)</f>
        <v>1692</v>
      </c>
      <c r="H115" s="63">
        <f t="shared" si="62"/>
        <v>40888</v>
      </c>
      <c r="I115" s="64">
        <f t="shared" si="63"/>
        <v>0.403963761</v>
      </c>
    </row>
    <row r="116" outlineLevel="1">
      <c r="A116" s="60" t="s">
        <v>27</v>
      </c>
      <c r="B116" s="92"/>
      <c r="C116" s="92"/>
      <c r="D116" s="92"/>
      <c r="E116" s="91">
        <f>sum('PP - Data'!AJ117:AQ117)</f>
        <v>13159</v>
      </c>
      <c r="F116" s="91">
        <f>sum('PP - Data'!AR117:BC117)</f>
        <v>20167</v>
      </c>
      <c r="G116" s="91">
        <f>sum('PP - Data'!BD117:BO117)</f>
        <v>2886</v>
      </c>
      <c r="H116" s="63">
        <f t="shared" si="62"/>
        <v>36212</v>
      </c>
      <c r="I116" s="64">
        <f t="shared" si="63"/>
        <v>0.3577659879</v>
      </c>
    </row>
    <row r="117" outlineLevel="1">
      <c r="A117" s="60" t="s">
        <v>28</v>
      </c>
      <c r="B117" s="92"/>
      <c r="C117" s="92"/>
      <c r="D117" s="92"/>
      <c r="E117" s="91">
        <f>sum('PP - Data'!AJ118:AQ118)</f>
        <v>6571</v>
      </c>
      <c r="F117" s="91">
        <f>sum('PP - Data'!AR118:BC118)</f>
        <v>10812</v>
      </c>
      <c r="G117" s="91">
        <f>sum('PP - Data'!BD118:BO118)</f>
        <v>939</v>
      </c>
      <c r="H117" s="63">
        <f t="shared" si="62"/>
        <v>18322</v>
      </c>
      <c r="I117" s="64">
        <f t="shared" si="63"/>
        <v>0.1810170228</v>
      </c>
    </row>
    <row r="118" outlineLevel="1">
      <c r="A118" s="93" t="s">
        <v>18</v>
      </c>
      <c r="B118" s="94"/>
      <c r="C118" s="94"/>
      <c r="D118" s="94"/>
      <c r="E118" s="95">
        <f t="shared" ref="E118:G118" si="64">sum(E114:E117)</f>
        <v>40730</v>
      </c>
      <c r="F118" s="95">
        <f t="shared" si="64"/>
        <v>54813</v>
      </c>
      <c r="G118" s="95">
        <f t="shared" si="64"/>
        <v>5674</v>
      </c>
      <c r="H118" s="96">
        <f t="shared" si="62"/>
        <v>101217</v>
      </c>
      <c r="I118" s="97">
        <f>SUM(I114:I117)</f>
        <v>1</v>
      </c>
    </row>
    <row r="119" outlineLevel="1">
      <c r="A119" s="72" t="s">
        <v>29</v>
      </c>
      <c r="B119" s="98"/>
      <c r="C119" s="98"/>
      <c r="D119" s="98"/>
      <c r="E119" s="99"/>
      <c r="F119" s="99"/>
      <c r="G119" s="99"/>
      <c r="H119" s="81"/>
      <c r="I119" s="82"/>
    </row>
    <row r="120" outlineLevel="1">
      <c r="A120" s="78" t="s">
        <v>25</v>
      </c>
      <c r="B120" s="100"/>
      <c r="C120" s="100"/>
      <c r="D120" s="100"/>
      <c r="E120" s="36">
        <f t="shared" ref="E120:G120" si="65">iferror(E114/E$118,"")</f>
        <v>0.0464522465</v>
      </c>
      <c r="F120" s="36">
        <f t="shared" si="65"/>
        <v>0.06834145185</v>
      </c>
      <c r="G120" s="36">
        <f t="shared" si="65"/>
        <v>0.02767007402</v>
      </c>
      <c r="H120" s="81"/>
      <c r="I120" s="82"/>
    </row>
    <row r="121" outlineLevel="1">
      <c r="A121" s="78" t="s">
        <v>26</v>
      </c>
      <c r="B121" s="100"/>
      <c r="C121" s="100"/>
      <c r="D121" s="100"/>
      <c r="E121" s="36">
        <f t="shared" ref="E121:G121" si="66">iferror(E115/E$118,"")</f>
        <v>0.4691382274</v>
      </c>
      <c r="F121" s="36">
        <f t="shared" si="66"/>
        <v>0.3664824038</v>
      </c>
      <c r="G121" s="36">
        <f t="shared" si="66"/>
        <v>0.2982023264</v>
      </c>
      <c r="H121" s="81"/>
      <c r="I121" s="82"/>
    </row>
    <row r="122" outlineLevel="1">
      <c r="A122" s="78" t="s">
        <v>27</v>
      </c>
      <c r="B122" s="100"/>
      <c r="C122" s="100"/>
      <c r="D122" s="100"/>
      <c r="E122" s="36">
        <f t="shared" ref="E122:G122" si="67">iferror(E116/E$118,"")</f>
        <v>0.3230788117</v>
      </c>
      <c r="F122" s="36">
        <f t="shared" si="67"/>
        <v>0.3679236677</v>
      </c>
      <c r="G122" s="36">
        <f t="shared" si="67"/>
        <v>0.508635883</v>
      </c>
      <c r="H122" s="81"/>
      <c r="I122" s="82"/>
    </row>
    <row r="123" outlineLevel="1">
      <c r="A123" s="78" t="s">
        <v>28</v>
      </c>
      <c r="B123" s="100"/>
      <c r="C123" s="100"/>
      <c r="D123" s="100"/>
      <c r="E123" s="36">
        <f t="shared" ref="E123:G123" si="68">iferror(E117/E$118,"")</f>
        <v>0.1613307145</v>
      </c>
      <c r="F123" s="36">
        <f t="shared" si="68"/>
        <v>0.1972524766</v>
      </c>
      <c r="G123" s="36">
        <f t="shared" si="68"/>
        <v>0.1654917166</v>
      </c>
      <c r="H123" s="81"/>
      <c r="I123" s="82"/>
    </row>
    <row r="124" outlineLevel="1">
      <c r="A124" s="56" t="s">
        <v>6</v>
      </c>
      <c r="B124" s="57"/>
      <c r="C124" s="57"/>
      <c r="D124" s="57"/>
      <c r="E124" s="57"/>
      <c r="F124" s="57"/>
      <c r="G124" s="57"/>
      <c r="H124" s="58"/>
      <c r="I124" s="59"/>
    </row>
    <row r="125" outlineLevel="1">
      <c r="A125" s="89" t="s">
        <v>7</v>
      </c>
      <c r="B125" s="90"/>
      <c r="C125" s="90"/>
      <c r="D125" s="90"/>
      <c r="E125" s="91">
        <f>sum('PP - Data'!AR126:BC126)</f>
        <v>34109</v>
      </c>
      <c r="F125" s="91">
        <f>sum('PP - Data'!AK126:AR126)</f>
        <v>26578</v>
      </c>
      <c r="G125" s="91">
        <f>sum('PP - Data'!AL126:BD126)</f>
        <v>60105</v>
      </c>
      <c r="H125" s="63">
        <f t="shared" ref="H125:H133" si="69">SUM(B125:G125)</f>
        <v>120792</v>
      </c>
      <c r="I125" s="64">
        <f t="shared" ref="I125:I132" si="70">iferror(H125/H$133,"")</f>
        <v>0.6421895435</v>
      </c>
    </row>
    <row r="126" outlineLevel="1">
      <c r="A126" s="60" t="s">
        <v>8</v>
      </c>
      <c r="B126" s="92"/>
      <c r="C126" s="92"/>
      <c r="D126" s="92"/>
      <c r="E126" s="91">
        <f>sum('PP - Data'!AJ127:AQ127)</f>
        <v>9391</v>
      </c>
      <c r="F126" s="91">
        <f>sum('PP - Data'!AK127:AR127)</f>
        <v>9690</v>
      </c>
      <c r="G126" s="91">
        <f>sum('PP - Data'!AL127:BD127)</f>
        <v>25100</v>
      </c>
      <c r="H126" s="63">
        <f t="shared" si="69"/>
        <v>44181</v>
      </c>
      <c r="I126" s="64">
        <f t="shared" si="70"/>
        <v>0.2348878752</v>
      </c>
    </row>
    <row r="127" outlineLevel="1">
      <c r="A127" s="60" t="s">
        <v>12</v>
      </c>
      <c r="B127" s="92"/>
      <c r="C127" s="92"/>
      <c r="D127" s="92"/>
      <c r="E127" s="91">
        <f>sum('PP - Data'!AJ128:AQ128)</f>
        <v>996</v>
      </c>
      <c r="F127" s="91">
        <f>sum('PP - Data'!AK128:AR128)</f>
        <v>989</v>
      </c>
      <c r="G127" s="91">
        <f>sum('PP - Data'!AL128:BD128)</f>
        <v>2035</v>
      </c>
      <c r="H127" s="63">
        <f t="shared" si="69"/>
        <v>4020</v>
      </c>
      <c r="I127" s="64">
        <f t="shared" si="70"/>
        <v>0.02137229258</v>
      </c>
    </row>
    <row r="128" outlineLevel="1">
      <c r="A128" s="60" t="s">
        <v>13</v>
      </c>
      <c r="B128" s="92"/>
      <c r="C128" s="92"/>
      <c r="D128" s="92"/>
      <c r="E128" s="91">
        <f>sum('PP - Data'!AJ129:AQ129)</f>
        <v>513</v>
      </c>
      <c r="F128" s="91">
        <f>sum('PP - Data'!AK129:AR129)</f>
        <v>522</v>
      </c>
      <c r="G128" s="91">
        <f>sum('PP - Data'!AL129:BD129)</f>
        <v>1197</v>
      </c>
      <c r="H128" s="63">
        <f t="shared" si="69"/>
        <v>2232</v>
      </c>
      <c r="I128" s="64">
        <f t="shared" si="70"/>
        <v>0.01186640722</v>
      </c>
    </row>
    <row r="129" outlineLevel="1">
      <c r="A129" s="60" t="s">
        <v>14</v>
      </c>
      <c r="B129" s="92"/>
      <c r="C129" s="92"/>
      <c r="D129" s="92"/>
      <c r="E129" s="91">
        <f>sum('PP - Data'!AJ130:AQ130)</f>
        <v>961</v>
      </c>
      <c r="F129" s="91">
        <f>sum('PP - Data'!AK130:AR130)</f>
        <v>992</v>
      </c>
      <c r="G129" s="91">
        <f>sum('PP - Data'!AL130:BD130)</f>
        <v>2347</v>
      </c>
      <c r="H129" s="63">
        <f t="shared" si="69"/>
        <v>4300</v>
      </c>
      <c r="I129" s="64">
        <f t="shared" si="70"/>
        <v>0.02286090997</v>
      </c>
    </row>
    <row r="130" outlineLevel="1">
      <c r="A130" s="134" t="s">
        <v>16</v>
      </c>
      <c r="B130" s="92"/>
      <c r="C130" s="135"/>
      <c r="D130" s="135"/>
      <c r="E130" s="91">
        <f>sum('PP - Data'!AJ131:AQ131)</f>
        <v>276</v>
      </c>
      <c r="F130" s="91">
        <f>sum('PP - Data'!AK131:AR131)</f>
        <v>275</v>
      </c>
      <c r="G130" s="91">
        <f>sum('PP - Data'!AL131:BD131)</f>
        <v>746</v>
      </c>
      <c r="H130" s="63">
        <f t="shared" si="69"/>
        <v>1297</v>
      </c>
      <c r="I130" s="64">
        <f t="shared" si="70"/>
        <v>0.006895488426</v>
      </c>
    </row>
    <row r="131" outlineLevel="1">
      <c r="A131" s="60" t="s">
        <v>15</v>
      </c>
      <c r="B131" s="135"/>
      <c r="C131" s="135"/>
      <c r="D131" s="135"/>
      <c r="E131" s="91">
        <f>sum('PP - Data'!AJ132:AQ132)</f>
        <v>2355</v>
      </c>
      <c r="F131" s="91">
        <f>sum('PP - Data'!AK132:AR132)</f>
        <v>2339</v>
      </c>
      <c r="G131" s="91">
        <f>sum('PP - Data'!AL132:BD132)</f>
        <v>6173</v>
      </c>
      <c r="H131" s="63">
        <f t="shared" si="69"/>
        <v>10867</v>
      </c>
      <c r="I131" s="64">
        <f t="shared" si="70"/>
        <v>0.05777430434</v>
      </c>
    </row>
    <row r="132" outlineLevel="1">
      <c r="A132" s="60" t="s">
        <v>17</v>
      </c>
      <c r="B132" s="135"/>
      <c r="C132" s="135"/>
      <c r="D132" s="135"/>
      <c r="E132" s="91">
        <f>sum('PP - Data'!AJ133:AQ133)</f>
        <v>91</v>
      </c>
      <c r="F132" s="91">
        <f>sum('PP - Data'!AK133:AR133)</f>
        <v>95</v>
      </c>
      <c r="G132" s="91">
        <f>sum('PP - Data'!AL133:BD133)</f>
        <v>219</v>
      </c>
      <c r="H132" s="63">
        <f t="shared" si="69"/>
        <v>405</v>
      </c>
      <c r="I132" s="64">
        <f t="shared" si="70"/>
        <v>0.00215317873</v>
      </c>
    </row>
    <row r="133" outlineLevel="1">
      <c r="A133" s="93" t="s">
        <v>18</v>
      </c>
      <c r="B133" s="94"/>
      <c r="C133" s="94"/>
      <c r="D133" s="94"/>
      <c r="E133" s="95">
        <f t="shared" ref="E133:G133" si="71">sum(E125:E132)</f>
        <v>48692</v>
      </c>
      <c r="F133" s="95">
        <f t="shared" si="71"/>
        <v>41480</v>
      </c>
      <c r="G133" s="95">
        <f t="shared" si="71"/>
        <v>97922</v>
      </c>
      <c r="H133" s="96">
        <f t="shared" si="69"/>
        <v>188094</v>
      </c>
      <c r="I133" s="97">
        <f>SUM(I125:I132)</f>
        <v>1</v>
      </c>
    </row>
    <row r="134" outlineLevel="1">
      <c r="A134" s="72" t="s">
        <v>9</v>
      </c>
      <c r="B134" s="98"/>
      <c r="C134" s="98"/>
      <c r="D134" s="98"/>
      <c r="E134" s="99"/>
      <c r="F134" s="99"/>
      <c r="G134" s="99"/>
      <c r="H134" s="81"/>
      <c r="I134" s="82"/>
    </row>
    <row r="135" outlineLevel="1">
      <c r="A135" s="78" t="s">
        <v>7</v>
      </c>
      <c r="B135" s="100"/>
      <c r="C135" s="100"/>
      <c r="D135" s="100"/>
      <c r="E135" s="36">
        <f t="shared" ref="E135:G135" si="72">iferror(E125/E$133,"")</f>
        <v>0.7005052165</v>
      </c>
      <c r="F135" s="36">
        <f t="shared" si="72"/>
        <v>0.6407425265</v>
      </c>
      <c r="G135" s="36">
        <f t="shared" si="72"/>
        <v>0.6138048651</v>
      </c>
      <c r="H135" s="81"/>
      <c r="I135" s="82"/>
    </row>
    <row r="136" outlineLevel="1">
      <c r="A136" s="78" t="s">
        <v>8</v>
      </c>
      <c r="B136" s="100"/>
      <c r="C136" s="100"/>
      <c r="D136" s="100"/>
      <c r="E136" s="36">
        <f t="shared" ref="E136:G136" si="73">iferror(E126/E$133,"")</f>
        <v>0.1928653578</v>
      </c>
      <c r="F136" s="36">
        <f t="shared" si="73"/>
        <v>0.2336065574</v>
      </c>
      <c r="G136" s="36">
        <f t="shared" si="73"/>
        <v>0.2563264639</v>
      </c>
      <c r="H136" s="81"/>
      <c r="I136" s="82"/>
    </row>
    <row r="137" outlineLevel="1">
      <c r="A137" s="78" t="s">
        <v>12</v>
      </c>
      <c r="B137" s="100"/>
      <c r="C137" s="100"/>
      <c r="D137" s="100"/>
      <c r="E137" s="36">
        <f t="shared" ref="E137:G137" si="74">iferror(E127/E$133,"")</f>
        <v>0.02045510556</v>
      </c>
      <c r="F137" s="36">
        <f t="shared" si="74"/>
        <v>0.02384281581</v>
      </c>
      <c r="G137" s="36">
        <f t="shared" si="74"/>
        <v>0.02078184678</v>
      </c>
      <c r="H137" s="81"/>
      <c r="I137" s="82"/>
    </row>
    <row r="138" outlineLevel="1">
      <c r="A138" s="78" t="s">
        <v>13</v>
      </c>
      <c r="B138" s="100"/>
      <c r="C138" s="100"/>
      <c r="D138" s="100"/>
      <c r="E138" s="36">
        <f t="shared" ref="E138:G138" si="75">iferror(E128/E$133,"")</f>
        <v>0.0105356116</v>
      </c>
      <c r="F138" s="36">
        <f t="shared" si="75"/>
        <v>0.01258437801</v>
      </c>
      <c r="G138" s="36">
        <f t="shared" si="75"/>
        <v>0.01222401503</v>
      </c>
      <c r="H138" s="81"/>
      <c r="I138" s="82"/>
    </row>
    <row r="139" outlineLevel="1">
      <c r="A139" s="78" t="s">
        <v>14</v>
      </c>
      <c r="B139" s="100"/>
      <c r="C139" s="100"/>
      <c r="D139" s="100"/>
      <c r="E139" s="36">
        <f t="shared" ref="E139:G139" si="76">iferror(E129/E$133,"")</f>
        <v>0.01973630165</v>
      </c>
      <c r="F139" s="36">
        <f t="shared" si="76"/>
        <v>0.02391513983</v>
      </c>
      <c r="G139" s="36">
        <f t="shared" si="76"/>
        <v>0.02396805621</v>
      </c>
      <c r="H139" s="81"/>
      <c r="I139" s="82"/>
    </row>
    <row r="140" outlineLevel="1">
      <c r="A140" s="136" t="s">
        <v>16</v>
      </c>
      <c r="B140" s="100"/>
      <c r="C140" s="100"/>
      <c r="D140" s="100"/>
      <c r="E140" s="36">
        <f t="shared" ref="E140:G140" si="77">iferror(E130/E$133,"")</f>
        <v>0.005668282264</v>
      </c>
      <c r="F140" s="36">
        <f t="shared" si="77"/>
        <v>0.006629701061</v>
      </c>
      <c r="G140" s="36">
        <f t="shared" si="77"/>
        <v>0.00761830845</v>
      </c>
      <c r="H140" s="81"/>
      <c r="I140" s="82"/>
    </row>
    <row r="141" outlineLevel="1">
      <c r="A141" s="136" t="s">
        <v>53</v>
      </c>
      <c r="B141" s="100"/>
      <c r="C141" s="100"/>
      <c r="D141" s="100"/>
      <c r="E141" s="36">
        <f t="shared" ref="E141:G141" si="78">iferror(E131/E$133,"")</f>
        <v>0.04836523454</v>
      </c>
      <c r="F141" s="36">
        <f t="shared" si="78"/>
        <v>0.05638862102</v>
      </c>
      <c r="G141" s="36">
        <f t="shared" si="78"/>
        <v>0.06303997059</v>
      </c>
      <c r="H141" s="81"/>
      <c r="I141" s="82"/>
    </row>
    <row r="142" outlineLevel="1">
      <c r="A142" s="137" t="s">
        <v>17</v>
      </c>
      <c r="B142" s="138"/>
      <c r="C142" s="138"/>
      <c r="D142" s="138"/>
      <c r="E142" s="36">
        <f t="shared" ref="E142:G142" si="79">iferror(E132/E$133,"")</f>
        <v>0.001868890167</v>
      </c>
      <c r="F142" s="36">
        <f t="shared" si="79"/>
        <v>0.002290260366</v>
      </c>
      <c r="G142" s="36">
        <f t="shared" si="79"/>
        <v>0.002236473928</v>
      </c>
      <c r="H142" s="87"/>
      <c r="I142" s="139"/>
    </row>
    <row r="143" outlineLevel="1">
      <c r="A143" s="56" t="s">
        <v>19</v>
      </c>
      <c r="B143" s="57"/>
      <c r="C143" s="57"/>
      <c r="D143" s="57"/>
      <c r="E143" s="57"/>
      <c r="F143" s="57"/>
      <c r="G143" s="57"/>
      <c r="H143" s="58"/>
      <c r="I143" s="59"/>
    </row>
    <row r="144" outlineLevel="1">
      <c r="A144" s="60" t="s">
        <v>20</v>
      </c>
      <c r="B144" s="90"/>
      <c r="C144" s="90"/>
      <c r="D144" s="90"/>
      <c r="E144" s="91">
        <f>sum('PP - Data'!AJ145:AQ145)</f>
        <v>22556</v>
      </c>
      <c r="F144" s="91">
        <f>sum('PP - Data'!AR145:BC145)</f>
        <v>28904</v>
      </c>
      <c r="G144" s="91">
        <f>sum('PP - Data'!BD145:BO145)</f>
        <v>2794</v>
      </c>
      <c r="H144" s="63">
        <f t="shared" ref="H144:H147" si="80">SUM(B144:G144)</f>
        <v>54254</v>
      </c>
      <c r="I144" s="64">
        <f t="shared" ref="I144:I146" si="81">iferror(H144/H$147,"")</f>
        <v>0.8508429389</v>
      </c>
    </row>
    <row r="145" outlineLevel="1">
      <c r="A145" s="65" t="s">
        <v>21</v>
      </c>
      <c r="B145" s="92"/>
      <c r="C145" s="92"/>
      <c r="D145" s="92"/>
      <c r="E145" s="91">
        <f>sum('PP - Data'!AJ146:AQ146)</f>
        <v>1227</v>
      </c>
      <c r="F145" s="91">
        <f>sum('PP - Data'!AR146:BC146)</f>
        <v>1794</v>
      </c>
      <c r="G145" s="91">
        <f>sum('PP - Data'!BD146:BO146)</f>
        <v>308</v>
      </c>
      <c r="H145" s="63">
        <f t="shared" si="80"/>
        <v>3329</v>
      </c>
      <c r="I145" s="64">
        <f t="shared" si="81"/>
        <v>0.05220732377</v>
      </c>
    </row>
    <row r="146" outlineLevel="1">
      <c r="A146" s="67" t="s">
        <v>22</v>
      </c>
      <c r="B146" s="92"/>
      <c r="C146" s="92"/>
      <c r="D146" s="92"/>
      <c r="E146" s="91">
        <f>sum('PP - Data'!AJ147:AQ147)</f>
        <v>2364</v>
      </c>
      <c r="F146" s="91">
        <f>sum('PP - Data'!AR147:BC147)</f>
        <v>3411</v>
      </c>
      <c r="G146" s="91">
        <f>sum('PP - Data'!BD147:BO147)</f>
        <v>407</v>
      </c>
      <c r="H146" s="63">
        <f t="shared" si="80"/>
        <v>6182</v>
      </c>
      <c r="I146" s="64">
        <f t="shared" si="81"/>
        <v>0.09694973732</v>
      </c>
    </row>
    <row r="147" outlineLevel="1">
      <c r="A147" s="68" t="s">
        <v>18</v>
      </c>
      <c r="B147" s="94"/>
      <c r="C147" s="94"/>
      <c r="D147" s="94"/>
      <c r="E147" s="95">
        <f t="shared" ref="E147:G147" si="82">sum(E144:E146)</f>
        <v>26147</v>
      </c>
      <c r="F147" s="95">
        <f t="shared" si="82"/>
        <v>34109</v>
      </c>
      <c r="G147" s="95">
        <f t="shared" si="82"/>
        <v>3509</v>
      </c>
      <c r="H147" s="70">
        <f t="shared" si="80"/>
        <v>63765</v>
      </c>
      <c r="I147" s="71">
        <f>SUM(I144:I146)</f>
        <v>1</v>
      </c>
    </row>
    <row r="148" outlineLevel="1">
      <c r="A148" s="72" t="s">
        <v>23</v>
      </c>
      <c r="B148" s="98"/>
      <c r="C148" s="98"/>
      <c r="D148" s="98"/>
      <c r="E148" s="99"/>
      <c r="F148" s="99"/>
      <c r="G148" s="99"/>
      <c r="H148" s="76"/>
      <c r="I148" s="77"/>
    </row>
    <row r="149" outlineLevel="1">
      <c r="A149" s="78" t="s">
        <v>20</v>
      </c>
      <c r="B149" s="100"/>
      <c r="C149" s="100"/>
      <c r="D149" s="100"/>
      <c r="E149" s="36">
        <f t="shared" ref="E149:G149" si="83">iferror(E144/E$147,"")</f>
        <v>0.8626611083</v>
      </c>
      <c r="F149" s="36">
        <f t="shared" si="83"/>
        <v>0.8474009792</v>
      </c>
      <c r="G149" s="36">
        <f t="shared" si="83"/>
        <v>0.7962382445</v>
      </c>
      <c r="H149" s="81"/>
      <c r="I149" s="82"/>
    </row>
    <row r="150" outlineLevel="1">
      <c r="A150" s="78" t="s">
        <v>21</v>
      </c>
      <c r="B150" s="100"/>
      <c r="C150" s="100"/>
      <c r="D150" s="100"/>
      <c r="E150" s="36">
        <f t="shared" ref="E150:G150" si="84">iferror(E145/E$147,"")</f>
        <v>0.04692698971</v>
      </c>
      <c r="F150" s="36">
        <f t="shared" si="84"/>
        <v>0.05259608901</v>
      </c>
      <c r="G150" s="36">
        <f t="shared" si="84"/>
        <v>0.08777429467</v>
      </c>
      <c r="H150" s="83"/>
      <c r="I150" s="82"/>
    </row>
    <row r="151" outlineLevel="1">
      <c r="A151" s="84" t="s">
        <v>22</v>
      </c>
      <c r="B151" s="100"/>
      <c r="C151" s="100"/>
      <c r="D151" s="100"/>
      <c r="E151" s="36">
        <f t="shared" ref="E151:G151" si="85">iferror(E146/E$147,"")</f>
        <v>0.09041190194</v>
      </c>
      <c r="F151" s="36">
        <f t="shared" si="85"/>
        <v>0.1000029318</v>
      </c>
      <c r="G151" s="36">
        <f t="shared" si="85"/>
        <v>0.1159874608</v>
      </c>
      <c r="H151" s="83"/>
      <c r="I151" s="82"/>
    </row>
    <row r="152" ht="42.75" customHeight="1">
      <c r="A152" s="140"/>
      <c r="B152" s="141"/>
      <c r="C152" s="141"/>
      <c r="D152" s="141"/>
      <c r="E152" s="141"/>
      <c r="F152" s="141"/>
      <c r="G152" s="141"/>
      <c r="H152" s="142"/>
      <c r="I152" s="142"/>
    </row>
    <row r="153">
      <c r="A153" s="131" t="s">
        <v>54</v>
      </c>
      <c r="B153" s="132"/>
      <c r="C153" s="132"/>
      <c r="D153" s="132"/>
      <c r="E153" s="132"/>
      <c r="F153" s="132"/>
      <c r="G153" s="132"/>
      <c r="H153" s="82"/>
      <c r="I153" s="82"/>
    </row>
    <row r="154">
      <c r="B154" s="132"/>
      <c r="C154" s="132"/>
      <c r="D154" s="132"/>
      <c r="E154" s="132"/>
      <c r="F154" s="132"/>
      <c r="G154" s="132"/>
      <c r="H154" s="82"/>
      <c r="I154" s="82"/>
    </row>
    <row r="155" outlineLevel="1">
      <c r="A155" s="56" t="s">
        <v>24</v>
      </c>
      <c r="B155" s="57"/>
      <c r="C155" s="57"/>
      <c r="D155" s="57"/>
      <c r="E155" s="57"/>
      <c r="F155" s="57"/>
      <c r="G155" s="57"/>
      <c r="H155" s="58"/>
      <c r="I155" s="59"/>
    </row>
    <row r="156" outlineLevel="1">
      <c r="A156" s="89" t="s">
        <v>25</v>
      </c>
      <c r="B156" s="90"/>
      <c r="C156" s="90"/>
      <c r="D156" s="90"/>
      <c r="E156" s="91">
        <f>sum('PP - Data'!AJ157:AQ157)</f>
        <v>2100</v>
      </c>
      <c r="F156" s="91">
        <f>sum('PP - Data'!AR157:BC157)</f>
        <v>4270</v>
      </c>
      <c r="G156" s="91">
        <f>sum('PP - Data'!BD157:BO157)</f>
        <v>132</v>
      </c>
      <c r="H156" s="63">
        <f t="shared" ref="H156:H160" si="86">SUM(B156:G156)</f>
        <v>6502</v>
      </c>
      <c r="I156" s="64">
        <f t="shared" ref="I156:I159" si="87">iferror(H156/H$160,"")</f>
        <v>0.2270885722</v>
      </c>
    </row>
    <row r="157" outlineLevel="1">
      <c r="A157" s="60" t="s">
        <v>26</v>
      </c>
      <c r="B157" s="92"/>
      <c r="C157" s="92"/>
      <c r="D157" s="92"/>
      <c r="E157" s="91">
        <f>sum('PP - Data'!AJ158:AQ158)</f>
        <v>1894</v>
      </c>
      <c r="F157" s="91">
        <f>sum('PP - Data'!AR158:BC158)</f>
        <v>3139</v>
      </c>
      <c r="G157" s="91">
        <f>sum('PP - Data'!BD158:BO158)</f>
        <v>1018</v>
      </c>
      <c r="H157" s="63">
        <f t="shared" si="86"/>
        <v>6051</v>
      </c>
      <c r="I157" s="64">
        <f t="shared" si="87"/>
        <v>0.2113369656</v>
      </c>
    </row>
    <row r="158" outlineLevel="1">
      <c r="A158" s="60" t="s">
        <v>27</v>
      </c>
      <c r="B158" s="92"/>
      <c r="C158" s="92"/>
      <c r="D158" s="92"/>
      <c r="E158" s="91">
        <f>sum('PP - Data'!AJ159:AQ159)</f>
        <v>1395</v>
      </c>
      <c r="F158" s="91">
        <f>sum('PP - Data'!AR159:BC159)</f>
        <v>3694</v>
      </c>
      <c r="G158" s="91">
        <f>sum('PP - Data'!BD159:BO159)</f>
        <v>1407</v>
      </c>
      <c r="H158" s="63">
        <f t="shared" si="86"/>
        <v>6496</v>
      </c>
      <c r="I158" s="64">
        <f t="shared" si="87"/>
        <v>0.2268790165</v>
      </c>
    </row>
    <row r="159" outlineLevel="1">
      <c r="A159" s="60" t="s">
        <v>28</v>
      </c>
      <c r="B159" s="92"/>
      <c r="C159" s="92"/>
      <c r="D159" s="92"/>
      <c r="E159" s="91">
        <f>sum('PP - Data'!AJ160:AQ160)</f>
        <v>2710</v>
      </c>
      <c r="F159" s="91">
        <f>sum('PP - Data'!AR160:BC160)</f>
        <v>5956</v>
      </c>
      <c r="G159" s="91">
        <f>sum('PP - Data'!BD160:BO160)</f>
        <v>917</v>
      </c>
      <c r="H159" s="63">
        <f t="shared" si="86"/>
        <v>9583</v>
      </c>
      <c r="I159" s="64">
        <f t="shared" si="87"/>
        <v>0.3346954457</v>
      </c>
    </row>
    <row r="160" outlineLevel="1">
      <c r="A160" s="93" t="s">
        <v>18</v>
      </c>
      <c r="B160" s="94"/>
      <c r="C160" s="94"/>
      <c r="D160" s="94"/>
      <c r="E160" s="95">
        <f t="shared" ref="E160:G160" si="88">sum(E156:E159)</f>
        <v>8099</v>
      </c>
      <c r="F160" s="95">
        <f t="shared" si="88"/>
        <v>17059</v>
      </c>
      <c r="G160" s="95">
        <f t="shared" si="88"/>
        <v>3474</v>
      </c>
      <c r="H160" s="96">
        <f t="shared" si="86"/>
        <v>28632</v>
      </c>
      <c r="I160" s="97">
        <f>SUM(I156:I159)</f>
        <v>1</v>
      </c>
    </row>
    <row r="161" outlineLevel="1">
      <c r="A161" s="72" t="s">
        <v>29</v>
      </c>
      <c r="B161" s="98"/>
      <c r="C161" s="98"/>
      <c r="D161" s="98"/>
      <c r="E161" s="99"/>
      <c r="F161" s="99"/>
      <c r="G161" s="99"/>
      <c r="H161" s="81"/>
      <c r="I161" s="82"/>
    </row>
    <row r="162" outlineLevel="1">
      <c r="A162" s="78" t="s">
        <v>25</v>
      </c>
      <c r="B162" s="100"/>
      <c r="C162" s="100"/>
      <c r="D162" s="100"/>
      <c r="E162" s="36">
        <f t="shared" ref="E162:G162" si="89">iferror(E156/E$160,"")</f>
        <v>0.2592912705</v>
      </c>
      <c r="F162" s="36">
        <f t="shared" si="89"/>
        <v>0.2503077554</v>
      </c>
      <c r="G162" s="36">
        <f t="shared" si="89"/>
        <v>0.03799654577</v>
      </c>
      <c r="H162" s="81"/>
      <c r="I162" s="82"/>
    </row>
    <row r="163" outlineLevel="1">
      <c r="A163" s="78" t="s">
        <v>26</v>
      </c>
      <c r="B163" s="100"/>
      <c r="C163" s="100"/>
      <c r="D163" s="100"/>
      <c r="E163" s="36">
        <f t="shared" ref="E163:G163" si="90">iferror(E157/E$160,"")</f>
        <v>0.2338560316</v>
      </c>
      <c r="F163" s="36">
        <f t="shared" si="90"/>
        <v>0.1840084413</v>
      </c>
      <c r="G163" s="36">
        <f t="shared" si="90"/>
        <v>0.2930339666</v>
      </c>
      <c r="H163" s="81"/>
      <c r="I163" s="82"/>
    </row>
    <row r="164" outlineLevel="1">
      <c r="A164" s="78" t="s">
        <v>27</v>
      </c>
      <c r="B164" s="100"/>
      <c r="C164" s="100"/>
      <c r="D164" s="100"/>
      <c r="E164" s="36">
        <f t="shared" ref="E164:G164" si="91">iferror(E158/E$160,"")</f>
        <v>0.1722434869</v>
      </c>
      <c r="F164" s="36">
        <f t="shared" si="91"/>
        <v>0.2165425875</v>
      </c>
      <c r="G164" s="36">
        <f t="shared" si="91"/>
        <v>0.4050086356</v>
      </c>
      <c r="H164" s="81"/>
      <c r="I164" s="82"/>
    </row>
    <row r="165" outlineLevel="1">
      <c r="A165" s="78" t="s">
        <v>28</v>
      </c>
      <c r="B165" s="100"/>
      <c r="C165" s="100"/>
      <c r="D165" s="100"/>
      <c r="E165" s="36">
        <f t="shared" ref="E165:G165" si="92">iferror(E159/E$160,"")</f>
        <v>0.334609211</v>
      </c>
      <c r="F165" s="36">
        <f t="shared" si="92"/>
        <v>0.3491412158</v>
      </c>
      <c r="G165" s="36">
        <f t="shared" si="92"/>
        <v>0.263960852</v>
      </c>
      <c r="H165" s="81"/>
      <c r="I165" s="82"/>
    </row>
    <row r="166" outlineLevel="1">
      <c r="A166" s="56" t="s">
        <v>6</v>
      </c>
      <c r="B166" s="57"/>
      <c r="C166" s="57"/>
      <c r="D166" s="57"/>
      <c r="E166" s="57"/>
      <c r="F166" s="57"/>
      <c r="G166" s="57"/>
      <c r="H166" s="58"/>
      <c r="I166" s="59"/>
    </row>
    <row r="167" outlineLevel="1">
      <c r="A167" s="89" t="s">
        <v>7</v>
      </c>
      <c r="B167" s="90"/>
      <c r="C167" s="90"/>
      <c r="D167" s="90"/>
      <c r="E167" s="91">
        <f>sum('PP - Data'!AJ168:AQ168)</f>
        <v>2852</v>
      </c>
      <c r="F167" s="91">
        <f>sum('PP - Data'!AR168:BC168)</f>
        <v>7186</v>
      </c>
      <c r="G167" s="91">
        <f>sum('PP - Data'!BD168:BO168)</f>
        <v>3071</v>
      </c>
      <c r="H167" s="63">
        <f t="shared" ref="H167:H175" si="93">SUM(B167:G167)</f>
        <v>13109</v>
      </c>
      <c r="I167" s="64">
        <f t="shared" ref="I167:I174" si="94">iferror(H167/H$175,"")</f>
        <v>0.3504424306</v>
      </c>
    </row>
    <row r="168" outlineLevel="1">
      <c r="A168" s="60" t="s">
        <v>8</v>
      </c>
      <c r="B168" s="92"/>
      <c r="C168" s="92"/>
      <c r="D168" s="92"/>
      <c r="E168" s="91">
        <f>sum('PP - Data'!AJ169:AQ169)</f>
        <v>3591</v>
      </c>
      <c r="F168" s="91">
        <f>sum('PP - Data'!AR169:BC169)</f>
        <v>9451</v>
      </c>
      <c r="G168" s="91">
        <f>sum('PP - Data'!BD169:BO169)</f>
        <v>4723</v>
      </c>
      <c r="H168" s="63">
        <f t="shared" si="93"/>
        <v>17765</v>
      </c>
      <c r="I168" s="64">
        <f t="shared" si="94"/>
        <v>0.4749111129</v>
      </c>
    </row>
    <row r="169" outlineLevel="1">
      <c r="A169" s="60" t="s">
        <v>12</v>
      </c>
      <c r="B169" s="92"/>
      <c r="C169" s="92"/>
      <c r="D169" s="92"/>
      <c r="E169" s="91">
        <f>sum('PP - Data'!AJ170:AQ170)</f>
        <v>98</v>
      </c>
      <c r="F169" s="91">
        <f>sum('PP - Data'!AR170:BC170)</f>
        <v>271</v>
      </c>
      <c r="G169" s="91">
        <f>sum('PP - Data'!BD170:BO170)</f>
        <v>109</v>
      </c>
      <c r="H169" s="63">
        <f t="shared" si="93"/>
        <v>478</v>
      </c>
      <c r="I169" s="64">
        <f t="shared" si="94"/>
        <v>0.01277835699</v>
      </c>
    </row>
    <row r="170" outlineLevel="1">
      <c r="A170" s="60" t="s">
        <v>13</v>
      </c>
      <c r="B170" s="92"/>
      <c r="C170" s="92"/>
      <c r="D170" s="92"/>
      <c r="E170" s="91">
        <f>sum('PP - Data'!AJ171:AQ171)</f>
        <v>120</v>
      </c>
      <c r="F170" s="91">
        <f>sum('PP - Data'!AR171:BC171)</f>
        <v>273</v>
      </c>
      <c r="G170" s="91">
        <f>sum('PP - Data'!BD171:BO171)</f>
        <v>94</v>
      </c>
      <c r="H170" s="63">
        <f t="shared" si="93"/>
        <v>487</v>
      </c>
      <c r="I170" s="64">
        <f t="shared" si="94"/>
        <v>0.01301895367</v>
      </c>
    </row>
    <row r="171" outlineLevel="1">
      <c r="A171" s="60" t="s">
        <v>14</v>
      </c>
      <c r="B171" s="92"/>
      <c r="C171" s="92"/>
      <c r="D171" s="92"/>
      <c r="E171" s="91">
        <f>sum('PP - Data'!AJ172:AQ172)</f>
        <v>606</v>
      </c>
      <c r="F171" s="91">
        <f>sum('PP - Data'!AR172:BC172)</f>
        <v>1118</v>
      </c>
      <c r="G171" s="91">
        <f>sum('PP - Data'!BD172:BO172)</f>
        <v>365</v>
      </c>
      <c r="H171" s="63">
        <f t="shared" si="93"/>
        <v>2089</v>
      </c>
      <c r="I171" s="64">
        <f t="shared" si="94"/>
        <v>0.05584516267</v>
      </c>
    </row>
    <row r="172" outlineLevel="1">
      <c r="A172" s="134" t="s">
        <v>16</v>
      </c>
      <c r="B172" s="92"/>
      <c r="C172" s="135"/>
      <c r="D172" s="135"/>
      <c r="E172" s="91">
        <f>sum('PP - Data'!AJ173:AQ173)</f>
        <v>74</v>
      </c>
      <c r="F172" s="91">
        <f>sum('PP - Data'!AR173:BC173)</f>
        <v>217</v>
      </c>
      <c r="G172" s="91">
        <f>sum('PP - Data'!BD173:BO173)</f>
        <v>86</v>
      </c>
      <c r="H172" s="63">
        <f t="shared" si="93"/>
        <v>377</v>
      </c>
      <c r="I172" s="64">
        <f t="shared" si="94"/>
        <v>0.01007832759</v>
      </c>
    </row>
    <row r="173" outlineLevel="1">
      <c r="A173" s="60" t="s">
        <v>15</v>
      </c>
      <c r="B173" s="135"/>
      <c r="C173" s="135"/>
      <c r="D173" s="135"/>
      <c r="E173" s="91">
        <f>sum('PP - Data'!AJ174:AQ174)</f>
        <v>624</v>
      </c>
      <c r="F173" s="91">
        <f>sum('PP - Data'!AR174:BC174)</f>
        <v>1640</v>
      </c>
      <c r="G173" s="91">
        <f>sum('PP - Data'!BD174:BO174)</f>
        <v>684</v>
      </c>
      <c r="H173" s="63">
        <f t="shared" si="93"/>
        <v>2948</v>
      </c>
      <c r="I173" s="64">
        <f t="shared" si="94"/>
        <v>0.07880877911</v>
      </c>
    </row>
    <row r="174" outlineLevel="1">
      <c r="A174" s="60" t="s">
        <v>17</v>
      </c>
      <c r="B174" s="135"/>
      <c r="C174" s="135"/>
      <c r="D174" s="135"/>
      <c r="E174" s="91">
        <f>sum('PP - Data'!AJ175:AQ175)</f>
        <v>30</v>
      </c>
      <c r="F174" s="91">
        <f>sum('PP - Data'!AR175:BC175)</f>
        <v>86</v>
      </c>
      <c r="G174" s="91">
        <f>sum('PP - Data'!BD175:BO175)</f>
        <v>38</v>
      </c>
      <c r="H174" s="63">
        <f t="shared" si="93"/>
        <v>154</v>
      </c>
      <c r="I174" s="64">
        <f t="shared" si="94"/>
        <v>0.00411687652</v>
      </c>
    </row>
    <row r="175" outlineLevel="1">
      <c r="A175" s="93" t="s">
        <v>18</v>
      </c>
      <c r="B175" s="94"/>
      <c r="C175" s="94"/>
      <c r="D175" s="94"/>
      <c r="E175" s="95">
        <f t="shared" ref="E175:G175" si="95">sum(E167:E174)</f>
        <v>7995</v>
      </c>
      <c r="F175" s="95">
        <f t="shared" si="95"/>
        <v>20242</v>
      </c>
      <c r="G175" s="95">
        <f t="shared" si="95"/>
        <v>9170</v>
      </c>
      <c r="H175" s="96">
        <f t="shared" si="93"/>
        <v>37407</v>
      </c>
      <c r="I175" s="97">
        <f>SUM(I167:I174)</f>
        <v>1</v>
      </c>
    </row>
    <row r="176" outlineLevel="1">
      <c r="A176" s="72" t="s">
        <v>9</v>
      </c>
      <c r="B176" s="98"/>
      <c r="C176" s="98"/>
      <c r="D176" s="98"/>
      <c r="E176" s="99"/>
      <c r="F176" s="99"/>
      <c r="G176" s="99"/>
      <c r="H176" s="81"/>
      <c r="I176" s="82"/>
    </row>
    <row r="177" outlineLevel="1">
      <c r="A177" s="78" t="s">
        <v>7</v>
      </c>
      <c r="B177" s="100"/>
      <c r="C177" s="100"/>
      <c r="D177" s="100"/>
      <c r="E177" s="36">
        <f t="shared" ref="E177:G177" si="96">iferror(E167/E$175,"")</f>
        <v>0.3567229518</v>
      </c>
      <c r="F177" s="36">
        <f t="shared" si="96"/>
        <v>0.3550044462</v>
      </c>
      <c r="G177" s="36">
        <f t="shared" si="96"/>
        <v>0.3348964013</v>
      </c>
      <c r="H177" s="81"/>
      <c r="I177" s="82"/>
    </row>
    <row r="178" outlineLevel="1">
      <c r="A178" s="78" t="s">
        <v>8</v>
      </c>
      <c r="B178" s="100"/>
      <c r="C178" s="100"/>
      <c r="D178" s="100"/>
      <c r="E178" s="36">
        <f t="shared" ref="E178:G178" si="97">iferror(E168/E$175,"")</f>
        <v>0.4491557223</v>
      </c>
      <c r="F178" s="36">
        <f t="shared" si="97"/>
        <v>0.4669005039</v>
      </c>
      <c r="G178" s="36">
        <f t="shared" si="97"/>
        <v>0.5150490731</v>
      </c>
      <c r="H178" s="81"/>
      <c r="I178" s="82"/>
    </row>
    <row r="179" outlineLevel="1">
      <c r="A179" s="78" t="s">
        <v>12</v>
      </c>
      <c r="B179" s="100"/>
      <c r="C179" s="100"/>
      <c r="D179" s="100"/>
      <c r="E179" s="36">
        <f t="shared" ref="E179:G179" si="98">iferror(E169/E$175,"")</f>
        <v>0.01225766104</v>
      </c>
      <c r="F179" s="36">
        <f t="shared" si="98"/>
        <v>0.01338800514</v>
      </c>
      <c r="G179" s="36">
        <f t="shared" si="98"/>
        <v>0.0118865867</v>
      </c>
      <c r="H179" s="81"/>
      <c r="I179" s="82"/>
    </row>
    <row r="180" outlineLevel="1">
      <c r="A180" s="78" t="s">
        <v>13</v>
      </c>
      <c r="B180" s="100"/>
      <c r="C180" s="100"/>
      <c r="D180" s="100"/>
      <c r="E180" s="36">
        <f t="shared" ref="E180:G180" si="99">iferror(E170/E$175,"")</f>
        <v>0.01500938086</v>
      </c>
      <c r="F180" s="36">
        <f t="shared" si="99"/>
        <v>0.0134868096</v>
      </c>
      <c r="G180" s="36">
        <f t="shared" si="99"/>
        <v>0.01025081788</v>
      </c>
      <c r="H180" s="81"/>
      <c r="I180" s="82"/>
    </row>
    <row r="181" outlineLevel="1">
      <c r="A181" s="78" t="s">
        <v>14</v>
      </c>
      <c r="B181" s="100"/>
      <c r="C181" s="100"/>
      <c r="D181" s="100"/>
      <c r="E181" s="36">
        <f t="shared" ref="E181:G181" si="100">iferror(E171/E$175,"")</f>
        <v>0.07579737336</v>
      </c>
      <c r="F181" s="36">
        <f t="shared" si="100"/>
        <v>0.05523169647</v>
      </c>
      <c r="G181" s="36">
        <f t="shared" si="100"/>
        <v>0.03980370774</v>
      </c>
      <c r="H181" s="81"/>
      <c r="I181" s="82"/>
    </row>
    <row r="182" outlineLevel="1">
      <c r="A182" s="136" t="s">
        <v>16</v>
      </c>
      <c r="B182" s="100"/>
      <c r="C182" s="100"/>
      <c r="D182" s="100"/>
      <c r="E182" s="36">
        <f t="shared" ref="E182:G182" si="101">iferror(E172/E$175,"")</f>
        <v>0.009255784866</v>
      </c>
      <c r="F182" s="36">
        <f t="shared" si="101"/>
        <v>0.01072028456</v>
      </c>
      <c r="G182" s="36">
        <f t="shared" si="101"/>
        <v>0.009378407852</v>
      </c>
      <c r="H182" s="81"/>
      <c r="I182" s="82"/>
    </row>
    <row r="183" outlineLevel="1">
      <c r="A183" s="136" t="s">
        <v>53</v>
      </c>
      <c r="B183" s="100"/>
      <c r="C183" s="100"/>
      <c r="D183" s="100"/>
      <c r="E183" s="36">
        <f t="shared" ref="E183:G183" si="102">iferror(E173/E$175,"")</f>
        <v>0.07804878049</v>
      </c>
      <c r="F183" s="36">
        <f t="shared" si="102"/>
        <v>0.08101966209</v>
      </c>
      <c r="G183" s="36">
        <f t="shared" si="102"/>
        <v>0.0745910578</v>
      </c>
      <c r="H183" s="81"/>
      <c r="I183" s="82"/>
    </row>
    <row r="184" outlineLevel="1">
      <c r="A184" s="84" t="s">
        <v>17</v>
      </c>
      <c r="B184" s="100"/>
      <c r="C184" s="100"/>
      <c r="D184" s="100"/>
      <c r="E184" s="36">
        <f t="shared" ref="E184:G184" si="103">iferror(E174/E$175,"")</f>
        <v>0.003752345216</v>
      </c>
      <c r="F184" s="36">
        <f t="shared" si="103"/>
        <v>0.004248592036</v>
      </c>
      <c r="G184" s="36">
        <f t="shared" si="103"/>
        <v>0.004143947655</v>
      </c>
      <c r="H184" s="81"/>
      <c r="I184" s="143"/>
    </row>
    <row r="185" outlineLevel="1">
      <c r="A185" s="56" t="s">
        <v>19</v>
      </c>
      <c r="B185" s="57"/>
      <c r="C185" s="57"/>
      <c r="D185" s="57"/>
      <c r="E185" s="57"/>
      <c r="F185" s="57"/>
      <c r="G185" s="57"/>
      <c r="H185" s="58"/>
      <c r="I185" s="59"/>
    </row>
    <row r="186" outlineLevel="1">
      <c r="A186" s="60" t="s">
        <v>20</v>
      </c>
      <c r="B186" s="90"/>
      <c r="C186" s="90"/>
      <c r="D186" s="90"/>
      <c r="E186" s="91">
        <f>sum('PP - Data'!AJ187:AQ187)</f>
        <v>2159</v>
      </c>
      <c r="F186" s="91">
        <f>sum('PP - Data'!AR187:BC187)</f>
        <v>5420</v>
      </c>
      <c r="G186" s="91">
        <f>sum('PP - Data'!BD187:BO187)</f>
        <v>2378</v>
      </c>
      <c r="H186" s="63">
        <f t="shared" ref="H186:H189" si="104">SUM(B186:G186)</f>
        <v>9957</v>
      </c>
      <c r="I186" s="64">
        <f t="shared" ref="I186:I188" si="105">iferror(H186/H$189,"")</f>
        <v>0.7594965675</v>
      </c>
    </row>
    <row r="187" outlineLevel="1">
      <c r="A187" s="65" t="s">
        <v>21</v>
      </c>
      <c r="B187" s="92"/>
      <c r="C187" s="92"/>
      <c r="D187" s="92"/>
      <c r="E187" s="91">
        <f>sum('PP - Data'!AJ188:AQ188)</f>
        <v>197</v>
      </c>
      <c r="F187" s="91">
        <f>sum('PP - Data'!AR188:BC188)</f>
        <v>509</v>
      </c>
      <c r="G187" s="91">
        <f>sum('PP - Data'!BD188:BO188)</f>
        <v>198</v>
      </c>
      <c r="H187" s="63">
        <f t="shared" si="104"/>
        <v>904</v>
      </c>
      <c r="I187" s="64">
        <f t="shared" si="105"/>
        <v>0.06895499619</v>
      </c>
    </row>
    <row r="188" outlineLevel="1">
      <c r="A188" s="67" t="s">
        <v>22</v>
      </c>
      <c r="B188" s="92"/>
      <c r="C188" s="92"/>
      <c r="D188" s="92"/>
      <c r="E188" s="91">
        <f>sum('PP - Data'!AJ189:AQ189)</f>
        <v>496</v>
      </c>
      <c r="F188" s="91">
        <f>sum('PP - Data'!AR189:BC189)</f>
        <v>1258</v>
      </c>
      <c r="G188" s="91">
        <f>sum('PP - Data'!BD189:BO189)</f>
        <v>495</v>
      </c>
      <c r="H188" s="63">
        <f t="shared" si="104"/>
        <v>2249</v>
      </c>
      <c r="I188" s="64">
        <f t="shared" si="105"/>
        <v>0.1715484363</v>
      </c>
    </row>
    <row r="189" outlineLevel="1">
      <c r="A189" s="68" t="s">
        <v>18</v>
      </c>
      <c r="B189" s="94"/>
      <c r="C189" s="94"/>
      <c r="D189" s="94"/>
      <c r="E189" s="95">
        <f t="shared" ref="E189:G189" si="106">sum(E186:E188)</f>
        <v>2852</v>
      </c>
      <c r="F189" s="95">
        <f t="shared" si="106"/>
        <v>7187</v>
      </c>
      <c r="G189" s="95">
        <f t="shared" si="106"/>
        <v>3071</v>
      </c>
      <c r="H189" s="70">
        <f t="shared" si="104"/>
        <v>13110</v>
      </c>
      <c r="I189" s="71">
        <f>SUM(I186:I188)</f>
        <v>1</v>
      </c>
    </row>
    <row r="190" outlineLevel="1">
      <c r="A190" s="72" t="s">
        <v>23</v>
      </c>
      <c r="B190" s="98"/>
      <c r="C190" s="98"/>
      <c r="D190" s="98"/>
      <c r="E190" s="99"/>
      <c r="F190" s="99"/>
      <c r="G190" s="99"/>
      <c r="H190" s="76"/>
      <c r="I190" s="77"/>
    </row>
    <row r="191" outlineLevel="1">
      <c r="A191" s="78" t="s">
        <v>20</v>
      </c>
      <c r="B191" s="100"/>
      <c r="C191" s="100"/>
      <c r="D191" s="100"/>
      <c r="E191" s="36">
        <f t="shared" ref="E191:G191" si="107">iferror(E186/E$189,"")</f>
        <v>0.7570126227</v>
      </c>
      <c r="F191" s="36">
        <f t="shared" si="107"/>
        <v>0.7541394184</v>
      </c>
      <c r="G191" s="36">
        <f t="shared" si="107"/>
        <v>0.7743406057</v>
      </c>
      <c r="H191" s="81"/>
      <c r="I191" s="82"/>
    </row>
    <row r="192" outlineLevel="1">
      <c r="A192" s="78" t="s">
        <v>21</v>
      </c>
      <c r="B192" s="100"/>
      <c r="C192" s="100"/>
      <c r="D192" s="100"/>
      <c r="E192" s="36">
        <f t="shared" ref="E192:G192" si="108">iferror(E187/E$189,"")</f>
        <v>0.0690743338</v>
      </c>
      <c r="F192" s="36">
        <f t="shared" si="108"/>
        <v>0.07082231807</v>
      </c>
      <c r="G192" s="36">
        <f t="shared" si="108"/>
        <v>0.06447411267</v>
      </c>
      <c r="H192" s="83"/>
      <c r="I192" s="82"/>
    </row>
    <row r="193" outlineLevel="1">
      <c r="A193" s="84" t="s">
        <v>22</v>
      </c>
      <c r="B193" s="100"/>
      <c r="C193" s="100"/>
      <c r="D193" s="100"/>
      <c r="E193" s="36">
        <f t="shared" ref="E193:G193" si="109">iferror(E188/E$189,"")</f>
        <v>0.1739130435</v>
      </c>
      <c r="F193" s="36">
        <f t="shared" si="109"/>
        <v>0.1750382635</v>
      </c>
      <c r="G193" s="36">
        <f t="shared" si="109"/>
        <v>0.1611852817</v>
      </c>
      <c r="H193" s="83"/>
      <c r="I193" s="82"/>
    </row>
    <row r="195">
      <c r="B195" s="145">
        <f t="shared" ref="B195:G195" si="110">1-B3</f>
        <v>0.4429671968</v>
      </c>
      <c r="C195" s="145">
        <f t="shared" si="110"/>
        <v>0.6260943066</v>
      </c>
      <c r="D195" s="145">
        <f t="shared" si="110"/>
        <v>0.5176793977</v>
      </c>
      <c r="E195" s="145">
        <f t="shared" si="110"/>
        <v>0.4855324989</v>
      </c>
      <c r="F195" s="145">
        <f t="shared" si="110"/>
        <v>0.4952578275</v>
      </c>
      <c r="G195" s="145">
        <f t="shared" si="110"/>
        <v>0.4756622142</v>
      </c>
    </row>
  </sheetData>
  <mergeCells count="3">
    <mergeCell ref="A4:A5"/>
    <mergeCell ref="A111:A112"/>
    <mergeCell ref="A153:A154"/>
  </mergeCells>
  <conditionalFormatting sqref="B19:G28">
    <cfRule type="colorScale" priority="1">
      <colorScale>
        <cfvo type="min"/>
        <cfvo type="max"/>
        <color rgb="FFFFFFFF"/>
        <color rgb="FF57BB8A"/>
      </colorScale>
    </cfRule>
  </conditionalFormatting>
  <conditionalFormatting sqref="B37:G39">
    <cfRule type="colorScale" priority="2">
      <colorScale>
        <cfvo type="min"/>
        <cfvo type="max"/>
        <color rgb="FFFFFFFF"/>
        <color rgb="FF57BB8A"/>
      </colorScale>
    </cfRule>
  </conditionalFormatting>
  <conditionalFormatting sqref="B49:G52 D60:D61 D68:D69 D76:D77 E84:E85 D96:D101 D108:D109">
    <cfRule type="colorScale" priority="3">
      <colorScale>
        <cfvo type="min"/>
        <cfvo type="max"/>
        <color rgb="FFFFFFFF"/>
        <color rgb="FF57BB8A"/>
      </colorScale>
    </cfRule>
  </conditionalFormatting>
  <conditionalFormatting sqref="B60:G61 D68:D69 D76:D77 E84:E85 D96:D101 D108:D109">
    <cfRule type="colorScale" priority="4">
      <colorScale>
        <cfvo type="min"/>
        <cfvo type="max"/>
        <color rgb="FFFFFFFF"/>
        <color rgb="FF57BB8A"/>
      </colorScale>
    </cfRule>
  </conditionalFormatting>
  <conditionalFormatting sqref="B68:G69 D76:D77 E84:E85 D96:D101 D108:D109">
    <cfRule type="colorScale" priority="5">
      <colorScale>
        <cfvo type="min"/>
        <cfvo type="max"/>
        <color rgb="FFFFFFFF"/>
        <color rgb="FF57BB8A"/>
      </colorScale>
    </cfRule>
  </conditionalFormatting>
  <conditionalFormatting sqref="B120:G123">
    <cfRule type="colorScale" priority="6">
      <colorScale>
        <cfvo type="min"/>
        <cfvo type="max"/>
        <color rgb="FFFFFFFF"/>
        <color rgb="FF57BB8A"/>
      </colorScale>
    </cfRule>
  </conditionalFormatting>
  <conditionalFormatting sqref="B135:G142">
    <cfRule type="colorScale" priority="7">
      <colorScale>
        <cfvo type="min"/>
        <cfvo type="max"/>
        <color rgb="FFFFFFFF"/>
        <color rgb="FF57BB8A"/>
      </colorScale>
    </cfRule>
  </conditionalFormatting>
  <conditionalFormatting sqref="B148:G151">
    <cfRule type="colorScale" priority="8">
      <colorScale>
        <cfvo type="min"/>
        <cfvo type="max"/>
        <color rgb="FFFFFFFF"/>
        <color rgb="FF57BB8A"/>
      </colorScale>
    </cfRule>
  </conditionalFormatting>
  <conditionalFormatting sqref="B162:G165">
    <cfRule type="colorScale" priority="9">
      <colorScale>
        <cfvo type="min"/>
        <cfvo type="max"/>
        <color rgb="FFFFFFFF"/>
        <color rgb="FF57BB8A"/>
      </colorScale>
    </cfRule>
  </conditionalFormatting>
  <conditionalFormatting sqref="B177:G184">
    <cfRule type="colorScale" priority="10">
      <colorScale>
        <cfvo type="min"/>
        <cfvo type="max"/>
        <color rgb="FFFFFFFF"/>
        <color rgb="FF57BB8A"/>
      </colorScale>
    </cfRule>
  </conditionalFormatting>
  <conditionalFormatting sqref="B191:G193">
    <cfRule type="colorScale" priority="11">
      <colorScale>
        <cfvo type="min"/>
        <cfvo type="max"/>
        <color rgb="FFFFFFFF"/>
        <color rgb="FF57BB8A"/>
      </colorScale>
    </cfRule>
  </conditionalFormatting>
  <conditionalFormatting sqref="E76:G77">
    <cfRule type="colorScale" priority="12">
      <colorScale>
        <cfvo type="min"/>
        <cfvo type="max"/>
        <color rgb="FFFFFFFF"/>
        <color rgb="FF57BB8A"/>
      </colorScale>
    </cfRule>
  </conditionalFormatting>
  <conditionalFormatting sqref="F84:G85">
    <cfRule type="colorScale" priority="13">
      <colorScale>
        <cfvo type="min"/>
        <cfvo type="max"/>
        <color rgb="FFFFFFFF"/>
        <color rgb="FF57BB8A"/>
      </colorScale>
    </cfRule>
  </conditionalFormatting>
  <conditionalFormatting sqref="E96:G101">
    <cfRule type="colorScale" priority="14">
      <colorScale>
        <cfvo type="min"/>
        <cfvo type="max"/>
        <color rgb="FFFFFFFF"/>
        <color rgb="FF57BB8A"/>
      </colorScale>
    </cfRule>
  </conditionalFormatting>
  <conditionalFormatting sqref="E108:G109">
    <cfRule type="colorScale" priority="15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>
    <row r="5">
      <c r="O5" s="152"/>
    </row>
    <row r="24">
      <c r="A24" s="153"/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/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workbookViewId="0"/>
  </sheetViews>
  <sheetFormatPr customHeight="1" defaultColWidth="12.63" defaultRowHeight="15.75" outlineLevelRow="1"/>
  <sheetData/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